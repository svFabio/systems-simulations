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091" windowHeight="11017" tabRatio="500" activeTab="2"/>
  </bookViews>
  <sheets>
    <sheet name="Resumen" sheetId="1" r:id="rId1"/>
    <sheet name="Problema1_Inversion" sheetId="2" r:id="rId2"/>
    <sheet name="Problema2_Camiones" sheetId="3" r:id="rId3"/>
  </sheets>
  <calcPr calcId="144525"/>
</workbook>
</file>

<file path=xl/sharedStrings.xml><?xml version="1.0" encoding="utf-8"?>
<sst xmlns="http://schemas.openxmlformats.org/spreadsheetml/2006/main" count="200" uniqueCount="192">
  <si>
    <t>Taller de Simulación de Sistemas - Resumen Ejecutivo</t>
  </si>
  <si>
    <t>Problema 1: Decisión de inversión</t>
  </si>
  <si>
    <t>Regla de decisión</t>
  </si>
  <si>
    <t>Aceptar si P(TIR &gt; TREMA) ≥ 90%</t>
  </si>
  <si>
    <t>P(TIR &gt; TREMA) simulada</t>
  </si>
  <si>
    <t>TIR promedio simulada</t>
  </si>
  <si>
    <t>Decisión</t>
  </si>
  <si>
    <t>Problema 2: Número óptimo de camiones</t>
  </si>
  <si>
    <t>Número óptimo de camiones</t>
  </si>
  <si>
    <t>Costo total anual mínimo</t>
  </si>
  <si>
    <t>Nota: los valores se recalculan cada vez que se abre o modifica el archivo (las fórmulas usan RAND()). Para 'congelar' un escenario, copie las hojas y pegue los resultados como valores (Copiar &gt; Pegado especial &gt; Valores).</t>
  </si>
  <si>
    <t>Problema 1: Decisión de Inversión - Simulación Montecarlo</t>
  </si>
  <si>
    <t>Parámetros generales</t>
  </si>
  <si>
    <t>Tasa de impuestos</t>
  </si>
  <si>
    <t>TREMA</t>
  </si>
  <si>
    <t>Probabilidad mínima requerida P(TIR&gt;TREMA)</t>
  </si>
  <si>
    <t>Vida fiscal del activo (años)</t>
  </si>
  <si>
    <t>Número de iteraciones simuladas</t>
  </si>
  <si>
    <t>Distribuciones triangulares (datos del enunciado)</t>
  </si>
  <si>
    <t>Variable</t>
  </si>
  <si>
    <t>Pesimista</t>
  </si>
  <si>
    <t>Probable</t>
  </si>
  <si>
    <t>Optimista</t>
  </si>
  <si>
    <t>Mín (a)</t>
  </si>
  <si>
    <t>Moda (m)</t>
  </si>
  <si>
    <t>Máx (b)</t>
  </si>
  <si>
    <t>Activo fijo inicial</t>
  </si>
  <si>
    <t>Activo circulante inicial</t>
  </si>
  <si>
    <t>Flujo antes de impuestos (anual)</t>
  </si>
  <si>
    <t>Inflación Año 1 (%)</t>
  </si>
  <si>
    <t>Inflación Año 2 (%)</t>
  </si>
  <si>
    <t>Inflación Año 3 (%)</t>
  </si>
  <si>
    <t>Inflación Año 4 (%)</t>
  </si>
  <si>
    <t>Inflación Año 5 (%)</t>
  </si>
  <si>
    <t>Nota: para las variables de inflación, 'Pesimista' es la tasa más alta (peor caso) y 'Optimista' la más baja; por eso Mín/Máx se toman como MIN/MAX(Pesimista,Optimista) y la Moda es siempre el valor 'Probable'.</t>
  </si>
  <si>
    <t>Simulación Montecarlo (una fila = una iteración / un escenario a 5 años)</t>
  </si>
  <si>
    <t>Iter</t>
  </si>
  <si>
    <t>U(Af)</t>
  </si>
  <si>
    <t>Af</t>
  </si>
  <si>
    <t>U(Ac)</t>
  </si>
  <si>
    <t>Ac</t>
  </si>
  <si>
    <t>U(F1)</t>
  </si>
  <si>
    <t>F1</t>
  </si>
  <si>
    <t>U(F2)</t>
  </si>
  <si>
    <t>F2</t>
  </si>
  <si>
    <t>U(F3)</t>
  </si>
  <si>
    <t>F3</t>
  </si>
  <si>
    <t>U(F4)</t>
  </si>
  <si>
    <t>F4</t>
  </si>
  <si>
    <t>U(F5)</t>
  </si>
  <si>
    <t>F5</t>
  </si>
  <si>
    <t>U(Infl1)</t>
  </si>
  <si>
    <t>Infl1%</t>
  </si>
  <si>
    <t>U(Infl2)</t>
  </si>
  <si>
    <t>Infl2%</t>
  </si>
  <si>
    <t>U(Infl3)</t>
  </si>
  <si>
    <t>Infl3%</t>
  </si>
  <si>
    <t>U(Infl4)</t>
  </si>
  <si>
    <t>Infl4%</t>
  </si>
  <si>
    <t>U(Infl5)</t>
  </si>
  <si>
    <t>Infl5%</t>
  </si>
  <si>
    <t>FlujoInfl1</t>
  </si>
  <si>
    <t>FlujoInfl2</t>
  </si>
  <si>
    <t>FlujoInfl3</t>
  </si>
  <si>
    <t>FlujoInfl4</t>
  </si>
  <si>
    <t>FlujoInfl5</t>
  </si>
  <si>
    <t>Deprec.</t>
  </si>
  <si>
    <t>UAI1</t>
  </si>
  <si>
    <t>UAI2</t>
  </si>
  <si>
    <t>UAI3</t>
  </si>
  <si>
    <t>UAI4</t>
  </si>
  <si>
    <t>UAI5</t>
  </si>
  <si>
    <t>Imp1</t>
  </si>
  <si>
    <t>Imp2</t>
  </si>
  <si>
    <t>Imp3</t>
  </si>
  <si>
    <t>Imp4</t>
  </si>
  <si>
    <t>Imp5</t>
  </si>
  <si>
    <t>UN1</t>
  </si>
  <si>
    <t>UN2</t>
  </si>
  <si>
    <t>UN3</t>
  </si>
  <si>
    <t>UN4</t>
  </si>
  <si>
    <t>UN5</t>
  </si>
  <si>
    <t>Val.Rescate</t>
  </si>
  <si>
    <t>FNE0</t>
  </si>
  <si>
    <t>FNE1</t>
  </si>
  <si>
    <t>FNE2</t>
  </si>
  <si>
    <t>FNE3</t>
  </si>
  <si>
    <t>FNE4</t>
  </si>
  <si>
    <t>FNE5</t>
  </si>
  <si>
    <t>TIR</t>
  </si>
  <si>
    <t>VPN(chk)</t>
  </si>
  <si>
    <t>Resultados de la simulación</t>
  </si>
  <si>
    <t>Número de iteraciones (N)</t>
  </si>
  <si>
    <t>Casos con TIR &gt; TREMA</t>
  </si>
  <si>
    <t>P(TIR &gt; TREMA)</t>
  </si>
  <si>
    <t>TIR promedio</t>
  </si>
  <si>
    <t>Desviación estándar TIR</t>
  </si>
  <si>
    <t>TIR mínima</t>
  </si>
  <si>
    <t>TIR máxima</t>
  </si>
  <si>
    <t>Distribución de frecuencia de la TIR (para el gráfico)</t>
  </si>
  <si>
    <t>Límite inferior</t>
  </si>
  <si>
    <t>Límite superior</t>
  </si>
  <si>
    <t>Frecuencia</t>
  </si>
  <si>
    <t>Problema 2: Número Óptimo de Camiones - Simulación Montecarlo</t>
  </si>
  <si>
    <t>Costo anual por camión ($)</t>
  </si>
  <si>
    <t>Costo transporte externo ($/ton)</t>
  </si>
  <si>
    <t>Días laborables al año (días simulados)</t>
  </si>
  <si>
    <t>Distancia planta-depósito (km, informativo)</t>
  </si>
  <si>
    <t>Número máximo de camiones a evaluar</t>
  </si>
  <si>
    <t>Distribución de producción diaria (toneladas)</t>
  </si>
  <si>
    <t>Límite inf.</t>
  </si>
  <si>
    <t>Límite sup.</t>
  </si>
  <si>
    <t>Probabilidad</t>
  </si>
  <si>
    <t>Ancho</t>
  </si>
  <si>
    <t>Cum. inf.</t>
  </si>
  <si>
    <t>Nota: no hay probabilidad asignada al tramo 70-75 ton en el enunciado original; los datos se respetan tal cual (suman 1.00 sin ese tramo).</t>
  </si>
  <si>
    <t>Distribución de toneladas diarias trasladadas por camión</t>
  </si>
  <si>
    <t>Simulación diaria (una fila = un día simulado)</t>
  </si>
  <si>
    <t>Día</t>
  </si>
  <si>
    <t>U(Prod)</t>
  </si>
  <si>
    <t>Producción</t>
  </si>
  <si>
    <t>U(Cam1)</t>
  </si>
  <si>
    <t>U(Cam2)</t>
  </si>
  <si>
    <t>U(Cam3)</t>
  </si>
  <si>
    <t>U(Cam4)</t>
  </si>
  <si>
    <t>U(Cam5)</t>
  </si>
  <si>
    <t>U(Cam6)</t>
  </si>
  <si>
    <t>U(Cam7)</t>
  </si>
  <si>
    <t>U(Cam8)</t>
  </si>
  <si>
    <t>U(Cam9)</t>
  </si>
  <si>
    <t>U(Cam10)</t>
  </si>
  <si>
    <t>U(Cam11)</t>
  </si>
  <si>
    <t>U(Cam12)</t>
  </si>
  <si>
    <t>U(Cam13)</t>
  </si>
  <si>
    <t>U(Cam14)</t>
  </si>
  <si>
    <t>U(Cam15)</t>
  </si>
  <si>
    <t>U(Cam16)</t>
  </si>
  <si>
    <t>Cap.Cam1</t>
  </si>
  <si>
    <t>Cap.Cam2</t>
  </si>
  <si>
    <t>Cap.Cam3</t>
  </si>
  <si>
    <t>Cap.Cam4</t>
  </si>
  <si>
    <t>Cap.Cam5</t>
  </si>
  <si>
    <t>Cap.Cam6</t>
  </si>
  <si>
    <t>Cap.Cam7</t>
  </si>
  <si>
    <t>Cap.Cam8</t>
  </si>
  <si>
    <t>Cap.Cam9</t>
  </si>
  <si>
    <t>Cap.Cam10</t>
  </si>
  <si>
    <t>Cap.Cam11</t>
  </si>
  <si>
    <t>Cap.Cam12</t>
  </si>
  <si>
    <t>Cap.Cam13</t>
  </si>
  <si>
    <t>Cap.Cam14</t>
  </si>
  <si>
    <t>Cap.Cam15</t>
  </si>
  <si>
    <t>Cap.Cam16</t>
  </si>
  <si>
    <t>CapTot(N=1)</t>
  </si>
  <si>
    <t>CapTot(N=2)</t>
  </si>
  <si>
    <t>CapTot(N=3)</t>
  </si>
  <si>
    <t>CapTot(N=4)</t>
  </si>
  <si>
    <t>CapTot(N=5)</t>
  </si>
  <si>
    <t>CapTot(N=6)</t>
  </si>
  <si>
    <t>CapTot(N=7)</t>
  </si>
  <si>
    <t>CapTot(N=8)</t>
  </si>
  <si>
    <t>CapTot(N=9)</t>
  </si>
  <si>
    <t>CapTot(N=10)</t>
  </si>
  <si>
    <t>CapTot(N=11)</t>
  </si>
  <si>
    <t>CapTot(N=12)</t>
  </si>
  <si>
    <t>CapTot(N=13)</t>
  </si>
  <si>
    <t>CapTot(N=14)</t>
  </si>
  <si>
    <t>CapTot(N=15)</t>
  </si>
  <si>
    <t>CapTot(N=16)</t>
  </si>
  <si>
    <t>Exced.(N=1)</t>
  </si>
  <si>
    <t>Exced.(N=2)</t>
  </si>
  <si>
    <t>Exced.(N=3)</t>
  </si>
  <si>
    <t>Exced.(N=4)</t>
  </si>
  <si>
    <t>Exced.(N=5)</t>
  </si>
  <si>
    <t>Exced.(N=6)</t>
  </si>
  <si>
    <t>Exced.(N=7)</t>
  </si>
  <si>
    <t>Exced.(N=8)</t>
  </si>
  <si>
    <t>Exced.(N=9)</t>
  </si>
  <si>
    <t>Exced.(N=10)</t>
  </si>
  <si>
    <t>Exced.(N=11)</t>
  </si>
  <si>
    <t>Exced.(N=12)</t>
  </si>
  <si>
    <t>Exced.(N=13)</t>
  </si>
  <si>
    <t>Exced.(N=14)</t>
  </si>
  <si>
    <t>Exced.(N=15)</t>
  </si>
  <si>
    <t>Exced.(N=16)</t>
  </si>
  <si>
    <t>Costo anual total según número de camiones (N)</t>
  </si>
  <si>
    <t>N (camiones)</t>
  </si>
  <si>
    <t>Toneladas excedentes/año</t>
  </si>
  <si>
    <t>Costo transporte externo</t>
  </si>
  <si>
    <t>Costo camiones</t>
  </si>
  <si>
    <t>Costo total anual</t>
  </si>
  <si>
    <t>Número óptimo de camiones (menor costo total)</t>
  </si>
</sst>
</file>

<file path=xl/styles.xml><?xml version="1.0" encoding="utf-8"?>
<styleSheet xmlns="http://schemas.openxmlformats.org/spreadsheetml/2006/main">
  <numFmts count="8">
    <numFmt numFmtId="176" formatCode="0.0"/>
    <numFmt numFmtId="177" formatCode="&quot;$&quot;#,##0"/>
    <numFmt numFmtId="178" formatCode="0.000"/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79" formatCode="0.0%"/>
  </numFmts>
  <fonts count="29">
    <font>
      <sz val="11"/>
      <color theme="1"/>
      <name val="Calibri"/>
      <charset val="1"/>
    </font>
    <font>
      <b/>
      <sz val="14"/>
      <name val="Arial"/>
      <charset val="1"/>
    </font>
    <font>
      <b/>
      <sz val="11"/>
      <color rgb="FF1F4E78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color rgb="FFFFFFFF"/>
      <name val="Arial"/>
      <charset val="1"/>
    </font>
    <font>
      <i/>
      <sz val="9"/>
      <color rgb="FF808080"/>
      <name val="Arial"/>
      <charset val="1"/>
    </font>
    <font>
      <b/>
      <sz val="11"/>
      <name val="Arial"/>
      <charset val="1"/>
    </font>
    <font>
      <sz val="10"/>
      <name val="Arial"/>
      <charset val="134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F81BD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9" fillId="2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5" borderId="3" applyNumberFormat="0" applyAlignment="0" applyProtection="0">
      <alignment vertical="center"/>
    </xf>
    <xf numFmtId="44" fontId="8" fillId="0" borderId="0" applyBorder="0" applyAlignment="0" applyProtection="0"/>
    <xf numFmtId="0" fontId="13" fillId="26" borderId="0" applyNumberFormat="0" applyBorder="0" applyAlignment="0" applyProtection="0">
      <alignment vertical="center"/>
    </xf>
    <xf numFmtId="0" fontId="26" fillId="30" borderId="8" applyNumberFormat="0" applyFont="0" applyAlignment="0" applyProtection="0">
      <alignment vertical="center"/>
    </xf>
    <xf numFmtId="0" fontId="15" fillId="6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5" borderId="2" applyNumberFormat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41" fontId="8" fillId="0" borderId="0" applyBorder="0" applyAlignment="0" applyProtection="0"/>
    <xf numFmtId="0" fontId="13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8" fillId="0" borderId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43" fontId="8" fillId="0" borderId="0" applyBorder="0" applyAlignment="0" applyProtection="0"/>
    <xf numFmtId="0" fontId="18" fillId="8" borderId="5" applyNumberFormat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9" fontId="8" fillId="0" borderId="0" applyBorder="0" applyAlignment="0" applyProtection="0"/>
    <xf numFmtId="0" fontId="23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7" fontId="4" fillId="2" borderId="0" xfId="0" applyNumberFormat="1" applyFont="1" applyFill="1"/>
    <xf numFmtId="1" fontId="4" fillId="2" borderId="0" xfId="0" applyNumberFormat="1" applyFont="1" applyFill="1"/>
    <xf numFmtId="0" fontId="5" fillId="3" borderId="0" xfId="0" applyFont="1" applyFill="1"/>
    <xf numFmtId="0" fontId="4" fillId="0" borderId="0" xfId="0" applyFont="1"/>
    <xf numFmtId="9" fontId="4" fillId="0" borderId="0" xfId="0" applyNumberFormat="1" applyFont="1"/>
    <xf numFmtId="0" fontId="6" fillId="0" borderId="0" xfId="0" applyFont="1"/>
    <xf numFmtId="0" fontId="5" fillId="3" borderId="0" xfId="0" applyFont="1" applyFill="1" applyAlignment="1">
      <alignment horizontal="center" wrapText="1"/>
    </xf>
    <xf numFmtId="178" fontId="3" fillId="0" borderId="0" xfId="0" applyNumberFormat="1" applyFont="1"/>
    <xf numFmtId="2" fontId="3" fillId="0" borderId="0" xfId="0" applyNumberFormat="1" applyFont="1"/>
    <xf numFmtId="10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7" fillId="0" borderId="0" xfId="0" applyFont="1"/>
    <xf numFmtId="179" fontId="4" fillId="2" borderId="0" xfId="0" applyNumberFormat="1" applyFont="1" applyFill="1"/>
    <xf numFmtId="3" fontId="4" fillId="0" borderId="0" xfId="0" applyNumberFormat="1" applyFont="1"/>
    <xf numFmtId="3" fontId="3" fillId="0" borderId="0" xfId="0" applyNumberFormat="1" applyFont="1"/>
    <xf numFmtId="179" fontId="3" fillId="0" borderId="0" xfId="0" applyNumberFormat="1" applyFont="1"/>
    <xf numFmtId="1" fontId="3" fillId="0" borderId="0" xfId="0" applyNumberFormat="1" applyFont="1"/>
    <xf numFmtId="9" fontId="3" fillId="0" borderId="0" xfId="0" applyNumberFormat="1" applyFont="1"/>
    <xf numFmtId="0" fontId="6" fillId="0" borderId="0" xfId="0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9F9F9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4F81BD"/>
      <rgbColor rgb="00878787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Distribución simulada de la TIR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Problema1_Inversion!$C$137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Problema1_Inversion!$A$138:$A$149</c:f>
              <c:numCache>
                <c:formatCode>0%</c:formatCode>
                <c:ptCount val="12"/>
                <c:pt idx="0" c:formatCode="0%">
                  <c:v>-0.3</c:v>
                </c:pt>
                <c:pt idx="1" c:formatCode="0%">
                  <c:v>-0.2</c:v>
                </c:pt>
                <c:pt idx="2" c:formatCode="0%">
                  <c:v>-0.1</c:v>
                </c:pt>
                <c:pt idx="3" c:formatCode="0%">
                  <c:v>0</c:v>
                </c:pt>
                <c:pt idx="4" c:formatCode="0%">
                  <c:v>0.1</c:v>
                </c:pt>
                <c:pt idx="5" c:formatCode="0%">
                  <c:v>0.2</c:v>
                </c:pt>
                <c:pt idx="6" c:formatCode="0%">
                  <c:v>0.3</c:v>
                </c:pt>
                <c:pt idx="7" c:formatCode="0%">
                  <c:v>0.4</c:v>
                </c:pt>
                <c:pt idx="8" c:formatCode="0%">
                  <c:v>0.5</c:v>
                </c:pt>
                <c:pt idx="9" c:formatCode="0%">
                  <c:v>0.6</c:v>
                </c:pt>
                <c:pt idx="10" c:formatCode="0%">
                  <c:v>0.7</c:v>
                </c:pt>
                <c:pt idx="11" c:formatCode="0%">
                  <c:v>0.8</c:v>
                </c:pt>
              </c:numCache>
            </c:numRef>
          </c:cat>
          <c:val>
            <c:numRef>
              <c:f>Problema1_Inversion!$C$138:$C$149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76</c:v>
                </c:pt>
                <c:pt idx="6">
                  <c:v>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2587066"/>
        <c:axId val="16311812"/>
      </c:barChart>
      <c:catAx>
        <c:axId val="525870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Rango de TIR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16311812"/>
        <c:crosses val="autoZero"/>
        <c:auto val="1"/>
        <c:lblAlgn val="ctr"/>
        <c:lblOffset val="100"/>
        <c:noMultiLvlLbl val="0"/>
      </c:catAx>
      <c:valAx>
        <c:axId val="1631181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Frecuencia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525870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Costo total anual vs. número de camiones</a:t>
            </a:r>
            <a:endParaRPr sz="1800" b="1" strike="noStrike" spc="-1">
              <a:solidFill>
                <a:srgbClr val="000000"/>
              </a:solidFill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Problema2_Camiones!$E$283</c:f>
              <c:strCache>
                <c:ptCount val="1"/>
                <c:pt idx="0">
                  <c:v>Costo total anual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Problema2_Camiones!$A$284:$A$299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Problema2_Camiones!$E$284:$E$299</c:f>
              <c:numCache>
                <c:formatCode>"$"#,##0</c:formatCode>
                <c:ptCount val="16"/>
                <c:pt idx="0">
                  <c:v>1587134.39101905</c:v>
                </c:pt>
                <c:pt idx="1">
                  <c:v>1565181.99463074</c:v>
                </c:pt>
                <c:pt idx="2">
                  <c:v>1544789.69763955</c:v>
                </c:pt>
                <c:pt idx="3">
                  <c:v>1523915.535598</c:v>
                </c:pt>
                <c:pt idx="4">
                  <c:v>1503664.75950221</c:v>
                </c:pt>
                <c:pt idx="5">
                  <c:v>1484506.08499456</c:v>
                </c:pt>
                <c:pt idx="6">
                  <c:v>1464047.20143399</c:v>
                </c:pt>
                <c:pt idx="7">
                  <c:v>1443487.06125805</c:v>
                </c:pt>
                <c:pt idx="8">
                  <c:v>1424814.24871541</c:v>
                </c:pt>
                <c:pt idx="9">
                  <c:v>1404927.48579354</c:v>
                </c:pt>
                <c:pt idx="10">
                  <c:v>1387912.59315822</c:v>
                </c:pt>
                <c:pt idx="11">
                  <c:v>1381066.61781187</c:v>
                </c:pt>
                <c:pt idx="12">
                  <c:v>1394077.37118007</c:v>
                </c:pt>
                <c:pt idx="13">
                  <c:v>1437434.53273293</c:v>
                </c:pt>
                <c:pt idx="14">
                  <c:v>1518722.63760147</c:v>
                </c:pt>
                <c:pt idx="15">
                  <c:v>1608469.11164918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7239450"/>
        <c:axId val="67837123"/>
      </c:barChart>
      <c:catAx>
        <c:axId val="9723945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Número de camiones (N)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67837123"/>
        <c:crosses val="autoZero"/>
        <c:auto val="1"/>
        <c:lblAlgn val="ctr"/>
        <c:lblOffset val="100"/>
        <c:noMultiLvlLbl val="0"/>
      </c:catAx>
      <c:valAx>
        <c:axId val="6783712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Costo total anual ($)</a:t>
                </a:r>
                <a:endParaRPr sz="1000" b="1" strike="noStrike" spc="-1">
                  <a:solidFill>
                    <a:srgbClr val="000000"/>
                  </a:solidFill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</a:p>
        </c:txPr>
        <c:crossAx val="972394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136</xdr:row>
      <xdr:rowOff>10080</xdr:rowOff>
    </xdr:from>
    <xdr:to>
      <xdr:col>14</xdr:col>
      <xdr:colOff>450360</xdr:colOff>
      <xdr:row>156</xdr:row>
      <xdr:rowOff>168020</xdr:rowOff>
    </xdr:to>
    <xdr:graphicFrame>
      <xdr:nvGraphicFramePr>
        <xdr:cNvPr id="2" name="Chart 1"/>
        <xdr:cNvGraphicFramePr/>
      </xdr:nvGraphicFramePr>
      <xdr:xfrm>
        <a:off x="5580380" y="23637875"/>
        <a:ext cx="7079615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282</xdr:row>
      <xdr:rowOff>10080</xdr:rowOff>
    </xdr:from>
    <xdr:to>
      <xdr:col>14</xdr:col>
      <xdr:colOff>120600</xdr:colOff>
      <xdr:row>298</xdr:row>
      <xdr:rowOff>150800</xdr:rowOff>
    </xdr:to>
    <xdr:graphicFrame>
      <xdr:nvGraphicFramePr>
        <xdr:cNvPr id="2" name="Chart 1"/>
        <xdr:cNvGraphicFramePr/>
      </xdr:nvGraphicFramePr>
      <xdr:xfrm>
        <a:off x="6197600" y="48762285"/>
        <a:ext cx="6317615" cy="323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topLeftCell="A4" workbookViewId="0">
      <selection activeCell="A1" sqref="A1"/>
    </sheetView>
  </sheetViews>
  <sheetFormatPr defaultColWidth="8.68032786885246" defaultRowHeight="13.55" outlineLevelCol="7"/>
  <cols>
    <col min="1" max="2" width="46" customWidth="1"/>
  </cols>
  <sheetData>
    <row r="1" ht="17.65" spans="1:1">
      <c r="A1" s="1" t="s">
        <v>0</v>
      </c>
    </row>
    <row r="3" spans="1:1">
      <c r="A3" s="2" t="s">
        <v>1</v>
      </c>
    </row>
    <row r="4" spans="1:2">
      <c r="A4" s="3" t="s">
        <v>2</v>
      </c>
      <c r="B4" s="3" t="s">
        <v>3</v>
      </c>
    </row>
    <row r="5" spans="1:2">
      <c r="A5" s="3" t="s">
        <v>4</v>
      </c>
      <c r="B5" s="20">
        <f ca="1">Problema1_Inversion!B129</f>
        <v>1</v>
      </c>
    </row>
    <row r="6" spans="1:2">
      <c r="A6" s="3" t="s">
        <v>5</v>
      </c>
      <c r="B6" s="20">
        <f ca="1">Problema1_Inversion!B130</f>
        <v>0.279648660887218</v>
      </c>
    </row>
    <row r="7" spans="1:2">
      <c r="A7" s="3" t="s">
        <v>6</v>
      </c>
      <c r="B7" s="16" t="str">
        <f ca="1">Problema1_Inversion!B134</f>
        <v>ACEPTAR el proyecto</v>
      </c>
    </row>
    <row r="8" spans="1:2">
      <c r="A8" s="3"/>
      <c r="B8" s="3"/>
    </row>
    <row r="9" spans="1:2">
      <c r="A9" s="3" t="s">
        <v>7</v>
      </c>
      <c r="B9" s="3"/>
    </row>
    <row r="10" spans="1:2">
      <c r="A10" s="3" t="s">
        <v>8</v>
      </c>
      <c r="B10" s="3">
        <f ca="1">Problema2_Camiones!B301</f>
        <v>12</v>
      </c>
    </row>
    <row r="11" spans="1:2">
      <c r="A11" s="3" t="s">
        <v>9</v>
      </c>
      <c r="B11" s="15">
        <f ca="1">Problema2_Camiones!B302</f>
        <v>1381066.61781187</v>
      </c>
    </row>
    <row r="14" spans="1:8">
      <c r="A14" s="23" t="s">
        <v>10</v>
      </c>
      <c r="B14" s="23"/>
      <c r="C14" s="23"/>
      <c r="D14" s="23"/>
      <c r="E14" s="23"/>
      <c r="F14" s="23"/>
      <c r="G14" s="23"/>
      <c r="H14" s="23"/>
    </row>
  </sheetData>
  <mergeCells count="1">
    <mergeCell ref="A14:H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49"/>
  <sheetViews>
    <sheetView showGridLines="0" workbookViewId="0">
      <pane xSplit="1" ySplit="24" topLeftCell="B64" activePane="bottomRight" state="frozen"/>
      <selection/>
      <selection pane="topRight"/>
      <selection pane="bottomLeft"/>
      <selection pane="bottomRight" activeCell="D3" sqref="D3"/>
    </sheetView>
  </sheetViews>
  <sheetFormatPr defaultColWidth="8.68032786885246" defaultRowHeight="13.55"/>
  <cols>
    <col min="1" max="1" width="34" customWidth="1"/>
    <col min="2" max="55" width="9.50819672131148" customWidth="1"/>
  </cols>
  <sheetData>
    <row r="1" ht="17.65" spans="1:1">
      <c r="A1" s="1" t="s">
        <v>11</v>
      </c>
    </row>
    <row r="3" spans="1:1">
      <c r="A3" s="2" t="s">
        <v>12</v>
      </c>
    </row>
    <row r="4" spans="1:2">
      <c r="A4" s="3" t="s">
        <v>13</v>
      </c>
      <c r="B4" s="17">
        <v>0.5</v>
      </c>
    </row>
    <row r="5" spans="1:2">
      <c r="A5" s="3" t="s">
        <v>14</v>
      </c>
      <c r="B5" s="17">
        <v>0.15</v>
      </c>
    </row>
    <row r="6" spans="1:2">
      <c r="A6" s="3" t="s">
        <v>15</v>
      </c>
      <c r="B6" s="17">
        <v>0.9</v>
      </c>
    </row>
    <row r="7" spans="1:2">
      <c r="A7" s="3" t="s">
        <v>16</v>
      </c>
      <c r="B7" s="5">
        <v>5</v>
      </c>
    </row>
    <row r="8" spans="1:2">
      <c r="A8" s="3" t="s">
        <v>17</v>
      </c>
      <c r="B8" s="5">
        <v>100</v>
      </c>
    </row>
    <row r="10" spans="1:1">
      <c r="A10" s="2" t="s">
        <v>18</v>
      </c>
    </row>
    <row r="11" spans="1:7">
      <c r="A11" s="6" t="s">
        <v>19</v>
      </c>
      <c r="B11" s="6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</row>
    <row r="12" spans="1:7">
      <c r="A12" s="3" t="s">
        <v>26</v>
      </c>
      <c r="B12" s="18">
        <v>-100000</v>
      </c>
      <c r="C12" s="18">
        <v>-70000</v>
      </c>
      <c r="D12" s="18">
        <v>-60000</v>
      </c>
      <c r="E12" s="19">
        <f t="shared" ref="E12:E19" si="0">MIN(B12,D12)</f>
        <v>-100000</v>
      </c>
      <c r="F12" s="19">
        <f t="shared" ref="F12:F19" si="1">C12</f>
        <v>-70000</v>
      </c>
      <c r="G12" s="19">
        <f t="shared" ref="G12:G19" si="2">MAX(B12,D12)</f>
        <v>-60000</v>
      </c>
    </row>
    <row r="13" spans="1:7">
      <c r="A13" s="3" t="s">
        <v>27</v>
      </c>
      <c r="B13" s="18">
        <v>-40000</v>
      </c>
      <c r="C13" s="18">
        <v>-30000</v>
      </c>
      <c r="D13" s="18">
        <v>-25000</v>
      </c>
      <c r="E13" s="19">
        <f t="shared" si="0"/>
        <v>-40000</v>
      </c>
      <c r="F13" s="19">
        <f t="shared" si="1"/>
        <v>-30000</v>
      </c>
      <c r="G13" s="19">
        <f t="shared" si="2"/>
        <v>-25000</v>
      </c>
    </row>
    <row r="14" spans="1:7">
      <c r="A14" s="3" t="s">
        <v>28</v>
      </c>
      <c r="B14" s="18">
        <v>30000</v>
      </c>
      <c r="C14" s="18">
        <v>40000</v>
      </c>
      <c r="D14" s="18">
        <v>45000</v>
      </c>
      <c r="E14" s="19">
        <f t="shared" si="0"/>
        <v>30000</v>
      </c>
      <c r="F14" s="19">
        <f t="shared" si="1"/>
        <v>40000</v>
      </c>
      <c r="G14" s="19">
        <f t="shared" si="2"/>
        <v>45000</v>
      </c>
    </row>
    <row r="15" spans="1:7">
      <c r="A15" s="3" t="s">
        <v>29</v>
      </c>
      <c r="B15" s="18">
        <v>18</v>
      </c>
      <c r="C15" s="18">
        <v>15</v>
      </c>
      <c r="D15" s="18">
        <v>12</v>
      </c>
      <c r="E15" s="19">
        <f t="shared" si="0"/>
        <v>12</v>
      </c>
      <c r="F15" s="19">
        <f t="shared" si="1"/>
        <v>15</v>
      </c>
      <c r="G15" s="19">
        <f t="shared" si="2"/>
        <v>18</v>
      </c>
    </row>
    <row r="16" spans="1:7">
      <c r="A16" s="3" t="s">
        <v>30</v>
      </c>
      <c r="B16" s="18">
        <v>18</v>
      </c>
      <c r="C16" s="18">
        <v>15</v>
      </c>
      <c r="D16" s="18">
        <v>12</v>
      </c>
      <c r="E16" s="19">
        <f t="shared" si="0"/>
        <v>12</v>
      </c>
      <c r="F16" s="19">
        <f t="shared" si="1"/>
        <v>15</v>
      </c>
      <c r="G16" s="19">
        <f t="shared" si="2"/>
        <v>18</v>
      </c>
    </row>
    <row r="17" spans="1:7">
      <c r="A17" s="3" t="s">
        <v>31</v>
      </c>
      <c r="B17" s="18">
        <v>22</v>
      </c>
      <c r="C17" s="18">
        <v>18</v>
      </c>
      <c r="D17" s="18">
        <v>15</v>
      </c>
      <c r="E17" s="19">
        <f t="shared" si="0"/>
        <v>15</v>
      </c>
      <c r="F17" s="19">
        <f t="shared" si="1"/>
        <v>18</v>
      </c>
      <c r="G17" s="19">
        <f t="shared" si="2"/>
        <v>22</v>
      </c>
    </row>
    <row r="18" spans="1:7">
      <c r="A18" s="3" t="s">
        <v>32</v>
      </c>
      <c r="B18" s="18">
        <v>25</v>
      </c>
      <c r="C18" s="18">
        <v>20</v>
      </c>
      <c r="D18" s="18">
        <v>18</v>
      </c>
      <c r="E18" s="19">
        <f t="shared" si="0"/>
        <v>18</v>
      </c>
      <c r="F18" s="19">
        <f t="shared" si="1"/>
        <v>20</v>
      </c>
      <c r="G18" s="19">
        <f t="shared" si="2"/>
        <v>25</v>
      </c>
    </row>
    <row r="19" spans="1:7">
      <c r="A19" s="3" t="s">
        <v>33</v>
      </c>
      <c r="B19" s="18">
        <v>28</v>
      </c>
      <c r="C19" s="18">
        <v>22</v>
      </c>
      <c r="D19" s="18">
        <v>19</v>
      </c>
      <c r="E19" s="19">
        <f t="shared" si="0"/>
        <v>19</v>
      </c>
      <c r="F19" s="19">
        <f t="shared" si="1"/>
        <v>22</v>
      </c>
      <c r="G19" s="19">
        <f t="shared" si="2"/>
        <v>28</v>
      </c>
    </row>
    <row r="21" spans="1:1">
      <c r="A21" s="9" t="s">
        <v>34</v>
      </c>
    </row>
    <row r="23" spans="1:1">
      <c r="A23" s="2" t="s">
        <v>35</v>
      </c>
    </row>
    <row r="24" ht="27.15" spans="1:55">
      <c r="A24" s="10" t="s">
        <v>36</v>
      </c>
      <c r="B24" s="10" t="s">
        <v>37</v>
      </c>
      <c r="C24" s="10" t="s">
        <v>38</v>
      </c>
      <c r="D24" s="10" t="s">
        <v>39</v>
      </c>
      <c r="E24" s="10" t="s">
        <v>40</v>
      </c>
      <c r="F24" s="10" t="s">
        <v>41</v>
      </c>
      <c r="G24" s="10" t="s">
        <v>42</v>
      </c>
      <c r="H24" s="10" t="s">
        <v>43</v>
      </c>
      <c r="I24" s="10" t="s">
        <v>44</v>
      </c>
      <c r="J24" s="10" t="s">
        <v>45</v>
      </c>
      <c r="K24" s="10" t="s">
        <v>46</v>
      </c>
      <c r="L24" s="10" t="s">
        <v>47</v>
      </c>
      <c r="M24" s="10" t="s">
        <v>48</v>
      </c>
      <c r="N24" s="10" t="s">
        <v>49</v>
      </c>
      <c r="O24" s="10" t="s">
        <v>50</v>
      </c>
      <c r="P24" s="10" t="s">
        <v>51</v>
      </c>
      <c r="Q24" s="10" t="s">
        <v>52</v>
      </c>
      <c r="R24" s="10" t="s">
        <v>53</v>
      </c>
      <c r="S24" s="10" t="s">
        <v>54</v>
      </c>
      <c r="T24" s="10" t="s">
        <v>55</v>
      </c>
      <c r="U24" s="10" t="s">
        <v>56</v>
      </c>
      <c r="V24" s="10" t="s">
        <v>57</v>
      </c>
      <c r="W24" s="10" t="s">
        <v>58</v>
      </c>
      <c r="X24" s="10" t="s">
        <v>59</v>
      </c>
      <c r="Y24" s="10" t="s">
        <v>60</v>
      </c>
      <c r="Z24" s="10" t="s">
        <v>61</v>
      </c>
      <c r="AA24" s="10" t="s">
        <v>62</v>
      </c>
      <c r="AB24" s="10" t="s">
        <v>63</v>
      </c>
      <c r="AC24" s="10" t="s">
        <v>64</v>
      </c>
      <c r="AD24" s="10" t="s">
        <v>65</v>
      </c>
      <c r="AE24" s="10" t="s">
        <v>66</v>
      </c>
      <c r="AF24" s="10" t="s">
        <v>67</v>
      </c>
      <c r="AG24" s="10" t="s">
        <v>68</v>
      </c>
      <c r="AH24" s="10" t="s">
        <v>69</v>
      </c>
      <c r="AI24" s="10" t="s">
        <v>70</v>
      </c>
      <c r="AJ24" s="10" t="s">
        <v>71</v>
      </c>
      <c r="AK24" s="10" t="s">
        <v>72</v>
      </c>
      <c r="AL24" s="10" t="s">
        <v>73</v>
      </c>
      <c r="AM24" s="10" t="s">
        <v>74</v>
      </c>
      <c r="AN24" s="10" t="s">
        <v>75</v>
      </c>
      <c r="AO24" s="10" t="s">
        <v>76</v>
      </c>
      <c r="AP24" s="10" t="s">
        <v>77</v>
      </c>
      <c r="AQ24" s="10" t="s">
        <v>78</v>
      </c>
      <c r="AR24" s="10" t="s">
        <v>79</v>
      </c>
      <c r="AS24" s="10" t="s">
        <v>80</v>
      </c>
      <c r="AT24" s="10" t="s">
        <v>81</v>
      </c>
      <c r="AU24" s="10" t="s">
        <v>82</v>
      </c>
      <c r="AV24" s="10" t="s">
        <v>83</v>
      </c>
      <c r="AW24" s="10" t="s">
        <v>84</v>
      </c>
      <c r="AX24" s="10" t="s">
        <v>85</v>
      </c>
      <c r="AY24" s="10" t="s">
        <v>86</v>
      </c>
      <c r="AZ24" s="10" t="s">
        <v>87</v>
      </c>
      <c r="BA24" s="10" t="s">
        <v>88</v>
      </c>
      <c r="BB24" s="10" t="s">
        <v>89</v>
      </c>
      <c r="BC24" s="10" t="s">
        <v>90</v>
      </c>
    </row>
    <row r="25" spans="1:55">
      <c r="A25" s="3">
        <v>1</v>
      </c>
      <c r="B25" s="11">
        <f ca="1" t="shared" ref="B25:B88" si="3">RAND()</f>
        <v>0.826631839181027</v>
      </c>
      <c r="C25" s="19">
        <f ca="1" t="shared" ref="C25:C88" si="4">IF(B25&lt;=($F$12-$E$12)/($G$12-$E$12),$E$12+SQRT(B25*($G$12-$E$12)*($F$12-$E$12)),$G$12-SQRT((1-B25)*($G$12-$E$12)*($G$12-$F$12)))</f>
        <v>-68327.5004849948</v>
      </c>
      <c r="D25" s="11">
        <f ca="1" t="shared" ref="D25:D88" si="5">RAND()</f>
        <v>0.826634810583891</v>
      </c>
      <c r="E25" s="19">
        <f ca="1" t="shared" ref="E25:E88" si="6">IF(D25&lt;=($F$13-$E$13)/($G$13-$E$13),$E$13+SQRT(D25*($G$13-$E$13)*($F$13-$E$13)),$G$13-SQRT((1-D25)*($G$13-$E$13)*($G$13-$F$13)))</f>
        <v>-28605.8825835304</v>
      </c>
      <c r="F25" s="11">
        <f ca="1" t="shared" ref="F25:F88" si="7">RAND()</f>
        <v>0.826654866997524</v>
      </c>
      <c r="G25" s="19">
        <f ca="1" t="shared" ref="G25:G88" si="8">IF(F25&lt;=($F$14-$E$14)/($G$14-$E$14),$E$14+SQRT(F25*($G$14-$E$14)*($F$14-$E$14)),$G$14-SQRT((1-F25)*($G$14-$E$14)*($G$14-$F$14)))</f>
        <v>41394.3260026473</v>
      </c>
      <c r="H25" s="11">
        <f ca="1" t="shared" ref="H25:H88" si="9">RAND()</f>
        <v>0.803946048606458</v>
      </c>
      <c r="I25" s="19">
        <f ca="1" t="shared" ref="I25:I88" si="10">IF(H25&lt;=($F$14-$E$14)/($G$14-$E$14),$E$14+SQRT(H25*($G$14-$E$14)*($F$14-$E$14)),$G$14-SQRT((1-H25)*($G$14-$E$14)*($G$14-$F$14)))</f>
        <v>41165.4144481423</v>
      </c>
      <c r="J25" s="11">
        <f ca="1" t="shared" ref="J25:J88" si="11">RAND()</f>
        <v>0.490705772567037</v>
      </c>
      <c r="K25" s="19">
        <f ca="1" t="shared" ref="K25:K88" si="12">IF(J25&lt;=($F$14-$E$14)/($G$14-$E$14),$E$14+SQRT(J25*($G$14-$E$14)*($F$14-$E$14)),$G$14-SQRT((1-J25)*($G$14-$E$14)*($G$14-$F$14)))</f>
        <v>38579.3861018756</v>
      </c>
      <c r="L25" s="11">
        <f ca="1" t="shared" ref="L25:L88" si="13">RAND()</f>
        <v>0.174251289046712</v>
      </c>
      <c r="M25" s="19">
        <f ca="1" t="shared" ref="M25:M88" si="14">IF(L25&lt;=($F$14-$E$14)/($G$14-$E$14),$E$14+SQRT(L25*($G$14-$E$14)*($F$14-$E$14)),$G$14-SQRT((1-L25)*($G$14-$E$14)*($G$14-$F$14)))</f>
        <v>35112.5036290458</v>
      </c>
      <c r="N25" s="11">
        <f ca="1" t="shared" ref="N25:N88" si="15">RAND()</f>
        <v>0.019864486429934</v>
      </c>
      <c r="O25" s="19">
        <f ca="1" t="shared" ref="O25:O88" si="16">IF(N25&lt;=($F$14-$E$14)/($G$14-$E$14),$E$14+SQRT(N25*($G$14-$E$14)*($F$14-$E$14)),$G$14-SQRT((1-N25)*($G$14-$E$14)*($G$14-$F$14)))</f>
        <v>31726.1729242721</v>
      </c>
      <c r="P25" s="11">
        <f ca="1" t="shared" ref="P25:P88" si="17">RAND()</f>
        <v>0.691794524696993</v>
      </c>
      <c r="Q25" s="12">
        <f ca="1" t="shared" ref="Q25:Q88" si="18">IF(P25&lt;=($F$15-$E$15)/($G$15-$E$15),$E$15+SQRT(P25*($G$15-$E$15)*($F$15-$E$15)),$G$15-SQRT((1-P25)*($G$15-$E$15)*($G$15-$F$15)))</f>
        <v>15.6446447071717</v>
      </c>
      <c r="R25" s="11">
        <f ca="1" t="shared" ref="R25:R88" si="19">RAND()</f>
        <v>0.97780880111978</v>
      </c>
      <c r="S25" s="12">
        <f ca="1" t="shared" ref="S25:S88" si="20">IF(R25&lt;=($F$16-$E$16)/($G$16-$E$16),$E$16+SQRT(R25*($G$16-$E$16)*($F$16-$E$16)),$G$16-SQRT((1-R25)*($G$16-$E$16)*($G$16-$F$16)))</f>
        <v>17.3679860920486</v>
      </c>
      <c r="T25" s="11">
        <f ca="1" t="shared" ref="T25:T88" si="21">RAND()</f>
        <v>0.454041604928037</v>
      </c>
      <c r="U25" s="12">
        <f ca="1" t="shared" ref="U25:U88" si="22">IF(T25&lt;=($F$17-$E$17)/($G$17-$E$17),$E$17+SQRT(T25*($G$17-$E$17)*($F$17-$E$17)),$G$17-SQRT((1-T25)*($G$17-$E$17)*($G$17-$F$17)))</f>
        <v>18.0901617601217</v>
      </c>
      <c r="V25" s="11">
        <f ca="1" t="shared" ref="V25:V88" si="23">RAND()</f>
        <v>0.548104443992919</v>
      </c>
      <c r="W25" s="12">
        <f ca="1" t="shared" ref="W25:W88" si="24">IF(V25&lt;=($F$18-$E$18)/($G$18-$E$18),$E$18+SQRT(V25*($G$18-$E$18)*($F$18-$E$18)),$G$18-SQRT((1-V25)*($G$18-$E$18)*($G$18-$F$18)))</f>
        <v>21.0230232009417</v>
      </c>
      <c r="X25" s="11">
        <f ca="1" t="shared" ref="X25:X88" si="25">RAND()</f>
        <v>0.383341410560928</v>
      </c>
      <c r="Y25" s="12">
        <f ca="1" t="shared" ref="Y25:Y88" si="26">IF(X25&lt;=($F$19-$E$19)/($G$19-$E$19),$E$19+SQRT(X25*($G$19-$E$19)*($F$19-$E$19)),$G$19-SQRT((1-X25)*($G$19-$E$19)*($G$19-$F$19)))</f>
        <v>22.2294225739784</v>
      </c>
      <c r="Z25" s="19">
        <f ca="1" t="shared" ref="Z25:Z88" si="27">G25*(1+Q25/100)</f>
        <v>47870.3212346898</v>
      </c>
      <c r="AA25" s="19">
        <f ca="1" t="shared" ref="AA25:AA88" si="28">I25*(1+Q25/100)*(1+S25/100)</f>
        <v>55873.730795553</v>
      </c>
      <c r="AB25" s="19">
        <f ca="1" t="shared" ref="AB25:AB88" si="29">K25*(1+Q25/100)*(1+S25/100)*(1+U25/100)</f>
        <v>61836.4015789656</v>
      </c>
      <c r="AC25" s="19">
        <f ca="1" t="shared" ref="AC25:AC88" si="30">M25*(1+Q25/100)*(1+S25/100)*(1+U25/100)*(1+W25/100)</f>
        <v>68111.2249550866</v>
      </c>
      <c r="AD25" s="19">
        <f ca="1" t="shared" ref="AD25:AD88" si="31">O25*(1+Q25/100)*(1+S25/100)*(1+U25/100)*(1+W25/100)*(1+Y25/100)</f>
        <v>75222.9465332256</v>
      </c>
      <c r="AE25" s="19">
        <f ca="1" t="shared" ref="AE25:AE88" si="32">ABS(C25)/$B$7</f>
        <v>13665.500096999</v>
      </c>
      <c r="AF25" s="19">
        <f ca="1" t="shared" ref="AF25:AF88" si="33">Z25-AE25</f>
        <v>34204.8211376909</v>
      </c>
      <c r="AG25" s="19">
        <f ca="1" t="shared" ref="AG25:AG88" si="34">AA25-AE25</f>
        <v>42208.2306985541</v>
      </c>
      <c r="AH25" s="19">
        <f ca="1" t="shared" ref="AH25:AH88" si="35">AB25-AE25</f>
        <v>48170.9014819666</v>
      </c>
      <c r="AI25" s="19">
        <f ca="1" t="shared" ref="AI25:AI88" si="36">AC25-AE25</f>
        <v>54445.7248580877</v>
      </c>
      <c r="AJ25" s="19">
        <f ca="1" t="shared" ref="AJ25:AJ88" si="37">AD25-AE25</f>
        <v>61557.4464362266</v>
      </c>
      <c r="AK25" s="19">
        <f ca="1">AF25*$B$4</f>
        <v>17102.4105688454</v>
      </c>
      <c r="AL25" s="19">
        <f ca="1">AG25*$B$4</f>
        <v>21104.115349277</v>
      </c>
      <c r="AM25" s="19">
        <f ca="1">AH25*$B$4</f>
        <v>24085.4507409833</v>
      </c>
      <c r="AN25" s="19">
        <f ca="1">AI25*$B$4</f>
        <v>27222.8624290438</v>
      </c>
      <c r="AO25" s="19">
        <f ca="1">AJ25*$B$4</f>
        <v>30778.7232181133</v>
      </c>
      <c r="AP25" s="19">
        <f ca="1" t="shared" ref="AP25:AP88" si="38">AF25-AK25</f>
        <v>17102.4105688454</v>
      </c>
      <c r="AQ25" s="19">
        <f ca="1" t="shared" ref="AQ25:AQ88" si="39">AG25-AL25</f>
        <v>21104.115349277</v>
      </c>
      <c r="AR25" s="19">
        <f ca="1" t="shared" ref="AR25:AR88" si="40">AH25-AM25</f>
        <v>24085.4507409833</v>
      </c>
      <c r="AS25" s="19">
        <f ca="1" t="shared" ref="AS25:AS88" si="41">AI25-AN25</f>
        <v>27222.8624290438</v>
      </c>
      <c r="AT25" s="19">
        <f ca="1" t="shared" ref="AT25:AT88" si="42">AJ25-AO25</f>
        <v>30778.7232181133</v>
      </c>
      <c r="AU25" s="19">
        <f ca="1" t="shared" ref="AU25:AU88" si="43">0.2*ABS(C25)+1*ABS(E25)</f>
        <v>42271.3826805294</v>
      </c>
      <c r="AV25" s="19">
        <f ca="1" t="shared" ref="AV25:AV88" si="44">C25+E25</f>
        <v>-96933.3830685253</v>
      </c>
      <c r="AW25" s="19">
        <f ca="1" t="shared" ref="AW25:AW88" si="45">AP25+AE25</f>
        <v>30767.9106658444</v>
      </c>
      <c r="AX25" s="19">
        <f ca="1" t="shared" ref="AX25:AX88" si="46">AQ25+AE25</f>
        <v>34769.615446276</v>
      </c>
      <c r="AY25" s="19">
        <f ca="1" t="shared" ref="AY25:AY88" si="47">AR25+AE25</f>
        <v>37750.9508379823</v>
      </c>
      <c r="AZ25" s="19">
        <f ca="1" t="shared" ref="AZ25:AZ88" si="48">AS25+AE25</f>
        <v>40888.3625260428</v>
      </c>
      <c r="BA25" s="19">
        <f ca="1" t="shared" ref="BA25:BA88" si="49">AT25+AE25+AU25</f>
        <v>86715.6059956417</v>
      </c>
      <c r="BB25" s="20">
        <f ca="1" t="shared" ref="BB25:BB88" si="50">IFERROR(IRR(AV25:BA25,0.15),"n/a")</f>
        <v>0.309851439813812</v>
      </c>
      <c r="BC25" s="19">
        <f ca="1">NPV($B$5,AW25:BA25)+AV25</f>
        <v>47425.0452276329</v>
      </c>
    </row>
    <row r="26" spans="1:55">
      <c r="A26" s="3">
        <v>2</v>
      </c>
      <c r="B26" s="11">
        <f ca="1" t="shared" si="3"/>
        <v>0.735686149281733</v>
      </c>
      <c r="C26" s="19">
        <f ca="1" t="shared" si="4"/>
        <v>-70287.6561150407</v>
      </c>
      <c r="D26" s="11">
        <f ca="1" t="shared" si="5"/>
        <v>0.489278699791476</v>
      </c>
      <c r="E26" s="19">
        <f ca="1" t="shared" si="6"/>
        <v>-31433.0982865028</v>
      </c>
      <c r="F26" s="11">
        <f ca="1" t="shared" si="7"/>
        <v>0.509112508593527</v>
      </c>
      <c r="G26" s="19">
        <f ca="1" t="shared" si="8"/>
        <v>38738.8143525898</v>
      </c>
      <c r="H26" s="11">
        <f ca="1" t="shared" si="9"/>
        <v>0.171276897238329</v>
      </c>
      <c r="I26" s="19">
        <f ca="1" t="shared" si="10"/>
        <v>35068.6817404281</v>
      </c>
      <c r="J26" s="11">
        <f ca="1" t="shared" si="11"/>
        <v>0.371216024680068</v>
      </c>
      <c r="K26" s="19">
        <f ca="1" t="shared" si="12"/>
        <v>37462.0643056737</v>
      </c>
      <c r="L26" s="11">
        <f ca="1" t="shared" si="13"/>
        <v>0.790334916485128</v>
      </c>
      <c r="M26" s="19">
        <f ca="1" t="shared" si="14"/>
        <v>41034.5389595136</v>
      </c>
      <c r="N26" s="11">
        <f ca="1" t="shared" si="15"/>
        <v>0.456212541979615</v>
      </c>
      <c r="O26" s="19">
        <f ca="1" t="shared" si="16"/>
        <v>38272.3564536922</v>
      </c>
      <c r="P26" s="11">
        <f ca="1" t="shared" si="17"/>
        <v>0.01236947636548</v>
      </c>
      <c r="Q26" s="12">
        <f ca="1" t="shared" si="18"/>
        <v>12.4718586383427</v>
      </c>
      <c r="R26" s="11">
        <f ca="1" t="shared" si="19"/>
        <v>0.948767633660315</v>
      </c>
      <c r="S26" s="12">
        <f ca="1" t="shared" si="20"/>
        <v>17.0396966135047</v>
      </c>
      <c r="T26" s="11">
        <f ca="1" t="shared" si="21"/>
        <v>0.743698187089749</v>
      </c>
      <c r="U26" s="12">
        <f ca="1" t="shared" si="22"/>
        <v>19.3211101624951</v>
      </c>
      <c r="V26" s="11">
        <f ca="1" t="shared" si="23"/>
        <v>0.319891914917952</v>
      </c>
      <c r="W26" s="12">
        <f ca="1" t="shared" si="24"/>
        <v>20.1210879309141</v>
      </c>
      <c r="X26" s="11">
        <f ca="1" t="shared" si="25"/>
        <v>0.728990426604395</v>
      </c>
      <c r="Y26" s="12">
        <f ca="1" t="shared" si="26"/>
        <v>24.1744912804487</v>
      </c>
      <c r="Z26" s="19">
        <f ca="1" t="shared" si="27"/>
        <v>43570.2645168148</v>
      </c>
      <c r="AA26" s="19">
        <f ca="1" t="shared" si="28"/>
        <v>46163.2631358587</v>
      </c>
      <c r="AB26" s="19">
        <f ca="1" t="shared" si="29"/>
        <v>58841.8135871508</v>
      </c>
      <c r="AC26" s="19">
        <f ca="1" t="shared" si="30"/>
        <v>77421.7814446383</v>
      </c>
      <c r="AD26" s="19">
        <f ca="1" t="shared" si="31"/>
        <v>89666.7015063395</v>
      </c>
      <c r="AE26" s="19">
        <f ca="1" t="shared" si="32"/>
        <v>14057.5312230081</v>
      </c>
      <c r="AF26" s="19">
        <f ca="1" t="shared" si="33"/>
        <v>29512.7332938067</v>
      </c>
      <c r="AG26" s="19">
        <f ca="1" t="shared" si="34"/>
        <v>32105.7319128506</v>
      </c>
      <c r="AH26" s="19">
        <f ca="1" t="shared" si="35"/>
        <v>44784.2823641426</v>
      </c>
      <c r="AI26" s="19">
        <f ca="1" t="shared" si="36"/>
        <v>63364.2502216302</v>
      </c>
      <c r="AJ26" s="19">
        <f ca="1" t="shared" si="37"/>
        <v>75609.1702833313</v>
      </c>
      <c r="AK26" s="19">
        <f ca="1">AF26*$B$4</f>
        <v>14756.3666469033</v>
      </c>
      <c r="AL26" s="19">
        <f ca="1">AG26*$B$4</f>
        <v>16052.8659564253</v>
      </c>
      <c r="AM26" s="19">
        <f ca="1">AH26*$B$4</f>
        <v>22392.1411820713</v>
      </c>
      <c r="AN26" s="19">
        <f ca="1">AI26*$B$4</f>
        <v>31682.1251108151</v>
      </c>
      <c r="AO26" s="19">
        <f ca="1">AJ26*$B$4</f>
        <v>37804.5851416657</v>
      </c>
      <c r="AP26" s="19">
        <f ca="1" t="shared" si="38"/>
        <v>14756.3666469033</v>
      </c>
      <c r="AQ26" s="19">
        <f ca="1" t="shared" si="39"/>
        <v>16052.8659564253</v>
      </c>
      <c r="AR26" s="19">
        <f ca="1" t="shared" si="40"/>
        <v>22392.1411820713</v>
      </c>
      <c r="AS26" s="19">
        <f ca="1" t="shared" si="41"/>
        <v>31682.1251108151</v>
      </c>
      <c r="AT26" s="19">
        <f ca="1" t="shared" si="42"/>
        <v>37804.5851416657</v>
      </c>
      <c r="AU26" s="19">
        <f ca="1" t="shared" si="43"/>
        <v>45490.6295095109</v>
      </c>
      <c r="AV26" s="19">
        <f ca="1" t="shared" si="44"/>
        <v>-101720.754401543</v>
      </c>
      <c r="AW26" s="19">
        <f ca="1" t="shared" si="45"/>
        <v>28813.8978699115</v>
      </c>
      <c r="AX26" s="19">
        <f ca="1" t="shared" si="46"/>
        <v>30110.3971794334</v>
      </c>
      <c r="AY26" s="19">
        <f ca="1" t="shared" si="47"/>
        <v>36449.6724050794</v>
      </c>
      <c r="AZ26" s="19">
        <f ca="1" t="shared" si="48"/>
        <v>45739.6563338232</v>
      </c>
      <c r="BA26" s="19">
        <f ca="1" t="shared" si="49"/>
        <v>97352.7458741848</v>
      </c>
      <c r="BB26" s="20">
        <f ca="1" t="shared" si="50"/>
        <v>0.287768455319757</v>
      </c>
      <c r="BC26" s="19">
        <f ca="1">NPV($B$5,AW26:BA26)+AV26</f>
        <v>44622.1637110092</v>
      </c>
    </row>
    <row r="27" spans="1:55">
      <c r="A27" s="3">
        <v>3</v>
      </c>
      <c r="B27" s="11">
        <f ca="1" t="shared" si="3"/>
        <v>0.576665582375393</v>
      </c>
      <c r="C27" s="19">
        <f ca="1" t="shared" si="4"/>
        <v>-73694.1318552215</v>
      </c>
      <c r="D27" s="11">
        <f ca="1" t="shared" si="5"/>
        <v>0.826630972887324</v>
      </c>
      <c r="E27" s="19">
        <f ca="1" t="shared" si="6"/>
        <v>-28605.9224940992</v>
      </c>
      <c r="F27" s="11">
        <f ca="1" t="shared" si="7"/>
        <v>0.660921840315548</v>
      </c>
      <c r="G27" s="19">
        <f ca="1" t="shared" si="8"/>
        <v>39956.8205792478</v>
      </c>
      <c r="H27" s="11">
        <f ca="1" t="shared" si="9"/>
        <v>0.0698202983124718</v>
      </c>
      <c r="I27" s="19">
        <f ca="1" t="shared" si="10"/>
        <v>33236.2083905198</v>
      </c>
      <c r="J27" s="11">
        <f ca="1" t="shared" si="11"/>
        <v>0.851511679721637</v>
      </c>
      <c r="K27" s="19">
        <f ca="1" t="shared" si="12"/>
        <v>41662.8419244996</v>
      </c>
      <c r="L27" s="11">
        <f ca="1" t="shared" si="13"/>
        <v>0.680657676378404</v>
      </c>
      <c r="M27" s="19">
        <f ca="1" t="shared" si="14"/>
        <v>40106.0573898318</v>
      </c>
      <c r="N27" s="11">
        <f ca="1" t="shared" si="15"/>
        <v>0.134582074405798</v>
      </c>
      <c r="O27" s="19">
        <f ca="1" t="shared" si="16"/>
        <v>34493.0291742731</v>
      </c>
      <c r="P27" s="11">
        <f ca="1" t="shared" si="17"/>
        <v>0.0437764828422484</v>
      </c>
      <c r="Q27" s="12">
        <f ca="1" t="shared" si="18"/>
        <v>12.8876805118738</v>
      </c>
      <c r="R27" s="11">
        <f ca="1" t="shared" si="19"/>
        <v>0.443647797056168</v>
      </c>
      <c r="S27" s="12">
        <f ca="1" t="shared" si="20"/>
        <v>14.8258910713279</v>
      </c>
      <c r="T27" s="11">
        <f ca="1" t="shared" si="21"/>
        <v>0.53739312120823</v>
      </c>
      <c r="U27" s="12">
        <f ca="1" t="shared" si="22"/>
        <v>18.4009733807362</v>
      </c>
      <c r="V27" s="11">
        <f ca="1" t="shared" si="23"/>
        <v>0.998568056047962</v>
      </c>
      <c r="W27" s="12">
        <f ca="1" t="shared" si="24"/>
        <v>24.7761294161322</v>
      </c>
      <c r="X27" s="11">
        <f ca="1" t="shared" si="25"/>
        <v>0.391022991278825</v>
      </c>
      <c r="Y27" s="12">
        <f ca="1" t="shared" si="26"/>
        <v>22.2654766134452</v>
      </c>
      <c r="Z27" s="19">
        <f ca="1" t="shared" si="27"/>
        <v>45106.3279582039</v>
      </c>
      <c r="AA27" s="19">
        <f ca="1" t="shared" si="28"/>
        <v>43082.1975064364</v>
      </c>
      <c r="AB27" s="19">
        <f ca="1" t="shared" si="29"/>
        <v>63942.6362752944</v>
      </c>
      <c r="AC27" s="19">
        <f ca="1" t="shared" si="30"/>
        <v>76803.8741531705</v>
      </c>
      <c r="AD27" s="19">
        <f ca="1" t="shared" si="31"/>
        <v>80762.2365380911</v>
      </c>
      <c r="AE27" s="19">
        <f ca="1" t="shared" si="32"/>
        <v>14738.8263710443</v>
      </c>
      <c r="AF27" s="19">
        <f ca="1" t="shared" si="33"/>
        <v>30367.5015871596</v>
      </c>
      <c r="AG27" s="19">
        <f ca="1" t="shared" si="34"/>
        <v>28343.3711353921</v>
      </c>
      <c r="AH27" s="19">
        <f ca="1" t="shared" si="35"/>
        <v>49203.8099042501</v>
      </c>
      <c r="AI27" s="19">
        <f ca="1" t="shared" si="36"/>
        <v>62065.0477821262</v>
      </c>
      <c r="AJ27" s="19">
        <f ca="1" t="shared" si="37"/>
        <v>66023.4101670468</v>
      </c>
      <c r="AK27" s="19">
        <f ca="1">AF27*$B$4</f>
        <v>15183.7507935798</v>
      </c>
      <c r="AL27" s="19">
        <f ca="1">AG27*$B$4</f>
        <v>14171.685567696</v>
      </c>
      <c r="AM27" s="19">
        <f ca="1">AH27*$B$4</f>
        <v>24601.9049521251</v>
      </c>
      <c r="AN27" s="19">
        <f ca="1">AI27*$B$4</f>
        <v>31032.5238910631</v>
      </c>
      <c r="AO27" s="19">
        <f ca="1">AJ27*$B$4</f>
        <v>33011.7050835234</v>
      </c>
      <c r="AP27" s="19">
        <f ca="1" t="shared" si="38"/>
        <v>15183.7507935798</v>
      </c>
      <c r="AQ27" s="19">
        <f ca="1" t="shared" si="39"/>
        <v>14171.685567696</v>
      </c>
      <c r="AR27" s="19">
        <f ca="1" t="shared" si="40"/>
        <v>24601.9049521251</v>
      </c>
      <c r="AS27" s="19">
        <f ca="1" t="shared" si="41"/>
        <v>31032.5238910631</v>
      </c>
      <c r="AT27" s="19">
        <f ca="1" t="shared" si="42"/>
        <v>33011.7050835234</v>
      </c>
      <c r="AU27" s="19">
        <f ca="1" t="shared" si="43"/>
        <v>43344.7488651435</v>
      </c>
      <c r="AV27" s="19">
        <f ca="1" t="shared" si="44"/>
        <v>-102300.054349321</v>
      </c>
      <c r="AW27" s="19">
        <f ca="1" t="shared" si="45"/>
        <v>29922.5771646241</v>
      </c>
      <c r="AX27" s="19">
        <f ca="1" t="shared" si="46"/>
        <v>28910.5119387404</v>
      </c>
      <c r="AY27" s="19">
        <f ca="1" t="shared" si="47"/>
        <v>39340.7313231694</v>
      </c>
      <c r="AZ27" s="19">
        <f ca="1" t="shared" si="48"/>
        <v>45771.3502621074</v>
      </c>
      <c r="BA27" s="19">
        <f ca="1" t="shared" si="49"/>
        <v>91095.2803197113</v>
      </c>
      <c r="BB27" s="20">
        <f ca="1" t="shared" si="50"/>
        <v>0.284270845155886</v>
      </c>
      <c r="BC27" s="19">
        <f ca="1">NPV($B$5,AW27:BA27)+AV27</f>
        <v>42907.6200672318</v>
      </c>
    </row>
    <row r="28" spans="1:55">
      <c r="A28" s="3">
        <v>4</v>
      </c>
      <c r="B28" s="11">
        <f ca="1" t="shared" si="3"/>
        <v>0.768118596946004</v>
      </c>
      <c r="C28" s="19">
        <f ca="1" t="shared" si="4"/>
        <v>-69630.8131132111</v>
      </c>
      <c r="D28" s="11">
        <f ca="1" t="shared" si="5"/>
        <v>0.826653041981808</v>
      </c>
      <c r="E28" s="19">
        <f ca="1" t="shared" si="6"/>
        <v>-28605.6929779675</v>
      </c>
      <c r="F28" s="11">
        <f ca="1" t="shared" si="7"/>
        <v>0.332454507791172</v>
      </c>
      <c r="G28" s="19">
        <f ca="1" t="shared" si="8"/>
        <v>37061.7403073659</v>
      </c>
      <c r="H28" s="11">
        <f ca="1" t="shared" si="9"/>
        <v>0.456542775859509</v>
      </c>
      <c r="I28" s="19">
        <f ca="1" t="shared" si="10"/>
        <v>38275.3499248628</v>
      </c>
      <c r="J28" s="11">
        <f ca="1" t="shared" si="11"/>
        <v>0.777921044336174</v>
      </c>
      <c r="K28" s="19">
        <f ca="1" t="shared" si="12"/>
        <v>40918.8332949037</v>
      </c>
      <c r="L28" s="11">
        <f ca="1" t="shared" si="13"/>
        <v>0.0841762568049949</v>
      </c>
      <c r="M28" s="19">
        <f ca="1" t="shared" si="14"/>
        <v>33553.3700230555</v>
      </c>
      <c r="N28" s="11">
        <f ca="1" t="shared" si="15"/>
        <v>0.9585147557898</v>
      </c>
      <c r="O28" s="19">
        <f ca="1" t="shared" si="16"/>
        <v>43236.0857969377</v>
      </c>
      <c r="P28" s="11">
        <f ca="1" t="shared" si="17"/>
        <v>0.284584816524585</v>
      </c>
      <c r="Q28" s="12">
        <f ca="1" t="shared" si="18"/>
        <v>14.2632999574609</v>
      </c>
      <c r="R28" s="11">
        <f ca="1" t="shared" si="19"/>
        <v>0.840442603584466</v>
      </c>
      <c r="S28" s="12">
        <f ca="1" t="shared" si="20"/>
        <v>16.3052926106612</v>
      </c>
      <c r="T28" s="11">
        <f ca="1" t="shared" si="21"/>
        <v>0.622568211513791</v>
      </c>
      <c r="U28" s="12">
        <f ca="1" t="shared" si="22"/>
        <v>18.7491401018171</v>
      </c>
      <c r="V28" s="11">
        <f ca="1" t="shared" si="23"/>
        <v>0.936929372234131</v>
      </c>
      <c r="W28" s="12">
        <f ca="1" t="shared" si="24"/>
        <v>23.514243636458</v>
      </c>
      <c r="X28" s="11">
        <f ca="1" t="shared" si="25"/>
        <v>0.0265509236741563</v>
      </c>
      <c r="Y28" s="12">
        <f ca="1" t="shared" si="26"/>
        <v>19.8466846751904</v>
      </c>
      <c r="Z28" s="19">
        <f ca="1" t="shared" si="27"/>
        <v>42347.9674968607</v>
      </c>
      <c r="AA28" s="19">
        <f ca="1" t="shared" si="28"/>
        <v>50865.7450974281</v>
      </c>
      <c r="AB28" s="19">
        <f ca="1" t="shared" si="29"/>
        <v>64574.3370939753</v>
      </c>
      <c r="AC28" s="19">
        <f ca="1" t="shared" si="30"/>
        <v>65401.8304827021</v>
      </c>
      <c r="AD28" s="19">
        <f ca="1" t="shared" si="31"/>
        <v>101001.111235561</v>
      </c>
      <c r="AE28" s="19">
        <f ca="1" t="shared" si="32"/>
        <v>13926.1626226422</v>
      </c>
      <c r="AF28" s="19">
        <f ca="1" t="shared" si="33"/>
        <v>28421.8048742184</v>
      </c>
      <c r="AG28" s="19">
        <f ca="1" t="shared" si="34"/>
        <v>36939.5824747858</v>
      </c>
      <c r="AH28" s="19">
        <f ca="1" t="shared" si="35"/>
        <v>50648.174471333</v>
      </c>
      <c r="AI28" s="19">
        <f ca="1" t="shared" si="36"/>
        <v>51475.6678600599</v>
      </c>
      <c r="AJ28" s="19">
        <f ca="1" t="shared" si="37"/>
        <v>87074.9486129186</v>
      </c>
      <c r="AK28" s="19">
        <f ca="1">AF28*$B$4</f>
        <v>14210.9024371092</v>
      </c>
      <c r="AL28" s="19">
        <f ca="1">AG28*$B$4</f>
        <v>18469.7912373929</v>
      </c>
      <c r="AM28" s="19">
        <f ca="1">AH28*$B$4</f>
        <v>25324.0872356665</v>
      </c>
      <c r="AN28" s="19">
        <f ca="1">AI28*$B$4</f>
        <v>25737.8339300299</v>
      </c>
      <c r="AO28" s="19">
        <f ca="1">AJ28*$B$4</f>
        <v>43537.4743064593</v>
      </c>
      <c r="AP28" s="19">
        <f ca="1" t="shared" si="38"/>
        <v>14210.9024371092</v>
      </c>
      <c r="AQ28" s="19">
        <f ca="1" t="shared" si="39"/>
        <v>18469.7912373929</v>
      </c>
      <c r="AR28" s="19">
        <f ca="1" t="shared" si="40"/>
        <v>25324.0872356665</v>
      </c>
      <c r="AS28" s="19">
        <f ca="1" t="shared" si="41"/>
        <v>25737.8339300299</v>
      </c>
      <c r="AT28" s="19">
        <f ca="1" t="shared" si="42"/>
        <v>43537.4743064593</v>
      </c>
      <c r="AU28" s="19">
        <f ca="1" t="shared" si="43"/>
        <v>42531.8556006097</v>
      </c>
      <c r="AV28" s="19">
        <f ca="1" t="shared" si="44"/>
        <v>-98236.5060911786</v>
      </c>
      <c r="AW28" s="19">
        <f ca="1" t="shared" si="45"/>
        <v>28137.0650597514</v>
      </c>
      <c r="AX28" s="19">
        <f ca="1" t="shared" si="46"/>
        <v>32395.9538600351</v>
      </c>
      <c r="AY28" s="19">
        <f ca="1" t="shared" si="47"/>
        <v>39250.2498583087</v>
      </c>
      <c r="AZ28" s="19">
        <f ca="1" t="shared" si="48"/>
        <v>39663.9965526722</v>
      </c>
      <c r="BA28" s="19">
        <f ca="1" t="shared" si="49"/>
        <v>99995.4925297113</v>
      </c>
      <c r="BB28" s="20">
        <f ca="1" t="shared" si="50"/>
        <v>0.305451213753451</v>
      </c>
      <c r="BC28" s="19">
        <f ca="1">NPV($B$5,AW28:BA28)+AV28</f>
        <v>48927.6300530588</v>
      </c>
    </row>
    <row r="29" spans="1:55">
      <c r="A29" s="3">
        <v>5</v>
      </c>
      <c r="B29" s="11">
        <f ca="1" t="shared" si="3"/>
        <v>0.19381823993663</v>
      </c>
      <c r="C29" s="19">
        <f ca="1" t="shared" si="4"/>
        <v>-84749.3643436099</v>
      </c>
      <c r="D29" s="11">
        <f ca="1" t="shared" si="5"/>
        <v>0.826639343509123</v>
      </c>
      <c r="E29" s="19">
        <f ca="1" t="shared" si="6"/>
        <v>-28605.8354422818</v>
      </c>
      <c r="F29" s="11">
        <f ca="1" t="shared" si="7"/>
        <v>0.550977769740324</v>
      </c>
      <c r="G29" s="19">
        <f ca="1" t="shared" si="8"/>
        <v>39091.0211451216</v>
      </c>
      <c r="H29" s="11">
        <f ca="1" t="shared" si="9"/>
        <v>0.855481944928412</v>
      </c>
      <c r="I29" s="19">
        <f ca="1" t="shared" si="10"/>
        <v>41707.7584945255</v>
      </c>
      <c r="J29" s="11">
        <f ca="1" t="shared" si="11"/>
        <v>0.697412894091469</v>
      </c>
      <c r="K29" s="19">
        <f ca="1" t="shared" si="12"/>
        <v>40236.1745473685</v>
      </c>
      <c r="L29" s="11">
        <f ca="1" t="shared" si="13"/>
        <v>0.859715900131151</v>
      </c>
      <c r="M29" s="19">
        <f ca="1" t="shared" si="14"/>
        <v>41756.3434999736</v>
      </c>
      <c r="N29" s="11">
        <f ca="1" t="shared" si="15"/>
        <v>0.6074276959914</v>
      </c>
      <c r="O29" s="19">
        <f ca="1" t="shared" si="16"/>
        <v>39545.3734551724</v>
      </c>
      <c r="P29" s="11">
        <f ca="1" t="shared" si="17"/>
        <v>0.330069812375472</v>
      </c>
      <c r="Q29" s="12">
        <f ca="1" t="shared" si="18"/>
        <v>14.4374693070393</v>
      </c>
      <c r="R29" s="11">
        <f ca="1" t="shared" si="19"/>
        <v>0.962848638752565</v>
      </c>
      <c r="S29" s="12">
        <f ca="1" t="shared" si="20"/>
        <v>17.1822442281134</v>
      </c>
      <c r="T29" s="11">
        <f ca="1" t="shared" si="21"/>
        <v>0.315594203291014</v>
      </c>
      <c r="U29" s="12">
        <f ca="1" t="shared" si="22"/>
        <v>17.574388911783</v>
      </c>
      <c r="V29" s="11">
        <f ca="1" t="shared" si="23"/>
        <v>0.425121938916479</v>
      </c>
      <c r="W29" s="12">
        <f ca="1" t="shared" si="24"/>
        <v>20.5143860913</v>
      </c>
      <c r="X29" s="11">
        <f ca="1" t="shared" si="25"/>
        <v>0.682090284031315</v>
      </c>
      <c r="Y29" s="12">
        <f ca="1" t="shared" si="26"/>
        <v>23.8566770989568</v>
      </c>
      <c r="Z29" s="19">
        <f ca="1" t="shared" si="27"/>
        <v>44734.7753247568</v>
      </c>
      <c r="AA29" s="19">
        <f ca="1" t="shared" si="28"/>
        <v>55930.2687916472</v>
      </c>
      <c r="AB29" s="19">
        <f ca="1" t="shared" si="29"/>
        <v>63439.4588958186</v>
      </c>
      <c r="AC29" s="19">
        <f ca="1" t="shared" si="30"/>
        <v>79342.1821821014</v>
      </c>
      <c r="AD29" s="19">
        <f ca="1" t="shared" si="31"/>
        <v>93067.2293319457</v>
      </c>
      <c r="AE29" s="19">
        <f ca="1" t="shared" si="32"/>
        <v>16949.872868722</v>
      </c>
      <c r="AF29" s="19">
        <f ca="1" t="shared" si="33"/>
        <v>27784.9024560348</v>
      </c>
      <c r="AG29" s="19">
        <f ca="1" t="shared" si="34"/>
        <v>38980.3959229253</v>
      </c>
      <c r="AH29" s="19">
        <f ca="1" t="shared" si="35"/>
        <v>46489.5860270966</v>
      </c>
      <c r="AI29" s="19">
        <f ca="1" t="shared" si="36"/>
        <v>62392.3093133794</v>
      </c>
      <c r="AJ29" s="19">
        <f ca="1" t="shared" si="37"/>
        <v>76117.3564632237</v>
      </c>
      <c r="AK29" s="19">
        <f ca="1">AF29*$B$4</f>
        <v>13892.4512280174</v>
      </c>
      <c r="AL29" s="19">
        <f ca="1">AG29*$B$4</f>
        <v>19490.1979614626</v>
      </c>
      <c r="AM29" s="19">
        <f ca="1">AH29*$B$4</f>
        <v>23244.7930135483</v>
      </c>
      <c r="AN29" s="19">
        <f ca="1">AI29*$B$4</f>
        <v>31196.1546566897</v>
      </c>
      <c r="AO29" s="19">
        <f ca="1">AJ29*$B$4</f>
        <v>38058.6782316118</v>
      </c>
      <c r="AP29" s="19">
        <f ca="1" t="shared" si="38"/>
        <v>13892.4512280174</v>
      </c>
      <c r="AQ29" s="19">
        <f ca="1" t="shared" si="39"/>
        <v>19490.1979614626</v>
      </c>
      <c r="AR29" s="19">
        <f ca="1" t="shared" si="40"/>
        <v>23244.7930135483</v>
      </c>
      <c r="AS29" s="19">
        <f ca="1" t="shared" si="41"/>
        <v>31196.1546566897</v>
      </c>
      <c r="AT29" s="19">
        <f ca="1" t="shared" si="42"/>
        <v>38058.6782316118</v>
      </c>
      <c r="AU29" s="19">
        <f ca="1" t="shared" si="43"/>
        <v>45555.7083110038</v>
      </c>
      <c r="AV29" s="19">
        <f ca="1" t="shared" si="44"/>
        <v>-113355.199785892</v>
      </c>
      <c r="AW29" s="19">
        <f ca="1" t="shared" si="45"/>
        <v>30842.3240967394</v>
      </c>
      <c r="AX29" s="19">
        <f ca="1" t="shared" si="46"/>
        <v>36440.0708301846</v>
      </c>
      <c r="AY29" s="19">
        <f ca="1" t="shared" si="47"/>
        <v>40194.6658822703</v>
      </c>
      <c r="AZ29" s="19">
        <f ca="1" t="shared" si="48"/>
        <v>48146.0275254117</v>
      </c>
      <c r="BA29" s="19">
        <f ca="1" t="shared" si="49"/>
        <v>100564.259411338</v>
      </c>
      <c r="BB29" s="20">
        <f ca="1" t="shared" si="50"/>
        <v>0.277599942367431</v>
      </c>
      <c r="BC29" s="19">
        <f ca="1">NPV($B$5,AW29:BA29)+AV29</f>
        <v>44972.6442228907</v>
      </c>
    </row>
    <row r="30" spans="1:55">
      <c r="A30" s="3">
        <v>6</v>
      </c>
      <c r="B30" s="11">
        <f ca="1" t="shared" si="3"/>
        <v>0.663747711467925</v>
      </c>
      <c r="C30" s="19">
        <f ca="1" t="shared" si="4"/>
        <v>-71777.7170703447</v>
      </c>
      <c r="D30" s="11">
        <f ca="1" t="shared" si="5"/>
        <v>0.637946459801107</v>
      </c>
      <c r="E30" s="19">
        <f ca="1" t="shared" si="6"/>
        <v>-30217.7728011375</v>
      </c>
      <c r="F30" s="11">
        <f ca="1" t="shared" si="7"/>
        <v>0.497114842283719</v>
      </c>
      <c r="G30" s="19">
        <f ca="1" t="shared" si="8"/>
        <v>38635.2316901492</v>
      </c>
      <c r="H30" s="11">
        <f ca="1" t="shared" si="9"/>
        <v>0.858145300028902</v>
      </c>
      <c r="I30" s="19">
        <f ca="1" t="shared" si="10"/>
        <v>41738.2362903128</v>
      </c>
      <c r="J30" s="11">
        <f ca="1" t="shared" si="11"/>
        <v>0.756252218964365</v>
      </c>
      <c r="K30" s="19">
        <f ca="1" t="shared" si="12"/>
        <v>40724.3616175274</v>
      </c>
      <c r="L30" s="11">
        <f ca="1" t="shared" si="13"/>
        <v>0.0535904343046836</v>
      </c>
      <c r="M30" s="19">
        <f ca="1" t="shared" si="14"/>
        <v>32835.2363474149</v>
      </c>
      <c r="N30" s="11">
        <f ca="1" t="shared" si="15"/>
        <v>0.11994285301585</v>
      </c>
      <c r="O30" s="19">
        <f ca="1" t="shared" si="16"/>
        <v>34241.6303413166</v>
      </c>
      <c r="P30" s="11">
        <f ca="1" t="shared" si="17"/>
        <v>0.331706634333144</v>
      </c>
      <c r="Q30" s="12">
        <f ca="1" t="shared" si="18"/>
        <v>14.4435055592318</v>
      </c>
      <c r="R30" s="11">
        <f ca="1" t="shared" si="19"/>
        <v>0.421959994954987</v>
      </c>
      <c r="S30" s="12">
        <f ca="1" t="shared" si="20"/>
        <v>14.7559535390115</v>
      </c>
      <c r="T30" s="11">
        <f ca="1" t="shared" si="21"/>
        <v>0.282284131455688</v>
      </c>
      <c r="U30" s="12">
        <f ca="1" t="shared" si="22"/>
        <v>17.4347416209055</v>
      </c>
      <c r="V30" s="11">
        <f ca="1" t="shared" si="23"/>
        <v>0.703982156405657</v>
      </c>
      <c r="W30" s="12">
        <f ca="1" t="shared" si="24"/>
        <v>21.781207598213</v>
      </c>
      <c r="X30" s="11">
        <f ca="1" t="shared" si="25"/>
        <v>0.900413593154223</v>
      </c>
      <c r="Y30" s="12">
        <f ca="1" t="shared" si="26"/>
        <v>25.6810204895963</v>
      </c>
      <c r="Z30" s="19">
        <f ca="1" t="shared" si="27"/>
        <v>44215.513527138</v>
      </c>
      <c r="AA30" s="19">
        <f ca="1" t="shared" si="28"/>
        <v>54815.1329418556</v>
      </c>
      <c r="AB30" s="19">
        <f ca="1" t="shared" si="29"/>
        <v>62808.332015786</v>
      </c>
      <c r="AC30" s="19">
        <f ca="1" t="shared" si="30"/>
        <v>61671.3418416118</v>
      </c>
      <c r="AD30" s="19">
        <f ca="1" t="shared" si="31"/>
        <v>80829.0331746007</v>
      </c>
      <c r="AE30" s="19">
        <f ca="1" t="shared" si="32"/>
        <v>14355.543414069</v>
      </c>
      <c r="AF30" s="19">
        <f ca="1" t="shared" si="33"/>
        <v>29859.9701130691</v>
      </c>
      <c r="AG30" s="19">
        <f ca="1" t="shared" si="34"/>
        <v>40459.5895277866</v>
      </c>
      <c r="AH30" s="19">
        <f ca="1" t="shared" si="35"/>
        <v>48452.7886017171</v>
      </c>
      <c r="AI30" s="19">
        <f ca="1" t="shared" si="36"/>
        <v>47315.7984275428</v>
      </c>
      <c r="AJ30" s="19">
        <f ca="1" t="shared" si="37"/>
        <v>66473.4897605318</v>
      </c>
      <c r="AK30" s="19">
        <f ca="1">AF30*$B$4</f>
        <v>14929.9850565345</v>
      </c>
      <c r="AL30" s="19">
        <f ca="1">AG30*$B$4</f>
        <v>20229.7947638933</v>
      </c>
      <c r="AM30" s="19">
        <f ca="1">AH30*$B$4</f>
        <v>24226.3943008585</v>
      </c>
      <c r="AN30" s="19">
        <f ca="1">AI30*$B$4</f>
        <v>23657.8992137714</v>
      </c>
      <c r="AO30" s="19">
        <f ca="1">AJ30*$B$4</f>
        <v>33236.7448802659</v>
      </c>
      <c r="AP30" s="19">
        <f ca="1" t="shared" si="38"/>
        <v>14929.9850565345</v>
      </c>
      <c r="AQ30" s="19">
        <f ca="1" t="shared" si="39"/>
        <v>20229.7947638933</v>
      </c>
      <c r="AR30" s="19">
        <f ca="1" t="shared" si="40"/>
        <v>24226.3943008585</v>
      </c>
      <c r="AS30" s="19">
        <f ca="1" t="shared" si="41"/>
        <v>23657.8992137714</v>
      </c>
      <c r="AT30" s="19">
        <f ca="1" t="shared" si="42"/>
        <v>33236.7448802659</v>
      </c>
      <c r="AU30" s="19">
        <f ca="1" t="shared" si="43"/>
        <v>44573.3162152064</v>
      </c>
      <c r="AV30" s="19">
        <f ca="1" t="shared" si="44"/>
        <v>-101995.489871482</v>
      </c>
      <c r="AW30" s="19">
        <f ca="1" t="shared" si="45"/>
        <v>29285.5284706035</v>
      </c>
      <c r="AX30" s="19">
        <f ca="1" t="shared" si="46"/>
        <v>34585.3381779623</v>
      </c>
      <c r="AY30" s="19">
        <f ca="1" t="shared" si="47"/>
        <v>38581.9377149275</v>
      </c>
      <c r="AZ30" s="19">
        <f ca="1" t="shared" si="48"/>
        <v>38013.4426278404</v>
      </c>
      <c r="BA30" s="19">
        <f ca="1" t="shared" si="49"/>
        <v>92165.6045095413</v>
      </c>
      <c r="BB30" s="20">
        <f ca="1" t="shared" si="50"/>
        <v>0.285719227320621</v>
      </c>
      <c r="BC30" s="19">
        <f ca="1">NPV($B$5,AW30:BA30)+AV30</f>
        <v>42546.8253857854</v>
      </c>
    </row>
    <row r="31" spans="1:55">
      <c r="A31" s="3">
        <v>7</v>
      </c>
      <c r="B31" s="11">
        <f ca="1" t="shared" si="3"/>
        <v>0.512122905606098</v>
      </c>
      <c r="C31" s="19">
        <f ca="1" t="shared" si="4"/>
        <v>-75209.9316917577</v>
      </c>
      <c r="D31" s="11">
        <f ca="1" t="shared" si="5"/>
        <v>0.0187361816589278</v>
      </c>
      <c r="E31" s="19">
        <f ca="1" t="shared" si="6"/>
        <v>-38323.5671057751</v>
      </c>
      <c r="F31" s="11">
        <f ca="1" t="shared" si="7"/>
        <v>0.611449223692039</v>
      </c>
      <c r="G31" s="19">
        <f ca="1" t="shared" si="8"/>
        <v>39576.9193143623</v>
      </c>
      <c r="H31" s="11">
        <f ca="1" t="shared" si="9"/>
        <v>0.23195873912366</v>
      </c>
      <c r="I31" s="19">
        <f ca="1" t="shared" si="10"/>
        <v>35898.6278801556</v>
      </c>
      <c r="J31" s="11">
        <f ca="1" t="shared" si="11"/>
        <v>0.452702963239095</v>
      </c>
      <c r="K31" s="19">
        <f ca="1" t="shared" si="12"/>
        <v>38240.4759866081</v>
      </c>
      <c r="L31" s="11">
        <f ca="1" t="shared" si="13"/>
        <v>0.0104922322007956</v>
      </c>
      <c r="M31" s="19">
        <f ca="1" t="shared" si="14"/>
        <v>31254.5257391219</v>
      </c>
      <c r="N31" s="11">
        <f ca="1" t="shared" si="15"/>
        <v>0.667791116592355</v>
      </c>
      <c r="O31" s="19">
        <f ca="1" t="shared" si="16"/>
        <v>40008.4404986444</v>
      </c>
      <c r="P31" s="11">
        <f ca="1" t="shared" si="17"/>
        <v>0.550179889577072</v>
      </c>
      <c r="Q31" s="12">
        <f ca="1" t="shared" si="18"/>
        <v>15.1545190235019</v>
      </c>
      <c r="R31" s="11">
        <f ca="1" t="shared" si="19"/>
        <v>0.0450195668220059</v>
      </c>
      <c r="S31" s="12">
        <f ca="1" t="shared" si="20"/>
        <v>12.9001956469547</v>
      </c>
      <c r="T31" s="11">
        <f ca="1" t="shared" si="21"/>
        <v>0.0678177087035072</v>
      </c>
      <c r="U31" s="12">
        <f ca="1" t="shared" si="22"/>
        <v>16.1933867280868</v>
      </c>
      <c r="V31" s="11">
        <f ca="1" t="shared" si="23"/>
        <v>0.819161368426227</v>
      </c>
      <c r="W31" s="12">
        <f ca="1" t="shared" si="24"/>
        <v>22.4841796357685</v>
      </c>
      <c r="X31" s="11">
        <f ca="1" t="shared" si="25"/>
        <v>0.00457084478529168</v>
      </c>
      <c r="Y31" s="12">
        <f ca="1" t="shared" si="26"/>
        <v>19.351301592941</v>
      </c>
      <c r="Z31" s="19">
        <f ca="1" t="shared" si="27"/>
        <v>45574.6110807733</v>
      </c>
      <c r="AA31" s="19">
        <f ca="1" t="shared" si="28"/>
        <v>46671.6902527282</v>
      </c>
      <c r="AB31" s="19">
        <f ca="1" t="shared" si="29"/>
        <v>57767.0752885259</v>
      </c>
      <c r="AC31" s="19">
        <f ca="1" t="shared" si="30"/>
        <v>57829.5751384491</v>
      </c>
      <c r="AD31" s="19">
        <f ca="1" t="shared" si="31"/>
        <v>88351.8954842349</v>
      </c>
      <c r="AE31" s="19">
        <f ca="1" t="shared" si="32"/>
        <v>15041.9863383515</v>
      </c>
      <c r="AF31" s="19">
        <f ca="1" t="shared" si="33"/>
        <v>30532.6247424218</v>
      </c>
      <c r="AG31" s="19">
        <f ca="1" t="shared" si="34"/>
        <v>31629.7039143767</v>
      </c>
      <c r="AH31" s="19">
        <f ca="1" t="shared" si="35"/>
        <v>42725.0889501744</v>
      </c>
      <c r="AI31" s="19">
        <f ca="1" t="shared" si="36"/>
        <v>42787.5888000976</v>
      </c>
      <c r="AJ31" s="19">
        <f ca="1" t="shared" si="37"/>
        <v>73309.9091458834</v>
      </c>
      <c r="AK31" s="19">
        <f ca="1">AF31*$B$4</f>
        <v>15266.3123712109</v>
      </c>
      <c r="AL31" s="19">
        <f ca="1">AG31*$B$4</f>
        <v>15814.8519571883</v>
      </c>
      <c r="AM31" s="19">
        <f ca="1">AH31*$B$4</f>
        <v>21362.5444750872</v>
      </c>
      <c r="AN31" s="19">
        <f ca="1">AI31*$B$4</f>
        <v>21393.7944000488</v>
      </c>
      <c r="AO31" s="19">
        <f ca="1">AJ31*$B$4</f>
        <v>36654.9545729417</v>
      </c>
      <c r="AP31" s="19">
        <f ca="1" t="shared" si="38"/>
        <v>15266.3123712109</v>
      </c>
      <c r="AQ31" s="19">
        <f ca="1" t="shared" si="39"/>
        <v>15814.8519571883</v>
      </c>
      <c r="AR31" s="19">
        <f ca="1" t="shared" si="40"/>
        <v>21362.5444750872</v>
      </c>
      <c r="AS31" s="19">
        <f ca="1" t="shared" si="41"/>
        <v>21393.7944000488</v>
      </c>
      <c r="AT31" s="19">
        <f ca="1" t="shared" si="42"/>
        <v>36654.9545729417</v>
      </c>
      <c r="AU31" s="19">
        <f ca="1" t="shared" si="43"/>
        <v>53365.5534441267</v>
      </c>
      <c r="AV31" s="19">
        <f ca="1" t="shared" si="44"/>
        <v>-113533.498797533</v>
      </c>
      <c r="AW31" s="19">
        <f ca="1" t="shared" si="45"/>
        <v>30308.2987095624</v>
      </c>
      <c r="AX31" s="19">
        <f ca="1" t="shared" si="46"/>
        <v>30856.8382955399</v>
      </c>
      <c r="AY31" s="19">
        <f ca="1" t="shared" si="47"/>
        <v>36404.5308134387</v>
      </c>
      <c r="AZ31" s="19">
        <f ca="1" t="shared" si="48"/>
        <v>36435.7807384003</v>
      </c>
      <c r="BA31" s="19">
        <f ca="1" t="shared" si="49"/>
        <v>105062.49435542</v>
      </c>
      <c r="BB31" s="20">
        <f ca="1" t="shared" si="50"/>
        <v>0.244552192904593</v>
      </c>
      <c r="BC31" s="19">
        <f ca="1">NPV($B$5,AW31:BA31)+AV31</f>
        <v>33157.2202113075</v>
      </c>
    </row>
    <row r="32" spans="1:55">
      <c r="A32" s="3">
        <v>8</v>
      </c>
      <c r="B32" s="11">
        <f ca="1" t="shared" si="3"/>
        <v>0.174279031236174</v>
      </c>
      <c r="C32" s="19">
        <f ca="1" t="shared" si="4"/>
        <v>-85538.5050052421</v>
      </c>
      <c r="D32" s="11">
        <f ca="1" t="shared" si="5"/>
        <v>0.0285956495687503</v>
      </c>
      <c r="E32" s="19">
        <f ca="1" t="shared" si="6"/>
        <v>-37928.9260188703</v>
      </c>
      <c r="F32" s="11">
        <f ca="1" t="shared" si="7"/>
        <v>0.0666890288027453</v>
      </c>
      <c r="G32" s="19">
        <f ca="1" t="shared" si="8"/>
        <v>33162.8079803257</v>
      </c>
      <c r="H32" s="11">
        <f ca="1" t="shared" si="9"/>
        <v>0.743578462865987</v>
      </c>
      <c r="I32" s="19">
        <f ca="1" t="shared" si="10"/>
        <v>40614.6134394958</v>
      </c>
      <c r="J32" s="11">
        <f ca="1" t="shared" si="11"/>
        <v>0.848197125598953</v>
      </c>
      <c r="K32" s="19">
        <f ca="1" t="shared" si="12"/>
        <v>41625.8014907124</v>
      </c>
      <c r="L32" s="11">
        <f ca="1" t="shared" si="13"/>
        <v>0.330186217568074</v>
      </c>
      <c r="M32" s="19">
        <f ca="1" t="shared" si="14"/>
        <v>37037.6084457159</v>
      </c>
      <c r="N32" s="11">
        <f ca="1" t="shared" si="15"/>
        <v>0.340234023421917</v>
      </c>
      <c r="O32" s="19">
        <f ca="1" t="shared" si="16"/>
        <v>37143.8857432974</v>
      </c>
      <c r="P32" s="11">
        <f ca="1" t="shared" si="17"/>
        <v>0.151402530747044</v>
      </c>
      <c r="Q32" s="12">
        <f ca="1" t="shared" si="18"/>
        <v>13.6508317762409</v>
      </c>
      <c r="R32" s="11">
        <f ca="1" t="shared" si="19"/>
        <v>0.391011789166913</v>
      </c>
      <c r="S32" s="12">
        <f ca="1" t="shared" si="20"/>
        <v>14.6529629105972</v>
      </c>
      <c r="T32" s="11">
        <f ca="1" t="shared" si="21"/>
        <v>0.094103501443499</v>
      </c>
      <c r="U32" s="12">
        <f ca="1" t="shared" si="22"/>
        <v>16.4057643936</v>
      </c>
      <c r="V32" s="11">
        <f ca="1" t="shared" si="23"/>
        <v>0.437559494536658</v>
      </c>
      <c r="W32" s="12">
        <f ca="1" t="shared" si="24"/>
        <v>20.5631748184972</v>
      </c>
      <c r="X32" s="11">
        <f ca="1" t="shared" si="25"/>
        <v>0.523339818025636</v>
      </c>
      <c r="Y32" s="12">
        <f ca="1" t="shared" si="26"/>
        <v>22.9265741528415</v>
      </c>
      <c r="Z32" s="19">
        <f ca="1" t="shared" si="27"/>
        <v>37689.8071099977</v>
      </c>
      <c r="AA32" s="19">
        <f ca="1" t="shared" si="28"/>
        <v>52922.4845805468</v>
      </c>
      <c r="AB32" s="19">
        <f ca="1" t="shared" si="29"/>
        <v>63138.6071149818</v>
      </c>
      <c r="AC32" s="19">
        <f ca="1" t="shared" si="30"/>
        <v>67731.3918017835</v>
      </c>
      <c r="AD32" s="19">
        <f ca="1" t="shared" si="31"/>
        <v>83498.7890269988</v>
      </c>
      <c r="AE32" s="19">
        <f ca="1" t="shared" si="32"/>
        <v>17107.7010010484</v>
      </c>
      <c r="AF32" s="19">
        <f ca="1" t="shared" si="33"/>
        <v>20582.1061089493</v>
      </c>
      <c r="AG32" s="19">
        <f ca="1" t="shared" si="34"/>
        <v>35814.7835794984</v>
      </c>
      <c r="AH32" s="19">
        <f ca="1" t="shared" si="35"/>
        <v>46030.9061139334</v>
      </c>
      <c r="AI32" s="19">
        <f ca="1" t="shared" si="36"/>
        <v>50623.6908007351</v>
      </c>
      <c r="AJ32" s="19">
        <f ca="1" t="shared" si="37"/>
        <v>66391.0880259503</v>
      </c>
      <c r="AK32" s="19">
        <f ca="1">AF32*$B$4</f>
        <v>10291.0530544747</v>
      </c>
      <c r="AL32" s="19">
        <f ca="1">AG32*$B$4</f>
        <v>17907.3917897492</v>
      </c>
      <c r="AM32" s="19">
        <f ca="1">AH32*$B$4</f>
        <v>23015.4530569667</v>
      </c>
      <c r="AN32" s="19">
        <f ca="1">AI32*$B$4</f>
        <v>25311.8454003675</v>
      </c>
      <c r="AO32" s="19">
        <f ca="1">AJ32*$B$4</f>
        <v>33195.5440129752</v>
      </c>
      <c r="AP32" s="19">
        <f ca="1" t="shared" si="38"/>
        <v>10291.0530544747</v>
      </c>
      <c r="AQ32" s="19">
        <f ca="1" t="shared" si="39"/>
        <v>17907.3917897492</v>
      </c>
      <c r="AR32" s="19">
        <f ca="1" t="shared" si="40"/>
        <v>23015.4530569667</v>
      </c>
      <c r="AS32" s="19">
        <f ca="1" t="shared" si="41"/>
        <v>25311.8454003675</v>
      </c>
      <c r="AT32" s="19">
        <f ca="1" t="shared" si="42"/>
        <v>33195.5440129752</v>
      </c>
      <c r="AU32" s="19">
        <f ca="1" t="shared" si="43"/>
        <v>55036.6270199187</v>
      </c>
      <c r="AV32" s="19">
        <f ca="1" t="shared" si="44"/>
        <v>-123467.431024112</v>
      </c>
      <c r="AW32" s="19">
        <f ca="1" t="shared" si="45"/>
        <v>27398.7540555231</v>
      </c>
      <c r="AX32" s="19">
        <f ca="1" t="shared" si="46"/>
        <v>35015.0927907976</v>
      </c>
      <c r="AY32" s="19">
        <f ca="1" t="shared" si="47"/>
        <v>40123.1540580151</v>
      </c>
      <c r="AZ32" s="19">
        <f ca="1" t="shared" si="48"/>
        <v>42419.5464014159</v>
      </c>
      <c r="BA32" s="19">
        <f ca="1" t="shared" si="49"/>
        <v>105339.872033942</v>
      </c>
      <c r="BB32" s="20">
        <f ca="1" t="shared" si="50"/>
        <v>0.228333337752824</v>
      </c>
      <c r="BC32" s="19">
        <f ca="1">NPV($B$5,AW32:BA32)+AV32</f>
        <v>29841.6852716837</v>
      </c>
    </row>
    <row r="33" spans="1:55">
      <c r="A33" s="3">
        <v>9</v>
      </c>
      <c r="B33" s="11">
        <f ca="1" t="shared" si="3"/>
        <v>0.720448434202746</v>
      </c>
      <c r="C33" s="19">
        <f ca="1" t="shared" si="4"/>
        <v>-70596.9708866026</v>
      </c>
      <c r="D33" s="11">
        <f ca="1" t="shared" si="5"/>
        <v>0.720229882119912</v>
      </c>
      <c r="E33" s="19">
        <f ca="1" t="shared" si="6"/>
        <v>-29580.6941440143</v>
      </c>
      <c r="F33" s="11">
        <f ca="1" t="shared" si="7"/>
        <v>0.883128138831866</v>
      </c>
      <c r="G33" s="19">
        <f ca="1" t="shared" si="8"/>
        <v>42039.3599361608</v>
      </c>
      <c r="H33" s="11">
        <f ca="1" t="shared" si="9"/>
        <v>0.637948469537015</v>
      </c>
      <c r="I33" s="19">
        <f ca="1" t="shared" si="10"/>
        <v>39782.2426074266</v>
      </c>
      <c r="J33" s="11">
        <f ca="1" t="shared" si="11"/>
        <v>0.0286145538181233</v>
      </c>
      <c r="K33" s="19">
        <f ca="1" t="shared" si="12"/>
        <v>32071.758449414</v>
      </c>
      <c r="L33" s="11">
        <f ca="1" t="shared" si="13"/>
        <v>0.9533869663233</v>
      </c>
      <c r="M33" s="19">
        <f ca="1" t="shared" si="14"/>
        <v>43130.246667137</v>
      </c>
      <c r="N33" s="11">
        <f ca="1" t="shared" si="15"/>
        <v>0.533217934579133</v>
      </c>
      <c r="O33" s="19">
        <f ca="1" t="shared" si="16"/>
        <v>38943.3042096794</v>
      </c>
      <c r="P33" s="11">
        <f ca="1" t="shared" si="17"/>
        <v>0.325168439266081</v>
      </c>
      <c r="Q33" s="12">
        <f ca="1" t="shared" si="18"/>
        <v>14.4193040128908</v>
      </c>
      <c r="R33" s="11">
        <f ca="1" t="shared" si="19"/>
        <v>0.781685393368907</v>
      </c>
      <c r="S33" s="12">
        <f ca="1" t="shared" si="20"/>
        <v>16.0176622590084</v>
      </c>
      <c r="T33" s="11">
        <f ca="1" t="shared" si="21"/>
        <v>0.0239225301398858</v>
      </c>
      <c r="U33" s="12">
        <f ca="1" t="shared" si="22"/>
        <v>15.7087828531628</v>
      </c>
      <c r="V33" s="11">
        <f ca="1" t="shared" si="23"/>
        <v>0.182690936160301</v>
      </c>
      <c r="W33" s="12">
        <f ca="1" t="shared" si="24"/>
        <v>19.5992726803907</v>
      </c>
      <c r="X33" s="11">
        <f ca="1" t="shared" si="25"/>
        <v>0.254113112931424</v>
      </c>
      <c r="Y33" s="12">
        <f ca="1" t="shared" si="26"/>
        <v>21.6193613819304</v>
      </c>
      <c r="Z33" s="19">
        <f ca="1" t="shared" si="27"/>
        <v>48101.1430504292</v>
      </c>
      <c r="AA33" s="19">
        <f ca="1" t="shared" si="28"/>
        <v>52809.5751369462</v>
      </c>
      <c r="AB33" s="19">
        <f ca="1" t="shared" si="29"/>
        <v>49262.0532728389</v>
      </c>
      <c r="AC33" s="19">
        <f ca="1" t="shared" si="30"/>
        <v>79231.9268527051</v>
      </c>
      <c r="AD33" s="19">
        <f ca="1" t="shared" si="31"/>
        <v>87006.9192928517</v>
      </c>
      <c r="AE33" s="19">
        <f ca="1" t="shared" si="32"/>
        <v>14119.3941773205</v>
      </c>
      <c r="AF33" s="19">
        <f ca="1" t="shared" si="33"/>
        <v>33981.7488731087</v>
      </c>
      <c r="AG33" s="19">
        <f ca="1" t="shared" si="34"/>
        <v>38690.1809596256</v>
      </c>
      <c r="AH33" s="19">
        <f ca="1" t="shared" si="35"/>
        <v>35142.6590955184</v>
      </c>
      <c r="AI33" s="19">
        <f ca="1" t="shared" si="36"/>
        <v>65112.5326753846</v>
      </c>
      <c r="AJ33" s="19">
        <f ca="1" t="shared" si="37"/>
        <v>72887.5251155312</v>
      </c>
      <c r="AK33" s="19">
        <f ca="1">AF33*$B$4</f>
        <v>16990.8744365543</v>
      </c>
      <c r="AL33" s="19">
        <f ca="1">AG33*$B$4</f>
        <v>19345.0904798128</v>
      </c>
      <c r="AM33" s="19">
        <f ca="1">AH33*$B$4</f>
        <v>17571.3295477592</v>
      </c>
      <c r="AN33" s="19">
        <f ca="1">AI33*$B$4</f>
        <v>32556.2663376923</v>
      </c>
      <c r="AO33" s="19">
        <f ca="1">AJ33*$B$4</f>
        <v>36443.7625577656</v>
      </c>
      <c r="AP33" s="19">
        <f ca="1" t="shared" si="38"/>
        <v>16990.8744365543</v>
      </c>
      <c r="AQ33" s="19">
        <f ca="1" t="shared" si="39"/>
        <v>19345.0904798128</v>
      </c>
      <c r="AR33" s="19">
        <f ca="1" t="shared" si="40"/>
        <v>17571.3295477592</v>
      </c>
      <c r="AS33" s="19">
        <f ca="1" t="shared" si="41"/>
        <v>32556.2663376923</v>
      </c>
      <c r="AT33" s="19">
        <f ca="1" t="shared" si="42"/>
        <v>36443.7625577656</v>
      </c>
      <c r="AU33" s="19">
        <f ca="1" t="shared" si="43"/>
        <v>43700.0883213348</v>
      </c>
      <c r="AV33" s="19">
        <f ca="1" t="shared" si="44"/>
        <v>-100177.665030617</v>
      </c>
      <c r="AW33" s="19">
        <f ca="1" t="shared" si="45"/>
        <v>31110.2686138748</v>
      </c>
      <c r="AX33" s="19">
        <f ca="1" t="shared" si="46"/>
        <v>33464.4846571333</v>
      </c>
      <c r="AY33" s="19">
        <f ca="1" t="shared" si="47"/>
        <v>31690.7237250797</v>
      </c>
      <c r="AZ33" s="19">
        <f ca="1" t="shared" si="48"/>
        <v>46675.6605150128</v>
      </c>
      <c r="BA33" s="19">
        <f ca="1" t="shared" si="49"/>
        <v>94263.2450564209</v>
      </c>
      <c r="BB33" s="20">
        <f ca="1" t="shared" si="50"/>
        <v>0.298740818060047</v>
      </c>
      <c r="BC33" s="19">
        <f ca="1">NPV($B$5,AW33:BA33)+AV33</f>
        <v>46568.3187047396</v>
      </c>
    </row>
    <row r="34" spans="1:55">
      <c r="A34" s="3">
        <v>10</v>
      </c>
      <c r="B34" s="11">
        <f ca="1" t="shared" si="3"/>
        <v>0.620623047143767</v>
      </c>
      <c r="C34" s="19">
        <f ca="1" t="shared" si="4"/>
        <v>-72709.9348375179</v>
      </c>
      <c r="D34" s="11">
        <f ca="1" t="shared" si="5"/>
        <v>0.978263516293174</v>
      </c>
      <c r="E34" s="19">
        <f ca="1" t="shared" si="6"/>
        <v>-26276.8070637383</v>
      </c>
      <c r="F34" s="11">
        <f ca="1" t="shared" si="7"/>
        <v>0.102697487367551</v>
      </c>
      <c r="G34" s="19">
        <f ca="1" t="shared" si="8"/>
        <v>33924.8723680055</v>
      </c>
      <c r="H34" s="11">
        <f ca="1" t="shared" si="9"/>
        <v>0.531017578990439</v>
      </c>
      <c r="I34" s="19">
        <f ca="1" t="shared" si="10"/>
        <v>38924.8325949883</v>
      </c>
      <c r="J34" s="11">
        <f ca="1" t="shared" si="11"/>
        <v>0.785049865921839</v>
      </c>
      <c r="K34" s="19">
        <f ca="1" t="shared" si="12"/>
        <v>40984.8711034561</v>
      </c>
      <c r="L34" s="11">
        <f ca="1" t="shared" si="13"/>
        <v>0.0335741537702186</v>
      </c>
      <c r="M34" s="19">
        <f ca="1" t="shared" si="14"/>
        <v>32244.1308040158</v>
      </c>
      <c r="N34" s="11">
        <f ca="1" t="shared" si="15"/>
        <v>0.440275911694579</v>
      </c>
      <c r="O34" s="19">
        <f ca="1" t="shared" si="16"/>
        <v>38126.5851840848</v>
      </c>
      <c r="P34" s="11">
        <f ca="1" t="shared" si="17"/>
        <v>0.198374273005719</v>
      </c>
      <c r="Q34" s="12">
        <f ca="1" t="shared" si="18"/>
        <v>13.8896393608578</v>
      </c>
      <c r="R34" s="11">
        <f ca="1" t="shared" si="19"/>
        <v>0.909574860027249</v>
      </c>
      <c r="S34" s="12">
        <f ca="1" t="shared" si="20"/>
        <v>16.7242051420744</v>
      </c>
      <c r="T34" s="11">
        <f ca="1" t="shared" si="21"/>
        <v>0.730950593462544</v>
      </c>
      <c r="U34" s="12">
        <f ca="1" t="shared" si="22"/>
        <v>19.2552990357693</v>
      </c>
      <c r="V34" s="11">
        <f ca="1" t="shared" si="23"/>
        <v>0.493877808041838</v>
      </c>
      <c r="W34" s="12">
        <f ca="1" t="shared" si="24"/>
        <v>20.7911668222017</v>
      </c>
      <c r="X34" s="11">
        <f ca="1" t="shared" si="25"/>
        <v>0.0299493032143865</v>
      </c>
      <c r="Y34" s="12">
        <f ca="1" t="shared" si="26"/>
        <v>19.8992392266735</v>
      </c>
      <c r="Z34" s="19">
        <f ca="1" t="shared" si="27"/>
        <v>38636.9147935527</v>
      </c>
      <c r="AA34" s="19">
        <f ca="1" t="shared" si="28"/>
        <v>51745.4176253849</v>
      </c>
      <c r="AB34" s="19">
        <f ca="1" t="shared" si="29"/>
        <v>64975.0170672828</v>
      </c>
      <c r="AC34" s="19">
        <f ca="1" t="shared" si="30"/>
        <v>61745.978796516</v>
      </c>
      <c r="AD34" s="19">
        <f ca="1" t="shared" si="31"/>
        <v>87539.1533554246</v>
      </c>
      <c r="AE34" s="19">
        <f ca="1" t="shared" si="32"/>
        <v>14541.9869675036</v>
      </c>
      <c r="AF34" s="19">
        <f ca="1" t="shared" si="33"/>
        <v>24094.9278260491</v>
      </c>
      <c r="AG34" s="19">
        <f ca="1" t="shared" si="34"/>
        <v>37203.4306578814</v>
      </c>
      <c r="AH34" s="19">
        <f ca="1" t="shared" si="35"/>
        <v>50433.0300997793</v>
      </c>
      <c r="AI34" s="19">
        <f ca="1" t="shared" si="36"/>
        <v>47203.9918290125</v>
      </c>
      <c r="AJ34" s="19">
        <f ca="1" t="shared" si="37"/>
        <v>72997.1663879211</v>
      </c>
      <c r="AK34" s="19">
        <f ca="1">AF34*$B$4</f>
        <v>12047.4639130246</v>
      </c>
      <c r="AL34" s="19">
        <f ca="1">AG34*$B$4</f>
        <v>18601.7153289407</v>
      </c>
      <c r="AM34" s="19">
        <f ca="1">AH34*$B$4</f>
        <v>25216.5150498896</v>
      </c>
      <c r="AN34" s="19">
        <f ca="1">AI34*$B$4</f>
        <v>23601.9959145062</v>
      </c>
      <c r="AO34" s="19">
        <f ca="1">AJ34*$B$4</f>
        <v>36498.5831939605</v>
      </c>
      <c r="AP34" s="19">
        <f ca="1" t="shared" si="38"/>
        <v>12047.4639130246</v>
      </c>
      <c r="AQ34" s="19">
        <f ca="1" t="shared" si="39"/>
        <v>18601.7153289407</v>
      </c>
      <c r="AR34" s="19">
        <f ca="1" t="shared" si="40"/>
        <v>25216.5150498896</v>
      </c>
      <c r="AS34" s="19">
        <f ca="1" t="shared" si="41"/>
        <v>23601.9959145062</v>
      </c>
      <c r="AT34" s="19">
        <f ca="1" t="shared" si="42"/>
        <v>36498.5831939605</v>
      </c>
      <c r="AU34" s="19">
        <f ca="1" t="shared" si="43"/>
        <v>40818.7940312419</v>
      </c>
      <c r="AV34" s="19">
        <f ca="1" t="shared" si="44"/>
        <v>-98986.7419012561</v>
      </c>
      <c r="AW34" s="19">
        <f ca="1" t="shared" si="45"/>
        <v>26589.4508805281</v>
      </c>
      <c r="AX34" s="19">
        <f ca="1" t="shared" si="46"/>
        <v>33143.7022964443</v>
      </c>
      <c r="AY34" s="19">
        <f ca="1" t="shared" si="47"/>
        <v>39758.5020173932</v>
      </c>
      <c r="AZ34" s="19">
        <f ca="1" t="shared" si="48"/>
        <v>38143.9828820098</v>
      </c>
      <c r="BA34" s="19">
        <f ca="1" t="shared" si="49"/>
        <v>91859.364192706</v>
      </c>
      <c r="BB34" s="20">
        <f ca="1" t="shared" si="50"/>
        <v>0.288076294230696</v>
      </c>
      <c r="BC34" s="19">
        <f ca="1">NPV($B$5,AW34:BA34)+AV34</f>
        <v>42817.0655983684</v>
      </c>
    </row>
    <row r="35" spans="1:55">
      <c r="A35" s="3">
        <v>11</v>
      </c>
      <c r="B35" s="11">
        <f ca="1" t="shared" si="3"/>
        <v>0.807978977616612</v>
      </c>
      <c r="C35" s="19">
        <f ca="1" t="shared" si="4"/>
        <v>-68764.0406750172</v>
      </c>
      <c r="D35" s="11">
        <f ca="1" t="shared" si="5"/>
        <v>0.349230492401621</v>
      </c>
      <c r="E35" s="19">
        <f ca="1" t="shared" si="6"/>
        <v>-32762.2811701308</v>
      </c>
      <c r="F35" s="11">
        <f ca="1" t="shared" si="7"/>
        <v>0.0129397584764275</v>
      </c>
      <c r="G35" s="19">
        <f ca="1" t="shared" si="8"/>
        <v>31393.1847585529</v>
      </c>
      <c r="H35" s="11">
        <f ca="1" t="shared" si="9"/>
        <v>0.182716965704094</v>
      </c>
      <c r="I35" s="19">
        <f ca="1" t="shared" si="10"/>
        <v>35235.2215670031</v>
      </c>
      <c r="J35" s="11">
        <f ca="1" t="shared" si="11"/>
        <v>0.917587339821241</v>
      </c>
      <c r="K35" s="19">
        <f ca="1" t="shared" si="12"/>
        <v>42513.8484532501</v>
      </c>
      <c r="L35" s="11">
        <f ca="1" t="shared" si="13"/>
        <v>0.446090208140956</v>
      </c>
      <c r="M35" s="19">
        <f ca="1" t="shared" si="14"/>
        <v>38180.0691452544</v>
      </c>
      <c r="N35" s="11">
        <f ca="1" t="shared" si="15"/>
        <v>0.870902736112596</v>
      </c>
      <c r="O35" s="19">
        <f ca="1" t="shared" si="16"/>
        <v>41888.3613976628</v>
      </c>
      <c r="P35" s="11">
        <f ca="1" t="shared" si="17"/>
        <v>0.580663930001444</v>
      </c>
      <c r="Q35" s="12">
        <f ca="1" t="shared" si="18"/>
        <v>15.2526286636179</v>
      </c>
      <c r="R35" s="11">
        <f ca="1" t="shared" si="19"/>
        <v>0.731279582088618</v>
      </c>
      <c r="S35" s="12">
        <f ca="1" t="shared" si="20"/>
        <v>15.8006893074409</v>
      </c>
      <c r="T35" s="11">
        <f ca="1" t="shared" si="21"/>
        <v>0.896482354683457</v>
      </c>
      <c r="U35" s="12">
        <f ca="1" t="shared" si="22"/>
        <v>20.2975035774301</v>
      </c>
      <c r="V35" s="11">
        <f ca="1" t="shared" si="23"/>
        <v>0.869145432875695</v>
      </c>
      <c r="W35" s="12">
        <f ca="1" t="shared" si="24"/>
        <v>22.8599276065164</v>
      </c>
      <c r="X35" s="11">
        <f ca="1" t="shared" si="25"/>
        <v>0.442051253451339</v>
      </c>
      <c r="Y35" s="12">
        <f ca="1" t="shared" si="26"/>
        <v>22.5109898603093</v>
      </c>
      <c r="Z35" s="19">
        <f ca="1" t="shared" si="27"/>
        <v>36181.4706554585</v>
      </c>
      <c r="AA35" s="19">
        <f ca="1" t="shared" si="28"/>
        <v>47026.1030091422</v>
      </c>
      <c r="AB35" s="19">
        <f ca="1" t="shared" si="29"/>
        <v>68257.2864568608</v>
      </c>
      <c r="AC35" s="19">
        <f ca="1" t="shared" si="30"/>
        <v>75312.2399450719</v>
      </c>
      <c r="AD35" s="19">
        <f ca="1" t="shared" si="31"/>
        <v>101227.211784523</v>
      </c>
      <c r="AE35" s="19">
        <f ca="1" t="shared" si="32"/>
        <v>13752.8081350034</v>
      </c>
      <c r="AF35" s="19">
        <f ca="1" t="shared" si="33"/>
        <v>22428.662520455</v>
      </c>
      <c r="AG35" s="19">
        <f ca="1" t="shared" si="34"/>
        <v>33273.2948741388</v>
      </c>
      <c r="AH35" s="19">
        <f ca="1" t="shared" si="35"/>
        <v>54504.4783218574</v>
      </c>
      <c r="AI35" s="19">
        <f ca="1" t="shared" si="36"/>
        <v>61559.4318100685</v>
      </c>
      <c r="AJ35" s="19">
        <f ca="1" t="shared" si="37"/>
        <v>87474.4036495194</v>
      </c>
      <c r="AK35" s="19">
        <f ca="1">AF35*$B$4</f>
        <v>11214.3312602275</v>
      </c>
      <c r="AL35" s="19">
        <f ca="1">AG35*$B$4</f>
        <v>16636.6474370694</v>
      </c>
      <c r="AM35" s="19">
        <f ca="1">AH35*$B$4</f>
        <v>27252.2391609287</v>
      </c>
      <c r="AN35" s="19">
        <f ca="1">AI35*$B$4</f>
        <v>30779.7159050343</v>
      </c>
      <c r="AO35" s="19">
        <f ca="1">AJ35*$B$4</f>
        <v>43737.2018247597</v>
      </c>
      <c r="AP35" s="19">
        <f ca="1" t="shared" si="38"/>
        <v>11214.3312602275</v>
      </c>
      <c r="AQ35" s="19">
        <f ca="1" t="shared" si="39"/>
        <v>16636.6474370694</v>
      </c>
      <c r="AR35" s="19">
        <f ca="1" t="shared" si="40"/>
        <v>27252.2391609287</v>
      </c>
      <c r="AS35" s="19">
        <f ca="1" t="shared" si="41"/>
        <v>30779.7159050343</v>
      </c>
      <c r="AT35" s="19">
        <f ca="1" t="shared" si="42"/>
        <v>43737.2018247597</v>
      </c>
      <c r="AU35" s="19">
        <f ca="1" t="shared" si="43"/>
        <v>46515.0893051342</v>
      </c>
      <c r="AV35" s="19">
        <f ca="1" t="shared" si="44"/>
        <v>-101526.321845148</v>
      </c>
      <c r="AW35" s="19">
        <f ca="1" t="shared" si="45"/>
        <v>24967.139395231</v>
      </c>
      <c r="AX35" s="19">
        <f ca="1" t="shared" si="46"/>
        <v>30389.4555720728</v>
      </c>
      <c r="AY35" s="19">
        <f ca="1" t="shared" si="47"/>
        <v>41005.0472959321</v>
      </c>
      <c r="AZ35" s="19">
        <f ca="1" t="shared" si="48"/>
        <v>44532.5240400377</v>
      </c>
      <c r="BA35" s="19">
        <f ca="1" t="shared" si="49"/>
        <v>104005.099264897</v>
      </c>
      <c r="BB35" s="20">
        <f ca="1" t="shared" si="50"/>
        <v>0.291549184782085</v>
      </c>
      <c r="BC35" s="19">
        <f ca="1">NPV($B$5,AW35:BA35)+AV35</f>
        <v>47295.0436040793</v>
      </c>
    </row>
    <row r="36" spans="1:55">
      <c r="A36" s="3">
        <v>12</v>
      </c>
      <c r="B36" s="11">
        <f ca="1" t="shared" si="3"/>
        <v>0.957019854370218</v>
      </c>
      <c r="C36" s="19">
        <f ca="1" t="shared" si="4"/>
        <v>-64146.3306973652</v>
      </c>
      <c r="D36" s="11">
        <f ca="1" t="shared" si="5"/>
        <v>0.597298696697154</v>
      </c>
      <c r="E36" s="19">
        <f ca="1" t="shared" si="6"/>
        <v>-30534.5467882107</v>
      </c>
      <c r="F36" s="11">
        <f ca="1" t="shared" si="7"/>
        <v>0.768816603985663</v>
      </c>
      <c r="G36" s="19">
        <f ca="1" t="shared" si="8"/>
        <v>40836.0169667642</v>
      </c>
      <c r="H36" s="11">
        <f ca="1" t="shared" si="9"/>
        <v>0.151448269426304</v>
      </c>
      <c r="I36" s="19">
        <f ca="1" t="shared" si="10"/>
        <v>34766.260632188</v>
      </c>
      <c r="J36" s="11">
        <f ca="1" t="shared" si="11"/>
        <v>0.0969349611493473</v>
      </c>
      <c r="K36" s="19">
        <f ca="1" t="shared" si="12"/>
        <v>33813.1672101289</v>
      </c>
      <c r="L36" s="11">
        <f ca="1" t="shared" si="13"/>
        <v>0.661538664574357</v>
      </c>
      <c r="M36" s="19">
        <f ca="1" t="shared" si="14"/>
        <v>39961.4657398474</v>
      </c>
      <c r="N36" s="11">
        <f ca="1" t="shared" si="15"/>
        <v>0.289765936694412</v>
      </c>
      <c r="O36" s="19">
        <f ca="1" t="shared" si="16"/>
        <v>36592.7907978459</v>
      </c>
      <c r="P36" s="11">
        <f ca="1" t="shared" si="17"/>
        <v>0.530407658322945</v>
      </c>
      <c r="Q36" s="12">
        <f ca="1" t="shared" si="18"/>
        <v>15.0926537615573</v>
      </c>
      <c r="R36" s="11">
        <f ca="1" t="shared" si="19"/>
        <v>0.813492149322963</v>
      </c>
      <c r="S36" s="12">
        <f ca="1" t="shared" si="20"/>
        <v>16.1677496589749</v>
      </c>
      <c r="T36" s="11">
        <f ca="1" t="shared" si="21"/>
        <v>0.406902811751066</v>
      </c>
      <c r="U36" s="12">
        <f ca="1" t="shared" si="22"/>
        <v>17.9231761915376</v>
      </c>
      <c r="V36" s="11">
        <f ca="1" t="shared" si="23"/>
        <v>0.231552935632487</v>
      </c>
      <c r="W36" s="12">
        <f ca="1" t="shared" si="24"/>
        <v>19.8004835736143</v>
      </c>
      <c r="X36" s="11">
        <f ca="1" t="shared" si="25"/>
        <v>0.378958308911407</v>
      </c>
      <c r="Y36" s="12">
        <f ca="1" t="shared" si="26"/>
        <v>22.2089507583872</v>
      </c>
      <c r="Z36" s="19">
        <f ca="1" t="shared" si="27"/>
        <v>46999.2556175688</v>
      </c>
      <c r="AA36" s="19">
        <f ca="1" t="shared" si="28"/>
        <v>46482.6802534166</v>
      </c>
      <c r="AB36" s="19">
        <f ca="1" t="shared" si="29"/>
        <v>53311.1683850613</v>
      </c>
      <c r="AC36" s="19">
        <f ca="1" t="shared" si="30"/>
        <v>75480.0760325768</v>
      </c>
      <c r="AD36" s="19">
        <f ca="1" t="shared" si="31"/>
        <v>84467.466438798</v>
      </c>
      <c r="AE36" s="19">
        <f ca="1" t="shared" si="32"/>
        <v>12829.266139473</v>
      </c>
      <c r="AF36" s="19">
        <f ca="1" t="shared" si="33"/>
        <v>34169.9894780957</v>
      </c>
      <c r="AG36" s="19">
        <f ca="1" t="shared" si="34"/>
        <v>33653.4141139436</v>
      </c>
      <c r="AH36" s="19">
        <f ca="1" t="shared" si="35"/>
        <v>40481.9022455883</v>
      </c>
      <c r="AI36" s="19">
        <f ca="1" t="shared" si="36"/>
        <v>62650.8098931038</v>
      </c>
      <c r="AJ36" s="19">
        <f ca="1" t="shared" si="37"/>
        <v>71638.200299325</v>
      </c>
      <c r="AK36" s="19">
        <f ca="1">AF36*$B$4</f>
        <v>17084.9947390479</v>
      </c>
      <c r="AL36" s="19">
        <f ca="1">AG36*$B$4</f>
        <v>16826.7070569718</v>
      </c>
      <c r="AM36" s="19">
        <f ca="1">AH36*$B$4</f>
        <v>20240.9511227941</v>
      </c>
      <c r="AN36" s="19">
        <f ca="1">AI36*$B$4</f>
        <v>31325.4049465519</v>
      </c>
      <c r="AO36" s="19">
        <f ca="1">AJ36*$B$4</f>
        <v>35819.1001496625</v>
      </c>
      <c r="AP36" s="19">
        <f ca="1" t="shared" si="38"/>
        <v>17084.9947390479</v>
      </c>
      <c r="AQ36" s="19">
        <f ca="1" t="shared" si="39"/>
        <v>16826.7070569718</v>
      </c>
      <c r="AR36" s="19">
        <f ca="1" t="shared" si="40"/>
        <v>20240.9511227941</v>
      </c>
      <c r="AS36" s="19">
        <f ca="1" t="shared" si="41"/>
        <v>31325.4049465519</v>
      </c>
      <c r="AT36" s="19">
        <f ca="1" t="shared" si="42"/>
        <v>35819.1001496625</v>
      </c>
      <c r="AU36" s="19">
        <f ca="1" t="shared" si="43"/>
        <v>43363.8129276837</v>
      </c>
      <c r="AV36" s="19">
        <f ca="1" t="shared" si="44"/>
        <v>-94680.8774855758</v>
      </c>
      <c r="AW36" s="19">
        <f ca="1" t="shared" si="45"/>
        <v>29914.2608785209</v>
      </c>
      <c r="AX36" s="19">
        <f ca="1" t="shared" si="46"/>
        <v>29655.9731964448</v>
      </c>
      <c r="AY36" s="19">
        <f ca="1" t="shared" si="47"/>
        <v>33070.2172622672</v>
      </c>
      <c r="AZ36" s="19">
        <f ca="1" t="shared" si="48"/>
        <v>44154.6710860249</v>
      </c>
      <c r="BA36" s="19">
        <f ca="1" t="shared" si="49"/>
        <v>92012.1792168192</v>
      </c>
      <c r="BB36" s="20">
        <f ca="1" t="shared" si="50"/>
        <v>0.305322552574236</v>
      </c>
      <c r="BC36" s="19">
        <f ca="1">NPV($B$5,AW36:BA36)+AV36</f>
        <v>46491.7956405905</v>
      </c>
    </row>
    <row r="37" spans="1:55">
      <c r="A37" s="3">
        <v>13</v>
      </c>
      <c r="B37" s="11">
        <f ca="1" t="shared" si="3"/>
        <v>0.87387528581902</v>
      </c>
      <c r="C37" s="19">
        <f ca="1" t="shared" si="4"/>
        <v>-67102.8082947798</v>
      </c>
      <c r="D37" s="11">
        <f ca="1" t="shared" si="5"/>
        <v>0.953393258551436</v>
      </c>
      <c r="E37" s="19">
        <f ca="1" t="shared" si="6"/>
        <v>-26869.627130912</v>
      </c>
      <c r="F37" s="11">
        <f ca="1" t="shared" si="7"/>
        <v>0.329222235665426</v>
      </c>
      <c r="G37" s="19">
        <f ca="1" t="shared" si="8"/>
        <v>37027.3277531231</v>
      </c>
      <c r="H37" s="11">
        <f ca="1" t="shared" si="9"/>
        <v>0.147199389994982</v>
      </c>
      <c r="I37" s="19">
        <f ca="1" t="shared" si="10"/>
        <v>34698.9263134515</v>
      </c>
      <c r="J37" s="11">
        <f ca="1" t="shared" si="11"/>
        <v>0.703592505678969</v>
      </c>
      <c r="K37" s="19">
        <f ca="1" t="shared" si="12"/>
        <v>40285.0703001977</v>
      </c>
      <c r="L37" s="11">
        <f ca="1" t="shared" si="13"/>
        <v>0.871308715145108</v>
      </c>
      <c r="M37" s="19">
        <f ca="1" t="shared" si="14"/>
        <v>41893.2579179924</v>
      </c>
      <c r="N37" s="11">
        <f ca="1" t="shared" si="15"/>
        <v>0.909306793401501</v>
      </c>
      <c r="O37" s="19">
        <f ca="1" t="shared" si="16"/>
        <v>42391.9374058724</v>
      </c>
      <c r="P37" s="11">
        <f ca="1" t="shared" si="17"/>
        <v>0.762646380371901</v>
      </c>
      <c r="Q37" s="12">
        <f ca="1" t="shared" si="18"/>
        <v>15.933029958295</v>
      </c>
      <c r="R37" s="11">
        <f ca="1" t="shared" si="19"/>
        <v>0.243723115706453</v>
      </c>
      <c r="S37" s="12">
        <f ca="1" t="shared" si="20"/>
        <v>14.0945204899251</v>
      </c>
      <c r="T37" s="11">
        <f ca="1" t="shared" si="21"/>
        <v>0.795506383985003</v>
      </c>
      <c r="U37" s="12">
        <f ca="1" t="shared" si="22"/>
        <v>19.6071311677361</v>
      </c>
      <c r="V37" s="11">
        <f ca="1" t="shared" si="23"/>
        <v>0.808538025502587</v>
      </c>
      <c r="W37" s="12">
        <f ca="1" t="shared" si="24"/>
        <v>22.4113383559435</v>
      </c>
      <c r="X37" s="11">
        <f ca="1" t="shared" si="25"/>
        <v>0.371162033871282</v>
      </c>
      <c r="Y37" s="12">
        <f ca="1" t="shared" si="26"/>
        <v>22.1727150257645</v>
      </c>
      <c r="Z37" s="19">
        <f ca="1" t="shared" si="27"/>
        <v>42926.9029767843</v>
      </c>
      <c r="AA37" s="19">
        <f ca="1" t="shared" si="28"/>
        <v>45897.3922133369</v>
      </c>
      <c r="AB37" s="19">
        <f ca="1" t="shared" si="29"/>
        <v>63734.2931440756</v>
      </c>
      <c r="AC37" s="19">
        <f ca="1" t="shared" si="30"/>
        <v>81132.494579063</v>
      </c>
      <c r="AD37" s="19">
        <f ca="1" t="shared" si="31"/>
        <v>100301.67471762</v>
      </c>
      <c r="AE37" s="19">
        <f ca="1" t="shared" si="32"/>
        <v>13420.561658956</v>
      </c>
      <c r="AF37" s="19">
        <f ca="1" t="shared" si="33"/>
        <v>29506.3413178283</v>
      </c>
      <c r="AG37" s="19">
        <f ca="1" t="shared" si="34"/>
        <v>32476.8305543809</v>
      </c>
      <c r="AH37" s="19">
        <f ca="1" t="shared" si="35"/>
        <v>50313.7314851197</v>
      </c>
      <c r="AI37" s="19">
        <f ca="1" t="shared" si="36"/>
        <v>67711.9329201071</v>
      </c>
      <c r="AJ37" s="19">
        <f ca="1" t="shared" si="37"/>
        <v>86881.1130586639</v>
      </c>
      <c r="AK37" s="19">
        <f ca="1">AF37*$B$4</f>
        <v>14753.1706589142</v>
      </c>
      <c r="AL37" s="19">
        <f ca="1">AG37*$B$4</f>
        <v>16238.4152771905</v>
      </c>
      <c r="AM37" s="19">
        <f ca="1">AH37*$B$4</f>
        <v>25156.8657425598</v>
      </c>
      <c r="AN37" s="19">
        <f ca="1">AI37*$B$4</f>
        <v>33855.9664600535</v>
      </c>
      <c r="AO37" s="19">
        <f ca="1">AJ37*$B$4</f>
        <v>43440.556529332</v>
      </c>
      <c r="AP37" s="19">
        <f ca="1" t="shared" si="38"/>
        <v>14753.1706589142</v>
      </c>
      <c r="AQ37" s="19">
        <f ca="1" t="shared" si="39"/>
        <v>16238.4152771905</v>
      </c>
      <c r="AR37" s="19">
        <f ca="1" t="shared" si="40"/>
        <v>25156.8657425598</v>
      </c>
      <c r="AS37" s="19">
        <f ca="1" t="shared" si="41"/>
        <v>33855.9664600535</v>
      </c>
      <c r="AT37" s="19">
        <f ca="1" t="shared" si="42"/>
        <v>43440.556529332</v>
      </c>
      <c r="AU37" s="19">
        <f ca="1" t="shared" si="43"/>
        <v>40290.188789868</v>
      </c>
      <c r="AV37" s="19">
        <f ca="1" t="shared" si="44"/>
        <v>-93972.4354256918</v>
      </c>
      <c r="AW37" s="19">
        <f ca="1" t="shared" si="45"/>
        <v>28173.7323178701</v>
      </c>
      <c r="AX37" s="19">
        <f ca="1" t="shared" si="46"/>
        <v>29658.9769361464</v>
      </c>
      <c r="AY37" s="19">
        <f ca="1" t="shared" si="47"/>
        <v>38577.4274015158</v>
      </c>
      <c r="AZ37" s="19">
        <f ca="1" t="shared" si="48"/>
        <v>47276.5281190095</v>
      </c>
      <c r="BA37" s="19">
        <f ca="1" t="shared" si="49"/>
        <v>97151.3069781559</v>
      </c>
      <c r="BB37" s="20">
        <f ca="1" t="shared" si="50"/>
        <v>0.324514277362775</v>
      </c>
      <c r="BC37" s="19">
        <f ca="1">NPV($B$5,AW37:BA37)+AV37</f>
        <v>53650.0725785287</v>
      </c>
    </row>
    <row r="38" spans="1:55">
      <c r="A38" s="3">
        <v>14</v>
      </c>
      <c r="B38" s="11">
        <f ca="1" t="shared" si="3"/>
        <v>0.717174631566673</v>
      </c>
      <c r="C38" s="19">
        <f ca="1" t="shared" si="4"/>
        <v>-70663.8523681106</v>
      </c>
      <c r="D38" s="11">
        <f ca="1" t="shared" si="5"/>
        <v>0.533217909084178</v>
      </c>
      <c r="E38" s="19">
        <f ca="1" t="shared" si="6"/>
        <v>-31056.6960041254</v>
      </c>
      <c r="F38" s="11">
        <f ca="1" t="shared" si="7"/>
        <v>0.439406204437963</v>
      </c>
      <c r="G38" s="19">
        <f ca="1" t="shared" si="8"/>
        <v>38118.5547153231</v>
      </c>
      <c r="H38" s="11">
        <f ca="1" t="shared" si="9"/>
        <v>0.300598824897522</v>
      </c>
      <c r="I38" s="19">
        <f ca="1" t="shared" si="10"/>
        <v>36714.8956607403</v>
      </c>
      <c r="J38" s="11">
        <f ca="1" t="shared" si="11"/>
        <v>0.864484380908913</v>
      </c>
      <c r="K38" s="19">
        <f ca="1" t="shared" si="12"/>
        <v>41811.9486466132</v>
      </c>
      <c r="L38" s="11">
        <f ca="1" t="shared" si="13"/>
        <v>0.5104017128233</v>
      </c>
      <c r="M38" s="19">
        <f ca="1" t="shared" si="14"/>
        <v>38749.8718232609</v>
      </c>
      <c r="N38" s="11">
        <f ca="1" t="shared" si="15"/>
        <v>0.310725563817738</v>
      </c>
      <c r="O38" s="19">
        <f ca="1" t="shared" si="16"/>
        <v>36827.066322562</v>
      </c>
      <c r="P38" s="11">
        <f ca="1" t="shared" si="17"/>
        <v>0.0132486970819206</v>
      </c>
      <c r="Q38" s="12">
        <f ca="1" t="shared" si="18"/>
        <v>12.4883406060063</v>
      </c>
      <c r="R38" s="11">
        <f ca="1" t="shared" si="19"/>
        <v>0.135388845680252</v>
      </c>
      <c r="S38" s="12">
        <f ca="1" t="shared" si="20"/>
        <v>13.5610891141266</v>
      </c>
      <c r="T38" s="11">
        <f ca="1" t="shared" si="21"/>
        <v>0.364863887438083</v>
      </c>
      <c r="U38" s="12">
        <f ca="1" t="shared" si="22"/>
        <v>17.7680573758865</v>
      </c>
      <c r="V38" s="11">
        <f ca="1" t="shared" si="23"/>
        <v>0.269656472732662</v>
      </c>
      <c r="W38" s="12">
        <f ca="1" t="shared" si="24"/>
        <v>19.9429849763334</v>
      </c>
      <c r="X38" s="11">
        <f ca="1" t="shared" si="25"/>
        <v>0.566962862877011</v>
      </c>
      <c r="Y38" s="12">
        <f ca="1" t="shared" si="26"/>
        <v>23.1642988714519</v>
      </c>
      <c r="Z38" s="19">
        <f ca="1" t="shared" si="27"/>
        <v>42878.9296622595</v>
      </c>
      <c r="AA38" s="19">
        <f ca="1" t="shared" si="28"/>
        <v>46900.7035533453</v>
      </c>
      <c r="AB38" s="19">
        <f ca="1" t="shared" si="29"/>
        <v>62902.0759780179</v>
      </c>
      <c r="AC38" s="19">
        <f ca="1" t="shared" si="30"/>
        <v>69921.332090644</v>
      </c>
      <c r="AD38" s="19">
        <f ca="1" t="shared" si="31"/>
        <v>81844.8554745847</v>
      </c>
      <c r="AE38" s="19">
        <f ca="1" t="shared" si="32"/>
        <v>14132.7704736221</v>
      </c>
      <c r="AF38" s="19">
        <f ca="1" t="shared" si="33"/>
        <v>28746.1591886374</v>
      </c>
      <c r="AG38" s="19">
        <f ca="1" t="shared" si="34"/>
        <v>32767.9330797232</v>
      </c>
      <c r="AH38" s="19">
        <f ca="1" t="shared" si="35"/>
        <v>48769.3055043958</v>
      </c>
      <c r="AI38" s="19">
        <f ca="1" t="shared" si="36"/>
        <v>55788.5616170219</v>
      </c>
      <c r="AJ38" s="19">
        <f ca="1" t="shared" si="37"/>
        <v>67712.0850009626</v>
      </c>
      <c r="AK38" s="19">
        <f ca="1">AF38*$B$4</f>
        <v>14373.0795943187</v>
      </c>
      <c r="AL38" s="19">
        <f ca="1">AG38*$B$4</f>
        <v>16383.9665398616</v>
      </c>
      <c r="AM38" s="19">
        <f ca="1">AH38*$B$4</f>
        <v>24384.6527521979</v>
      </c>
      <c r="AN38" s="19">
        <f ca="1">AI38*$B$4</f>
        <v>27894.280808511</v>
      </c>
      <c r="AO38" s="19">
        <f ca="1">AJ38*$B$4</f>
        <v>33856.0425004813</v>
      </c>
      <c r="AP38" s="19">
        <f ca="1" t="shared" si="38"/>
        <v>14373.0795943187</v>
      </c>
      <c r="AQ38" s="19">
        <f ca="1" t="shared" si="39"/>
        <v>16383.9665398616</v>
      </c>
      <c r="AR38" s="19">
        <f ca="1" t="shared" si="40"/>
        <v>24384.6527521979</v>
      </c>
      <c r="AS38" s="19">
        <f ca="1" t="shared" si="41"/>
        <v>27894.280808511</v>
      </c>
      <c r="AT38" s="19">
        <f ca="1" t="shared" si="42"/>
        <v>33856.0425004813</v>
      </c>
      <c r="AU38" s="19">
        <f ca="1" t="shared" si="43"/>
        <v>45189.4664777475</v>
      </c>
      <c r="AV38" s="19">
        <f ca="1" t="shared" si="44"/>
        <v>-101720.548372236</v>
      </c>
      <c r="AW38" s="19">
        <f ca="1" t="shared" si="45"/>
        <v>28505.8500679408</v>
      </c>
      <c r="AX38" s="19">
        <f ca="1" t="shared" si="46"/>
        <v>30516.7370134837</v>
      </c>
      <c r="AY38" s="19">
        <f ca="1" t="shared" si="47"/>
        <v>38517.42322582</v>
      </c>
      <c r="AZ38" s="19">
        <f ca="1" t="shared" si="48"/>
        <v>42027.0512821331</v>
      </c>
      <c r="BA38" s="19">
        <f ca="1" t="shared" si="49"/>
        <v>93178.2794518509</v>
      </c>
      <c r="BB38" s="20">
        <f ca="1" t="shared" si="50"/>
        <v>0.281299652078481</v>
      </c>
      <c r="BC38" s="19">
        <f ca="1">NPV($B$5,AW38:BA38)+AV38</f>
        <v>41823.191532601</v>
      </c>
    </row>
    <row r="39" spans="1:55">
      <c r="A39" s="3">
        <v>15</v>
      </c>
      <c r="B39" s="11">
        <f ca="1" t="shared" si="3"/>
        <v>0.478492425875607</v>
      </c>
      <c r="C39" s="19">
        <f ca="1" t="shared" si="4"/>
        <v>-76037.7189931608</v>
      </c>
      <c r="D39" s="11">
        <f ca="1" t="shared" si="5"/>
        <v>0.79666070608572</v>
      </c>
      <c r="E39" s="19">
        <f ca="1" t="shared" si="6"/>
        <v>-28905.1820755979</v>
      </c>
      <c r="F39" s="11">
        <f ca="1" t="shared" si="7"/>
        <v>0.896123299348511</v>
      </c>
      <c r="G39" s="19">
        <f ca="1" t="shared" si="8"/>
        <v>42208.8080415597</v>
      </c>
      <c r="H39" s="11">
        <f ca="1" t="shared" si="9"/>
        <v>0.186068159474389</v>
      </c>
      <c r="I39" s="19">
        <f ca="1" t="shared" si="10"/>
        <v>35283.0127693541</v>
      </c>
      <c r="J39" s="11">
        <f ca="1" t="shared" si="11"/>
        <v>0.234580712244103</v>
      </c>
      <c r="K39" s="19">
        <f ca="1" t="shared" si="12"/>
        <v>35931.8721190376</v>
      </c>
      <c r="L39" s="11">
        <f ca="1" t="shared" si="13"/>
        <v>0.28905415968036</v>
      </c>
      <c r="M39" s="19">
        <f ca="1" t="shared" si="14"/>
        <v>36584.6885994748</v>
      </c>
      <c r="N39" s="11">
        <f ca="1" t="shared" si="15"/>
        <v>0.748673762542426</v>
      </c>
      <c r="O39" s="19">
        <f ca="1" t="shared" si="16"/>
        <v>40658.4026200812</v>
      </c>
      <c r="P39" s="11">
        <f ca="1" t="shared" si="17"/>
        <v>0.0673301219198348</v>
      </c>
      <c r="Q39" s="12">
        <f ca="1" t="shared" si="18"/>
        <v>13.1008824617356</v>
      </c>
      <c r="R39" s="11">
        <f ca="1" t="shared" si="19"/>
        <v>0.624439150752788</v>
      </c>
      <c r="S39" s="12">
        <f ca="1" t="shared" si="20"/>
        <v>15.3999816757473</v>
      </c>
      <c r="T39" s="11">
        <f ca="1" t="shared" si="21"/>
        <v>0.577125603790496</v>
      </c>
      <c r="U39" s="12">
        <f ca="1" t="shared" si="22"/>
        <v>18.5589996957475</v>
      </c>
      <c r="V39" s="11">
        <f ca="1" t="shared" si="23"/>
        <v>0.000345717035604265</v>
      </c>
      <c r="W39" s="12">
        <f ca="1" t="shared" si="24"/>
        <v>18.0695703852114</v>
      </c>
      <c r="X39" s="11">
        <f ca="1" t="shared" si="25"/>
        <v>0.361058003358223</v>
      </c>
      <c r="Y39" s="12">
        <f ca="1" t="shared" si="26"/>
        <v>22.1260858179017</v>
      </c>
      <c r="Z39" s="19">
        <f ca="1" t="shared" si="27"/>
        <v>47738.5343715841</v>
      </c>
      <c r="AA39" s="19">
        <f ca="1" t="shared" si="28"/>
        <v>46050.8229042491</v>
      </c>
      <c r="AB39" s="19">
        <f ca="1" t="shared" si="29"/>
        <v>55601.4484229984</v>
      </c>
      <c r="AC39" s="19">
        <f ca="1" t="shared" si="30"/>
        <v>66841.1026320828</v>
      </c>
      <c r="AD39" s="19">
        <f ca="1" t="shared" si="31"/>
        <v>90719.9898509657</v>
      </c>
      <c r="AE39" s="19">
        <f ca="1" t="shared" si="32"/>
        <v>15207.5437986322</v>
      </c>
      <c r="AF39" s="19">
        <f ca="1" t="shared" si="33"/>
        <v>32530.9905729519</v>
      </c>
      <c r="AG39" s="19">
        <f ca="1" t="shared" si="34"/>
        <v>30843.2791056169</v>
      </c>
      <c r="AH39" s="19">
        <f ca="1" t="shared" si="35"/>
        <v>40393.9046243662</v>
      </c>
      <c r="AI39" s="19">
        <f ca="1" t="shared" si="36"/>
        <v>51633.5588334506</v>
      </c>
      <c r="AJ39" s="19">
        <f ca="1" t="shared" si="37"/>
        <v>75512.4460523335</v>
      </c>
      <c r="AK39" s="19">
        <f ca="1">AF39*$B$4</f>
        <v>16265.495286476</v>
      </c>
      <c r="AL39" s="19">
        <f ca="1">AG39*$B$4</f>
        <v>15421.6395528085</v>
      </c>
      <c r="AM39" s="19">
        <f ca="1">AH39*$B$4</f>
        <v>20196.9523121831</v>
      </c>
      <c r="AN39" s="19">
        <f ca="1">AI39*$B$4</f>
        <v>25816.7794167253</v>
      </c>
      <c r="AO39" s="19">
        <f ca="1">AJ39*$B$4</f>
        <v>37756.2230261668</v>
      </c>
      <c r="AP39" s="19">
        <f ca="1" t="shared" si="38"/>
        <v>16265.495286476</v>
      </c>
      <c r="AQ39" s="19">
        <f ca="1" t="shared" si="39"/>
        <v>15421.6395528085</v>
      </c>
      <c r="AR39" s="19">
        <f ca="1" t="shared" si="40"/>
        <v>20196.9523121831</v>
      </c>
      <c r="AS39" s="19">
        <f ca="1" t="shared" si="41"/>
        <v>25816.7794167253</v>
      </c>
      <c r="AT39" s="19">
        <f ca="1" t="shared" si="42"/>
        <v>37756.2230261668</v>
      </c>
      <c r="AU39" s="19">
        <f ca="1" t="shared" si="43"/>
        <v>44112.72587423</v>
      </c>
      <c r="AV39" s="19">
        <f ca="1" t="shared" si="44"/>
        <v>-104942.901068759</v>
      </c>
      <c r="AW39" s="19">
        <f ca="1" t="shared" si="45"/>
        <v>31473.0390851081</v>
      </c>
      <c r="AX39" s="19">
        <f ca="1" t="shared" si="46"/>
        <v>30629.1833514406</v>
      </c>
      <c r="AY39" s="19">
        <f ca="1" t="shared" si="47"/>
        <v>35404.4961108153</v>
      </c>
      <c r="AZ39" s="19">
        <f ca="1" t="shared" si="48"/>
        <v>41024.3232153575</v>
      </c>
      <c r="BA39" s="19">
        <f ca="1" t="shared" si="49"/>
        <v>97076.492699029</v>
      </c>
      <c r="BB39" s="20">
        <f ca="1" t="shared" si="50"/>
        <v>0.275000416625275</v>
      </c>
      <c r="BC39" s="19">
        <f ca="1">NPV($B$5,AW39:BA39)+AV39</f>
        <v>40584.0165857984</v>
      </c>
    </row>
    <row r="40" spans="1:55">
      <c r="A40" s="3">
        <v>16</v>
      </c>
      <c r="B40" s="11">
        <f ca="1" t="shared" si="3"/>
        <v>0.076577100306702</v>
      </c>
      <c r="C40" s="19">
        <f ca="1" t="shared" si="4"/>
        <v>-90413.9413538179</v>
      </c>
      <c r="D40" s="11">
        <f ca="1" t="shared" si="5"/>
        <v>0.32516735254906</v>
      </c>
      <c r="E40" s="19">
        <f ca="1" t="shared" si="6"/>
        <v>-33016.0825547291</v>
      </c>
      <c r="F40" s="11">
        <f ca="1" t="shared" si="7"/>
        <v>0.279294235384549</v>
      </c>
      <c r="G40" s="19">
        <f ca="1" t="shared" si="8"/>
        <v>36472.5679067648</v>
      </c>
      <c r="H40" s="11">
        <f ca="1" t="shared" si="9"/>
        <v>0.00230884391294262</v>
      </c>
      <c r="I40" s="19">
        <f ca="1" t="shared" si="10"/>
        <v>30588.4951885457</v>
      </c>
      <c r="J40" s="11">
        <f ca="1" t="shared" si="11"/>
        <v>0.749582344098712</v>
      </c>
      <c r="K40" s="19">
        <f ca="1" t="shared" si="12"/>
        <v>40666.2574842757</v>
      </c>
      <c r="L40" s="11">
        <f ca="1" t="shared" si="13"/>
        <v>0.519987216178136</v>
      </c>
      <c r="M40" s="19">
        <f ca="1" t="shared" si="14"/>
        <v>38831.6523044513</v>
      </c>
      <c r="N40" s="11">
        <f ca="1" t="shared" si="15"/>
        <v>0.930631048952037</v>
      </c>
      <c r="O40" s="19">
        <f ca="1" t="shared" si="16"/>
        <v>42719.0634974649</v>
      </c>
      <c r="P40" s="11">
        <f ca="1" t="shared" si="17"/>
        <v>0.745719879711225</v>
      </c>
      <c r="Q40" s="12">
        <f ca="1" t="shared" si="18"/>
        <v>15.8605977084246</v>
      </c>
      <c r="R40" s="11">
        <f ca="1" t="shared" si="19"/>
        <v>0.624281667717</v>
      </c>
      <c r="S40" s="12">
        <f ca="1" t="shared" si="20"/>
        <v>15.3994366031389</v>
      </c>
      <c r="T40" s="11">
        <f ca="1" t="shared" si="21"/>
        <v>0.816952426284979</v>
      </c>
      <c r="U40" s="12">
        <f ca="1" t="shared" si="22"/>
        <v>19.7360803759805</v>
      </c>
      <c r="V40" s="11">
        <f ca="1" t="shared" si="23"/>
        <v>0.28370170386564</v>
      </c>
      <c r="W40" s="12">
        <f ca="1" t="shared" si="24"/>
        <v>19.9929435150347</v>
      </c>
      <c r="X40" s="11">
        <f ca="1" t="shared" si="25"/>
        <v>0.367088904624992</v>
      </c>
      <c r="Y40" s="12">
        <f ca="1" t="shared" si="26"/>
        <v>22.1538731496614</v>
      </c>
      <c r="Z40" s="19">
        <f ca="1" t="shared" si="27"/>
        <v>42257.3351763888</v>
      </c>
      <c r="AA40" s="19">
        <f ca="1" t="shared" si="28"/>
        <v>40897.57574428</v>
      </c>
      <c r="AB40" s="19">
        <f ca="1" t="shared" si="29"/>
        <v>65102.6544387424</v>
      </c>
      <c r="AC40" s="19">
        <f ca="1" t="shared" si="30"/>
        <v>74594.3729803017</v>
      </c>
      <c r="AD40" s="19">
        <f ca="1" t="shared" si="31"/>
        <v>100241.870630873</v>
      </c>
      <c r="AE40" s="19">
        <f ca="1" t="shared" si="32"/>
        <v>18082.7882707636</v>
      </c>
      <c r="AF40" s="19">
        <f ca="1" t="shared" si="33"/>
        <v>24174.5469056252</v>
      </c>
      <c r="AG40" s="19">
        <f ca="1" t="shared" si="34"/>
        <v>22814.7874735164</v>
      </c>
      <c r="AH40" s="19">
        <f ca="1" t="shared" si="35"/>
        <v>47019.8661679788</v>
      </c>
      <c r="AI40" s="19">
        <f ca="1" t="shared" si="36"/>
        <v>56511.5847095381</v>
      </c>
      <c r="AJ40" s="19">
        <f ca="1" t="shared" si="37"/>
        <v>82159.0823601095</v>
      </c>
      <c r="AK40" s="19">
        <f ca="1">AF40*$B$4</f>
        <v>12087.2734528126</v>
      </c>
      <c r="AL40" s="19">
        <f ca="1">AG40*$B$4</f>
        <v>11407.3937367582</v>
      </c>
      <c r="AM40" s="19">
        <f ca="1">AH40*$B$4</f>
        <v>23509.9330839894</v>
      </c>
      <c r="AN40" s="19">
        <f ca="1">AI40*$B$4</f>
        <v>28255.7923547691</v>
      </c>
      <c r="AO40" s="19">
        <f ca="1">AJ40*$B$4</f>
        <v>41079.5411800547</v>
      </c>
      <c r="AP40" s="19">
        <f ca="1" t="shared" si="38"/>
        <v>12087.2734528126</v>
      </c>
      <c r="AQ40" s="19">
        <f ca="1" t="shared" si="39"/>
        <v>11407.3937367582</v>
      </c>
      <c r="AR40" s="19">
        <f ca="1" t="shared" si="40"/>
        <v>23509.9330839894</v>
      </c>
      <c r="AS40" s="19">
        <f ca="1" t="shared" si="41"/>
        <v>28255.7923547691</v>
      </c>
      <c r="AT40" s="19">
        <f ca="1" t="shared" si="42"/>
        <v>41079.5411800547</v>
      </c>
      <c r="AU40" s="19">
        <f ca="1" t="shared" si="43"/>
        <v>51098.8708254927</v>
      </c>
      <c r="AV40" s="19">
        <f ca="1" t="shared" si="44"/>
        <v>-123430.023908547</v>
      </c>
      <c r="AW40" s="19">
        <f ca="1" t="shared" si="45"/>
        <v>30170.0617235762</v>
      </c>
      <c r="AX40" s="19">
        <f ca="1" t="shared" si="46"/>
        <v>29490.1820075218</v>
      </c>
      <c r="AY40" s="19">
        <f ca="1" t="shared" si="47"/>
        <v>41592.721354753</v>
      </c>
      <c r="AZ40" s="19">
        <f ca="1" t="shared" si="48"/>
        <v>46338.5806255326</v>
      </c>
      <c r="BA40" s="19">
        <f ca="1" t="shared" si="49"/>
        <v>110261.200276311</v>
      </c>
      <c r="BB40" s="20">
        <f ca="1" t="shared" si="50"/>
        <v>0.237205650646062</v>
      </c>
      <c r="BC40" s="19">
        <f ca="1">NPV($B$5,AW40:BA40)+AV40</f>
        <v>33765.0536392815</v>
      </c>
    </row>
    <row r="41" spans="1:55">
      <c r="A41" s="3">
        <v>17</v>
      </c>
      <c r="B41" s="11">
        <f ca="1" t="shared" si="3"/>
        <v>0.936514519886538</v>
      </c>
      <c r="C41" s="19">
        <f ca="1" t="shared" si="4"/>
        <v>-65039.2650302782</v>
      </c>
      <c r="D41" s="11">
        <f ca="1" t="shared" si="5"/>
        <v>0.803936210824185</v>
      </c>
      <c r="E41" s="19">
        <f ca="1" t="shared" si="6"/>
        <v>-28834.6817583974</v>
      </c>
      <c r="F41" s="11">
        <f ca="1" t="shared" si="7"/>
        <v>0.0899945605673902</v>
      </c>
      <c r="G41" s="19">
        <f ca="1" t="shared" si="8"/>
        <v>33674.1235805439</v>
      </c>
      <c r="H41" s="11">
        <f ca="1" t="shared" si="9"/>
        <v>0.0483549303824118</v>
      </c>
      <c r="I41" s="19">
        <f ca="1" t="shared" si="10"/>
        <v>32693.1839070813</v>
      </c>
      <c r="J41" s="11">
        <f ca="1" t="shared" si="11"/>
        <v>0.15696570938515</v>
      </c>
      <c r="K41" s="19">
        <f ca="1" t="shared" si="12"/>
        <v>34852.3042369345</v>
      </c>
      <c r="L41" s="11">
        <f ca="1" t="shared" si="13"/>
        <v>0.418252186293607</v>
      </c>
      <c r="M41" s="19">
        <f ca="1" t="shared" si="14"/>
        <v>37920.7214282565</v>
      </c>
      <c r="N41" s="11">
        <f ca="1" t="shared" si="15"/>
        <v>0.519352977638346</v>
      </c>
      <c r="O41" s="19">
        <f ca="1" t="shared" si="16"/>
        <v>38826.264591873</v>
      </c>
      <c r="P41" s="11">
        <f ca="1" t="shared" si="17"/>
        <v>0.634859682253325</v>
      </c>
      <c r="Q41" s="12">
        <f ca="1" t="shared" si="18"/>
        <v>15.4363062352457</v>
      </c>
      <c r="R41" s="11">
        <f ca="1" t="shared" si="19"/>
        <v>0.706633381708667</v>
      </c>
      <c r="S41" s="12">
        <f ca="1" t="shared" si="20"/>
        <v>15.7020445763148</v>
      </c>
      <c r="T41" s="11">
        <f ca="1" t="shared" si="21"/>
        <v>0.460734223733286</v>
      </c>
      <c r="U41" s="12">
        <f ca="1" t="shared" si="22"/>
        <v>18.1141999877158</v>
      </c>
      <c r="V41" s="11">
        <f ca="1" t="shared" si="23"/>
        <v>0.399405590150067</v>
      </c>
      <c r="W41" s="12">
        <f ca="1" t="shared" si="24"/>
        <v>20.4151549268544</v>
      </c>
      <c r="X41" s="11">
        <f ca="1" t="shared" si="25"/>
        <v>0.578166421358399</v>
      </c>
      <c r="Y41" s="12">
        <f ca="1" t="shared" si="26"/>
        <v>23.2272635473299</v>
      </c>
      <c r="Z41" s="19">
        <f ca="1" t="shared" si="27"/>
        <v>38872.1644184717</v>
      </c>
      <c r="AA41" s="19">
        <f ca="1" t="shared" si="28"/>
        <v>43665.7247233279</v>
      </c>
      <c r="AB41" s="19">
        <f ca="1" t="shared" si="29"/>
        <v>54981.5607983854</v>
      </c>
      <c r="AC41" s="19">
        <f ca="1" t="shared" si="30"/>
        <v>72034.9580563507</v>
      </c>
      <c r="AD41" s="19">
        <f ca="1" t="shared" si="31"/>
        <v>90886.4480109578</v>
      </c>
      <c r="AE41" s="19">
        <f ca="1" t="shared" si="32"/>
        <v>13007.8530060556</v>
      </c>
      <c r="AF41" s="19">
        <f ca="1" t="shared" si="33"/>
        <v>25864.3114124161</v>
      </c>
      <c r="AG41" s="19">
        <f ca="1" t="shared" si="34"/>
        <v>30657.8717172723</v>
      </c>
      <c r="AH41" s="19">
        <f ca="1" t="shared" si="35"/>
        <v>41973.7077923297</v>
      </c>
      <c r="AI41" s="19">
        <f ca="1" t="shared" si="36"/>
        <v>59027.1050502951</v>
      </c>
      <c r="AJ41" s="19">
        <f ca="1" t="shared" si="37"/>
        <v>77878.5950049021</v>
      </c>
      <c r="AK41" s="19">
        <f ca="1">AF41*$B$4</f>
        <v>12932.155706208</v>
      </c>
      <c r="AL41" s="19">
        <f ca="1">AG41*$B$4</f>
        <v>15328.9358586361</v>
      </c>
      <c r="AM41" s="19">
        <f ca="1">AH41*$B$4</f>
        <v>20986.8538961649</v>
      </c>
      <c r="AN41" s="19">
        <f ca="1">AI41*$B$4</f>
        <v>29513.5525251475</v>
      </c>
      <c r="AO41" s="19">
        <f ca="1">AJ41*$B$4</f>
        <v>38939.2975024511</v>
      </c>
      <c r="AP41" s="19">
        <f ca="1" t="shared" si="38"/>
        <v>12932.155706208</v>
      </c>
      <c r="AQ41" s="19">
        <f ca="1" t="shared" si="39"/>
        <v>15328.9358586361</v>
      </c>
      <c r="AR41" s="19">
        <f ca="1" t="shared" si="40"/>
        <v>20986.8538961649</v>
      </c>
      <c r="AS41" s="19">
        <f ca="1" t="shared" si="41"/>
        <v>29513.5525251475</v>
      </c>
      <c r="AT41" s="19">
        <f ca="1" t="shared" si="42"/>
        <v>38939.2975024511</v>
      </c>
      <c r="AU41" s="19">
        <f ca="1" t="shared" si="43"/>
        <v>41842.5347644531</v>
      </c>
      <c r="AV41" s="19">
        <f ca="1" t="shared" si="44"/>
        <v>-93873.9467886757</v>
      </c>
      <c r="AW41" s="19">
        <f ca="1" t="shared" si="45"/>
        <v>25940.0087122637</v>
      </c>
      <c r="AX41" s="19">
        <f ca="1" t="shared" si="46"/>
        <v>28336.7888646918</v>
      </c>
      <c r="AY41" s="19">
        <f ca="1" t="shared" si="47"/>
        <v>33994.7069022205</v>
      </c>
      <c r="AZ41" s="19">
        <f ca="1" t="shared" si="48"/>
        <v>42521.4055312032</v>
      </c>
      <c r="BA41" s="19">
        <f ca="1" t="shared" si="49"/>
        <v>93789.6852729598</v>
      </c>
      <c r="BB41" s="20">
        <f ca="1" t="shared" si="50"/>
        <v>0.293122625029456</v>
      </c>
      <c r="BC41" s="19">
        <f ca="1">NPV($B$5,AW41:BA41)+AV41</f>
        <v>43403.138731184</v>
      </c>
    </row>
    <row r="42" spans="1:55">
      <c r="A42" s="3">
        <v>18</v>
      </c>
      <c r="B42" s="11">
        <f ca="1" t="shared" si="3"/>
        <v>0.905043871298388</v>
      </c>
      <c r="C42" s="19">
        <f ca="1" t="shared" si="4"/>
        <v>-66162.9904657272</v>
      </c>
      <c r="D42" s="11">
        <f ca="1" t="shared" si="5"/>
        <v>0.144380184043684</v>
      </c>
      <c r="E42" s="19">
        <f ca="1" t="shared" si="6"/>
        <v>-35346.2888350745</v>
      </c>
      <c r="F42" s="11">
        <f ca="1" t="shared" si="7"/>
        <v>0.481830282211739</v>
      </c>
      <c r="G42" s="19">
        <f ca="1" t="shared" si="8"/>
        <v>38501.4435439966</v>
      </c>
      <c r="H42" s="11">
        <f ca="1" t="shared" si="9"/>
        <v>0.175440050159698</v>
      </c>
      <c r="I42" s="19">
        <f ca="1" t="shared" si="10"/>
        <v>35129.9130132932</v>
      </c>
      <c r="J42" s="11">
        <f ca="1" t="shared" si="11"/>
        <v>0.614250130871518</v>
      </c>
      <c r="K42" s="19">
        <f ca="1" t="shared" si="12"/>
        <v>39598.8290760242</v>
      </c>
      <c r="L42" s="11">
        <f ca="1" t="shared" si="13"/>
        <v>0.480313317604607</v>
      </c>
      <c r="M42" s="19">
        <f ca="1" t="shared" si="14"/>
        <v>38488.0502850002</v>
      </c>
      <c r="N42" s="11">
        <f ca="1" t="shared" si="15"/>
        <v>0.955853384846674</v>
      </c>
      <c r="O42" s="19">
        <f ca="1" t="shared" si="16"/>
        <v>43180.385717659</v>
      </c>
      <c r="P42" s="11">
        <f ca="1" t="shared" si="17"/>
        <v>0.919930598962467</v>
      </c>
      <c r="Q42" s="12">
        <f ca="1" t="shared" si="18"/>
        <v>16.7994796050564</v>
      </c>
      <c r="R42" s="11">
        <f ca="1" t="shared" si="19"/>
        <v>0.684250845798443</v>
      </c>
      <c r="S42" s="12">
        <f ca="1" t="shared" si="20"/>
        <v>15.6159939648508</v>
      </c>
      <c r="T42" s="11">
        <f ca="1" t="shared" si="21"/>
        <v>0.673233881286537</v>
      </c>
      <c r="U42" s="12">
        <f ca="1" t="shared" si="22"/>
        <v>18.9751940022578</v>
      </c>
      <c r="V42" s="11">
        <f ca="1" t="shared" si="23"/>
        <v>0.621477615632727</v>
      </c>
      <c r="W42" s="12">
        <f ca="1" t="shared" si="24"/>
        <v>21.3601808488807</v>
      </c>
      <c r="X42" s="11">
        <f ca="1" t="shared" si="25"/>
        <v>0.975112614374155</v>
      </c>
      <c r="Y42" s="12">
        <f ca="1" t="shared" si="26"/>
        <v>26.8407248713978</v>
      </c>
      <c r="Z42" s="19">
        <f ca="1" t="shared" si="27"/>
        <v>44969.4856998226</v>
      </c>
      <c r="AA42" s="19">
        <f ca="1" t="shared" si="28"/>
        <v>47439.0408291102</v>
      </c>
      <c r="AB42" s="19">
        <f ca="1" t="shared" si="29"/>
        <v>63620.5751327141</v>
      </c>
      <c r="AC42" s="19">
        <f ca="1" t="shared" si="30"/>
        <v>75044.2415918573</v>
      </c>
      <c r="AD42" s="19">
        <f ca="1" t="shared" si="31"/>
        <v>106791.501880298</v>
      </c>
      <c r="AE42" s="19">
        <f ca="1" t="shared" si="32"/>
        <v>13232.5980931454</v>
      </c>
      <c r="AF42" s="19">
        <f ca="1" t="shared" si="33"/>
        <v>31736.8876066771</v>
      </c>
      <c r="AG42" s="19">
        <f ca="1" t="shared" si="34"/>
        <v>34206.4427359647</v>
      </c>
      <c r="AH42" s="19">
        <f ca="1" t="shared" si="35"/>
        <v>50387.9770395687</v>
      </c>
      <c r="AI42" s="19">
        <f ca="1" t="shared" si="36"/>
        <v>61811.6434987119</v>
      </c>
      <c r="AJ42" s="19">
        <f ca="1" t="shared" si="37"/>
        <v>93558.9037871527</v>
      </c>
      <c r="AK42" s="19">
        <f ca="1">AF42*$B$4</f>
        <v>15868.4438033386</v>
      </c>
      <c r="AL42" s="19">
        <f ca="1">AG42*$B$4</f>
        <v>17103.2213679824</v>
      </c>
      <c r="AM42" s="19">
        <f ca="1">AH42*$B$4</f>
        <v>25193.9885197843</v>
      </c>
      <c r="AN42" s="19">
        <f ca="1">AI42*$B$4</f>
        <v>30905.8217493559</v>
      </c>
      <c r="AO42" s="19">
        <f ca="1">AJ42*$B$4</f>
        <v>46779.4518935764</v>
      </c>
      <c r="AP42" s="19">
        <f ca="1" t="shared" si="38"/>
        <v>15868.4438033386</v>
      </c>
      <c r="AQ42" s="19">
        <f ca="1" t="shared" si="39"/>
        <v>17103.2213679824</v>
      </c>
      <c r="AR42" s="19">
        <f ca="1" t="shared" si="40"/>
        <v>25193.9885197843</v>
      </c>
      <c r="AS42" s="19">
        <f ca="1" t="shared" si="41"/>
        <v>30905.8217493559</v>
      </c>
      <c r="AT42" s="19">
        <f ca="1" t="shared" si="42"/>
        <v>46779.4518935764</v>
      </c>
      <c r="AU42" s="19">
        <f ca="1" t="shared" si="43"/>
        <v>48578.8869282199</v>
      </c>
      <c r="AV42" s="19">
        <f ca="1" t="shared" si="44"/>
        <v>-101509.279300802</v>
      </c>
      <c r="AW42" s="19">
        <f ca="1" t="shared" si="45"/>
        <v>29101.041896484</v>
      </c>
      <c r="AX42" s="19">
        <f ca="1" t="shared" si="46"/>
        <v>30335.8194611278</v>
      </c>
      <c r="AY42" s="19">
        <f ca="1" t="shared" si="47"/>
        <v>38426.5866129298</v>
      </c>
      <c r="AZ42" s="19">
        <f ca="1" t="shared" si="48"/>
        <v>44138.4198425014</v>
      </c>
      <c r="BA42" s="19">
        <f ca="1" t="shared" si="49"/>
        <v>108590.936914942</v>
      </c>
      <c r="BB42" s="20">
        <f ca="1" t="shared" si="50"/>
        <v>0.304181896629926</v>
      </c>
      <c r="BC42" s="19">
        <f ca="1">NPV($B$5,AW42:BA42)+AV42</f>
        <v>51225.4890536247</v>
      </c>
    </row>
    <row r="43" spans="1:55">
      <c r="A43" s="3">
        <v>19</v>
      </c>
      <c r="B43" s="11">
        <f ca="1" t="shared" si="3"/>
        <v>0.873146679978303</v>
      </c>
      <c r="C43" s="19">
        <f ca="1" t="shared" si="4"/>
        <v>-67123.2947439144</v>
      </c>
      <c r="D43" s="11">
        <f ca="1" t="shared" si="5"/>
        <v>0.781688718517917</v>
      </c>
      <c r="E43" s="19">
        <f ca="1" t="shared" si="6"/>
        <v>-29046.3991537114</v>
      </c>
      <c r="F43" s="11">
        <f ca="1" t="shared" si="7"/>
        <v>0.720147450018366</v>
      </c>
      <c r="G43" s="19">
        <f ca="1" t="shared" si="8"/>
        <v>40418.6310726353</v>
      </c>
      <c r="H43" s="11">
        <f ca="1" t="shared" si="9"/>
        <v>0.605926178837253</v>
      </c>
      <c r="I43" s="19">
        <f ca="1" t="shared" si="10"/>
        <v>39533.5684203549</v>
      </c>
      <c r="J43" s="11">
        <f ca="1" t="shared" si="11"/>
        <v>0.795274495455</v>
      </c>
      <c r="K43" s="19">
        <f ca="1" t="shared" si="12"/>
        <v>41081.5292726786</v>
      </c>
      <c r="L43" s="11">
        <f ca="1" t="shared" si="13"/>
        <v>0.355826788199394</v>
      </c>
      <c r="M43" s="19">
        <f ca="1" t="shared" si="14"/>
        <v>37305.7524068305</v>
      </c>
      <c r="N43" s="11">
        <f ca="1" t="shared" si="15"/>
        <v>0.460537689592053</v>
      </c>
      <c r="O43" s="19">
        <f ca="1" t="shared" si="16"/>
        <v>38311.4772115917</v>
      </c>
      <c r="P43" s="11">
        <f ca="1" t="shared" si="17"/>
        <v>0.749981088967741</v>
      </c>
      <c r="Q43" s="12">
        <f ca="1" t="shared" si="18"/>
        <v>15.8785994252427</v>
      </c>
      <c r="R43" s="11">
        <f ca="1" t="shared" si="19"/>
        <v>0.0111448417167941</v>
      </c>
      <c r="S43" s="12">
        <f ca="1" t="shared" si="20"/>
        <v>12.4478918964463</v>
      </c>
      <c r="T43" s="11">
        <f ca="1" t="shared" si="21"/>
        <v>0.685990394558303</v>
      </c>
      <c r="U43" s="12">
        <f ca="1" t="shared" si="22"/>
        <v>19.0348239592956</v>
      </c>
      <c r="V43" s="11">
        <f ca="1" t="shared" si="23"/>
        <v>0.491097548168618</v>
      </c>
      <c r="W43" s="12">
        <f ca="1" t="shared" si="24"/>
        <v>20.7796225507547</v>
      </c>
      <c r="X43" s="11">
        <f ca="1" t="shared" si="25"/>
        <v>0.303125310943553</v>
      </c>
      <c r="Y43" s="12">
        <f ca="1" t="shared" si="26"/>
        <v>21.860836135726</v>
      </c>
      <c r="Z43" s="19">
        <f ca="1" t="shared" si="27"/>
        <v>46836.5435938258</v>
      </c>
      <c r="AA43" s="19">
        <f ca="1" t="shared" si="28"/>
        <v>51513.4423470063</v>
      </c>
      <c r="AB43" s="19">
        <f ca="1" t="shared" si="29"/>
        <v>63719.9155249306</v>
      </c>
      <c r="AC43" s="19">
        <f ca="1" t="shared" si="30"/>
        <v>69887.2675875807</v>
      </c>
      <c r="AD43" s="19">
        <f ca="1" t="shared" si="31"/>
        <v>87461.1752698222</v>
      </c>
      <c r="AE43" s="19">
        <f ca="1" t="shared" si="32"/>
        <v>13424.6589487829</v>
      </c>
      <c r="AF43" s="19">
        <f ca="1" t="shared" si="33"/>
        <v>33411.8846450429</v>
      </c>
      <c r="AG43" s="19">
        <f ca="1" t="shared" si="34"/>
        <v>38088.7833982234</v>
      </c>
      <c r="AH43" s="19">
        <f ca="1" t="shared" si="35"/>
        <v>50295.2565761477</v>
      </c>
      <c r="AI43" s="19">
        <f ca="1" t="shared" si="36"/>
        <v>56462.6086387978</v>
      </c>
      <c r="AJ43" s="19">
        <f ca="1" t="shared" si="37"/>
        <v>74036.5163210393</v>
      </c>
      <c r="AK43" s="19">
        <f ca="1">AF43*$B$4</f>
        <v>16705.9423225214</v>
      </c>
      <c r="AL43" s="19">
        <f ca="1">AG43*$B$4</f>
        <v>19044.3916991117</v>
      </c>
      <c r="AM43" s="19">
        <f ca="1">AH43*$B$4</f>
        <v>25147.6282880739</v>
      </c>
      <c r="AN43" s="19">
        <f ca="1">AI43*$B$4</f>
        <v>28231.3043193989</v>
      </c>
      <c r="AO43" s="19">
        <f ca="1">AJ43*$B$4</f>
        <v>37018.2581605197</v>
      </c>
      <c r="AP43" s="19">
        <f ca="1" t="shared" si="38"/>
        <v>16705.9423225214</v>
      </c>
      <c r="AQ43" s="19">
        <f ca="1" t="shared" si="39"/>
        <v>19044.3916991117</v>
      </c>
      <c r="AR43" s="19">
        <f ca="1" t="shared" si="40"/>
        <v>25147.6282880739</v>
      </c>
      <c r="AS43" s="19">
        <f ca="1" t="shared" si="41"/>
        <v>28231.3043193989</v>
      </c>
      <c r="AT43" s="19">
        <f ca="1" t="shared" si="42"/>
        <v>37018.2581605197</v>
      </c>
      <c r="AU43" s="19">
        <f ca="1" t="shared" si="43"/>
        <v>42471.0581024943</v>
      </c>
      <c r="AV43" s="19">
        <f ca="1" t="shared" si="44"/>
        <v>-96169.6938976258</v>
      </c>
      <c r="AW43" s="19">
        <f ca="1" t="shared" si="45"/>
        <v>30130.6012713043</v>
      </c>
      <c r="AX43" s="19">
        <f ca="1" t="shared" si="46"/>
        <v>32469.0506478946</v>
      </c>
      <c r="AY43" s="19">
        <f ca="1" t="shared" si="47"/>
        <v>38572.2872368567</v>
      </c>
      <c r="AZ43" s="19">
        <f ca="1" t="shared" si="48"/>
        <v>41655.9632681818</v>
      </c>
      <c r="BA43" s="19">
        <f ca="1" t="shared" si="49"/>
        <v>92913.9752117968</v>
      </c>
      <c r="BB43" s="20">
        <f ca="1" t="shared" si="50"/>
        <v>0.315197855058624</v>
      </c>
      <c r="BC43" s="19">
        <f ca="1">NPV($B$5,AW43:BA43)+AV43</f>
        <v>49955.6000140678</v>
      </c>
    </row>
    <row r="44" spans="1:55">
      <c r="A44" s="3">
        <v>20</v>
      </c>
      <c r="B44" s="11">
        <f ca="1" t="shared" si="3"/>
        <v>0.940158998276443</v>
      </c>
      <c r="C44" s="19">
        <f ca="1" t="shared" si="4"/>
        <v>-64892.4841021124</v>
      </c>
      <c r="D44" s="11">
        <f ca="1" t="shared" si="5"/>
        <v>0.490698567257153</v>
      </c>
      <c r="E44" s="19">
        <f ca="1" t="shared" si="6"/>
        <v>-31420.6768863405</v>
      </c>
      <c r="F44" s="11">
        <f ca="1" t="shared" si="7"/>
        <v>0.461769867252465</v>
      </c>
      <c r="G44" s="19">
        <f ca="1" t="shared" si="8"/>
        <v>38322.5885449102</v>
      </c>
      <c r="H44" s="11">
        <f ca="1" t="shared" si="9"/>
        <v>0.140507204117571</v>
      </c>
      <c r="I44" s="19">
        <f ca="1" t="shared" si="10"/>
        <v>34590.8692660144</v>
      </c>
      <c r="J44" s="11">
        <f ca="1" t="shared" si="11"/>
        <v>0.234580910284912</v>
      </c>
      <c r="K44" s="19">
        <f ca="1" t="shared" si="12"/>
        <v>35931.8746229785</v>
      </c>
      <c r="L44" s="11">
        <f ca="1" t="shared" si="13"/>
        <v>0.841705861744572</v>
      </c>
      <c r="M44" s="19">
        <f ca="1" t="shared" si="14"/>
        <v>41554.4143648493</v>
      </c>
      <c r="N44" s="11">
        <f ca="1" t="shared" si="15"/>
        <v>0.545884380247494</v>
      </c>
      <c r="O44" s="19">
        <f ca="1" t="shared" si="16"/>
        <v>39048.9036372991</v>
      </c>
      <c r="P44" s="11">
        <f ca="1" t="shared" si="17"/>
        <v>0.656200795868442</v>
      </c>
      <c r="Q44" s="12">
        <f ca="1" t="shared" si="18"/>
        <v>15.5123533863573</v>
      </c>
      <c r="R44" s="11">
        <f ca="1" t="shared" si="19"/>
        <v>0.878136852493641</v>
      </c>
      <c r="S44" s="12">
        <f ca="1" t="shared" si="20"/>
        <v>16.5189406983127</v>
      </c>
      <c r="T44" s="11">
        <f ca="1" t="shared" si="21"/>
        <v>0.936607388049534</v>
      </c>
      <c r="U44" s="12">
        <f ca="1" t="shared" si="22"/>
        <v>20.6677113170889</v>
      </c>
      <c r="V44" s="11">
        <f ca="1" t="shared" si="23"/>
        <v>0.456404621449028</v>
      </c>
      <c r="W44" s="12">
        <f ca="1" t="shared" si="24"/>
        <v>20.6381382129549</v>
      </c>
      <c r="X44" s="11">
        <f ca="1" t="shared" si="25"/>
        <v>0.93176386348814</v>
      </c>
      <c r="Y44" s="12">
        <f ca="1" t="shared" si="26"/>
        <v>26.0804293783139</v>
      </c>
      <c r="Z44" s="19">
        <f ca="1" t="shared" si="27"/>
        <v>44267.3239067963</v>
      </c>
      <c r="AA44" s="19">
        <f ca="1" t="shared" si="28"/>
        <v>46557.155208201</v>
      </c>
      <c r="AB44" s="19">
        <f ca="1" t="shared" si="29"/>
        <v>58357.396837953</v>
      </c>
      <c r="AC44" s="19">
        <f ca="1" t="shared" si="30"/>
        <v>81417.5121461944</v>
      </c>
      <c r="AD44" s="19">
        <f ca="1" t="shared" si="31"/>
        <v>96462.2051015092</v>
      </c>
      <c r="AE44" s="19">
        <f ca="1" t="shared" si="32"/>
        <v>12978.4968204225</v>
      </c>
      <c r="AF44" s="19">
        <f ca="1" t="shared" si="33"/>
        <v>31288.8270863738</v>
      </c>
      <c r="AG44" s="19">
        <f ca="1" t="shared" si="34"/>
        <v>33578.6583877786</v>
      </c>
      <c r="AH44" s="19">
        <f ca="1" t="shared" si="35"/>
        <v>45378.9000175305</v>
      </c>
      <c r="AI44" s="19">
        <f ca="1" t="shared" si="36"/>
        <v>68439.0153257719</v>
      </c>
      <c r="AJ44" s="19">
        <f ca="1" t="shared" si="37"/>
        <v>83483.7082810867</v>
      </c>
      <c r="AK44" s="19">
        <f ca="1">AF44*$B$4</f>
        <v>15644.4135431869</v>
      </c>
      <c r="AL44" s="19">
        <f ca="1">AG44*$B$4</f>
        <v>16789.3291938893</v>
      </c>
      <c r="AM44" s="19">
        <f ca="1">AH44*$B$4</f>
        <v>22689.4500087653</v>
      </c>
      <c r="AN44" s="19">
        <f ca="1">AI44*$B$4</f>
        <v>34219.507662886</v>
      </c>
      <c r="AO44" s="19">
        <f ca="1">AJ44*$B$4</f>
        <v>41741.8541405433</v>
      </c>
      <c r="AP44" s="19">
        <f ca="1" t="shared" si="38"/>
        <v>15644.4135431869</v>
      </c>
      <c r="AQ44" s="19">
        <f ca="1" t="shared" si="39"/>
        <v>16789.3291938893</v>
      </c>
      <c r="AR44" s="19">
        <f ca="1" t="shared" si="40"/>
        <v>22689.4500087653</v>
      </c>
      <c r="AS44" s="19">
        <f ca="1" t="shared" si="41"/>
        <v>34219.507662886</v>
      </c>
      <c r="AT44" s="19">
        <f ca="1" t="shared" si="42"/>
        <v>41741.8541405433</v>
      </c>
      <c r="AU44" s="19">
        <f ca="1" t="shared" si="43"/>
        <v>44399.1737067629</v>
      </c>
      <c r="AV44" s="19">
        <f ca="1" t="shared" si="44"/>
        <v>-96313.1609884529</v>
      </c>
      <c r="AW44" s="19">
        <f ca="1" t="shared" si="45"/>
        <v>28622.9103636094</v>
      </c>
      <c r="AX44" s="19">
        <f ca="1" t="shared" si="46"/>
        <v>29767.8260143118</v>
      </c>
      <c r="AY44" s="19">
        <f ca="1" t="shared" si="47"/>
        <v>35667.9468291877</v>
      </c>
      <c r="AZ44" s="19">
        <f ca="1" t="shared" si="48"/>
        <v>47198.0044833084</v>
      </c>
      <c r="BA44" s="19">
        <f ca="1" t="shared" si="49"/>
        <v>99119.5246677288</v>
      </c>
      <c r="BB44" s="20">
        <f ca="1" t="shared" si="50"/>
        <v>0.312070850106865</v>
      </c>
      <c r="BC44" s="19">
        <f ca="1">NPV($B$5,AW44:BA44)+AV44</f>
        <v>50802.8673593432</v>
      </c>
    </row>
    <row r="45" spans="1:55">
      <c r="A45" s="3">
        <v>21</v>
      </c>
      <c r="B45" s="11">
        <f ca="1" t="shared" si="3"/>
        <v>0.568463771534117</v>
      </c>
      <c r="C45" s="19">
        <f ca="1" t="shared" si="4"/>
        <v>-73881.8736154191</v>
      </c>
      <c r="D45" s="11">
        <f ca="1" t="shared" si="5"/>
        <v>0.615290461175611</v>
      </c>
      <c r="E45" s="19">
        <f ca="1" t="shared" si="6"/>
        <v>-30393.0457908689</v>
      </c>
      <c r="F45" s="11">
        <f ca="1" t="shared" si="7"/>
        <v>0.428662748074068</v>
      </c>
      <c r="G45" s="19">
        <f ca="1" t="shared" si="8"/>
        <v>38018.6914276028</v>
      </c>
      <c r="H45" s="11">
        <f ca="1" t="shared" si="9"/>
        <v>0.125032302443977</v>
      </c>
      <c r="I45" s="19">
        <f ca="1" t="shared" si="10"/>
        <v>34330.6864775225</v>
      </c>
      <c r="J45" s="11">
        <f ca="1" t="shared" si="11"/>
        <v>0.143887407975124</v>
      </c>
      <c r="K45" s="19">
        <f ca="1" t="shared" si="12"/>
        <v>34645.7627141588</v>
      </c>
      <c r="L45" s="11">
        <f ca="1" t="shared" si="13"/>
        <v>0.813316749591487</v>
      </c>
      <c r="M45" s="19">
        <f ca="1" t="shared" si="14"/>
        <v>41258.1764097384</v>
      </c>
      <c r="N45" s="11">
        <f ca="1" t="shared" si="15"/>
        <v>0.616980497679515</v>
      </c>
      <c r="O45" s="19">
        <f ca="1" t="shared" si="16"/>
        <v>39620.1390141685</v>
      </c>
      <c r="P45" s="11">
        <f ca="1" t="shared" si="17"/>
        <v>0.801305067449899</v>
      </c>
      <c r="Q45" s="12">
        <f ca="1" t="shared" si="18"/>
        <v>16.1088340141855</v>
      </c>
      <c r="R45" s="11">
        <f ca="1" t="shared" si="19"/>
        <v>0.953244880315973</v>
      </c>
      <c r="S45" s="12">
        <f ca="1" t="shared" si="20"/>
        <v>17.0826166808185</v>
      </c>
      <c r="T45" s="11">
        <f ca="1" t="shared" si="21"/>
        <v>0.785173856211933</v>
      </c>
      <c r="U45" s="12">
        <f ca="1" t="shared" si="22"/>
        <v>19.5474233903778</v>
      </c>
      <c r="V45" s="11">
        <f ca="1" t="shared" si="23"/>
        <v>0.229891886866311</v>
      </c>
      <c r="W45" s="12">
        <f ca="1" t="shared" si="24"/>
        <v>19.7940140512628</v>
      </c>
      <c r="X45" s="11">
        <f ca="1" t="shared" si="25"/>
        <v>0.0918082573307621</v>
      </c>
      <c r="Y45" s="12">
        <f ca="1" t="shared" si="26"/>
        <v>20.5744278160432</v>
      </c>
      <c r="Z45" s="19">
        <f ca="1" t="shared" si="27"/>
        <v>44143.0593240407</v>
      </c>
      <c r="AA45" s="19">
        <f ca="1" t="shared" si="28"/>
        <v>46670.254742308</v>
      </c>
      <c r="AB45" s="19">
        <f ca="1" t="shared" si="29"/>
        <v>56305.1384288904</v>
      </c>
      <c r="AC45" s="19">
        <f ca="1" t="shared" si="30"/>
        <v>80323.5787521192</v>
      </c>
      <c r="AD45" s="19">
        <f ca="1" t="shared" si="31"/>
        <v>93004.5564873919</v>
      </c>
      <c r="AE45" s="19">
        <f ca="1" t="shared" si="32"/>
        <v>14776.3747230838</v>
      </c>
      <c r="AF45" s="19">
        <f ca="1" t="shared" si="33"/>
        <v>29366.6846009568</v>
      </c>
      <c r="AG45" s="19">
        <f ca="1" t="shared" si="34"/>
        <v>31893.8800192242</v>
      </c>
      <c r="AH45" s="19">
        <f ca="1" t="shared" si="35"/>
        <v>41528.7637058066</v>
      </c>
      <c r="AI45" s="19">
        <f ca="1" t="shared" si="36"/>
        <v>65547.2040290353</v>
      </c>
      <c r="AJ45" s="19">
        <f ca="1" t="shared" si="37"/>
        <v>78228.1817643081</v>
      </c>
      <c r="AK45" s="19">
        <f ca="1">AF45*$B$4</f>
        <v>14683.3423004784</v>
      </c>
      <c r="AL45" s="19">
        <f ca="1">AG45*$B$4</f>
        <v>15946.9400096121</v>
      </c>
      <c r="AM45" s="19">
        <f ca="1">AH45*$B$4</f>
        <v>20764.3818529033</v>
      </c>
      <c r="AN45" s="19">
        <f ca="1">AI45*$B$4</f>
        <v>32773.6020145177</v>
      </c>
      <c r="AO45" s="19">
        <f ca="1">AJ45*$B$4</f>
        <v>39114.090882154</v>
      </c>
      <c r="AP45" s="19">
        <f ca="1" t="shared" si="38"/>
        <v>14683.3423004784</v>
      </c>
      <c r="AQ45" s="19">
        <f ca="1" t="shared" si="39"/>
        <v>15946.9400096121</v>
      </c>
      <c r="AR45" s="19">
        <f ca="1" t="shared" si="40"/>
        <v>20764.3818529033</v>
      </c>
      <c r="AS45" s="19">
        <f ca="1" t="shared" si="41"/>
        <v>32773.6020145177</v>
      </c>
      <c r="AT45" s="19">
        <f ca="1" t="shared" si="42"/>
        <v>39114.090882154</v>
      </c>
      <c r="AU45" s="19">
        <f ca="1" t="shared" si="43"/>
        <v>45169.4205139527</v>
      </c>
      <c r="AV45" s="19">
        <f ca="1" t="shared" si="44"/>
        <v>-104274.919406288</v>
      </c>
      <c r="AW45" s="19">
        <f ca="1" t="shared" si="45"/>
        <v>29459.7170235622</v>
      </c>
      <c r="AX45" s="19">
        <f ca="1" t="shared" si="46"/>
        <v>30723.3147326959</v>
      </c>
      <c r="AY45" s="19">
        <f ca="1" t="shared" si="47"/>
        <v>35540.7565759871</v>
      </c>
      <c r="AZ45" s="19">
        <f ca="1" t="shared" si="48"/>
        <v>47549.9767376015</v>
      </c>
      <c r="BA45" s="19">
        <f ca="1" t="shared" si="49"/>
        <v>99059.8861191906</v>
      </c>
      <c r="BB45" s="20">
        <f ca="1" t="shared" si="50"/>
        <v>0.28388616011756</v>
      </c>
      <c r="BC45" s="19">
        <f ca="1">NPV($B$5,AW45:BA45)+AV45</f>
        <v>44379.2143740682</v>
      </c>
    </row>
    <row r="46" spans="1:55">
      <c r="A46" s="3">
        <v>22</v>
      </c>
      <c r="B46" s="11">
        <f ca="1" t="shared" si="3"/>
        <v>0.242809381596125</v>
      </c>
      <c r="C46" s="19">
        <f ca="1" t="shared" si="4"/>
        <v>-82930.3995970805</v>
      </c>
      <c r="D46" s="11">
        <f ca="1" t="shared" si="5"/>
        <v>0.803945735796669</v>
      </c>
      <c r="E46" s="19">
        <f ca="1" t="shared" si="6"/>
        <v>-28834.5886109529</v>
      </c>
      <c r="F46" s="11">
        <f ca="1" t="shared" si="7"/>
        <v>0.605729348401832</v>
      </c>
      <c r="G46" s="19">
        <f ca="1" t="shared" si="8"/>
        <v>39532.01984158</v>
      </c>
      <c r="H46" s="11">
        <f ca="1" t="shared" si="9"/>
        <v>0.838981143278513</v>
      </c>
      <c r="I46" s="19">
        <f ca="1" t="shared" si="10"/>
        <v>41524.8864401128</v>
      </c>
      <c r="J46" s="11">
        <f ca="1" t="shared" si="11"/>
        <v>0.595317746309142</v>
      </c>
      <c r="K46" s="19">
        <f ca="1" t="shared" si="12"/>
        <v>39449.7440148594</v>
      </c>
      <c r="L46" s="11">
        <f ca="1" t="shared" si="13"/>
        <v>0.957296793086962</v>
      </c>
      <c r="M46" s="19">
        <f ca="1" t="shared" si="14"/>
        <v>43210.3797837312</v>
      </c>
      <c r="N46" s="11">
        <f ca="1" t="shared" si="15"/>
        <v>0.420270412817221</v>
      </c>
      <c r="O46" s="19">
        <f ca="1" t="shared" si="16"/>
        <v>37939.8086829963</v>
      </c>
      <c r="P46" s="11">
        <f ca="1" t="shared" si="17"/>
        <v>0.15489062920243</v>
      </c>
      <c r="Q46" s="12">
        <f ca="1" t="shared" si="18"/>
        <v>13.6697398976019</v>
      </c>
      <c r="R46" s="11">
        <f ca="1" t="shared" si="19"/>
        <v>0.953769745414594</v>
      </c>
      <c r="S46" s="12">
        <f ca="1" t="shared" si="20"/>
        <v>17.0877804088174</v>
      </c>
      <c r="T46" s="11">
        <f ca="1" t="shared" si="21"/>
        <v>0.565923451446558</v>
      </c>
      <c r="U46" s="12">
        <f ca="1" t="shared" si="22"/>
        <v>18.5137206997292</v>
      </c>
      <c r="V46" s="11">
        <f ca="1" t="shared" si="23"/>
        <v>0.667858716837068</v>
      </c>
      <c r="W46" s="12">
        <f ca="1" t="shared" si="24"/>
        <v>21.5904626544496</v>
      </c>
      <c r="X46" s="11">
        <f ca="1" t="shared" si="25"/>
        <v>0.965671042105303</v>
      </c>
      <c r="Y46" s="12">
        <f ca="1" t="shared" si="26"/>
        <v>26.6384700788034</v>
      </c>
      <c r="Z46" s="19">
        <f ca="1" t="shared" si="27"/>
        <v>44935.9441301924</v>
      </c>
      <c r="AA46" s="19">
        <f ca="1" t="shared" si="28"/>
        <v>55266.8730118436</v>
      </c>
      <c r="AB46" s="19">
        <f ca="1" t="shared" si="29"/>
        <v>62225.6242095389</v>
      </c>
      <c r="AC46" s="19">
        <f ca="1" t="shared" si="30"/>
        <v>82872.924859071</v>
      </c>
      <c r="AD46" s="19">
        <f ca="1" t="shared" si="31"/>
        <v>92147.8857369875</v>
      </c>
      <c r="AE46" s="19">
        <f ca="1" t="shared" si="32"/>
        <v>16586.0799194161</v>
      </c>
      <c r="AF46" s="19">
        <f ca="1" t="shared" si="33"/>
        <v>28349.8642107763</v>
      </c>
      <c r="AG46" s="19">
        <f ca="1" t="shared" si="34"/>
        <v>38680.7930924275</v>
      </c>
      <c r="AH46" s="19">
        <f ca="1" t="shared" si="35"/>
        <v>45639.5442901228</v>
      </c>
      <c r="AI46" s="19">
        <f ca="1" t="shared" si="36"/>
        <v>66286.8449396549</v>
      </c>
      <c r="AJ46" s="19">
        <f ca="1" t="shared" si="37"/>
        <v>75561.8058175714</v>
      </c>
      <c r="AK46" s="19">
        <f ca="1">AF46*$B$4</f>
        <v>14174.9321053881</v>
      </c>
      <c r="AL46" s="19">
        <f ca="1">AG46*$B$4</f>
        <v>19340.3965462137</v>
      </c>
      <c r="AM46" s="19">
        <f ca="1">AH46*$B$4</f>
        <v>22819.7721450614</v>
      </c>
      <c r="AN46" s="19">
        <f ca="1">AI46*$B$4</f>
        <v>33143.4224698274</v>
      </c>
      <c r="AO46" s="19">
        <f ca="1">AJ46*$B$4</f>
        <v>37780.9029087857</v>
      </c>
      <c r="AP46" s="19">
        <f ca="1" t="shared" si="38"/>
        <v>14174.9321053881</v>
      </c>
      <c r="AQ46" s="19">
        <f ca="1" t="shared" si="39"/>
        <v>19340.3965462137</v>
      </c>
      <c r="AR46" s="19">
        <f ca="1" t="shared" si="40"/>
        <v>22819.7721450614</v>
      </c>
      <c r="AS46" s="19">
        <f ca="1" t="shared" si="41"/>
        <v>33143.4224698274</v>
      </c>
      <c r="AT46" s="19">
        <f ca="1" t="shared" si="42"/>
        <v>37780.9029087857</v>
      </c>
      <c r="AU46" s="19">
        <f ca="1" t="shared" si="43"/>
        <v>45420.668530369</v>
      </c>
      <c r="AV46" s="19">
        <f ca="1" t="shared" si="44"/>
        <v>-111764.988208033</v>
      </c>
      <c r="AW46" s="19">
        <f ca="1" t="shared" si="45"/>
        <v>30761.0120248042</v>
      </c>
      <c r="AX46" s="19">
        <f ca="1" t="shared" si="46"/>
        <v>35926.4764656298</v>
      </c>
      <c r="AY46" s="19">
        <f ca="1" t="shared" si="47"/>
        <v>39405.8520644775</v>
      </c>
      <c r="AZ46" s="19">
        <f ca="1" t="shared" si="48"/>
        <v>49729.5023892435</v>
      </c>
      <c r="BA46" s="19">
        <f ca="1" t="shared" si="49"/>
        <v>99787.6513585708</v>
      </c>
      <c r="BB46" s="20">
        <f ca="1" t="shared" si="50"/>
        <v>0.28206717603525</v>
      </c>
      <c r="BC46" s="19">
        <f ca="1">NPV($B$5,AW46:BA46)+AV46</f>
        <v>46104.3860717873</v>
      </c>
    </row>
    <row r="47" spans="1:55">
      <c r="A47" s="3">
        <v>23</v>
      </c>
      <c r="B47" s="11">
        <f ca="1" t="shared" si="3"/>
        <v>0.53630133446473</v>
      </c>
      <c r="C47" s="19">
        <f ca="1" t="shared" si="4"/>
        <v>-74631.4840529116</v>
      </c>
      <c r="D47" s="11">
        <f ca="1" t="shared" si="5"/>
        <v>0.0238987667640924</v>
      </c>
      <c r="E47" s="19">
        <f ca="1" t="shared" si="6"/>
        <v>-38106.6392275602</v>
      </c>
      <c r="F47" s="11">
        <f ca="1" t="shared" si="7"/>
        <v>0.436181783065997</v>
      </c>
      <c r="G47" s="19">
        <f ca="1" t="shared" si="8"/>
        <v>38088.7123486931</v>
      </c>
      <c r="H47" s="11">
        <f ca="1" t="shared" si="9"/>
        <v>0.768154812860934</v>
      </c>
      <c r="I47" s="19">
        <f ca="1" t="shared" si="10"/>
        <v>40830.0612671851</v>
      </c>
      <c r="J47" s="11">
        <f ca="1" t="shared" si="11"/>
        <v>0.502662305157628</v>
      </c>
      <c r="K47" s="19">
        <f ca="1" t="shared" si="12"/>
        <v>38683.2796669026</v>
      </c>
      <c r="L47" s="11">
        <f ca="1" t="shared" si="13"/>
        <v>0.682108265776783</v>
      </c>
      <c r="M47" s="19">
        <f ca="1" t="shared" si="14"/>
        <v>40117.1852311662</v>
      </c>
      <c r="N47" s="11">
        <f ca="1" t="shared" si="15"/>
        <v>0.0827153796015621</v>
      </c>
      <c r="O47" s="19">
        <f ca="1" t="shared" si="16"/>
        <v>33522.4007353273</v>
      </c>
      <c r="P47" s="11">
        <f ca="1" t="shared" si="17"/>
        <v>0.90625634804926</v>
      </c>
      <c r="Q47" s="12">
        <f ca="1" t="shared" si="18"/>
        <v>16.7010058756433</v>
      </c>
      <c r="R47" s="11">
        <f ca="1" t="shared" si="19"/>
        <v>0.973536117233748</v>
      </c>
      <c r="S47" s="12">
        <f ca="1" t="shared" si="20"/>
        <v>17.3098189441947</v>
      </c>
      <c r="T47" s="11">
        <f ca="1" t="shared" si="21"/>
        <v>0.999894786105284</v>
      </c>
      <c r="U47" s="12">
        <f ca="1" t="shared" si="22"/>
        <v>21.9457230338721</v>
      </c>
      <c r="V47" s="11">
        <f ca="1" t="shared" si="23"/>
        <v>0.993899886108158</v>
      </c>
      <c r="W47" s="12">
        <f ca="1" t="shared" si="24"/>
        <v>24.5379350844151</v>
      </c>
      <c r="X47" s="11">
        <f ca="1" t="shared" si="25"/>
        <v>0.358729624920842</v>
      </c>
      <c r="Y47" s="12">
        <f ca="1" t="shared" si="26"/>
        <v>22.1153929396879</v>
      </c>
      <c r="Z47" s="19">
        <f ca="1" t="shared" si="27"/>
        <v>44449.9104360051</v>
      </c>
      <c r="AA47" s="19">
        <f ca="1" t="shared" si="28"/>
        <v>55897.0637865499</v>
      </c>
      <c r="AB47" s="19">
        <f ca="1" t="shared" si="29"/>
        <v>64580.1165481582</v>
      </c>
      <c r="AC47" s="19">
        <f ca="1" t="shared" si="30"/>
        <v>83407.989169841</v>
      </c>
      <c r="AD47" s="19">
        <f ca="1" t="shared" si="31"/>
        <v>85110.4177481149</v>
      </c>
      <c r="AE47" s="19">
        <f ca="1" t="shared" si="32"/>
        <v>14926.2968105823</v>
      </c>
      <c r="AF47" s="19">
        <f ca="1" t="shared" si="33"/>
        <v>29523.6136254228</v>
      </c>
      <c r="AG47" s="19">
        <f ca="1" t="shared" si="34"/>
        <v>40970.7669759676</v>
      </c>
      <c r="AH47" s="19">
        <f ca="1" t="shared" si="35"/>
        <v>49653.8197375759</v>
      </c>
      <c r="AI47" s="19">
        <f ca="1" t="shared" si="36"/>
        <v>68481.6923592586</v>
      </c>
      <c r="AJ47" s="19">
        <f ca="1" t="shared" si="37"/>
        <v>70184.1209375326</v>
      </c>
      <c r="AK47" s="19">
        <f ca="1">AF47*$B$4</f>
        <v>14761.8068127114</v>
      </c>
      <c r="AL47" s="19">
        <f ca="1">AG47*$B$4</f>
        <v>20485.3834879838</v>
      </c>
      <c r="AM47" s="19">
        <f ca="1">AH47*$B$4</f>
        <v>24826.9098687879</v>
      </c>
      <c r="AN47" s="19">
        <f ca="1">AI47*$B$4</f>
        <v>34240.8461796293</v>
      </c>
      <c r="AO47" s="19">
        <f ca="1">AJ47*$B$4</f>
        <v>35092.0604687663</v>
      </c>
      <c r="AP47" s="19">
        <f ca="1" t="shared" si="38"/>
        <v>14761.8068127114</v>
      </c>
      <c r="AQ47" s="19">
        <f ca="1" t="shared" si="39"/>
        <v>20485.3834879838</v>
      </c>
      <c r="AR47" s="19">
        <f ca="1" t="shared" si="40"/>
        <v>24826.9098687879</v>
      </c>
      <c r="AS47" s="19">
        <f ca="1" t="shared" si="41"/>
        <v>34240.8461796293</v>
      </c>
      <c r="AT47" s="19">
        <f ca="1" t="shared" si="42"/>
        <v>35092.0604687663</v>
      </c>
      <c r="AU47" s="19">
        <f ca="1" t="shared" si="43"/>
        <v>53032.9360381425</v>
      </c>
      <c r="AV47" s="19">
        <f ca="1" t="shared" si="44"/>
        <v>-112738.123280472</v>
      </c>
      <c r="AW47" s="19">
        <f ca="1" t="shared" si="45"/>
        <v>29688.1036232937</v>
      </c>
      <c r="AX47" s="19">
        <f ca="1" t="shared" si="46"/>
        <v>35411.6802985661</v>
      </c>
      <c r="AY47" s="19">
        <f ca="1" t="shared" si="47"/>
        <v>39753.2066793703</v>
      </c>
      <c r="AZ47" s="19">
        <f ca="1" t="shared" si="48"/>
        <v>49167.1429902117</v>
      </c>
      <c r="BA47" s="19">
        <f ca="1" t="shared" si="49"/>
        <v>103051.293317491</v>
      </c>
      <c r="BB47" s="20">
        <f ca="1" t="shared" si="50"/>
        <v>0.277548049498193</v>
      </c>
      <c r="BC47" s="19">
        <f ca="1">NPV($B$5,AW47:BA47)+AV47</f>
        <v>45338.494650709</v>
      </c>
    </row>
    <row r="48" spans="1:55">
      <c r="A48" s="3">
        <v>24</v>
      </c>
      <c r="B48" s="11">
        <f ca="1" t="shared" si="3"/>
        <v>0.139150571853101</v>
      </c>
      <c r="C48" s="19">
        <f ca="1" t="shared" si="4"/>
        <v>-87077.8993107266</v>
      </c>
      <c r="D48" s="11">
        <f ca="1" t="shared" si="5"/>
        <v>0.174242803592112</v>
      </c>
      <c r="E48" s="19">
        <f ca="1" t="shared" si="6"/>
        <v>-34887.6208533779</v>
      </c>
      <c r="F48" s="11">
        <f ca="1" t="shared" si="7"/>
        <v>0.987997013188479</v>
      </c>
      <c r="G48" s="19">
        <f ca="1" t="shared" si="8"/>
        <v>44051.1986452033</v>
      </c>
      <c r="H48" s="11">
        <f ca="1" t="shared" si="9"/>
        <v>0.831241937625372</v>
      </c>
      <c r="I48" s="19">
        <f ca="1" t="shared" si="10"/>
        <v>41442.3526484351</v>
      </c>
      <c r="J48" s="11">
        <f ca="1" t="shared" si="11"/>
        <v>0.848892126217296</v>
      </c>
      <c r="K48" s="19">
        <f ca="1" t="shared" si="12"/>
        <v>41633.5344151911</v>
      </c>
      <c r="L48" s="11">
        <f ca="1" t="shared" si="13"/>
        <v>0.560430509303285</v>
      </c>
      <c r="M48" s="19">
        <f ca="1" t="shared" si="14"/>
        <v>39168.6736442897</v>
      </c>
      <c r="N48" s="11">
        <f ca="1" t="shared" si="15"/>
        <v>0.959083090625986</v>
      </c>
      <c r="O48" s="19">
        <f ca="1" t="shared" si="16"/>
        <v>43248.2100002994</v>
      </c>
      <c r="P48" s="11">
        <f ca="1" t="shared" si="17"/>
        <v>0.262419551627101</v>
      </c>
      <c r="Q48" s="12">
        <f ca="1" t="shared" si="18"/>
        <v>14.1733733984955</v>
      </c>
      <c r="R48" s="11">
        <f ca="1" t="shared" si="19"/>
        <v>0.338134955543613</v>
      </c>
      <c r="S48" s="12">
        <f ca="1" t="shared" si="20"/>
        <v>14.4670689491348</v>
      </c>
      <c r="T48" s="11">
        <f ca="1" t="shared" si="21"/>
        <v>0.0252262533634118</v>
      </c>
      <c r="U48" s="12">
        <f ca="1" t="shared" si="22"/>
        <v>15.7278401751976</v>
      </c>
      <c r="V48" s="11">
        <f ca="1" t="shared" si="23"/>
        <v>0.316784779860442</v>
      </c>
      <c r="W48" s="12">
        <f ca="1" t="shared" si="24"/>
        <v>20.1099557563469</v>
      </c>
      <c r="X48" s="11">
        <f ca="1" t="shared" si="25"/>
        <v>0.893919743674953</v>
      </c>
      <c r="Y48" s="12">
        <f ca="1" t="shared" si="26"/>
        <v>25.6066062084244</v>
      </c>
      <c r="Z48" s="19">
        <f ca="1" t="shared" si="27"/>
        <v>50294.7395157009</v>
      </c>
      <c r="AA48" s="19">
        <f ca="1" t="shared" si="28"/>
        <v>54161.3894799021</v>
      </c>
      <c r="AB48" s="19">
        <f ca="1" t="shared" si="29"/>
        <v>62968.9605932786</v>
      </c>
      <c r="AC48" s="19">
        <f ca="1" t="shared" si="30"/>
        <v>71154.2943147471</v>
      </c>
      <c r="AD48" s="19">
        <f ca="1" t="shared" si="31"/>
        <v>98683.1193607153</v>
      </c>
      <c r="AE48" s="19">
        <f ca="1" t="shared" si="32"/>
        <v>17415.5798621453</v>
      </c>
      <c r="AF48" s="19">
        <f ca="1" t="shared" si="33"/>
        <v>32879.1596535556</v>
      </c>
      <c r="AG48" s="19">
        <f ca="1" t="shared" si="34"/>
        <v>36745.8096177568</v>
      </c>
      <c r="AH48" s="19">
        <f ca="1" t="shared" si="35"/>
        <v>45553.3807311332</v>
      </c>
      <c r="AI48" s="19">
        <f ca="1" t="shared" si="36"/>
        <v>53738.7144526018</v>
      </c>
      <c r="AJ48" s="19">
        <f ca="1" t="shared" si="37"/>
        <v>81267.5394985699</v>
      </c>
      <c r="AK48" s="19">
        <f ca="1">AF48*$B$4</f>
        <v>16439.5798267778</v>
      </c>
      <c r="AL48" s="19">
        <f ca="1">AG48*$B$4</f>
        <v>18372.9048088784</v>
      </c>
      <c r="AM48" s="19">
        <f ca="1">AH48*$B$4</f>
        <v>22776.6903655666</v>
      </c>
      <c r="AN48" s="19">
        <f ca="1">AI48*$B$4</f>
        <v>26869.3572263009</v>
      </c>
      <c r="AO48" s="19">
        <f ca="1">AJ48*$B$4</f>
        <v>40633.769749285</v>
      </c>
      <c r="AP48" s="19">
        <f ca="1" t="shared" si="38"/>
        <v>16439.5798267778</v>
      </c>
      <c r="AQ48" s="19">
        <f ca="1" t="shared" si="39"/>
        <v>18372.9048088784</v>
      </c>
      <c r="AR48" s="19">
        <f ca="1" t="shared" si="40"/>
        <v>22776.6903655666</v>
      </c>
      <c r="AS48" s="19">
        <f ca="1" t="shared" si="41"/>
        <v>26869.3572263009</v>
      </c>
      <c r="AT48" s="19">
        <f ca="1" t="shared" si="42"/>
        <v>40633.769749285</v>
      </c>
      <c r="AU48" s="19">
        <f ca="1" t="shared" si="43"/>
        <v>52303.2007155232</v>
      </c>
      <c r="AV48" s="19">
        <f ca="1" t="shared" si="44"/>
        <v>-121965.520164104</v>
      </c>
      <c r="AW48" s="19">
        <f ca="1" t="shared" si="45"/>
        <v>33855.1596889231</v>
      </c>
      <c r="AX48" s="19">
        <f ca="1" t="shared" si="46"/>
        <v>35788.4846710237</v>
      </c>
      <c r="AY48" s="19">
        <f ca="1" t="shared" si="47"/>
        <v>40192.2702277119</v>
      </c>
      <c r="AZ48" s="19">
        <f ca="1" t="shared" si="48"/>
        <v>44284.9370884462</v>
      </c>
      <c r="BA48" s="19">
        <f ca="1" t="shared" si="49"/>
        <v>110352.550326953</v>
      </c>
      <c r="BB48" s="20">
        <f ca="1" t="shared" si="50"/>
        <v>0.259520190883542</v>
      </c>
      <c r="BC48" s="19">
        <f ca="1">NPV($B$5,AW48:BA48)+AV48</f>
        <v>41146.8324843649</v>
      </c>
    </row>
    <row r="49" spans="1:55">
      <c r="A49" s="3">
        <v>25</v>
      </c>
      <c r="B49" s="11">
        <f ca="1" t="shared" si="3"/>
        <v>0.694752303994854</v>
      </c>
      <c r="C49" s="19">
        <f ca="1" t="shared" si="4"/>
        <v>-71126.0885089355</v>
      </c>
      <c r="D49" s="11">
        <f ca="1" t="shared" si="5"/>
        <v>0.174446977137998</v>
      </c>
      <c r="E49" s="19">
        <f ca="1" t="shared" si="6"/>
        <v>-34884.6264485671</v>
      </c>
      <c r="F49" s="11">
        <f ca="1" t="shared" si="7"/>
        <v>0.0136609253807245</v>
      </c>
      <c r="G49" s="19">
        <f ca="1" t="shared" si="8"/>
        <v>31431.4813331332</v>
      </c>
      <c r="H49" s="11">
        <f ca="1" t="shared" si="9"/>
        <v>0.549957987047863</v>
      </c>
      <c r="I49" s="19">
        <f ca="1" t="shared" si="10"/>
        <v>39082.6041451326</v>
      </c>
      <c r="J49" s="11">
        <f ca="1" t="shared" si="11"/>
        <v>0.628177683813584</v>
      </c>
      <c r="K49" s="19">
        <f ca="1" t="shared" si="12"/>
        <v>39707.0413912807</v>
      </c>
      <c r="L49" s="11">
        <f ca="1" t="shared" si="13"/>
        <v>0.738538474647741</v>
      </c>
      <c r="M49" s="19">
        <f ca="1" t="shared" si="14"/>
        <v>40571.7255729326</v>
      </c>
      <c r="N49" s="11">
        <f ca="1" t="shared" si="15"/>
        <v>0.253303076199812</v>
      </c>
      <c r="O49" s="19">
        <f ca="1" t="shared" si="16"/>
        <v>36164.0458653365</v>
      </c>
      <c r="P49" s="11">
        <f ca="1" t="shared" si="17"/>
        <v>0.47598626790252</v>
      </c>
      <c r="Q49" s="12">
        <f ca="1" t="shared" si="18"/>
        <v>14.9270723978483</v>
      </c>
      <c r="R49" s="11">
        <f ca="1" t="shared" si="19"/>
        <v>0.404856501932362</v>
      </c>
      <c r="S49" s="12">
        <f ca="1" t="shared" si="20"/>
        <v>14.6995216307306</v>
      </c>
      <c r="T49" s="11">
        <f ca="1" t="shared" si="21"/>
        <v>0.660454088455735</v>
      </c>
      <c r="U49" s="12">
        <f ca="1" t="shared" si="22"/>
        <v>18.9166113570879</v>
      </c>
      <c r="V49" s="11">
        <f ca="1" t="shared" si="23"/>
        <v>0.208120519296597</v>
      </c>
      <c r="W49" s="12">
        <f ca="1" t="shared" si="24"/>
        <v>19.7069526268038</v>
      </c>
      <c r="X49" s="11">
        <f ca="1" t="shared" si="25"/>
        <v>0.615061001818175</v>
      </c>
      <c r="Y49" s="12">
        <f ca="1" t="shared" si="26"/>
        <v>23.4407559944856</v>
      </c>
      <c r="Z49" s="19">
        <f ca="1" t="shared" si="27"/>
        <v>36123.2813074461</v>
      </c>
      <c r="AA49" s="19">
        <f ca="1" t="shared" si="28"/>
        <v>51519.0023299864</v>
      </c>
      <c r="AB49" s="19">
        <f ca="1" t="shared" si="29"/>
        <v>62243.4998151733</v>
      </c>
      <c r="AC49" s="19">
        <f ca="1" t="shared" si="30"/>
        <v>76132.3665487229</v>
      </c>
      <c r="AD49" s="19">
        <f ca="1" t="shared" si="31"/>
        <v>83768.634252436</v>
      </c>
      <c r="AE49" s="19">
        <f ca="1" t="shared" si="32"/>
        <v>14225.2177017871</v>
      </c>
      <c r="AF49" s="19">
        <f ca="1" t="shared" si="33"/>
        <v>21898.063605659</v>
      </c>
      <c r="AG49" s="19">
        <f ca="1" t="shared" si="34"/>
        <v>37293.7846281992</v>
      </c>
      <c r="AH49" s="19">
        <f ca="1" t="shared" si="35"/>
        <v>48018.2821133862</v>
      </c>
      <c r="AI49" s="19">
        <f ca="1" t="shared" si="36"/>
        <v>61907.1488469358</v>
      </c>
      <c r="AJ49" s="19">
        <f ca="1" t="shared" si="37"/>
        <v>69543.4165506489</v>
      </c>
      <c r="AK49" s="19">
        <f ca="1">AF49*$B$4</f>
        <v>10949.0318028295</v>
      </c>
      <c r="AL49" s="19">
        <f ca="1">AG49*$B$4</f>
        <v>18646.8923140996</v>
      </c>
      <c r="AM49" s="19">
        <f ca="1">AH49*$B$4</f>
        <v>24009.1410566931</v>
      </c>
      <c r="AN49" s="19">
        <f ca="1">AI49*$B$4</f>
        <v>30953.5744234679</v>
      </c>
      <c r="AO49" s="19">
        <f ca="1">AJ49*$B$4</f>
        <v>34771.7082753245</v>
      </c>
      <c r="AP49" s="19">
        <f ca="1" t="shared" si="38"/>
        <v>10949.0318028295</v>
      </c>
      <c r="AQ49" s="19">
        <f ca="1" t="shared" si="39"/>
        <v>18646.8923140996</v>
      </c>
      <c r="AR49" s="19">
        <f ca="1" t="shared" si="40"/>
        <v>24009.1410566931</v>
      </c>
      <c r="AS49" s="19">
        <f ca="1" t="shared" si="41"/>
        <v>30953.5744234679</v>
      </c>
      <c r="AT49" s="19">
        <f ca="1" t="shared" si="42"/>
        <v>34771.7082753245</v>
      </c>
      <c r="AU49" s="19">
        <f ca="1" t="shared" si="43"/>
        <v>49109.8441503542</v>
      </c>
      <c r="AV49" s="19">
        <f ca="1" t="shared" si="44"/>
        <v>-106010.714957503</v>
      </c>
      <c r="AW49" s="19">
        <f ca="1" t="shared" si="45"/>
        <v>25174.2495046166</v>
      </c>
      <c r="AX49" s="19">
        <f ca="1" t="shared" si="46"/>
        <v>32872.1100158867</v>
      </c>
      <c r="AY49" s="19">
        <f ca="1" t="shared" si="47"/>
        <v>38234.3587584802</v>
      </c>
      <c r="AZ49" s="19">
        <f ca="1" t="shared" si="48"/>
        <v>45178.792125255</v>
      </c>
      <c r="BA49" s="19">
        <f ca="1" t="shared" si="49"/>
        <v>98106.7701274657</v>
      </c>
      <c r="BB49" s="20">
        <f ca="1" t="shared" si="50"/>
        <v>0.269694572679348</v>
      </c>
      <c r="BC49" s="19">
        <f ca="1">NPV($B$5,AW49:BA49)+AV49</f>
        <v>40483.2108373879</v>
      </c>
    </row>
    <row r="50" spans="1:55">
      <c r="A50" s="3">
        <v>26</v>
      </c>
      <c r="B50" s="11">
        <f ca="1" t="shared" si="3"/>
        <v>0.623539861957446</v>
      </c>
      <c r="C50" s="19">
        <f ca="1" t="shared" si="4"/>
        <v>-72645.8808522567</v>
      </c>
      <c r="D50" s="11">
        <f ca="1" t="shared" si="5"/>
        <v>0.490720837921129</v>
      </c>
      <c r="E50" s="19">
        <f ca="1" t="shared" si="6"/>
        <v>-31420.482199554</v>
      </c>
      <c r="F50" s="11">
        <f ca="1" t="shared" si="7"/>
        <v>0.287833897925553</v>
      </c>
      <c r="G50" s="19">
        <f ca="1" t="shared" si="8"/>
        <v>36570.7750447594</v>
      </c>
      <c r="H50" s="11">
        <f ca="1" t="shared" si="9"/>
        <v>0.713685395986427</v>
      </c>
      <c r="I50" s="19">
        <f ca="1" t="shared" si="10"/>
        <v>40366.0389189142</v>
      </c>
      <c r="J50" s="11">
        <f ca="1" t="shared" si="11"/>
        <v>0.411244007259254</v>
      </c>
      <c r="K50" s="19">
        <f ca="1" t="shared" si="12"/>
        <v>37854.0818106821</v>
      </c>
      <c r="L50" s="11">
        <f ca="1" t="shared" si="13"/>
        <v>0.379547480694596</v>
      </c>
      <c r="M50" s="19">
        <f ca="1" t="shared" si="14"/>
        <v>37545.3377727037</v>
      </c>
      <c r="N50" s="11">
        <f ca="1" t="shared" si="15"/>
        <v>0.798022879752641</v>
      </c>
      <c r="O50" s="19">
        <f ca="1" t="shared" si="16"/>
        <v>41107.9203478665</v>
      </c>
      <c r="P50" s="11">
        <f ca="1" t="shared" si="17"/>
        <v>0.00429986370736635</v>
      </c>
      <c r="Q50" s="12">
        <f ca="1" t="shared" si="18"/>
        <v>12.2782041457861</v>
      </c>
      <c r="R50" s="11">
        <f ca="1" t="shared" si="19"/>
        <v>0.187217807876945</v>
      </c>
      <c r="S50" s="12">
        <f ca="1" t="shared" si="20"/>
        <v>13.8357343331171</v>
      </c>
      <c r="T50" s="11">
        <f ca="1" t="shared" si="21"/>
        <v>0.588026745360446</v>
      </c>
      <c r="U50" s="12">
        <f ca="1" t="shared" si="22"/>
        <v>18.6036414897853</v>
      </c>
      <c r="V50" s="11">
        <f ca="1" t="shared" si="23"/>
        <v>0.256567423397301</v>
      </c>
      <c r="W50" s="12">
        <f ca="1" t="shared" si="24"/>
        <v>19.895242445589</v>
      </c>
      <c r="X50" s="11">
        <f ca="1" t="shared" si="25"/>
        <v>0.364284161247357</v>
      </c>
      <c r="Y50" s="12">
        <f ca="1" t="shared" si="26"/>
        <v>22.1409339231715</v>
      </c>
      <c r="Z50" s="19">
        <f ca="1" t="shared" si="27"/>
        <v>41061.0094624512</v>
      </c>
      <c r="AA50" s="19">
        <f ca="1" t="shared" si="28"/>
        <v>51592.9315660375</v>
      </c>
      <c r="AB50" s="19">
        <f ca="1" t="shared" si="29"/>
        <v>57383.2062925748</v>
      </c>
      <c r="AC50" s="19">
        <f ca="1" t="shared" si="30"/>
        <v>68238.5925028497</v>
      </c>
      <c r="AD50" s="19">
        <f ca="1" t="shared" si="31"/>
        <v>91255.8652886853</v>
      </c>
      <c r="AE50" s="19">
        <f ca="1" t="shared" si="32"/>
        <v>14529.1761704513</v>
      </c>
      <c r="AF50" s="19">
        <f ca="1" t="shared" si="33"/>
        <v>26531.8332919998</v>
      </c>
      <c r="AG50" s="19">
        <f ca="1" t="shared" si="34"/>
        <v>37063.7553955861</v>
      </c>
      <c r="AH50" s="19">
        <f ca="1" t="shared" si="35"/>
        <v>42854.0301221234</v>
      </c>
      <c r="AI50" s="19">
        <f ca="1" t="shared" si="36"/>
        <v>53709.4163323984</v>
      </c>
      <c r="AJ50" s="19">
        <f ca="1" t="shared" si="37"/>
        <v>76726.6891182339</v>
      </c>
      <c r="AK50" s="19">
        <f ca="1">AF50*$B$4</f>
        <v>13265.9166459999</v>
      </c>
      <c r="AL50" s="19">
        <f ca="1">AG50*$B$4</f>
        <v>18531.8776977931</v>
      </c>
      <c r="AM50" s="19">
        <f ca="1">AH50*$B$4</f>
        <v>21427.0150610617</v>
      </c>
      <c r="AN50" s="19">
        <f ca="1">AI50*$B$4</f>
        <v>26854.7081661992</v>
      </c>
      <c r="AO50" s="19">
        <f ca="1">AJ50*$B$4</f>
        <v>38363.344559117</v>
      </c>
      <c r="AP50" s="19">
        <f ca="1" t="shared" si="38"/>
        <v>13265.9166459999</v>
      </c>
      <c r="AQ50" s="19">
        <f ca="1" t="shared" si="39"/>
        <v>18531.8776977931</v>
      </c>
      <c r="AR50" s="19">
        <f ca="1" t="shared" si="40"/>
        <v>21427.0150610617</v>
      </c>
      <c r="AS50" s="19">
        <f ca="1" t="shared" si="41"/>
        <v>26854.7081661992</v>
      </c>
      <c r="AT50" s="19">
        <f ca="1" t="shared" si="42"/>
        <v>38363.344559117</v>
      </c>
      <c r="AU50" s="19">
        <f ca="1" t="shared" si="43"/>
        <v>45949.6583700054</v>
      </c>
      <c r="AV50" s="19">
        <f ca="1" t="shared" si="44"/>
        <v>-104066.363051811</v>
      </c>
      <c r="AW50" s="19">
        <f ca="1" t="shared" si="45"/>
        <v>27795.0928164513</v>
      </c>
      <c r="AX50" s="19">
        <f ca="1" t="shared" si="46"/>
        <v>33061.0538682444</v>
      </c>
      <c r="AY50" s="19">
        <f ca="1" t="shared" si="47"/>
        <v>35956.1912315131</v>
      </c>
      <c r="AZ50" s="19">
        <f ca="1" t="shared" si="48"/>
        <v>41383.8843366505</v>
      </c>
      <c r="BA50" s="19">
        <f ca="1" t="shared" si="49"/>
        <v>98842.1790995737</v>
      </c>
      <c r="BB50" s="20">
        <f ca="1" t="shared" si="50"/>
        <v>0.276635902315694</v>
      </c>
      <c r="BC50" s="19">
        <f ca="1">NPV($B$5,AW50:BA50)+AV50</f>
        <v>41547.3708825392</v>
      </c>
    </row>
    <row r="51" spans="1:55">
      <c r="A51" s="3">
        <v>27</v>
      </c>
      <c r="B51" s="11">
        <f ca="1" t="shared" si="3"/>
        <v>0.55221232149934</v>
      </c>
      <c r="C51" s="19">
        <f ca="1" t="shared" si="4"/>
        <v>-74257.9179979706</v>
      </c>
      <c r="D51" s="11">
        <f ca="1" t="shared" si="5"/>
        <v>0.905301885282628</v>
      </c>
      <c r="E51" s="19">
        <f ca="1" t="shared" si="6"/>
        <v>-27665.0250662616</v>
      </c>
      <c r="F51" s="11">
        <f ca="1" t="shared" si="7"/>
        <v>0.10799072271021</v>
      </c>
      <c r="G51" s="19">
        <f ca="1" t="shared" si="8"/>
        <v>34024.7494836985</v>
      </c>
      <c r="H51" s="11">
        <f ca="1" t="shared" si="9"/>
        <v>0.463930312265108</v>
      </c>
      <c r="I51" s="19">
        <f ca="1" t="shared" si="10"/>
        <v>38342.0349339814</v>
      </c>
      <c r="J51" s="11">
        <f ca="1" t="shared" si="11"/>
        <v>0.611901238091921</v>
      </c>
      <c r="K51" s="19">
        <f ca="1" t="shared" si="12"/>
        <v>39580.4585335874</v>
      </c>
      <c r="L51" s="11">
        <f ca="1" t="shared" si="13"/>
        <v>0.0344805143305884</v>
      </c>
      <c r="M51" s="19">
        <f ca="1" t="shared" si="14"/>
        <v>32274.2201189833</v>
      </c>
      <c r="N51" s="11">
        <f ca="1" t="shared" si="15"/>
        <v>0.954892297666083</v>
      </c>
      <c r="O51" s="19">
        <f ca="1" t="shared" si="16"/>
        <v>43160.685542099</v>
      </c>
      <c r="P51" s="11">
        <f ca="1" t="shared" si="17"/>
        <v>0.285546929458592</v>
      </c>
      <c r="Q51" s="12">
        <f ca="1" t="shared" si="18"/>
        <v>14.2671225662179</v>
      </c>
      <c r="R51" s="11">
        <f ca="1" t="shared" si="19"/>
        <v>0.678063831360699</v>
      </c>
      <c r="S51" s="12">
        <f ca="1" t="shared" si="20"/>
        <v>15.5927503171654</v>
      </c>
      <c r="T51" s="11">
        <f ca="1" t="shared" si="21"/>
        <v>0.325369314783625</v>
      </c>
      <c r="U51" s="12">
        <f ca="1" t="shared" si="22"/>
        <v>17.613954018428</v>
      </c>
      <c r="V51" s="11">
        <f ca="1" t="shared" si="23"/>
        <v>0.837536509444871</v>
      </c>
      <c r="W51" s="12">
        <f ca="1" t="shared" si="24"/>
        <v>22.6154199175894</v>
      </c>
      <c r="X51" s="11">
        <f ca="1" t="shared" si="25"/>
        <v>0.0684113506862949</v>
      </c>
      <c r="Y51" s="12">
        <f ca="1" t="shared" si="26"/>
        <v>20.3590829513058</v>
      </c>
      <c r="Z51" s="19">
        <f ca="1" t="shared" si="27"/>
        <v>38879.1021953864</v>
      </c>
      <c r="AA51" s="19">
        <f ca="1" t="shared" si="28"/>
        <v>50643.888844872</v>
      </c>
      <c r="AB51" s="19">
        <f ca="1" t="shared" si="29"/>
        <v>61488.1689036598</v>
      </c>
      <c r="AC51" s="19">
        <f ca="1" t="shared" si="30"/>
        <v>61476.8469943148</v>
      </c>
      <c r="AD51" s="19">
        <f ca="1" t="shared" si="31"/>
        <v>98951.6483188012</v>
      </c>
      <c r="AE51" s="19">
        <f ca="1" t="shared" si="32"/>
        <v>14851.5835995941</v>
      </c>
      <c r="AF51" s="19">
        <f ca="1" t="shared" si="33"/>
        <v>24027.5185957923</v>
      </c>
      <c r="AG51" s="19">
        <f ca="1" t="shared" si="34"/>
        <v>35792.3052452779</v>
      </c>
      <c r="AH51" s="19">
        <f ca="1" t="shared" si="35"/>
        <v>46636.5853040657</v>
      </c>
      <c r="AI51" s="19">
        <f ca="1" t="shared" si="36"/>
        <v>46625.2633947207</v>
      </c>
      <c r="AJ51" s="19">
        <f ca="1" t="shared" si="37"/>
        <v>84100.0647192071</v>
      </c>
      <c r="AK51" s="19">
        <f ca="1">AF51*$B$4</f>
        <v>12013.7592978961</v>
      </c>
      <c r="AL51" s="19">
        <f ca="1">AG51*$B$4</f>
        <v>17896.1526226389</v>
      </c>
      <c r="AM51" s="19">
        <f ca="1">AH51*$B$4</f>
        <v>23318.2926520328</v>
      </c>
      <c r="AN51" s="19">
        <f ca="1">AI51*$B$4</f>
        <v>23312.6316973604</v>
      </c>
      <c r="AO51" s="19">
        <f ca="1">AJ51*$B$4</f>
        <v>42050.0323596036</v>
      </c>
      <c r="AP51" s="19">
        <f ca="1" t="shared" si="38"/>
        <v>12013.7592978961</v>
      </c>
      <c r="AQ51" s="19">
        <f ca="1" t="shared" si="39"/>
        <v>17896.1526226389</v>
      </c>
      <c r="AR51" s="19">
        <f ca="1" t="shared" si="40"/>
        <v>23318.2926520328</v>
      </c>
      <c r="AS51" s="19">
        <f ca="1" t="shared" si="41"/>
        <v>23312.6316973604</v>
      </c>
      <c r="AT51" s="19">
        <f ca="1" t="shared" si="42"/>
        <v>42050.0323596036</v>
      </c>
      <c r="AU51" s="19">
        <f ca="1" t="shared" si="43"/>
        <v>42516.6086658558</v>
      </c>
      <c r="AV51" s="19">
        <f ca="1" t="shared" si="44"/>
        <v>-101922.943064232</v>
      </c>
      <c r="AW51" s="19">
        <f ca="1" t="shared" si="45"/>
        <v>26865.3428974903</v>
      </c>
      <c r="AX51" s="19">
        <f ca="1" t="shared" si="46"/>
        <v>32747.736222233</v>
      </c>
      <c r="AY51" s="19">
        <f ca="1" t="shared" si="47"/>
        <v>38169.8762516269</v>
      </c>
      <c r="AZ51" s="19">
        <f ca="1" t="shared" si="48"/>
        <v>38164.2152969545</v>
      </c>
      <c r="BA51" s="19">
        <f ca="1" t="shared" si="49"/>
        <v>99418.2246250534</v>
      </c>
      <c r="BB51" s="20">
        <f ca="1" t="shared" si="50"/>
        <v>0.281643262205769</v>
      </c>
      <c r="BC51" s="19">
        <f ca="1">NPV($B$5,AW51:BA51)+AV51</f>
        <v>42546.4735706091</v>
      </c>
    </row>
    <row r="52" spans="1:55">
      <c r="A52" s="3">
        <v>28</v>
      </c>
      <c r="B52" s="11">
        <f ca="1" t="shared" si="3"/>
        <v>0.834476469121797</v>
      </c>
      <c r="C52" s="19">
        <f ca="1" t="shared" si="4"/>
        <v>-68136.9166366186</v>
      </c>
      <c r="D52" s="11">
        <f ca="1" t="shared" si="5"/>
        <v>0.0198452875915891</v>
      </c>
      <c r="E52" s="19">
        <f ca="1" t="shared" si="6"/>
        <v>-38274.6614422849</v>
      </c>
      <c r="F52" s="11">
        <f ca="1" t="shared" si="7"/>
        <v>0.304029132938998</v>
      </c>
      <c r="G52" s="19">
        <f ca="1" t="shared" si="8"/>
        <v>36753.1007648968</v>
      </c>
      <c r="H52" s="11">
        <f ca="1" t="shared" si="9"/>
        <v>0.870772253868049</v>
      </c>
      <c r="I52" s="19">
        <f ca="1" t="shared" si="10"/>
        <v>41886.7892843728</v>
      </c>
      <c r="J52" s="11">
        <f ca="1" t="shared" si="11"/>
        <v>0.689966512373193</v>
      </c>
      <c r="K52" s="19">
        <f ca="1" t="shared" si="12"/>
        <v>40177.9141886513</v>
      </c>
      <c r="L52" s="11">
        <f ca="1" t="shared" si="13"/>
        <v>0.971267410105692</v>
      </c>
      <c r="M52" s="19">
        <f ca="1" t="shared" si="14"/>
        <v>43532.0271657578</v>
      </c>
      <c r="N52" s="11">
        <f ca="1" t="shared" si="15"/>
        <v>0.54462434521483</v>
      </c>
      <c r="O52" s="19">
        <f ca="1" t="shared" si="16"/>
        <v>39038.4540593082</v>
      </c>
      <c r="P52" s="11">
        <f ca="1" t="shared" si="17"/>
        <v>0.141245336673081</v>
      </c>
      <c r="Q52" s="12">
        <f ca="1" t="shared" si="18"/>
        <v>13.5944955503593</v>
      </c>
      <c r="R52" s="11">
        <f ca="1" t="shared" si="19"/>
        <v>0.610572086066786</v>
      </c>
      <c r="S52" s="12">
        <f ca="1" t="shared" si="20"/>
        <v>15.3524157330129</v>
      </c>
      <c r="T52" s="11">
        <f ca="1" t="shared" si="21"/>
        <v>0.462353932767232</v>
      </c>
      <c r="U52" s="12">
        <f ca="1" t="shared" si="22"/>
        <v>18.1200399637989</v>
      </c>
      <c r="V52" s="11">
        <f ca="1" t="shared" si="23"/>
        <v>0.836518500984494</v>
      </c>
      <c r="W52" s="12">
        <f ca="1" t="shared" si="24"/>
        <v>22.6079606053531</v>
      </c>
      <c r="X52" s="11">
        <f ca="1" t="shared" si="25"/>
        <v>0.102903972188108</v>
      </c>
      <c r="Y52" s="12">
        <f ca="1" t="shared" si="26"/>
        <v>20.6668554973599</v>
      </c>
      <c r="Z52" s="19">
        <f ca="1" t="shared" si="27"/>
        <v>41749.4994129997</v>
      </c>
      <c r="AA52" s="19">
        <f ca="1" t="shared" si="28"/>
        <v>54885.9332747896</v>
      </c>
      <c r="AB52" s="19">
        <f ca="1" t="shared" si="29"/>
        <v>62186.3337571168</v>
      </c>
      <c r="AC52" s="19">
        <f ca="1" t="shared" si="30"/>
        <v>82610.4764103461</v>
      </c>
      <c r="AD52" s="19">
        <f ca="1" t="shared" si="31"/>
        <v>89393.6853126755</v>
      </c>
      <c r="AE52" s="19">
        <f ca="1" t="shared" si="32"/>
        <v>13627.3833273237</v>
      </c>
      <c r="AF52" s="19">
        <f ca="1" t="shared" si="33"/>
        <v>28122.116085676</v>
      </c>
      <c r="AG52" s="19">
        <f ca="1" t="shared" si="34"/>
        <v>41258.5499474659</v>
      </c>
      <c r="AH52" s="19">
        <f ca="1" t="shared" si="35"/>
        <v>48558.9504297931</v>
      </c>
      <c r="AI52" s="19">
        <f ca="1" t="shared" si="36"/>
        <v>68983.0930830224</v>
      </c>
      <c r="AJ52" s="19">
        <f ca="1" t="shared" si="37"/>
        <v>75766.3019853518</v>
      </c>
      <c r="AK52" s="19">
        <f ca="1">AF52*$B$4</f>
        <v>14061.058042838</v>
      </c>
      <c r="AL52" s="19">
        <f ca="1">AG52*$B$4</f>
        <v>20629.2749737329</v>
      </c>
      <c r="AM52" s="19">
        <f ca="1">AH52*$B$4</f>
        <v>24279.4752148965</v>
      </c>
      <c r="AN52" s="19">
        <f ca="1">AI52*$B$4</f>
        <v>34491.5465415112</v>
      </c>
      <c r="AO52" s="19">
        <f ca="1">AJ52*$B$4</f>
        <v>37883.1509926759</v>
      </c>
      <c r="AP52" s="19">
        <f ca="1" t="shared" si="38"/>
        <v>14061.058042838</v>
      </c>
      <c r="AQ52" s="19">
        <f ca="1" t="shared" si="39"/>
        <v>20629.2749737329</v>
      </c>
      <c r="AR52" s="19">
        <f ca="1" t="shared" si="40"/>
        <v>24279.4752148965</v>
      </c>
      <c r="AS52" s="19">
        <f ca="1" t="shared" si="41"/>
        <v>34491.5465415112</v>
      </c>
      <c r="AT52" s="19">
        <f ca="1" t="shared" si="42"/>
        <v>37883.1509926759</v>
      </c>
      <c r="AU52" s="19">
        <f ca="1" t="shared" si="43"/>
        <v>51902.0447696086</v>
      </c>
      <c r="AV52" s="19">
        <f ca="1" t="shared" si="44"/>
        <v>-106411.578078904</v>
      </c>
      <c r="AW52" s="19">
        <f ca="1" t="shared" si="45"/>
        <v>27688.4413701617</v>
      </c>
      <c r="AX52" s="19">
        <f ca="1" t="shared" si="46"/>
        <v>34256.6583010567</v>
      </c>
      <c r="AY52" s="19">
        <f ca="1" t="shared" si="47"/>
        <v>37906.8585422203</v>
      </c>
      <c r="AZ52" s="19">
        <f ca="1" t="shared" si="48"/>
        <v>48118.9298688349</v>
      </c>
      <c r="BA52" s="19">
        <f ca="1" t="shared" si="49"/>
        <v>103412.579089608</v>
      </c>
      <c r="BB52" s="20">
        <f ca="1" t="shared" si="50"/>
        <v>0.288522022005527</v>
      </c>
      <c r="BC52" s="19">
        <f ca="1">NPV($B$5,AW52:BA52)+AV52</f>
        <v>47419.140296992</v>
      </c>
    </row>
    <row r="53" spans="1:55">
      <c r="A53" s="3">
        <v>29</v>
      </c>
      <c r="B53" s="11">
        <f ca="1" t="shared" si="3"/>
        <v>0.97489983969701</v>
      </c>
      <c r="C53" s="19">
        <f ca="1" t="shared" si="4"/>
        <v>-63168.6060217698</v>
      </c>
      <c r="D53" s="11">
        <f ca="1" t="shared" si="5"/>
        <v>0.174244498400928</v>
      </c>
      <c r="E53" s="19">
        <f ca="1" t="shared" si="6"/>
        <v>-34887.5959901296</v>
      </c>
      <c r="F53" s="11">
        <f ca="1" t="shared" si="7"/>
        <v>0.797235763376808</v>
      </c>
      <c r="G53" s="19">
        <f ca="1" t="shared" si="8"/>
        <v>41100.3438937851</v>
      </c>
      <c r="H53" s="11">
        <f ca="1" t="shared" si="9"/>
        <v>0.556705162602392</v>
      </c>
      <c r="I53" s="19">
        <f ca="1" t="shared" si="10"/>
        <v>39138.149396369</v>
      </c>
      <c r="J53" s="11">
        <f ca="1" t="shared" si="11"/>
        <v>0.384566440335782</v>
      </c>
      <c r="K53" s="19">
        <f ca="1" t="shared" si="12"/>
        <v>37595.0619517136</v>
      </c>
      <c r="L53" s="11">
        <f ca="1" t="shared" si="13"/>
        <v>0.522553336466321</v>
      </c>
      <c r="M53" s="19">
        <f ca="1" t="shared" si="14"/>
        <v>38853.4174458199</v>
      </c>
      <c r="N53" s="11">
        <f ca="1" t="shared" si="15"/>
        <v>0.481657705767047</v>
      </c>
      <c r="O53" s="19">
        <f ca="1" t="shared" si="16"/>
        <v>38499.9209328709</v>
      </c>
      <c r="P53" s="11">
        <f ca="1" t="shared" si="17"/>
        <v>0.968198798189312</v>
      </c>
      <c r="Q53" s="12">
        <f ca="1" t="shared" si="18"/>
        <v>17.2434144908919</v>
      </c>
      <c r="R53" s="11">
        <f ca="1" t="shared" si="19"/>
        <v>0.387166020626029</v>
      </c>
      <c r="S53" s="12">
        <f ca="1" t="shared" si="20"/>
        <v>14.6398841586836</v>
      </c>
      <c r="T53" s="11">
        <f ca="1" t="shared" si="21"/>
        <v>0.690180315326907</v>
      </c>
      <c r="U53" s="12">
        <f ca="1" t="shared" si="22"/>
        <v>19.0546729942421</v>
      </c>
      <c r="V53" s="11">
        <f ca="1" t="shared" si="23"/>
        <v>0.721586495192261</v>
      </c>
      <c r="W53" s="12">
        <f ca="1" t="shared" si="24"/>
        <v>21.8783862077011</v>
      </c>
      <c r="X53" s="11">
        <f ca="1" t="shared" si="25"/>
        <v>0.0114456575920021</v>
      </c>
      <c r="Y53" s="12">
        <f ca="1" t="shared" si="26"/>
        <v>19.5559071460092</v>
      </c>
      <c r="Z53" s="19">
        <f ca="1" t="shared" si="27"/>
        <v>48187.4465485724</v>
      </c>
      <c r="AA53" s="19">
        <f ca="1" t="shared" si="28"/>
        <v>52604.6921231896</v>
      </c>
      <c r="AB53" s="19">
        <f ca="1" t="shared" si="29"/>
        <v>60159.1162574962</v>
      </c>
      <c r="AC53" s="19">
        <f ca="1" t="shared" si="30"/>
        <v>75775.1077007459</v>
      </c>
      <c r="AD53" s="19">
        <f ca="1" t="shared" si="31"/>
        <v>89769.3777357532</v>
      </c>
      <c r="AE53" s="19">
        <f ca="1" t="shared" si="32"/>
        <v>12633.721204354</v>
      </c>
      <c r="AF53" s="19">
        <f ca="1" t="shared" si="33"/>
        <v>35553.7253442184</v>
      </c>
      <c r="AG53" s="19">
        <f ca="1" t="shared" si="34"/>
        <v>39970.9709188356</v>
      </c>
      <c r="AH53" s="19">
        <f ca="1" t="shared" si="35"/>
        <v>47525.3950531422</v>
      </c>
      <c r="AI53" s="19">
        <f ca="1" t="shared" si="36"/>
        <v>63141.386496392</v>
      </c>
      <c r="AJ53" s="19">
        <f ca="1" t="shared" si="37"/>
        <v>77135.6565313993</v>
      </c>
      <c r="AK53" s="19">
        <f ca="1">AF53*$B$4</f>
        <v>17776.8626721092</v>
      </c>
      <c r="AL53" s="19">
        <f ca="1">AG53*$B$4</f>
        <v>19985.4854594178</v>
      </c>
      <c r="AM53" s="19">
        <f ca="1">AH53*$B$4</f>
        <v>23762.6975265711</v>
      </c>
      <c r="AN53" s="19">
        <f ca="1">AI53*$B$4</f>
        <v>31570.693248196</v>
      </c>
      <c r="AO53" s="19">
        <f ca="1">AJ53*$B$4</f>
        <v>38567.8282656996</v>
      </c>
      <c r="AP53" s="19">
        <f ca="1" t="shared" si="38"/>
        <v>17776.8626721092</v>
      </c>
      <c r="AQ53" s="19">
        <f ca="1" t="shared" si="39"/>
        <v>19985.4854594178</v>
      </c>
      <c r="AR53" s="19">
        <f ca="1" t="shared" si="40"/>
        <v>23762.6975265711</v>
      </c>
      <c r="AS53" s="19">
        <f ca="1" t="shared" si="41"/>
        <v>31570.693248196</v>
      </c>
      <c r="AT53" s="19">
        <f ca="1" t="shared" si="42"/>
        <v>38567.8282656996</v>
      </c>
      <c r="AU53" s="19">
        <f ca="1" t="shared" si="43"/>
        <v>47521.3171944835</v>
      </c>
      <c r="AV53" s="19">
        <f ca="1" t="shared" si="44"/>
        <v>-98056.2020118994</v>
      </c>
      <c r="AW53" s="19">
        <f ca="1" t="shared" si="45"/>
        <v>30410.5838764632</v>
      </c>
      <c r="AX53" s="19">
        <f ca="1" t="shared" si="46"/>
        <v>32619.2066637718</v>
      </c>
      <c r="AY53" s="19">
        <f ca="1" t="shared" si="47"/>
        <v>36396.4187309251</v>
      </c>
      <c r="AZ53" s="19">
        <f ca="1" t="shared" si="48"/>
        <v>44204.41445255</v>
      </c>
      <c r="BA53" s="19">
        <f ca="1" t="shared" si="49"/>
        <v>98722.8666645371</v>
      </c>
      <c r="BB53" s="20">
        <f ca="1" t="shared" si="50"/>
        <v>0.31423417172601</v>
      </c>
      <c r="BC53" s="19">
        <f ca="1">NPV($B$5,AW53:BA53)+AV53</f>
        <v>51340.5566170128</v>
      </c>
    </row>
    <row r="54" spans="1:55">
      <c r="A54" s="3">
        <v>30</v>
      </c>
      <c r="B54" s="11">
        <f ca="1" t="shared" si="3"/>
        <v>0.150185494255442</v>
      </c>
      <c r="C54" s="19">
        <f ca="1" t="shared" si="4"/>
        <v>-86575.2991427544</v>
      </c>
      <c r="D54" s="11">
        <f ca="1" t="shared" si="5"/>
        <v>0.907607167799478</v>
      </c>
      <c r="E54" s="19">
        <f ca="1" t="shared" si="6"/>
        <v>-27632.3872084173</v>
      </c>
      <c r="F54" s="11">
        <f ca="1" t="shared" si="7"/>
        <v>0.317815973089648</v>
      </c>
      <c r="G54" s="19">
        <f ca="1" t="shared" si="8"/>
        <v>36904.519966185</v>
      </c>
      <c r="H54" s="11">
        <f ca="1" t="shared" si="9"/>
        <v>0.125035067231165</v>
      </c>
      <c r="I54" s="19">
        <f ca="1" t="shared" si="10"/>
        <v>34330.7343585903</v>
      </c>
      <c r="J54" s="11">
        <f ca="1" t="shared" si="11"/>
        <v>0.733733644356901</v>
      </c>
      <c r="K54" s="19">
        <f ca="1" t="shared" si="12"/>
        <v>40531.22201567</v>
      </c>
      <c r="L54" s="11">
        <f ca="1" t="shared" si="13"/>
        <v>0.0547207446667455</v>
      </c>
      <c r="M54" s="19">
        <f ca="1" t="shared" si="14"/>
        <v>32864.9802268099</v>
      </c>
      <c r="N54" s="11">
        <f ca="1" t="shared" si="15"/>
        <v>0.577546176646409</v>
      </c>
      <c r="O54" s="19">
        <f ca="1" t="shared" si="16"/>
        <v>39307.6273290759</v>
      </c>
      <c r="P54" s="11">
        <f ca="1" t="shared" si="17"/>
        <v>0.402807645002936</v>
      </c>
      <c r="Q54" s="12">
        <f ca="1" t="shared" si="18"/>
        <v>14.6926822333972</v>
      </c>
      <c r="R54" s="11">
        <f ca="1" t="shared" si="19"/>
        <v>0.448180299088658</v>
      </c>
      <c r="S54" s="12">
        <f ca="1" t="shared" si="20"/>
        <v>14.8402896654383</v>
      </c>
      <c r="T54" s="11">
        <f ca="1" t="shared" si="21"/>
        <v>0.77812703385082</v>
      </c>
      <c r="U54" s="12">
        <f ca="1" t="shared" si="22"/>
        <v>19.5075227077911</v>
      </c>
      <c r="V54" s="11">
        <f ca="1" t="shared" si="23"/>
        <v>0.75211130919914</v>
      </c>
      <c r="W54" s="12">
        <f ca="1" t="shared" si="24"/>
        <v>22.0544772657421</v>
      </c>
      <c r="X54" s="11">
        <f ca="1" t="shared" si="25"/>
        <v>0.320683623344189</v>
      </c>
      <c r="Y54" s="12">
        <f ca="1" t="shared" si="26"/>
        <v>21.9425257569464</v>
      </c>
      <c r="Z54" s="19">
        <f ca="1" t="shared" si="27"/>
        <v>42326.7838145772</v>
      </c>
      <c r="AA54" s="19">
        <f ca="1" t="shared" si="28"/>
        <v>45218.1803874302</v>
      </c>
      <c r="AB54" s="19">
        <f ca="1" t="shared" si="29"/>
        <v>63799.1555606677</v>
      </c>
      <c r="AC54" s="19">
        <f ca="1" t="shared" si="30"/>
        <v>63141.1260764988</v>
      </c>
      <c r="AD54" s="19">
        <f ca="1" t="shared" si="31"/>
        <v>92089.6799714908</v>
      </c>
      <c r="AE54" s="19">
        <f ca="1" t="shared" si="32"/>
        <v>17315.0598285509</v>
      </c>
      <c r="AF54" s="19">
        <f ca="1" t="shared" si="33"/>
        <v>25011.7239860263</v>
      </c>
      <c r="AG54" s="19">
        <f ca="1" t="shared" si="34"/>
        <v>27903.1205588793</v>
      </c>
      <c r="AH54" s="19">
        <f ca="1" t="shared" si="35"/>
        <v>46484.0957321168</v>
      </c>
      <c r="AI54" s="19">
        <f ca="1" t="shared" si="36"/>
        <v>45826.0662479479</v>
      </c>
      <c r="AJ54" s="19">
        <f ca="1" t="shared" si="37"/>
        <v>74774.6201429399</v>
      </c>
      <c r="AK54" s="19">
        <f ca="1">AF54*$B$4</f>
        <v>12505.8619930131</v>
      </c>
      <c r="AL54" s="19">
        <f ca="1">AG54*$B$4</f>
        <v>13951.5602794397</v>
      </c>
      <c r="AM54" s="19">
        <f ca="1">AH54*$B$4</f>
        <v>23242.0478660584</v>
      </c>
      <c r="AN54" s="19">
        <f ca="1">AI54*$B$4</f>
        <v>22913.0331239739</v>
      </c>
      <c r="AO54" s="19">
        <f ca="1">AJ54*$B$4</f>
        <v>37387.31007147</v>
      </c>
      <c r="AP54" s="19">
        <f ca="1" t="shared" si="38"/>
        <v>12505.8619930131</v>
      </c>
      <c r="AQ54" s="19">
        <f ca="1" t="shared" si="39"/>
        <v>13951.5602794397</v>
      </c>
      <c r="AR54" s="19">
        <f ca="1" t="shared" si="40"/>
        <v>23242.0478660584</v>
      </c>
      <c r="AS54" s="19">
        <f ca="1" t="shared" si="41"/>
        <v>22913.0331239739</v>
      </c>
      <c r="AT54" s="19">
        <f ca="1" t="shared" si="42"/>
        <v>37387.31007147</v>
      </c>
      <c r="AU54" s="19">
        <f ca="1" t="shared" si="43"/>
        <v>44947.4470369682</v>
      </c>
      <c r="AV54" s="19">
        <f ca="1" t="shared" si="44"/>
        <v>-114207.686351172</v>
      </c>
      <c r="AW54" s="19">
        <f ca="1" t="shared" si="45"/>
        <v>29820.921821564</v>
      </c>
      <c r="AX54" s="19">
        <f ca="1" t="shared" si="46"/>
        <v>31266.6201079905</v>
      </c>
      <c r="AY54" s="19">
        <f ca="1" t="shared" si="47"/>
        <v>40557.1076946093</v>
      </c>
      <c r="AZ54" s="19">
        <f ca="1" t="shared" si="48"/>
        <v>40228.0929525248</v>
      </c>
      <c r="BA54" s="19">
        <f ca="1" t="shared" si="49"/>
        <v>99649.8169369891</v>
      </c>
      <c r="BB54" s="20">
        <f ca="1" t="shared" si="50"/>
        <v>0.248441503824455</v>
      </c>
      <c r="BC54" s="19">
        <f ca="1">NPV($B$5,AW54:BA54)+AV54</f>
        <v>34576.6768249637</v>
      </c>
    </row>
    <row r="55" spans="1:55">
      <c r="A55" s="3">
        <v>31</v>
      </c>
      <c r="B55" s="11">
        <f ca="1" t="shared" si="3"/>
        <v>0.0687144004690521</v>
      </c>
      <c r="C55" s="19">
        <f ca="1" t="shared" si="4"/>
        <v>-90919.400869829</v>
      </c>
      <c r="D55" s="11">
        <f ca="1" t="shared" si="5"/>
        <v>0.182685111894474</v>
      </c>
      <c r="E55" s="19">
        <f ca="1" t="shared" si="6"/>
        <v>-34765.2347918774</v>
      </c>
      <c r="F55" s="11">
        <f ca="1" t="shared" si="7"/>
        <v>0.868556249111866</v>
      </c>
      <c r="G55" s="19">
        <f ca="1" t="shared" si="8"/>
        <v>41860.209988453</v>
      </c>
      <c r="H55" s="11">
        <f ca="1" t="shared" si="9"/>
        <v>0.203259427962517</v>
      </c>
      <c r="I55" s="19">
        <f ca="1" t="shared" si="10"/>
        <v>35521.6767556946</v>
      </c>
      <c r="J55" s="11">
        <f ca="1" t="shared" si="11"/>
        <v>0.0362990434148036</v>
      </c>
      <c r="K55" s="19">
        <f ca="1" t="shared" si="12"/>
        <v>32333.4216319004</v>
      </c>
      <c r="L55" s="11">
        <f ca="1" t="shared" si="13"/>
        <v>0.547043719750793</v>
      </c>
      <c r="M55" s="19">
        <f ca="1" t="shared" si="14"/>
        <v>39058.507490896</v>
      </c>
      <c r="N55" s="11">
        <f ca="1" t="shared" si="15"/>
        <v>0.757319813601627</v>
      </c>
      <c r="O55" s="19">
        <f ca="1" t="shared" si="16"/>
        <v>40733.7353598402</v>
      </c>
      <c r="P55" s="11">
        <f ca="1" t="shared" si="17"/>
        <v>0.260304717204741</v>
      </c>
      <c r="Q55" s="12">
        <f ca="1" t="shared" si="18"/>
        <v>14.1645980942626</v>
      </c>
      <c r="R55" s="11">
        <f ca="1" t="shared" si="19"/>
        <v>0.478488874065609</v>
      </c>
      <c r="S55" s="12">
        <f ca="1" t="shared" si="20"/>
        <v>14.9347571847056</v>
      </c>
      <c r="T55" s="11">
        <f ca="1" t="shared" si="21"/>
        <v>0.908623921199783</v>
      </c>
      <c r="U55" s="12">
        <f ca="1" t="shared" si="22"/>
        <v>20.4004593764439</v>
      </c>
      <c r="V55" s="11">
        <f ca="1" t="shared" si="23"/>
        <v>0.126919900627429</v>
      </c>
      <c r="W55" s="12">
        <f ca="1" t="shared" si="24"/>
        <v>19.3329961023139</v>
      </c>
      <c r="X55" s="11">
        <f ca="1" t="shared" si="25"/>
        <v>0.445562095544587</v>
      </c>
      <c r="Y55" s="12">
        <f ca="1" t="shared" si="26"/>
        <v>22.5282866631564</v>
      </c>
      <c r="Z55" s="19">
        <f ca="1" t="shared" si="27"/>
        <v>47789.5404947318</v>
      </c>
      <c r="AA55" s="19">
        <f ca="1" t="shared" si="28"/>
        <v>46609.6983941539</v>
      </c>
      <c r="AB55" s="19">
        <f ca="1" t="shared" si="29"/>
        <v>51081.3826727497</v>
      </c>
      <c r="AC55" s="19">
        <f ca="1" t="shared" si="30"/>
        <v>73635.4876491485</v>
      </c>
      <c r="AD55" s="19">
        <f ca="1" t="shared" si="31"/>
        <v>94094.0412740478</v>
      </c>
      <c r="AE55" s="19">
        <f ca="1" t="shared" si="32"/>
        <v>18183.8801739658</v>
      </c>
      <c r="AF55" s="19">
        <f ca="1" t="shared" si="33"/>
        <v>29605.660320766</v>
      </c>
      <c r="AG55" s="19">
        <f ca="1" t="shared" si="34"/>
        <v>28425.8182201881</v>
      </c>
      <c r="AH55" s="19">
        <f ca="1" t="shared" si="35"/>
        <v>32897.5024987839</v>
      </c>
      <c r="AI55" s="19">
        <f ca="1" t="shared" si="36"/>
        <v>55451.6074751827</v>
      </c>
      <c r="AJ55" s="19">
        <f ca="1" t="shared" si="37"/>
        <v>75910.161100082</v>
      </c>
      <c r="AK55" s="19">
        <f ca="1">AF55*$B$4</f>
        <v>14802.830160383</v>
      </c>
      <c r="AL55" s="19">
        <f ca="1">AG55*$B$4</f>
        <v>14212.9091100941</v>
      </c>
      <c r="AM55" s="19">
        <f ca="1">AH55*$B$4</f>
        <v>16448.751249392</v>
      </c>
      <c r="AN55" s="19">
        <f ca="1">AI55*$B$4</f>
        <v>27725.8037375914</v>
      </c>
      <c r="AO55" s="19">
        <f ca="1">AJ55*$B$4</f>
        <v>37955.080550041</v>
      </c>
      <c r="AP55" s="19">
        <f ca="1" t="shared" si="38"/>
        <v>14802.830160383</v>
      </c>
      <c r="AQ55" s="19">
        <f ca="1" t="shared" si="39"/>
        <v>14212.9091100941</v>
      </c>
      <c r="AR55" s="19">
        <f ca="1" t="shared" si="40"/>
        <v>16448.751249392</v>
      </c>
      <c r="AS55" s="19">
        <f ca="1" t="shared" si="41"/>
        <v>27725.8037375914</v>
      </c>
      <c r="AT55" s="19">
        <f ca="1" t="shared" si="42"/>
        <v>37955.080550041</v>
      </c>
      <c r="AU55" s="19">
        <f ca="1" t="shared" si="43"/>
        <v>52949.1149658432</v>
      </c>
      <c r="AV55" s="19">
        <f ca="1" t="shared" si="44"/>
        <v>-125684.635661706</v>
      </c>
      <c r="AW55" s="19">
        <f ca="1" t="shared" si="45"/>
        <v>32986.7103343488</v>
      </c>
      <c r="AX55" s="19">
        <f ca="1" t="shared" si="46"/>
        <v>32396.7892840599</v>
      </c>
      <c r="AY55" s="19">
        <f ca="1" t="shared" si="47"/>
        <v>34632.6314233578</v>
      </c>
      <c r="AZ55" s="19">
        <f ca="1" t="shared" si="48"/>
        <v>45909.6839115572</v>
      </c>
      <c r="BA55" s="19">
        <f ca="1" t="shared" si="49"/>
        <v>109088.07568985</v>
      </c>
      <c r="BB55" s="20">
        <f ca="1" t="shared" si="50"/>
        <v>0.229890994069826</v>
      </c>
      <c r="BC55" s="19">
        <f ca="1">NPV($B$5,AW55:BA55)+AV55</f>
        <v>30752.6687838232</v>
      </c>
    </row>
    <row r="56" spans="1:55">
      <c r="A56" s="3">
        <v>32</v>
      </c>
      <c r="B56" s="11">
        <f ca="1" t="shared" si="3"/>
        <v>0.680979122515236</v>
      </c>
      <c r="C56" s="19">
        <f ca="1" t="shared" si="4"/>
        <v>-71413.7279971962</v>
      </c>
      <c r="D56" s="11">
        <f ca="1" t="shared" si="5"/>
        <v>0.691782871639694</v>
      </c>
      <c r="E56" s="19">
        <f ca="1" t="shared" si="6"/>
        <v>-29807.9397486889</v>
      </c>
      <c r="F56" s="11">
        <f ca="1" t="shared" si="7"/>
        <v>0.335037227624734</v>
      </c>
      <c r="G56" s="19">
        <f ca="1" t="shared" si="8"/>
        <v>37089.1173035654</v>
      </c>
      <c r="H56" s="11">
        <f ca="1" t="shared" si="9"/>
        <v>0.950909274097826</v>
      </c>
      <c r="I56" s="19">
        <f ca="1" t="shared" si="10"/>
        <v>43081.1971329334</v>
      </c>
      <c r="J56" s="11">
        <f ca="1" t="shared" si="11"/>
        <v>0.207068602387735</v>
      </c>
      <c r="K56" s="19">
        <f ca="1" t="shared" si="12"/>
        <v>35573.1759669115</v>
      </c>
      <c r="L56" s="11">
        <f ca="1" t="shared" si="13"/>
        <v>0.683307080227005</v>
      </c>
      <c r="M56" s="19">
        <f ca="1" t="shared" si="14"/>
        <v>40126.4008183915</v>
      </c>
      <c r="N56" s="11">
        <f ca="1" t="shared" si="15"/>
        <v>0.978806546875163</v>
      </c>
      <c r="O56" s="19">
        <f ca="1" t="shared" si="16"/>
        <v>43739.2426941069</v>
      </c>
      <c r="P56" s="11">
        <f ca="1" t="shared" si="17"/>
        <v>0.824451300065225</v>
      </c>
      <c r="Q56" s="12">
        <f ca="1" t="shared" si="18"/>
        <v>16.2223958261677</v>
      </c>
      <c r="R56" s="11">
        <f ca="1" t="shared" si="19"/>
        <v>0.889749553983021</v>
      </c>
      <c r="S56" s="12">
        <f ca="1" t="shared" si="20"/>
        <v>16.5912743246801</v>
      </c>
      <c r="T56" s="11">
        <f ca="1" t="shared" si="21"/>
        <v>0.859118157943501</v>
      </c>
      <c r="U56" s="12">
        <f ca="1" t="shared" si="22"/>
        <v>20.0138752361491</v>
      </c>
      <c r="V56" s="11">
        <f ca="1" t="shared" si="23"/>
        <v>0.151148940647781</v>
      </c>
      <c r="W56" s="12">
        <f ca="1" t="shared" si="24"/>
        <v>19.454676998192</v>
      </c>
      <c r="X56" s="11">
        <f ca="1" t="shared" si="25"/>
        <v>0.245566682643694</v>
      </c>
      <c r="Y56" s="12">
        <f ca="1" t="shared" si="26"/>
        <v>21.5749369761957</v>
      </c>
      <c r="Z56" s="19">
        <f ca="1" t="shared" si="27"/>
        <v>43105.8607209814</v>
      </c>
      <c r="AA56" s="19">
        <f ca="1" t="shared" si="28"/>
        <v>58377.2504230133</v>
      </c>
      <c r="AB56" s="19">
        <f ca="1" t="shared" si="29"/>
        <v>57850.880431351</v>
      </c>
      <c r="AC56" s="19">
        <f ca="1" t="shared" si="30"/>
        <v>77950.821684862</v>
      </c>
      <c r="AD56" s="19">
        <f ca="1" t="shared" si="31"/>
        <v>103301.303808974</v>
      </c>
      <c r="AE56" s="19">
        <f ca="1" t="shared" si="32"/>
        <v>14282.7455994392</v>
      </c>
      <c r="AF56" s="19">
        <f ca="1" t="shared" si="33"/>
        <v>28823.1151215422</v>
      </c>
      <c r="AG56" s="19">
        <f ca="1" t="shared" si="34"/>
        <v>44094.504823574</v>
      </c>
      <c r="AH56" s="19">
        <f ca="1" t="shared" si="35"/>
        <v>43568.1348319118</v>
      </c>
      <c r="AI56" s="19">
        <f ca="1" t="shared" si="36"/>
        <v>63668.0760854227</v>
      </c>
      <c r="AJ56" s="19">
        <f ca="1" t="shared" si="37"/>
        <v>89018.5582095346</v>
      </c>
      <c r="AK56" s="19">
        <f ca="1">AF56*$B$4</f>
        <v>14411.5575607711</v>
      </c>
      <c r="AL56" s="19">
        <f ca="1">AG56*$B$4</f>
        <v>22047.252411787</v>
      </c>
      <c r="AM56" s="19">
        <f ca="1">AH56*$B$4</f>
        <v>21784.0674159559</v>
      </c>
      <c r="AN56" s="19">
        <f ca="1">AI56*$B$4</f>
        <v>31834.0380427114</v>
      </c>
      <c r="AO56" s="19">
        <f ca="1">AJ56*$B$4</f>
        <v>44509.2791047673</v>
      </c>
      <c r="AP56" s="19">
        <f ca="1" t="shared" si="38"/>
        <v>14411.5575607711</v>
      </c>
      <c r="AQ56" s="19">
        <f ca="1" t="shared" si="39"/>
        <v>22047.252411787</v>
      </c>
      <c r="AR56" s="19">
        <f ca="1" t="shared" si="40"/>
        <v>21784.0674159559</v>
      </c>
      <c r="AS56" s="19">
        <f ca="1" t="shared" si="41"/>
        <v>31834.0380427114</v>
      </c>
      <c r="AT56" s="19">
        <f ca="1" t="shared" si="42"/>
        <v>44509.2791047673</v>
      </c>
      <c r="AU56" s="19">
        <f ca="1" t="shared" si="43"/>
        <v>44090.6853481282</v>
      </c>
      <c r="AV56" s="19">
        <f ca="1" t="shared" si="44"/>
        <v>-101221.667745885</v>
      </c>
      <c r="AW56" s="19">
        <f ca="1" t="shared" si="45"/>
        <v>28694.3031602103</v>
      </c>
      <c r="AX56" s="19">
        <f ca="1" t="shared" si="46"/>
        <v>36329.9980112263</v>
      </c>
      <c r="AY56" s="19">
        <f ca="1" t="shared" si="47"/>
        <v>36066.8130153951</v>
      </c>
      <c r="AZ56" s="19">
        <f ca="1" t="shared" si="48"/>
        <v>46116.7836421506</v>
      </c>
      <c r="BA56" s="19">
        <f ca="1" t="shared" si="49"/>
        <v>102882.710052335</v>
      </c>
      <c r="BB56" s="20">
        <f ca="1" t="shared" si="50"/>
        <v>0.310948427543957</v>
      </c>
      <c r="BC56" s="19">
        <f ca="1">NPV($B$5,AW56:BA56)+AV56</f>
        <v>52433.423784492</v>
      </c>
    </row>
    <row r="57" spans="1:55">
      <c r="A57" s="3">
        <v>33</v>
      </c>
      <c r="B57" s="11">
        <f ca="1" t="shared" si="3"/>
        <v>0.651910253202544</v>
      </c>
      <c r="C57" s="19">
        <f ca="1" t="shared" si="4"/>
        <v>-72030.5111980384</v>
      </c>
      <c r="D57" s="11">
        <f ca="1" t="shared" si="5"/>
        <v>0.0198650422348792</v>
      </c>
      <c r="E57" s="19">
        <f ca="1" t="shared" si="6"/>
        <v>-38273.8029268847</v>
      </c>
      <c r="F57" s="11">
        <f ca="1" t="shared" si="7"/>
        <v>0.738012136184657</v>
      </c>
      <c r="G57" s="19">
        <f ca="1" t="shared" si="8"/>
        <v>40567.2706166346</v>
      </c>
      <c r="H57" s="11">
        <f ca="1" t="shared" si="9"/>
        <v>0.934119756414213</v>
      </c>
      <c r="I57" s="19">
        <f ca="1" t="shared" si="10"/>
        <v>42777.1598642876</v>
      </c>
      <c r="J57" s="11">
        <f ca="1" t="shared" si="11"/>
        <v>0.897057351904777</v>
      </c>
      <c r="K57" s="19">
        <f ca="1" t="shared" si="12"/>
        <v>42221.385487848</v>
      </c>
      <c r="L57" s="11">
        <f ca="1" t="shared" si="13"/>
        <v>0.113320564039754</v>
      </c>
      <c r="M57" s="19">
        <f ca="1" t="shared" si="14"/>
        <v>34122.8733434297</v>
      </c>
      <c r="N57" s="11">
        <f ca="1" t="shared" si="15"/>
        <v>0.414113466445587</v>
      </c>
      <c r="O57" s="19">
        <f ca="1" t="shared" si="16"/>
        <v>37881.4351463955</v>
      </c>
      <c r="P57" s="11">
        <f ca="1" t="shared" si="17"/>
        <v>0.0673113842557593</v>
      </c>
      <c r="Q57" s="12">
        <f ca="1" t="shared" si="18"/>
        <v>13.1007292658068</v>
      </c>
      <c r="R57" s="11">
        <f ca="1" t="shared" si="19"/>
        <v>0.358492557943823</v>
      </c>
      <c r="S57" s="12">
        <f ca="1" t="shared" si="20"/>
        <v>14.5402492088354</v>
      </c>
      <c r="T57" s="11">
        <f ca="1" t="shared" si="21"/>
        <v>0.286344510661203</v>
      </c>
      <c r="U57" s="12">
        <f ca="1" t="shared" si="22"/>
        <v>17.4521897813761</v>
      </c>
      <c r="V57" s="11">
        <f ca="1" t="shared" si="23"/>
        <v>0.403977453158641</v>
      </c>
      <c r="W57" s="12">
        <f ca="1" t="shared" si="24"/>
        <v>20.4326387115264</v>
      </c>
      <c r="X57" s="11">
        <f ca="1" t="shared" si="25"/>
        <v>0.224301166283145</v>
      </c>
      <c r="Y57" s="12">
        <f ca="1" t="shared" si="26"/>
        <v>21.4609208621256</v>
      </c>
      <c r="Z57" s="19">
        <f ca="1" t="shared" si="27"/>
        <v>45881.8789106471</v>
      </c>
      <c r="AA57" s="19">
        <f ca="1" t="shared" si="28"/>
        <v>55416.0384140673</v>
      </c>
      <c r="AB57" s="19">
        <f ca="1" t="shared" si="29"/>
        <v>64241.7151839111</v>
      </c>
      <c r="AC57" s="19">
        <f ca="1" t="shared" si="30"/>
        <v>62527.9863965467</v>
      </c>
      <c r="AD57" s="19">
        <f ca="1" t="shared" si="31"/>
        <v>84312.475823497</v>
      </c>
      <c r="AE57" s="19">
        <f ca="1" t="shared" si="32"/>
        <v>14406.1022396077</v>
      </c>
      <c r="AF57" s="19">
        <f ca="1" t="shared" si="33"/>
        <v>31475.7766710394</v>
      </c>
      <c r="AG57" s="19">
        <f ca="1" t="shared" si="34"/>
        <v>41009.9361744596</v>
      </c>
      <c r="AH57" s="19">
        <f ca="1" t="shared" si="35"/>
        <v>49835.6129443035</v>
      </c>
      <c r="AI57" s="19">
        <f ca="1" t="shared" si="36"/>
        <v>48121.884156939</v>
      </c>
      <c r="AJ57" s="19">
        <f ca="1" t="shared" si="37"/>
        <v>69906.3735838893</v>
      </c>
      <c r="AK57" s="19">
        <f ca="1">AF57*$B$4</f>
        <v>15737.8883355197</v>
      </c>
      <c r="AL57" s="19">
        <f ca="1">AG57*$B$4</f>
        <v>20504.9680872298</v>
      </c>
      <c r="AM57" s="19">
        <f ca="1">AH57*$B$4</f>
        <v>24917.8064721517</v>
      </c>
      <c r="AN57" s="19">
        <f ca="1">AI57*$B$4</f>
        <v>24060.9420784695</v>
      </c>
      <c r="AO57" s="19">
        <f ca="1">AJ57*$B$4</f>
        <v>34953.1867919447</v>
      </c>
      <c r="AP57" s="19">
        <f ca="1" t="shared" si="38"/>
        <v>15737.8883355197</v>
      </c>
      <c r="AQ57" s="19">
        <f ca="1" t="shared" si="39"/>
        <v>20504.9680872298</v>
      </c>
      <c r="AR57" s="19">
        <f ca="1" t="shared" si="40"/>
        <v>24917.8064721517</v>
      </c>
      <c r="AS57" s="19">
        <f ca="1" t="shared" si="41"/>
        <v>24060.9420784695</v>
      </c>
      <c r="AT57" s="19">
        <f ca="1" t="shared" si="42"/>
        <v>34953.1867919447</v>
      </c>
      <c r="AU57" s="19">
        <f ca="1" t="shared" si="43"/>
        <v>52679.9051664924</v>
      </c>
      <c r="AV57" s="19">
        <f ca="1" t="shared" si="44"/>
        <v>-110304.314124923</v>
      </c>
      <c r="AW57" s="19">
        <f ca="1" t="shared" si="45"/>
        <v>30143.9905751274</v>
      </c>
      <c r="AX57" s="19">
        <f ca="1" t="shared" si="46"/>
        <v>34911.0703268375</v>
      </c>
      <c r="AY57" s="19">
        <f ca="1" t="shared" si="47"/>
        <v>39323.9087117594</v>
      </c>
      <c r="AZ57" s="19">
        <f ca="1" t="shared" si="48"/>
        <v>38467.0443180772</v>
      </c>
      <c r="BA57" s="19">
        <f ca="1" t="shared" si="49"/>
        <v>102039.194198045</v>
      </c>
      <c r="BB57" s="20">
        <f ca="1" t="shared" si="50"/>
        <v>0.269795056837265</v>
      </c>
      <c r="BC57" s="19">
        <f ca="1">NPV($B$5,AW57:BA57)+AV57</f>
        <v>40886.9155205091</v>
      </c>
    </row>
    <row r="58" spans="1:55">
      <c r="A58" s="3">
        <v>34</v>
      </c>
      <c r="B58" s="11">
        <f ca="1" t="shared" si="3"/>
        <v>0.701177372184981</v>
      </c>
      <c r="C58" s="19">
        <f ca="1" t="shared" si="4"/>
        <v>-70992.8828281407</v>
      </c>
      <c r="D58" s="11">
        <f ca="1" t="shared" si="5"/>
        <v>0.80394355983969</v>
      </c>
      <c r="E58" s="19">
        <f ca="1" t="shared" si="6"/>
        <v>-28834.6098904613</v>
      </c>
      <c r="F58" s="11">
        <f ca="1" t="shared" si="7"/>
        <v>0.10644803100019</v>
      </c>
      <c r="G58" s="19">
        <f ca="1" t="shared" si="8"/>
        <v>33995.8984784437</v>
      </c>
      <c r="H58" s="11">
        <f ca="1" t="shared" si="9"/>
        <v>0.870380388101394</v>
      </c>
      <c r="I58" s="19">
        <f ca="1" t="shared" si="10"/>
        <v>41882.0726608217</v>
      </c>
      <c r="J58" s="11">
        <f ca="1" t="shared" si="11"/>
        <v>0.591878649437123</v>
      </c>
      <c r="K58" s="19">
        <f ca="1" t="shared" si="12"/>
        <v>39422.4093211645</v>
      </c>
      <c r="L58" s="11">
        <f ca="1" t="shared" si="13"/>
        <v>0.331662331731074</v>
      </c>
      <c r="M58" s="19">
        <f ca="1" t="shared" si="14"/>
        <v>37053.3218953668</v>
      </c>
      <c r="N58" s="11">
        <f ca="1" t="shared" si="15"/>
        <v>0.0446777095177551</v>
      </c>
      <c r="O58" s="19">
        <f ca="1" t="shared" si="16"/>
        <v>32588.755768253</v>
      </c>
      <c r="P58" s="11">
        <f ca="1" t="shared" si="17"/>
        <v>0.256651452701471</v>
      </c>
      <c r="Q58" s="12">
        <f ca="1" t="shared" si="18"/>
        <v>14.1493548214817</v>
      </c>
      <c r="R58" s="11">
        <f ca="1" t="shared" si="19"/>
        <v>0.206938967181068</v>
      </c>
      <c r="S58" s="12">
        <f ca="1" t="shared" si="20"/>
        <v>13.930000365093</v>
      </c>
      <c r="T58" s="11">
        <f ca="1" t="shared" si="21"/>
        <v>0.99651807037223</v>
      </c>
      <c r="U58" s="12">
        <f ca="1" t="shared" si="22"/>
        <v>21.6877596605537</v>
      </c>
      <c r="V58" s="11">
        <f ca="1" t="shared" si="23"/>
        <v>0.875629516623955</v>
      </c>
      <c r="W58" s="12">
        <f ca="1" t="shared" si="24"/>
        <v>22.9136234955882</v>
      </c>
      <c r="X58" s="11">
        <f ca="1" t="shared" si="25"/>
        <v>0.14077618631826</v>
      </c>
      <c r="Y58" s="12">
        <f ca="1" t="shared" si="26"/>
        <v>20.9496043266758</v>
      </c>
      <c r="Z58" s="19">
        <f ca="1" t="shared" si="27"/>
        <v>38806.0987789094</v>
      </c>
      <c r="AA58" s="19">
        <f ca="1" t="shared" si="28"/>
        <v>54467.7864236734</v>
      </c>
      <c r="AB58" s="19">
        <f ca="1" t="shared" si="29"/>
        <v>62388.0797177558</v>
      </c>
      <c r="AC58" s="19">
        <f ca="1" t="shared" si="30"/>
        <v>72075.1619187707</v>
      </c>
      <c r="AD58" s="19">
        <f ca="1" t="shared" si="31"/>
        <v>76670.9260596462</v>
      </c>
      <c r="AE58" s="19">
        <f ca="1" t="shared" si="32"/>
        <v>14198.5765656281</v>
      </c>
      <c r="AF58" s="19">
        <f ca="1" t="shared" si="33"/>
        <v>24607.5222132812</v>
      </c>
      <c r="AG58" s="19">
        <f ca="1" t="shared" si="34"/>
        <v>40269.2098580453</v>
      </c>
      <c r="AH58" s="19">
        <f ca="1" t="shared" si="35"/>
        <v>48189.5031521276</v>
      </c>
      <c r="AI58" s="19">
        <f ca="1" t="shared" si="36"/>
        <v>57876.5853531426</v>
      </c>
      <c r="AJ58" s="19">
        <f ca="1" t="shared" si="37"/>
        <v>62472.3494940181</v>
      </c>
      <c r="AK58" s="19">
        <f ca="1">AF58*$B$4</f>
        <v>12303.7611066406</v>
      </c>
      <c r="AL58" s="19">
        <f ca="1">AG58*$B$4</f>
        <v>20134.6049290226</v>
      </c>
      <c r="AM58" s="19">
        <f ca="1">AH58*$B$4</f>
        <v>24094.7515760638</v>
      </c>
      <c r="AN58" s="19">
        <f ca="1">AI58*$B$4</f>
        <v>28938.2926765713</v>
      </c>
      <c r="AO58" s="19">
        <f ca="1">AJ58*$B$4</f>
        <v>31236.174747009</v>
      </c>
      <c r="AP58" s="19">
        <f ca="1" t="shared" si="38"/>
        <v>12303.7611066406</v>
      </c>
      <c r="AQ58" s="19">
        <f ca="1" t="shared" si="39"/>
        <v>20134.6049290226</v>
      </c>
      <c r="AR58" s="19">
        <f ca="1" t="shared" si="40"/>
        <v>24094.7515760638</v>
      </c>
      <c r="AS58" s="19">
        <f ca="1" t="shared" si="41"/>
        <v>28938.2926765713</v>
      </c>
      <c r="AT58" s="19">
        <f ca="1" t="shared" si="42"/>
        <v>31236.174747009</v>
      </c>
      <c r="AU58" s="19">
        <f ca="1" t="shared" si="43"/>
        <v>43033.1864560894</v>
      </c>
      <c r="AV58" s="19">
        <f ca="1" t="shared" si="44"/>
        <v>-99827.4927186019</v>
      </c>
      <c r="AW58" s="19">
        <f ca="1" t="shared" si="45"/>
        <v>26502.3376722687</v>
      </c>
      <c r="AX58" s="19">
        <f ca="1" t="shared" si="46"/>
        <v>34333.1814946508</v>
      </c>
      <c r="AY58" s="19">
        <f ca="1" t="shared" si="47"/>
        <v>38293.3281416919</v>
      </c>
      <c r="AZ58" s="19">
        <f ca="1" t="shared" si="48"/>
        <v>43136.8692421994</v>
      </c>
      <c r="BA58" s="19">
        <f ca="1" t="shared" si="49"/>
        <v>88467.9377687266</v>
      </c>
      <c r="BB58" s="20">
        <f ca="1" t="shared" si="50"/>
        <v>0.287992432378345</v>
      </c>
      <c r="BC58" s="19">
        <f ca="1">NPV($B$5,AW58:BA58)+AV58</f>
        <v>43005.1663854783</v>
      </c>
    </row>
    <row r="59" spans="1:55">
      <c r="A59" s="3">
        <v>35</v>
      </c>
      <c r="B59" s="11">
        <f ca="1" t="shared" si="3"/>
        <v>0.375596253556526</v>
      </c>
      <c r="C59" s="19">
        <f ca="1" t="shared" si="4"/>
        <v>-78769.9386654718</v>
      </c>
      <c r="D59" s="11">
        <f ca="1" t="shared" si="5"/>
        <v>0.956496381084155</v>
      </c>
      <c r="E59" s="19">
        <f ca="1" t="shared" si="6"/>
        <v>-26806.314318907</v>
      </c>
      <c r="F59" s="11">
        <f ca="1" t="shared" si="7"/>
        <v>0.113885009197909</v>
      </c>
      <c r="G59" s="19">
        <f ca="1" t="shared" si="8"/>
        <v>34133.1285220383</v>
      </c>
      <c r="H59" s="11">
        <f ca="1" t="shared" si="9"/>
        <v>0.0696730842638891</v>
      </c>
      <c r="I59" s="19">
        <f ca="1" t="shared" si="10"/>
        <v>33232.7948650639</v>
      </c>
      <c r="J59" s="11">
        <f ca="1" t="shared" si="11"/>
        <v>0.119850229387393</v>
      </c>
      <c r="K59" s="19">
        <f ca="1" t="shared" si="12"/>
        <v>34239.9922651001</v>
      </c>
      <c r="L59" s="11">
        <f ca="1" t="shared" si="13"/>
        <v>0.535942918176793</v>
      </c>
      <c r="M59" s="19">
        <f ca="1" t="shared" si="14"/>
        <v>38966.1272423783</v>
      </c>
      <c r="N59" s="11">
        <f ca="1" t="shared" si="15"/>
        <v>0.591164673123272</v>
      </c>
      <c r="O59" s="19">
        <f ca="1" t="shared" si="16"/>
        <v>39416.7245350223</v>
      </c>
      <c r="P59" s="11">
        <f ca="1" t="shared" si="17"/>
        <v>0.414836656649586</v>
      </c>
      <c r="Q59" s="12">
        <f ca="1" t="shared" si="18"/>
        <v>14.7325921429464</v>
      </c>
      <c r="R59" s="11">
        <f ca="1" t="shared" si="19"/>
        <v>0.115166797060305</v>
      </c>
      <c r="S59" s="12">
        <f ca="1" t="shared" si="20"/>
        <v>13.439792466672</v>
      </c>
      <c r="T59" s="11">
        <f ca="1" t="shared" si="21"/>
        <v>0.541764148596925</v>
      </c>
      <c r="U59" s="12">
        <f ca="1" t="shared" si="22"/>
        <v>18.4180167728916</v>
      </c>
      <c r="V59" s="11">
        <f ca="1" t="shared" si="23"/>
        <v>0.742455084527655</v>
      </c>
      <c r="W59" s="12">
        <f ca="1" t="shared" si="24"/>
        <v>21.9976555757988</v>
      </c>
      <c r="X59" s="11">
        <f ca="1" t="shared" si="25"/>
        <v>0.37467633948309</v>
      </c>
      <c r="Y59" s="12">
        <f ca="1" t="shared" si="26"/>
        <v>22.1890209372333</v>
      </c>
      <c r="Z59" s="19">
        <f ca="1" t="shared" si="27"/>
        <v>39161.8231328179</v>
      </c>
      <c r="AA59" s="19">
        <f ca="1" t="shared" si="28"/>
        <v>43253.2848956584</v>
      </c>
      <c r="AB59" s="19">
        <f ca="1" t="shared" si="29"/>
        <v>52772.0141561383</v>
      </c>
      <c r="AC59" s="19">
        <f ca="1" t="shared" si="30"/>
        <v>73267.0560843527</v>
      </c>
      <c r="AD59" s="19">
        <f ca="1" t="shared" si="31"/>
        <v>90559.5413980119</v>
      </c>
      <c r="AE59" s="19">
        <f ca="1" t="shared" si="32"/>
        <v>15753.9877330944</v>
      </c>
      <c r="AF59" s="19">
        <f ca="1" t="shared" si="33"/>
        <v>23407.8353997235</v>
      </c>
      <c r="AG59" s="19">
        <f ca="1" t="shared" si="34"/>
        <v>27499.297162564</v>
      </c>
      <c r="AH59" s="19">
        <f ca="1" t="shared" si="35"/>
        <v>37018.026423044</v>
      </c>
      <c r="AI59" s="19">
        <f ca="1" t="shared" si="36"/>
        <v>57513.0683512584</v>
      </c>
      <c r="AJ59" s="19">
        <f ca="1" t="shared" si="37"/>
        <v>74805.5536649175</v>
      </c>
      <c r="AK59" s="19">
        <f ca="1">AF59*$B$4</f>
        <v>11703.9176998618</v>
      </c>
      <c r="AL59" s="19">
        <f ca="1">AG59*$B$4</f>
        <v>13749.648581282</v>
      </c>
      <c r="AM59" s="19">
        <f ca="1">AH59*$B$4</f>
        <v>18509.013211522</v>
      </c>
      <c r="AN59" s="19">
        <f ca="1">AI59*$B$4</f>
        <v>28756.5341756292</v>
      </c>
      <c r="AO59" s="19">
        <f ca="1">AJ59*$B$4</f>
        <v>37402.7768324588</v>
      </c>
      <c r="AP59" s="19">
        <f ca="1" t="shared" si="38"/>
        <v>11703.9176998618</v>
      </c>
      <c r="AQ59" s="19">
        <f ca="1" t="shared" si="39"/>
        <v>13749.648581282</v>
      </c>
      <c r="AR59" s="19">
        <f ca="1" t="shared" si="40"/>
        <v>18509.013211522</v>
      </c>
      <c r="AS59" s="19">
        <f ca="1" t="shared" si="41"/>
        <v>28756.5341756292</v>
      </c>
      <c r="AT59" s="19">
        <f ca="1" t="shared" si="42"/>
        <v>37402.7768324588</v>
      </c>
      <c r="AU59" s="19">
        <f ca="1" t="shared" si="43"/>
        <v>42560.3020520013</v>
      </c>
      <c r="AV59" s="19">
        <f ca="1" t="shared" si="44"/>
        <v>-105576.252984379</v>
      </c>
      <c r="AW59" s="19">
        <f ca="1" t="shared" si="45"/>
        <v>27457.9054329561</v>
      </c>
      <c r="AX59" s="19">
        <f ca="1" t="shared" si="46"/>
        <v>29503.6363143764</v>
      </c>
      <c r="AY59" s="19">
        <f ca="1" t="shared" si="47"/>
        <v>34263.0009446163</v>
      </c>
      <c r="AZ59" s="19">
        <f ca="1" t="shared" si="48"/>
        <v>44510.5219087236</v>
      </c>
      <c r="BA59" s="19">
        <f ca="1" t="shared" si="49"/>
        <v>95717.0666175545</v>
      </c>
      <c r="BB59" s="20">
        <f ca="1" t="shared" si="50"/>
        <v>0.25896477118163</v>
      </c>
      <c r="BC59" s="19">
        <f ca="1">NPV($B$5,AW59:BA59)+AV59</f>
        <v>36174.9876343978</v>
      </c>
    </row>
    <row r="60" spans="1:55">
      <c r="A60" s="3">
        <v>36</v>
      </c>
      <c r="B60" s="11">
        <f ca="1" t="shared" si="3"/>
        <v>0.532975937013976</v>
      </c>
      <c r="C60" s="19">
        <f ca="1" t="shared" si="4"/>
        <v>-74710.2565371499</v>
      </c>
      <c r="D60" s="11">
        <f ca="1" t="shared" si="5"/>
        <v>0.254114166777487</v>
      </c>
      <c r="E60" s="19">
        <f ca="1" t="shared" si="6"/>
        <v>-33826.0932128333</v>
      </c>
      <c r="F60" s="11">
        <f ca="1" t="shared" si="7"/>
        <v>0.258218840776571</v>
      </c>
      <c r="G60" s="19">
        <f ca="1" t="shared" si="8"/>
        <v>36223.5702066005</v>
      </c>
      <c r="H60" s="11">
        <f ca="1" t="shared" si="9"/>
        <v>0.437963884356071</v>
      </c>
      <c r="I60" s="19">
        <f ca="1" t="shared" si="10"/>
        <v>38105.2194697868</v>
      </c>
      <c r="J60" s="11">
        <f ca="1" t="shared" si="11"/>
        <v>0.7776247985397</v>
      </c>
      <c r="K60" s="19">
        <f ca="1" t="shared" si="12"/>
        <v>40916.1121330866</v>
      </c>
      <c r="L60" s="11">
        <f ca="1" t="shared" si="13"/>
        <v>0.374851445750127</v>
      </c>
      <c r="M60" s="19">
        <f ca="1" t="shared" si="14"/>
        <v>37498.5143103497</v>
      </c>
      <c r="N60" s="11">
        <f ca="1" t="shared" si="15"/>
        <v>0.159769744219493</v>
      </c>
      <c r="O60" s="19">
        <f ca="1" t="shared" si="16"/>
        <v>34895.4531590981</v>
      </c>
      <c r="P60" s="11">
        <f ca="1" t="shared" si="17"/>
        <v>0.162366916635346</v>
      </c>
      <c r="Q60" s="12">
        <f ca="1" t="shared" si="18"/>
        <v>13.7095626632084</v>
      </c>
      <c r="R60" s="11">
        <f ca="1" t="shared" si="19"/>
        <v>0.186442790356705</v>
      </c>
      <c r="S60" s="12">
        <f ca="1" t="shared" si="20"/>
        <v>13.8319307373426</v>
      </c>
      <c r="T60" s="11">
        <f ca="1" t="shared" si="21"/>
        <v>0.905285707079418</v>
      </c>
      <c r="U60" s="12">
        <f ca="1" t="shared" si="22"/>
        <v>20.3715036991825</v>
      </c>
      <c r="V60" s="11">
        <f ca="1" t="shared" si="23"/>
        <v>0.152455978327436</v>
      </c>
      <c r="W60" s="12">
        <f ca="1" t="shared" si="24"/>
        <v>19.4609530097112</v>
      </c>
      <c r="X60" s="11">
        <f ca="1" t="shared" si="25"/>
        <v>0.235353743157099</v>
      </c>
      <c r="Y60" s="12">
        <f ca="1" t="shared" si="26"/>
        <v>21.5208234895053</v>
      </c>
      <c r="Z60" s="19">
        <f ca="1" t="shared" si="27"/>
        <v>41189.6632629257</v>
      </c>
      <c r="AA60" s="19">
        <f ca="1" t="shared" si="28"/>
        <v>49322.5541897433</v>
      </c>
      <c r="AB60" s="19">
        <f ca="1" t="shared" si="29"/>
        <v>63749.8456050571</v>
      </c>
      <c r="AC60" s="19">
        <f ca="1" t="shared" si="30"/>
        <v>69795.0806664817</v>
      </c>
      <c r="AD60" s="19">
        <f ca="1" t="shared" si="31"/>
        <v>78927.8546963629</v>
      </c>
      <c r="AE60" s="19">
        <f ca="1" t="shared" si="32"/>
        <v>14942.05130743</v>
      </c>
      <c r="AF60" s="19">
        <f ca="1" t="shared" si="33"/>
        <v>26247.6119554957</v>
      </c>
      <c r="AG60" s="19">
        <f ca="1" t="shared" si="34"/>
        <v>34380.5028823133</v>
      </c>
      <c r="AH60" s="19">
        <f ca="1" t="shared" si="35"/>
        <v>48807.7942976271</v>
      </c>
      <c r="AI60" s="19">
        <f ca="1" t="shared" si="36"/>
        <v>54853.0293590517</v>
      </c>
      <c r="AJ60" s="19">
        <f ca="1" t="shared" si="37"/>
        <v>63985.8033889329</v>
      </c>
      <c r="AK60" s="19">
        <f ca="1">AF60*$B$4</f>
        <v>13123.8059777479</v>
      </c>
      <c r="AL60" s="19">
        <f ca="1">AG60*$B$4</f>
        <v>17190.2514411566</v>
      </c>
      <c r="AM60" s="19">
        <f ca="1">AH60*$B$4</f>
        <v>24403.8971488136</v>
      </c>
      <c r="AN60" s="19">
        <f ca="1">AI60*$B$4</f>
        <v>27426.5146795259</v>
      </c>
      <c r="AO60" s="19">
        <f ca="1">AJ60*$B$4</f>
        <v>31992.9016944665</v>
      </c>
      <c r="AP60" s="19">
        <f ca="1" t="shared" si="38"/>
        <v>13123.8059777479</v>
      </c>
      <c r="AQ60" s="19">
        <f ca="1" t="shared" si="39"/>
        <v>17190.2514411566</v>
      </c>
      <c r="AR60" s="19">
        <f ca="1" t="shared" si="40"/>
        <v>24403.8971488136</v>
      </c>
      <c r="AS60" s="19">
        <f ca="1" t="shared" si="41"/>
        <v>27426.5146795259</v>
      </c>
      <c r="AT60" s="19">
        <f ca="1" t="shared" si="42"/>
        <v>31992.9016944665</v>
      </c>
      <c r="AU60" s="19">
        <f ca="1" t="shared" si="43"/>
        <v>48768.1445202633</v>
      </c>
      <c r="AV60" s="19">
        <f ca="1" t="shared" si="44"/>
        <v>-108536.349749983</v>
      </c>
      <c r="AW60" s="19">
        <f ca="1" t="shared" si="45"/>
        <v>28065.8572851778</v>
      </c>
      <c r="AX60" s="19">
        <f ca="1" t="shared" si="46"/>
        <v>32132.3027485866</v>
      </c>
      <c r="AY60" s="19">
        <f ca="1" t="shared" si="47"/>
        <v>39345.9484562435</v>
      </c>
      <c r="AZ60" s="19">
        <f ca="1" t="shared" si="48"/>
        <v>42368.5659869558</v>
      </c>
      <c r="BA60" s="19">
        <f ca="1" t="shared" si="49"/>
        <v>95703.0975221597</v>
      </c>
      <c r="BB60" s="20">
        <f ca="1" t="shared" si="50"/>
        <v>0.262204780215054</v>
      </c>
      <c r="BC60" s="19">
        <f ca="1">NPV($B$5,AW60:BA60)+AV60</f>
        <v>37841.699269061</v>
      </c>
    </row>
    <row r="61" spans="1:55">
      <c r="A61" s="3">
        <v>37</v>
      </c>
      <c r="B61" s="11">
        <f ca="1" t="shared" si="3"/>
        <v>0.396285866772461</v>
      </c>
      <c r="C61" s="19">
        <f ca="1" t="shared" si="4"/>
        <v>-78193.0506460222</v>
      </c>
      <c r="D61" s="11">
        <f ca="1" t="shared" si="5"/>
        <v>0.977793576216671</v>
      </c>
      <c r="E61" s="19">
        <f ca="1" t="shared" si="6"/>
        <v>-26290.5354639643</v>
      </c>
      <c r="F61" s="11">
        <f ca="1" t="shared" si="7"/>
        <v>0.283389143556116</v>
      </c>
      <c r="G61" s="19">
        <f ca="1" t="shared" si="8"/>
        <v>36519.844440891</v>
      </c>
      <c r="H61" s="11">
        <f ca="1" t="shared" si="9"/>
        <v>0.584659262847443</v>
      </c>
      <c r="I61" s="19">
        <f ca="1" t="shared" si="10"/>
        <v>39364.7685196761</v>
      </c>
      <c r="J61" s="11">
        <f ca="1" t="shared" si="11"/>
        <v>0.566646606265274</v>
      </c>
      <c r="K61" s="19">
        <f ca="1" t="shared" si="12"/>
        <v>39219.3812666464</v>
      </c>
      <c r="L61" s="11">
        <f ca="1" t="shared" si="13"/>
        <v>0.278577334790788</v>
      </c>
      <c r="M61" s="19">
        <f ca="1" t="shared" si="14"/>
        <v>36464.2555811646</v>
      </c>
      <c r="N61" s="11">
        <f ca="1" t="shared" si="15"/>
        <v>0.325579684597114</v>
      </c>
      <c r="O61" s="19">
        <f ca="1" t="shared" si="16"/>
        <v>36988.3440591865</v>
      </c>
      <c r="P61" s="11">
        <f ca="1" t="shared" si="17"/>
        <v>0.968628660236683</v>
      </c>
      <c r="Q61" s="12">
        <f ca="1" t="shared" si="18"/>
        <v>17.2485453335432</v>
      </c>
      <c r="R61" s="11">
        <f ca="1" t="shared" si="19"/>
        <v>0.165067624337761</v>
      </c>
      <c r="S61" s="12">
        <f ca="1" t="shared" si="20"/>
        <v>13.7237219143701</v>
      </c>
      <c r="T61" s="11">
        <f ca="1" t="shared" si="21"/>
        <v>0.96435797940983</v>
      </c>
      <c r="U61" s="12">
        <f ca="1" t="shared" si="22"/>
        <v>21.0010122240364</v>
      </c>
      <c r="V61" s="11">
        <f ca="1" t="shared" si="23"/>
        <v>0.751557828521278</v>
      </c>
      <c r="W61" s="12">
        <f ca="1" t="shared" si="24"/>
        <v>22.0511907484961</v>
      </c>
      <c r="X61" s="11">
        <f ca="1" t="shared" si="25"/>
        <v>0.307319360207032</v>
      </c>
      <c r="Y61" s="12">
        <f ca="1" t="shared" si="26"/>
        <v>21.8805594466336</v>
      </c>
      <c r="Z61" s="19">
        <f ca="1" t="shared" si="27"/>
        <v>42818.9863650175</v>
      </c>
      <c r="AA61" s="19">
        <f ca="1" t="shared" si="28"/>
        <v>52488.7499517699</v>
      </c>
      <c r="AB61" s="19">
        <f ca="1" t="shared" si="29"/>
        <v>63277.3479921893</v>
      </c>
      <c r="AC61" s="19">
        <f ca="1" t="shared" si="30"/>
        <v>71805.3666332861</v>
      </c>
      <c r="AD61" s="19">
        <f ca="1" t="shared" si="31"/>
        <v>88774.631838432</v>
      </c>
      <c r="AE61" s="19">
        <f ca="1" t="shared" si="32"/>
        <v>15638.6101292044</v>
      </c>
      <c r="AF61" s="19">
        <f ca="1" t="shared" si="33"/>
        <v>27180.3762358131</v>
      </c>
      <c r="AG61" s="19">
        <f ca="1" t="shared" si="34"/>
        <v>36850.1398225654</v>
      </c>
      <c r="AH61" s="19">
        <f ca="1" t="shared" si="35"/>
        <v>47638.7378629848</v>
      </c>
      <c r="AI61" s="19">
        <f ca="1" t="shared" si="36"/>
        <v>56166.7565040817</v>
      </c>
      <c r="AJ61" s="19">
        <f ca="1" t="shared" si="37"/>
        <v>73136.0217092276</v>
      </c>
      <c r="AK61" s="19">
        <f ca="1">AF61*$B$4</f>
        <v>13590.1881179066</v>
      </c>
      <c r="AL61" s="19">
        <f ca="1">AG61*$B$4</f>
        <v>18425.0699112827</v>
      </c>
      <c r="AM61" s="19">
        <f ca="1">AH61*$B$4</f>
        <v>23819.3689314924</v>
      </c>
      <c r="AN61" s="19">
        <f ca="1">AI61*$B$4</f>
        <v>28083.3782520408</v>
      </c>
      <c r="AO61" s="19">
        <f ca="1">AJ61*$B$4</f>
        <v>36568.0108546138</v>
      </c>
      <c r="AP61" s="19">
        <f ca="1" t="shared" si="38"/>
        <v>13590.1881179066</v>
      </c>
      <c r="AQ61" s="19">
        <f ca="1" t="shared" si="39"/>
        <v>18425.0699112827</v>
      </c>
      <c r="AR61" s="19">
        <f ca="1" t="shared" si="40"/>
        <v>23819.3689314924</v>
      </c>
      <c r="AS61" s="19">
        <f ca="1" t="shared" si="41"/>
        <v>28083.3782520408</v>
      </c>
      <c r="AT61" s="19">
        <f ca="1" t="shared" si="42"/>
        <v>36568.0108546138</v>
      </c>
      <c r="AU61" s="19">
        <f ca="1" t="shared" si="43"/>
        <v>41929.1455931688</v>
      </c>
      <c r="AV61" s="19">
        <f ca="1" t="shared" si="44"/>
        <v>-104483.586109987</v>
      </c>
      <c r="AW61" s="19">
        <f ca="1" t="shared" si="45"/>
        <v>29228.798247111</v>
      </c>
      <c r="AX61" s="19">
        <f ca="1" t="shared" si="46"/>
        <v>34063.6800404872</v>
      </c>
      <c r="AY61" s="19">
        <f ca="1" t="shared" si="47"/>
        <v>39457.9790606968</v>
      </c>
      <c r="AZ61" s="19">
        <f ca="1" t="shared" si="48"/>
        <v>43721.9883812453</v>
      </c>
      <c r="BA61" s="19">
        <f ca="1" t="shared" si="49"/>
        <v>94135.766576987</v>
      </c>
      <c r="BB61" s="20">
        <f ca="1" t="shared" si="50"/>
        <v>0.286587560158156</v>
      </c>
      <c r="BC61" s="19">
        <f ca="1">NPV($B$5,AW61:BA61)+AV61</f>
        <v>44434.3597329632</v>
      </c>
    </row>
    <row r="62" spans="1:55">
      <c r="A62" s="3">
        <v>38</v>
      </c>
      <c r="B62" s="11">
        <f ca="1" t="shared" si="3"/>
        <v>0.832832590213822</v>
      </c>
      <c r="C62" s="19">
        <f ca="1" t="shared" si="4"/>
        <v>-68177.2222615306</v>
      </c>
      <c r="D62" s="11">
        <f ca="1" t="shared" si="5"/>
        <v>0.691791330689844</v>
      </c>
      <c r="E62" s="19">
        <f ca="1" t="shared" si="6"/>
        <v>-29807.8737710408</v>
      </c>
      <c r="F62" s="11">
        <f ca="1" t="shared" si="7"/>
        <v>0.478065607873954</v>
      </c>
      <c r="G62" s="19">
        <f ca="1" t="shared" si="8"/>
        <v>38468.1663411327</v>
      </c>
      <c r="H62" s="11">
        <f ca="1" t="shared" si="9"/>
        <v>0.891462834327137</v>
      </c>
      <c r="I62" s="19">
        <f ca="1" t="shared" si="10"/>
        <v>42146.8811056206</v>
      </c>
      <c r="J62" s="11">
        <f ca="1" t="shared" si="11"/>
        <v>0.605094414661651</v>
      </c>
      <c r="K62" s="19">
        <f ca="1" t="shared" si="12"/>
        <v>39527.022735317</v>
      </c>
      <c r="L62" s="11">
        <f ca="1" t="shared" si="13"/>
        <v>0.630614981694772</v>
      </c>
      <c r="M62" s="19">
        <f ca="1" t="shared" si="14"/>
        <v>39725.854577065</v>
      </c>
      <c r="N62" s="11">
        <f ca="1" t="shared" si="15"/>
        <v>0.505759500872921</v>
      </c>
      <c r="O62" s="19">
        <f ca="1" t="shared" si="16"/>
        <v>38709.9899615865</v>
      </c>
      <c r="P62" s="11">
        <f ca="1" t="shared" si="17"/>
        <v>0.162187774362716</v>
      </c>
      <c r="Q62" s="12">
        <f ca="1" t="shared" si="18"/>
        <v>13.708619307666</v>
      </c>
      <c r="R62" s="11">
        <f ca="1" t="shared" si="19"/>
        <v>0.106352719569379</v>
      </c>
      <c r="S62" s="12">
        <f ca="1" t="shared" si="20"/>
        <v>13.3835999971989</v>
      </c>
      <c r="T62" s="11">
        <f ca="1" t="shared" si="21"/>
        <v>0.758538662386335</v>
      </c>
      <c r="U62" s="12">
        <f ca="1" t="shared" si="22"/>
        <v>19.3998235726815</v>
      </c>
      <c r="V62" s="11">
        <f ca="1" t="shared" si="23"/>
        <v>0.735358360310065</v>
      </c>
      <c r="W62" s="12">
        <f ca="1" t="shared" si="24"/>
        <v>21.9565714417539</v>
      </c>
      <c r="X62" s="11">
        <f ca="1" t="shared" si="25"/>
        <v>0.770463412197073</v>
      </c>
      <c r="Y62" s="12">
        <f ca="1" t="shared" si="26"/>
        <v>24.4793500967353</v>
      </c>
      <c r="Z62" s="19">
        <f ca="1" t="shared" si="27"/>
        <v>43741.6208194783</v>
      </c>
      <c r="AA62" s="19">
        <f ca="1" t="shared" si="28"/>
        <v>54338.6782472857</v>
      </c>
      <c r="AB62" s="19">
        <f ca="1" t="shared" si="29"/>
        <v>60847.3146980435</v>
      </c>
      <c r="AC62" s="19">
        <f ca="1" t="shared" si="30"/>
        <v>74580.5820292774</v>
      </c>
      <c r="AD62" s="19">
        <f ca="1" t="shared" si="31"/>
        <v>90463.3967461023</v>
      </c>
      <c r="AE62" s="19">
        <f ca="1" t="shared" si="32"/>
        <v>13635.4444523061</v>
      </c>
      <c r="AF62" s="19">
        <f ca="1" t="shared" si="33"/>
        <v>30106.1763671722</v>
      </c>
      <c r="AG62" s="19">
        <f ca="1" t="shared" si="34"/>
        <v>40703.2337949796</v>
      </c>
      <c r="AH62" s="19">
        <f ca="1" t="shared" si="35"/>
        <v>47211.8702457374</v>
      </c>
      <c r="AI62" s="19">
        <f ca="1" t="shared" si="36"/>
        <v>60945.1375769713</v>
      </c>
      <c r="AJ62" s="19">
        <f ca="1" t="shared" si="37"/>
        <v>76827.9522937961</v>
      </c>
      <c r="AK62" s="19">
        <f ca="1">AF62*$B$4</f>
        <v>15053.0881835861</v>
      </c>
      <c r="AL62" s="19">
        <f ca="1">AG62*$B$4</f>
        <v>20351.6168974898</v>
      </c>
      <c r="AM62" s="19">
        <f ca="1">AH62*$B$4</f>
        <v>23605.9351228687</v>
      </c>
      <c r="AN62" s="19">
        <f ca="1">AI62*$B$4</f>
        <v>30472.5687884856</v>
      </c>
      <c r="AO62" s="19">
        <f ca="1">AJ62*$B$4</f>
        <v>38413.9761468981</v>
      </c>
      <c r="AP62" s="19">
        <f ca="1" t="shared" si="38"/>
        <v>15053.0881835861</v>
      </c>
      <c r="AQ62" s="19">
        <f ca="1" t="shared" si="39"/>
        <v>20351.6168974898</v>
      </c>
      <c r="AR62" s="19">
        <f ca="1" t="shared" si="40"/>
        <v>23605.9351228687</v>
      </c>
      <c r="AS62" s="19">
        <f ca="1" t="shared" si="41"/>
        <v>30472.5687884856</v>
      </c>
      <c r="AT62" s="19">
        <f ca="1" t="shared" si="42"/>
        <v>38413.9761468981</v>
      </c>
      <c r="AU62" s="19">
        <f ca="1" t="shared" si="43"/>
        <v>43443.3182233469</v>
      </c>
      <c r="AV62" s="19">
        <f ca="1" t="shared" si="44"/>
        <v>-97985.0960325713</v>
      </c>
      <c r="AW62" s="19">
        <f ca="1" t="shared" si="45"/>
        <v>28688.5326358922</v>
      </c>
      <c r="AX62" s="19">
        <f ca="1" t="shared" si="46"/>
        <v>33987.0613497959</v>
      </c>
      <c r="AY62" s="19">
        <f ca="1" t="shared" si="47"/>
        <v>37241.3795751748</v>
      </c>
      <c r="AZ62" s="19">
        <f ca="1" t="shared" si="48"/>
        <v>44108.0132407918</v>
      </c>
      <c r="BA62" s="19">
        <f ca="1" t="shared" si="49"/>
        <v>95492.7388225511</v>
      </c>
      <c r="BB62" s="20">
        <f ca="1" t="shared" si="50"/>
        <v>0.310064931374971</v>
      </c>
      <c r="BC62" s="19">
        <f ca="1">NPV($B$5,AW62:BA62)+AV62</f>
        <v>49843.0347436813</v>
      </c>
    </row>
    <row r="63" spans="1:55">
      <c r="A63" s="3">
        <v>39</v>
      </c>
      <c r="B63" s="11">
        <f ca="1" t="shared" si="3"/>
        <v>0.950055107418135</v>
      </c>
      <c r="C63" s="19">
        <f ca="1" t="shared" si="4"/>
        <v>-64469.6707969095</v>
      </c>
      <c r="D63" s="11">
        <f ca="1" t="shared" si="5"/>
        <v>0.803925957619294</v>
      </c>
      <c r="E63" s="19">
        <f ca="1" t="shared" si="6"/>
        <v>-28834.7820249074</v>
      </c>
      <c r="F63" s="11">
        <f ca="1" t="shared" si="7"/>
        <v>0.751795777657168</v>
      </c>
      <c r="G63" s="19">
        <f ca="1" t="shared" si="8"/>
        <v>40685.4529002788</v>
      </c>
      <c r="H63" s="11">
        <f ca="1" t="shared" si="9"/>
        <v>0.902672249217735</v>
      </c>
      <c r="I63" s="19">
        <f ca="1" t="shared" si="10"/>
        <v>42298.2262661966</v>
      </c>
      <c r="J63" s="11">
        <f ca="1" t="shared" si="11"/>
        <v>0.643834363792123</v>
      </c>
      <c r="K63" s="19">
        <f ca="1" t="shared" si="12"/>
        <v>39827.2658745359</v>
      </c>
      <c r="L63" s="11">
        <f ca="1" t="shared" si="13"/>
        <v>0.282430433452587</v>
      </c>
      <c r="M63" s="19">
        <f ca="1" t="shared" si="14"/>
        <v>36508.8067276489</v>
      </c>
      <c r="N63" s="11">
        <f ca="1" t="shared" si="15"/>
        <v>0.812825207796247</v>
      </c>
      <c r="O63" s="19">
        <f ca="1" t="shared" si="16"/>
        <v>41253.2534893215</v>
      </c>
      <c r="P63" s="11">
        <f ca="1" t="shared" si="17"/>
        <v>0.964570927945499</v>
      </c>
      <c r="Q63" s="12">
        <f ca="1" t="shared" si="18"/>
        <v>17.2014242071156</v>
      </c>
      <c r="R63" s="11">
        <f ca="1" t="shared" si="19"/>
        <v>0.375219582655775</v>
      </c>
      <c r="S63" s="12">
        <f ca="1" t="shared" si="20"/>
        <v>14.5988367566671</v>
      </c>
      <c r="T63" s="11">
        <f ca="1" t="shared" si="21"/>
        <v>0.104504218487733</v>
      </c>
      <c r="U63" s="12">
        <f ca="1" t="shared" si="22"/>
        <v>16.4814143877533</v>
      </c>
      <c r="V63" s="11">
        <f ca="1" t="shared" si="23"/>
        <v>0.0886952268370225</v>
      </c>
      <c r="W63" s="12">
        <f ca="1" t="shared" si="24"/>
        <v>19.1143308196933</v>
      </c>
      <c r="X63" s="11">
        <f ca="1" t="shared" si="25"/>
        <v>0.503428386900546</v>
      </c>
      <c r="Y63" s="12">
        <f ca="1" t="shared" si="26"/>
        <v>22.821692640701</v>
      </c>
      <c r="Z63" s="19">
        <f ca="1" t="shared" si="27"/>
        <v>47683.930244242</v>
      </c>
      <c r="AA63" s="19">
        <f ca="1" t="shared" si="28"/>
        <v>56811.3689759993</v>
      </c>
      <c r="AB63" s="19">
        <f ca="1" t="shared" si="29"/>
        <v>62308.9205095975</v>
      </c>
      <c r="AC63" s="19">
        <f ca="1" t="shared" si="30"/>
        <v>68034.8431156501</v>
      </c>
      <c r="AD63" s="19">
        <f ca="1" t="shared" si="31"/>
        <v>94420.6602174491</v>
      </c>
      <c r="AE63" s="19">
        <f ca="1" t="shared" si="32"/>
        <v>12893.9341593819</v>
      </c>
      <c r="AF63" s="19">
        <f ca="1" t="shared" si="33"/>
        <v>34789.9960848601</v>
      </c>
      <c r="AG63" s="19">
        <f ca="1" t="shared" si="34"/>
        <v>43917.4348166174</v>
      </c>
      <c r="AH63" s="19">
        <f ca="1" t="shared" si="35"/>
        <v>49414.9863502156</v>
      </c>
      <c r="AI63" s="19">
        <f ca="1" t="shared" si="36"/>
        <v>55140.9089562682</v>
      </c>
      <c r="AJ63" s="19">
        <f ca="1" t="shared" si="37"/>
        <v>81526.7260580672</v>
      </c>
      <c r="AK63" s="19">
        <f ca="1">AF63*$B$4</f>
        <v>17394.99804243</v>
      </c>
      <c r="AL63" s="19">
        <f ca="1">AG63*$B$4</f>
        <v>21958.7174083087</v>
      </c>
      <c r="AM63" s="19">
        <f ca="1">AH63*$B$4</f>
        <v>24707.4931751078</v>
      </c>
      <c r="AN63" s="19">
        <f ca="1">AI63*$B$4</f>
        <v>27570.4544781341</v>
      </c>
      <c r="AO63" s="19">
        <f ca="1">AJ63*$B$4</f>
        <v>40763.3630290336</v>
      </c>
      <c r="AP63" s="19">
        <f ca="1" t="shared" si="38"/>
        <v>17394.99804243</v>
      </c>
      <c r="AQ63" s="19">
        <f ca="1" t="shared" si="39"/>
        <v>21958.7174083087</v>
      </c>
      <c r="AR63" s="19">
        <f ca="1" t="shared" si="40"/>
        <v>24707.4931751078</v>
      </c>
      <c r="AS63" s="19">
        <f ca="1" t="shared" si="41"/>
        <v>27570.4544781341</v>
      </c>
      <c r="AT63" s="19">
        <f ca="1" t="shared" si="42"/>
        <v>40763.3630290336</v>
      </c>
      <c r="AU63" s="19">
        <f ca="1" t="shared" si="43"/>
        <v>41728.7161842893</v>
      </c>
      <c r="AV63" s="19">
        <f ca="1" t="shared" si="44"/>
        <v>-93304.4528218169</v>
      </c>
      <c r="AW63" s="19">
        <f ca="1" t="shared" si="45"/>
        <v>30288.9322018119</v>
      </c>
      <c r="AX63" s="19">
        <f ca="1" t="shared" si="46"/>
        <v>34852.6515676906</v>
      </c>
      <c r="AY63" s="19">
        <f ca="1" t="shared" si="47"/>
        <v>37601.4273344897</v>
      </c>
      <c r="AZ63" s="19">
        <f ca="1" t="shared" si="48"/>
        <v>40464.388637516</v>
      </c>
      <c r="BA63" s="19">
        <f ca="1" t="shared" si="49"/>
        <v>95386.0133727048</v>
      </c>
      <c r="BB63" s="20">
        <f ca="1" t="shared" si="50"/>
        <v>0.334888970811778</v>
      </c>
      <c r="BC63" s="19">
        <f ca="1">NPV($B$5,AW63:BA63)+AV63</f>
        <v>54670.2619554497</v>
      </c>
    </row>
    <row r="64" spans="1:55">
      <c r="A64" s="3">
        <v>40</v>
      </c>
      <c r="B64" s="11">
        <f ca="1" t="shared" si="3"/>
        <v>0.646723122483192</v>
      </c>
      <c r="C64" s="19">
        <f ca="1" t="shared" si="4"/>
        <v>-72142.0074847481</v>
      </c>
      <c r="D64" s="11">
        <f ca="1" t="shared" si="5"/>
        <v>0.490701046867128</v>
      </c>
      <c r="E64" s="19">
        <f ca="1" t="shared" si="6"/>
        <v>-31420.6552097454</v>
      </c>
      <c r="F64" s="11">
        <f ca="1" t="shared" si="7"/>
        <v>0.175277588145248</v>
      </c>
      <c r="G64" s="19">
        <f ca="1" t="shared" si="8"/>
        <v>35127.5372472355</v>
      </c>
      <c r="H64" s="11">
        <f ca="1" t="shared" si="9"/>
        <v>0.169954450429199</v>
      </c>
      <c r="I64" s="19">
        <f ca="1" t="shared" si="10"/>
        <v>35049.0759119249</v>
      </c>
      <c r="J64" s="11">
        <f ca="1" t="shared" si="11"/>
        <v>0.745616548154572</v>
      </c>
      <c r="K64" s="19">
        <f ca="1" t="shared" si="12"/>
        <v>40632.0761352323</v>
      </c>
      <c r="L64" s="11">
        <f ca="1" t="shared" si="13"/>
        <v>0.244075651046635</v>
      </c>
      <c r="M64" s="19">
        <f ca="1" t="shared" si="14"/>
        <v>36050.7311671397</v>
      </c>
      <c r="N64" s="11">
        <f ca="1" t="shared" si="15"/>
        <v>0.748028405322714</v>
      </c>
      <c r="O64" s="19">
        <f ca="1" t="shared" si="16"/>
        <v>40652.8320022345</v>
      </c>
      <c r="P64" s="11">
        <f ca="1" t="shared" si="17"/>
        <v>0.281938324128783</v>
      </c>
      <c r="Q64" s="12">
        <f ca="1" t="shared" si="18"/>
        <v>14.2527516139863</v>
      </c>
      <c r="R64" s="11">
        <f ca="1" t="shared" si="19"/>
        <v>0.710876738426558</v>
      </c>
      <c r="S64" s="12">
        <f ca="1" t="shared" si="20"/>
        <v>15.7187243243479</v>
      </c>
      <c r="T64" s="11">
        <f ca="1" t="shared" si="21"/>
        <v>0.416003754366132</v>
      </c>
      <c r="U64" s="12">
        <f ca="1" t="shared" si="22"/>
        <v>17.9556858496276</v>
      </c>
      <c r="V64" s="11">
        <f ca="1" t="shared" si="23"/>
        <v>0.250661221830698</v>
      </c>
      <c r="W64" s="12">
        <f ca="1" t="shared" si="24"/>
        <v>19.8733011251878</v>
      </c>
      <c r="X64" s="11">
        <f ca="1" t="shared" si="25"/>
        <v>0.251927693552592</v>
      </c>
      <c r="Y64" s="12">
        <f ca="1" t="shared" si="26"/>
        <v>21.6080735660483</v>
      </c>
      <c r="Z64" s="19">
        <f ca="1" t="shared" si="27"/>
        <v>40134.1778791945</v>
      </c>
      <c r="AA64" s="19">
        <f ca="1" t="shared" si="28"/>
        <v>46339.0234952222</v>
      </c>
      <c r="AB64" s="19">
        <f ca="1" t="shared" si="29"/>
        <v>63366.2781435758</v>
      </c>
      <c r="AC64" s="19">
        <f ca="1" t="shared" si="30"/>
        <v>67394.6975058607</v>
      </c>
      <c r="AD64" s="19">
        <f ca="1" t="shared" si="31"/>
        <v>92419.7660967091</v>
      </c>
      <c r="AE64" s="19">
        <f ca="1" t="shared" si="32"/>
        <v>14428.4014969496</v>
      </c>
      <c r="AF64" s="19">
        <f ca="1" t="shared" si="33"/>
        <v>25705.7763822449</v>
      </c>
      <c r="AG64" s="19">
        <f ca="1" t="shared" si="34"/>
        <v>31910.6219982725</v>
      </c>
      <c r="AH64" s="19">
        <f ca="1" t="shared" si="35"/>
        <v>48937.8766466262</v>
      </c>
      <c r="AI64" s="19">
        <f ca="1" t="shared" si="36"/>
        <v>52966.296008911</v>
      </c>
      <c r="AJ64" s="19">
        <f ca="1" t="shared" si="37"/>
        <v>77991.3645997595</v>
      </c>
      <c r="AK64" s="19">
        <f ca="1">AF64*$B$4</f>
        <v>12852.8881911224</v>
      </c>
      <c r="AL64" s="19">
        <f ca="1">AG64*$B$4</f>
        <v>15955.3109991363</v>
      </c>
      <c r="AM64" s="19">
        <f ca="1">AH64*$B$4</f>
        <v>24468.9383233131</v>
      </c>
      <c r="AN64" s="19">
        <f ca="1">AI64*$B$4</f>
        <v>26483.1480044555</v>
      </c>
      <c r="AO64" s="19">
        <f ca="1">AJ64*$B$4</f>
        <v>38995.6822998797</v>
      </c>
      <c r="AP64" s="19">
        <f ca="1" t="shared" si="38"/>
        <v>12852.8881911224</v>
      </c>
      <c r="AQ64" s="19">
        <f ca="1" t="shared" si="39"/>
        <v>15955.3109991363</v>
      </c>
      <c r="AR64" s="19">
        <f ca="1" t="shared" si="40"/>
        <v>24468.9383233131</v>
      </c>
      <c r="AS64" s="19">
        <f ca="1" t="shared" si="41"/>
        <v>26483.1480044555</v>
      </c>
      <c r="AT64" s="19">
        <f ca="1" t="shared" si="42"/>
        <v>38995.6822998797</v>
      </c>
      <c r="AU64" s="19">
        <f ca="1" t="shared" si="43"/>
        <v>45849.056706695</v>
      </c>
      <c r="AV64" s="19">
        <f ca="1" t="shared" si="44"/>
        <v>-103562.662694493</v>
      </c>
      <c r="AW64" s="19">
        <f ca="1" t="shared" si="45"/>
        <v>27281.2896880721</v>
      </c>
      <c r="AX64" s="19">
        <f ca="1" t="shared" si="46"/>
        <v>30383.7124960859</v>
      </c>
      <c r="AY64" s="19">
        <f ca="1" t="shared" si="47"/>
        <v>38897.3398202627</v>
      </c>
      <c r="AZ64" s="19">
        <f ca="1" t="shared" si="48"/>
        <v>40911.5495014051</v>
      </c>
      <c r="BA64" s="19">
        <f ca="1" t="shared" si="49"/>
        <v>99273.1405035244</v>
      </c>
      <c r="BB64" s="20">
        <f ca="1" t="shared" si="50"/>
        <v>0.275930032599845</v>
      </c>
      <c r="BC64" s="19">
        <f ca="1">NPV($B$5,AW64:BA64)+AV64</f>
        <v>41457.8891349766</v>
      </c>
    </row>
    <row r="65" spans="1:55">
      <c r="A65" s="3">
        <v>41</v>
      </c>
      <c r="B65" s="11">
        <f ca="1" t="shared" si="3"/>
        <v>0.512602239763319</v>
      </c>
      <c r="C65" s="19">
        <f ca="1" t="shared" si="4"/>
        <v>-75198.3329649803</v>
      </c>
      <c r="D65" s="11">
        <f ca="1" t="shared" si="5"/>
        <v>0.454061258601044</v>
      </c>
      <c r="E65" s="19">
        <f ca="1" t="shared" si="6"/>
        <v>-31747.1708614466</v>
      </c>
      <c r="F65" s="11">
        <f ca="1" t="shared" si="7"/>
        <v>0.424474548501778</v>
      </c>
      <c r="G65" s="19">
        <f ca="1" t="shared" si="8"/>
        <v>37979.4224274233</v>
      </c>
      <c r="H65" s="11">
        <f ca="1" t="shared" si="9"/>
        <v>0.628691986563222</v>
      </c>
      <c r="I65" s="19">
        <f ca="1" t="shared" si="10"/>
        <v>39711.0142613675</v>
      </c>
      <c r="J65" s="11">
        <f ca="1" t="shared" si="11"/>
        <v>0.404453107989955</v>
      </c>
      <c r="K65" s="19">
        <f ca="1" t="shared" si="12"/>
        <v>37788.964385494</v>
      </c>
      <c r="L65" s="11">
        <f ca="1" t="shared" si="13"/>
        <v>0.212885343989901</v>
      </c>
      <c r="M65" s="19">
        <f ca="1" t="shared" si="14"/>
        <v>35650.911572347</v>
      </c>
      <c r="N65" s="11">
        <f ca="1" t="shared" si="15"/>
        <v>0.293883422043596</v>
      </c>
      <c r="O65" s="19">
        <f ca="1" t="shared" si="16"/>
        <v>36639.4663419991</v>
      </c>
      <c r="P65" s="11">
        <f ca="1" t="shared" si="17"/>
        <v>0.96949198153464</v>
      </c>
      <c r="Q65" s="12">
        <f ca="1" t="shared" si="18"/>
        <v>17.2589572668351</v>
      </c>
      <c r="R65" s="11">
        <f ca="1" t="shared" si="19"/>
        <v>0.0733986474590884</v>
      </c>
      <c r="S65" s="12">
        <f ca="1" t="shared" si="20"/>
        <v>13.1494240532822</v>
      </c>
      <c r="T65" s="11">
        <f ca="1" t="shared" si="21"/>
        <v>0.42513415001147</v>
      </c>
      <c r="U65" s="12">
        <f ca="1" t="shared" si="22"/>
        <v>17.9879453057646</v>
      </c>
      <c r="V65" s="11">
        <f ca="1" t="shared" si="23"/>
        <v>0.485366745717109</v>
      </c>
      <c r="W65" s="12">
        <f ca="1" t="shared" si="24"/>
        <v>20.7559260256328</v>
      </c>
      <c r="X65" s="11">
        <f ca="1" t="shared" si="25"/>
        <v>0.44050024570709</v>
      </c>
      <c r="Y65" s="12">
        <f ca="1" t="shared" si="26"/>
        <v>22.50336587248</v>
      </c>
      <c r="Z65" s="19">
        <f ca="1" t="shared" si="27"/>
        <v>44534.2747143631</v>
      </c>
      <c r="AA65" s="19">
        <f ca="1" t="shared" si="28"/>
        <v>52687.7138984298</v>
      </c>
      <c r="AB65" s="19">
        <f ca="1" t="shared" si="29"/>
        <v>59156.3001605305</v>
      </c>
      <c r="AC65" s="19">
        <f ca="1" t="shared" si="30"/>
        <v>67393.0490351468</v>
      </c>
      <c r="AD65" s="19">
        <f ca="1" t="shared" si="31"/>
        <v>84848.0034367709</v>
      </c>
      <c r="AE65" s="19">
        <f ca="1" t="shared" si="32"/>
        <v>15039.6665929961</v>
      </c>
      <c r="AF65" s="19">
        <f ca="1" t="shared" si="33"/>
        <v>29494.6081213671</v>
      </c>
      <c r="AG65" s="19">
        <f ca="1" t="shared" si="34"/>
        <v>37648.0473054337</v>
      </c>
      <c r="AH65" s="19">
        <f ca="1" t="shared" si="35"/>
        <v>44116.6335675344</v>
      </c>
      <c r="AI65" s="19">
        <f ca="1" t="shared" si="36"/>
        <v>52353.3824421508</v>
      </c>
      <c r="AJ65" s="19">
        <f ca="1" t="shared" si="37"/>
        <v>69808.3368437748</v>
      </c>
      <c r="AK65" s="19">
        <f ca="1">AF65*$B$4</f>
        <v>14747.3040606835</v>
      </c>
      <c r="AL65" s="19">
        <f ca="1">AG65*$B$4</f>
        <v>18824.0236527169</v>
      </c>
      <c r="AM65" s="19">
        <f ca="1">AH65*$B$4</f>
        <v>22058.3167837672</v>
      </c>
      <c r="AN65" s="19">
        <f ca="1">AI65*$B$4</f>
        <v>26176.6912210754</v>
      </c>
      <c r="AO65" s="19">
        <f ca="1">AJ65*$B$4</f>
        <v>34904.1684218874</v>
      </c>
      <c r="AP65" s="19">
        <f ca="1" t="shared" si="38"/>
        <v>14747.3040606835</v>
      </c>
      <c r="AQ65" s="19">
        <f ca="1" t="shared" si="39"/>
        <v>18824.0236527169</v>
      </c>
      <c r="AR65" s="19">
        <f ca="1" t="shared" si="40"/>
        <v>22058.3167837672</v>
      </c>
      <c r="AS65" s="19">
        <f ca="1" t="shared" si="41"/>
        <v>26176.6912210754</v>
      </c>
      <c r="AT65" s="19">
        <f ca="1" t="shared" si="42"/>
        <v>34904.1684218874</v>
      </c>
      <c r="AU65" s="19">
        <f ca="1" t="shared" si="43"/>
        <v>46786.8374544426</v>
      </c>
      <c r="AV65" s="19">
        <f ca="1" t="shared" si="44"/>
        <v>-106945.503826427</v>
      </c>
      <c r="AW65" s="19">
        <f ca="1" t="shared" si="45"/>
        <v>29786.9706536796</v>
      </c>
      <c r="AX65" s="19">
        <f ca="1" t="shared" si="46"/>
        <v>33863.6902457129</v>
      </c>
      <c r="AY65" s="19">
        <f ca="1" t="shared" si="47"/>
        <v>37097.9833767633</v>
      </c>
      <c r="AZ65" s="19">
        <f ca="1" t="shared" si="48"/>
        <v>41216.3578140714</v>
      </c>
      <c r="BA65" s="19">
        <f ca="1" t="shared" si="49"/>
        <v>96730.6724693261</v>
      </c>
      <c r="BB65" s="20">
        <f ca="1" t="shared" si="50"/>
        <v>0.272856064516598</v>
      </c>
      <c r="BC65" s="19">
        <f ca="1">NPV($B$5,AW65:BA65)+AV65</f>
        <v>40612.377270005</v>
      </c>
    </row>
    <row r="66" spans="1:55">
      <c r="A66" s="3">
        <v>42</v>
      </c>
      <c r="B66" s="11">
        <f ca="1" t="shared" si="3"/>
        <v>0.156528027148727</v>
      </c>
      <c r="C66" s="19">
        <f ca="1" t="shared" si="4"/>
        <v>-86294.7589376008</v>
      </c>
      <c r="D66" s="11">
        <f ca="1" t="shared" si="5"/>
        <v>0.977811402756659</v>
      </c>
      <c r="E66" s="19">
        <f ca="1" t="shared" si="6"/>
        <v>-26290.0173616082</v>
      </c>
      <c r="F66" s="11">
        <f ca="1" t="shared" si="7"/>
        <v>0.774683941904662</v>
      </c>
      <c r="G66" s="19">
        <f ca="1" t="shared" si="8"/>
        <v>40889.1966287415</v>
      </c>
      <c r="H66" s="11">
        <f ca="1" t="shared" si="9"/>
        <v>0.855756915990448</v>
      </c>
      <c r="I66" s="19">
        <f ca="1" t="shared" si="10"/>
        <v>41710.8920205143</v>
      </c>
      <c r="J66" s="11">
        <f ca="1" t="shared" si="11"/>
        <v>0.0200968717458316</v>
      </c>
      <c r="K66" s="19">
        <f ca="1" t="shared" si="12"/>
        <v>31736.2404101606</v>
      </c>
      <c r="L66" s="11">
        <f ca="1" t="shared" si="13"/>
        <v>0.919232928898012</v>
      </c>
      <c r="M66" s="19">
        <f ca="1" t="shared" si="14"/>
        <v>42538.7949429905</v>
      </c>
      <c r="N66" s="11">
        <f ca="1" t="shared" si="15"/>
        <v>0.752458886709755</v>
      </c>
      <c r="O66" s="19">
        <f ca="1" t="shared" si="16"/>
        <v>40691.2201846963</v>
      </c>
      <c r="P66" s="11">
        <f ca="1" t="shared" si="17"/>
        <v>0.463243014581203</v>
      </c>
      <c r="Q66" s="12">
        <f ca="1" t="shared" si="18"/>
        <v>14.8876243284856</v>
      </c>
      <c r="R66" s="11">
        <f ca="1" t="shared" si="19"/>
        <v>0.753340759233259</v>
      </c>
      <c r="S66" s="12">
        <f ca="1" t="shared" si="20"/>
        <v>15.8929009672535</v>
      </c>
      <c r="T66" s="11">
        <f ca="1" t="shared" si="21"/>
        <v>0.107665794775049</v>
      </c>
      <c r="U66" s="12">
        <f ca="1" t="shared" si="22"/>
        <v>16.5036561077175</v>
      </c>
      <c r="V66" s="11">
        <f ca="1" t="shared" si="23"/>
        <v>0.706766745874615</v>
      </c>
      <c r="W66" s="12">
        <f ca="1" t="shared" si="24"/>
        <v>21.7963826860269</v>
      </c>
      <c r="X66" s="11">
        <f ca="1" t="shared" si="25"/>
        <v>0.0401614570669888</v>
      </c>
      <c r="Y66" s="12">
        <f ca="1" t="shared" si="26"/>
        <v>20.0413257611375</v>
      </c>
      <c r="Z66" s="19">
        <f ca="1" t="shared" si="27"/>
        <v>46976.6266137643</v>
      </c>
      <c r="AA66" s="19">
        <f ca="1" t="shared" si="28"/>
        <v>55536.6348413906</v>
      </c>
      <c r="AB66" s="19">
        <f ca="1" t="shared" si="29"/>
        <v>49229.4648798612</v>
      </c>
      <c r="AC66" s="19">
        <f ca="1" t="shared" si="30"/>
        <v>80369.119550405</v>
      </c>
      <c r="AD66" s="19">
        <f ca="1" t="shared" si="31"/>
        <v>92285.9365547828</v>
      </c>
      <c r="AE66" s="19">
        <f ca="1" t="shared" si="32"/>
        <v>17258.9517875202</v>
      </c>
      <c r="AF66" s="19">
        <f ca="1" t="shared" si="33"/>
        <v>29717.6748262441</v>
      </c>
      <c r="AG66" s="19">
        <f ca="1" t="shared" si="34"/>
        <v>38277.6830538704</v>
      </c>
      <c r="AH66" s="19">
        <f ca="1" t="shared" si="35"/>
        <v>31970.513092341</v>
      </c>
      <c r="AI66" s="19">
        <f ca="1" t="shared" si="36"/>
        <v>63110.1677628848</v>
      </c>
      <c r="AJ66" s="19">
        <f ca="1" t="shared" si="37"/>
        <v>75026.9847672626</v>
      </c>
      <c r="AK66" s="19">
        <f ca="1">AF66*$B$4</f>
        <v>14858.8374131221</v>
      </c>
      <c r="AL66" s="19">
        <f ca="1">AG66*$B$4</f>
        <v>19138.8415269352</v>
      </c>
      <c r="AM66" s="19">
        <f ca="1">AH66*$B$4</f>
        <v>15985.2565461705</v>
      </c>
      <c r="AN66" s="19">
        <f ca="1">AI66*$B$4</f>
        <v>31555.0838814424</v>
      </c>
      <c r="AO66" s="19">
        <f ca="1">AJ66*$B$4</f>
        <v>37513.4923836313</v>
      </c>
      <c r="AP66" s="19">
        <f ca="1" t="shared" si="38"/>
        <v>14858.8374131221</v>
      </c>
      <c r="AQ66" s="19">
        <f ca="1" t="shared" si="39"/>
        <v>19138.8415269352</v>
      </c>
      <c r="AR66" s="19">
        <f ca="1" t="shared" si="40"/>
        <v>15985.2565461705</v>
      </c>
      <c r="AS66" s="19">
        <f ca="1" t="shared" si="41"/>
        <v>31555.0838814424</v>
      </c>
      <c r="AT66" s="19">
        <f ca="1" t="shared" si="42"/>
        <v>37513.4923836313</v>
      </c>
      <c r="AU66" s="19">
        <f ca="1" t="shared" si="43"/>
        <v>43548.9691491284</v>
      </c>
      <c r="AV66" s="19">
        <f ca="1" t="shared" si="44"/>
        <v>-112584.776299209</v>
      </c>
      <c r="AW66" s="19">
        <f ca="1" t="shared" si="45"/>
        <v>32117.7892006422</v>
      </c>
      <c r="AX66" s="19">
        <f ca="1" t="shared" si="46"/>
        <v>36397.7933144554</v>
      </c>
      <c r="AY66" s="19">
        <f ca="1" t="shared" si="47"/>
        <v>33244.2083336907</v>
      </c>
      <c r="AZ66" s="19">
        <f ca="1" t="shared" si="48"/>
        <v>48814.0356689626</v>
      </c>
      <c r="BA66" s="19">
        <f ca="1" t="shared" si="49"/>
        <v>98321.4133202798</v>
      </c>
      <c r="BB66" s="20">
        <f ca="1" t="shared" si="50"/>
        <v>0.270092379823077</v>
      </c>
      <c r="BC66" s="19">
        <f ca="1">NPV($B$5,AW66:BA66)+AV66</f>
        <v>41517.0061899447</v>
      </c>
    </row>
    <row r="67" spans="1:55">
      <c r="A67" s="3">
        <v>43</v>
      </c>
      <c r="B67" s="11">
        <f ca="1" t="shared" si="3"/>
        <v>0.00309616201976537</v>
      </c>
      <c r="C67" s="19">
        <f ca="1" t="shared" si="4"/>
        <v>-98072.4641576047</v>
      </c>
      <c r="D67" s="11">
        <f ca="1" t="shared" si="5"/>
        <v>0.454049232909213</v>
      </c>
      <c r="E67" s="19">
        <f ca="1" t="shared" si="6"/>
        <v>-31747.280149164</v>
      </c>
      <c r="F67" s="11">
        <f ca="1" t="shared" si="7"/>
        <v>0.997680607756252</v>
      </c>
      <c r="G67" s="19">
        <f ca="1" t="shared" si="8"/>
        <v>44582.92156819</v>
      </c>
      <c r="H67" s="11">
        <f ca="1" t="shared" si="9"/>
        <v>0.50419023700161</v>
      </c>
      <c r="I67" s="19">
        <f ca="1" t="shared" si="10"/>
        <v>38696.4668429335</v>
      </c>
      <c r="J67" s="11">
        <f ca="1" t="shared" si="11"/>
        <v>0.209236673683604</v>
      </c>
      <c r="K67" s="19">
        <f ca="1" t="shared" si="12"/>
        <v>35602.2764170059</v>
      </c>
      <c r="L67" s="11">
        <f ca="1" t="shared" si="13"/>
        <v>0.765970072803843</v>
      </c>
      <c r="M67" s="19">
        <f ca="1" t="shared" si="14"/>
        <v>40810.4601040554</v>
      </c>
      <c r="N67" s="11">
        <f ca="1" t="shared" si="15"/>
        <v>0.967548491651689</v>
      </c>
      <c r="O67" s="19">
        <f ca="1" t="shared" si="16"/>
        <v>43439.9156669836</v>
      </c>
      <c r="P67" s="11">
        <f ca="1" t="shared" si="17"/>
        <v>0.397195324119596</v>
      </c>
      <c r="Q67" s="12">
        <f ca="1" t="shared" si="18"/>
        <v>14.6738578560112</v>
      </c>
      <c r="R67" s="11">
        <f ca="1" t="shared" si="19"/>
        <v>0.561808654905003</v>
      </c>
      <c r="S67" s="12">
        <f ca="1" t="shared" si="20"/>
        <v>15.1915405981731</v>
      </c>
      <c r="T67" s="11">
        <f ca="1" t="shared" si="21"/>
        <v>0.122316276406531</v>
      </c>
      <c r="U67" s="12">
        <f ca="1" t="shared" si="22"/>
        <v>16.6026982886798</v>
      </c>
      <c r="V67" s="11">
        <f ca="1" t="shared" si="23"/>
        <v>0.553605293198771</v>
      </c>
      <c r="W67" s="12">
        <f ca="1" t="shared" si="24"/>
        <v>21.0473028527292</v>
      </c>
      <c r="X67" s="11">
        <f ca="1" t="shared" si="25"/>
        <v>0.885628670720593</v>
      </c>
      <c r="Y67" s="12">
        <f ca="1" t="shared" si="26"/>
        <v>25.5148336512241</v>
      </c>
      <c r="Z67" s="19">
        <f ca="1" t="shared" si="27"/>
        <v>51124.9561071631</v>
      </c>
      <c r="AA67" s="19">
        <f ca="1" t="shared" si="28"/>
        <v>51115.9367161069</v>
      </c>
      <c r="AB67" s="19">
        <f ca="1" t="shared" si="29"/>
        <v>54836.7084030035</v>
      </c>
      <c r="AC67" s="19">
        <f ca="1" t="shared" si="30"/>
        <v>76088.7095472388</v>
      </c>
      <c r="AD67" s="19">
        <f ca="1" t="shared" si="31"/>
        <v>101655.938875552</v>
      </c>
      <c r="AE67" s="19">
        <f ca="1" t="shared" si="32"/>
        <v>19614.4928315209</v>
      </c>
      <c r="AF67" s="19">
        <f ca="1" t="shared" si="33"/>
        <v>31510.4632756422</v>
      </c>
      <c r="AG67" s="19">
        <f ca="1" t="shared" si="34"/>
        <v>31501.443884586</v>
      </c>
      <c r="AH67" s="19">
        <f ca="1" t="shared" si="35"/>
        <v>35222.2155714826</v>
      </c>
      <c r="AI67" s="19">
        <f ca="1" t="shared" si="36"/>
        <v>56474.2167157178</v>
      </c>
      <c r="AJ67" s="19">
        <f ca="1" t="shared" si="37"/>
        <v>82041.4460440309</v>
      </c>
      <c r="AK67" s="19">
        <f ca="1">AF67*$B$4</f>
        <v>15755.2316378211</v>
      </c>
      <c r="AL67" s="19">
        <f ca="1">AG67*$B$4</f>
        <v>15750.721942293</v>
      </c>
      <c r="AM67" s="19">
        <f ca="1">AH67*$B$4</f>
        <v>17611.1077857413</v>
      </c>
      <c r="AN67" s="19">
        <f ca="1">AI67*$B$4</f>
        <v>28237.1083578589</v>
      </c>
      <c r="AO67" s="19">
        <f ca="1">AJ67*$B$4</f>
        <v>41020.7230220155</v>
      </c>
      <c r="AP67" s="19">
        <f ca="1" t="shared" si="38"/>
        <v>15755.2316378211</v>
      </c>
      <c r="AQ67" s="19">
        <f ca="1" t="shared" si="39"/>
        <v>15750.721942293</v>
      </c>
      <c r="AR67" s="19">
        <f ca="1" t="shared" si="40"/>
        <v>17611.1077857413</v>
      </c>
      <c r="AS67" s="19">
        <f ca="1" t="shared" si="41"/>
        <v>28237.1083578589</v>
      </c>
      <c r="AT67" s="19">
        <f ca="1" t="shared" si="42"/>
        <v>41020.7230220155</v>
      </c>
      <c r="AU67" s="19">
        <f ca="1" t="shared" si="43"/>
        <v>51361.772980685</v>
      </c>
      <c r="AV67" s="19">
        <f ca="1" t="shared" si="44"/>
        <v>-129819.744306769</v>
      </c>
      <c r="AW67" s="19">
        <f ca="1" t="shared" si="45"/>
        <v>35369.724469342</v>
      </c>
      <c r="AX67" s="19">
        <f ca="1" t="shared" si="46"/>
        <v>35365.2147738139</v>
      </c>
      <c r="AY67" s="19">
        <f ca="1" t="shared" si="47"/>
        <v>37225.6006172622</v>
      </c>
      <c r="AZ67" s="19">
        <f ca="1" t="shared" si="48"/>
        <v>47851.6011893799</v>
      </c>
      <c r="BA67" s="19">
        <f ca="1" t="shared" si="49"/>
        <v>111996.988834221</v>
      </c>
      <c r="BB67" s="20">
        <f ca="1" t="shared" si="50"/>
        <v>0.238997470084788</v>
      </c>
      <c r="BC67" s="19">
        <f ca="1">NPV($B$5,AW67:BA67)+AV67</f>
        <v>35195.7632608641</v>
      </c>
    </row>
    <row r="68" spans="1:55">
      <c r="A68" s="3">
        <v>44</v>
      </c>
      <c r="B68" s="11">
        <f ca="1" t="shared" si="3"/>
        <v>0.564542874918338</v>
      </c>
      <c r="C68" s="19">
        <f ca="1" t="shared" si="4"/>
        <v>-73972.1024686586</v>
      </c>
      <c r="D68" s="11">
        <f ca="1" t="shared" si="5"/>
        <v>0.174226749186179</v>
      </c>
      <c r="E68" s="19">
        <f ca="1" t="shared" si="6"/>
        <v>-34887.8563813282</v>
      </c>
      <c r="F68" s="11">
        <f ca="1" t="shared" si="7"/>
        <v>0.905554953465538</v>
      </c>
      <c r="G68" s="19">
        <f ca="1" t="shared" si="8"/>
        <v>42338.5382794253</v>
      </c>
      <c r="H68" s="11">
        <f ca="1" t="shared" si="9"/>
        <v>0.329771607136586</v>
      </c>
      <c r="I68" s="19">
        <f ca="1" t="shared" si="10"/>
        <v>37033.1885422252</v>
      </c>
      <c r="J68" s="11">
        <f ca="1" t="shared" si="11"/>
        <v>0.0467325089249591</v>
      </c>
      <c r="K68" s="19">
        <f ca="1" t="shared" si="12"/>
        <v>32647.6171057658</v>
      </c>
      <c r="L68" s="11">
        <f ca="1" t="shared" si="13"/>
        <v>0.0376524213631042</v>
      </c>
      <c r="M68" s="19">
        <f ca="1" t="shared" si="14"/>
        <v>32376.5233439766</v>
      </c>
      <c r="N68" s="11">
        <f ca="1" t="shared" si="15"/>
        <v>0.648566852538053</v>
      </c>
      <c r="O68" s="19">
        <f ca="1" t="shared" si="16"/>
        <v>39863.3172858176</v>
      </c>
      <c r="P68" s="11">
        <f ca="1" t="shared" si="17"/>
        <v>0.954150643242421</v>
      </c>
      <c r="Q68" s="12">
        <f ca="1" t="shared" si="18"/>
        <v>17.0915461367596</v>
      </c>
      <c r="R68" s="11">
        <f ca="1" t="shared" si="19"/>
        <v>0.465201640312947</v>
      </c>
      <c r="S68" s="12">
        <f ca="1" t="shared" si="20"/>
        <v>14.8937224341034</v>
      </c>
      <c r="T68" s="11">
        <f ca="1" t="shared" si="21"/>
        <v>0.577417063818428</v>
      </c>
      <c r="U68" s="12">
        <f ca="1" t="shared" si="22"/>
        <v>18.5601857298563</v>
      </c>
      <c r="V68" s="11">
        <f ca="1" t="shared" si="23"/>
        <v>0.845203007589045</v>
      </c>
      <c r="W68" s="12">
        <f ca="1" t="shared" si="24"/>
        <v>22.6723628430566</v>
      </c>
      <c r="X68" s="11">
        <f ca="1" t="shared" si="25"/>
        <v>0.825578150011214</v>
      </c>
      <c r="Y68" s="12">
        <f ca="1" t="shared" si="26"/>
        <v>24.9309969209213</v>
      </c>
      <c r="Z68" s="19">
        <f ca="1" t="shared" si="27"/>
        <v>49574.8490830829</v>
      </c>
      <c r="AA68" s="19">
        <f ca="1" t="shared" si="28"/>
        <v>49821.0581478182</v>
      </c>
      <c r="AB68" s="19">
        <f ca="1" t="shared" si="29"/>
        <v>52072.9522350266</v>
      </c>
      <c r="AC68" s="19">
        <f ca="1" t="shared" si="30"/>
        <v>63348.6922674247</v>
      </c>
      <c r="AD68" s="19">
        <f ca="1" t="shared" si="31"/>
        <v>97443.0983115522</v>
      </c>
      <c r="AE68" s="19">
        <f ca="1" t="shared" si="32"/>
        <v>14794.4204937317</v>
      </c>
      <c r="AF68" s="19">
        <f ca="1" t="shared" si="33"/>
        <v>34780.4285893511</v>
      </c>
      <c r="AG68" s="19">
        <f ca="1" t="shared" si="34"/>
        <v>35026.6376540865</v>
      </c>
      <c r="AH68" s="19">
        <f ca="1" t="shared" si="35"/>
        <v>37278.5317412949</v>
      </c>
      <c r="AI68" s="19">
        <f ca="1" t="shared" si="36"/>
        <v>48554.271773693</v>
      </c>
      <c r="AJ68" s="19">
        <f ca="1" t="shared" si="37"/>
        <v>82648.6778178204</v>
      </c>
      <c r="AK68" s="19">
        <f ca="1">AF68*$B$4</f>
        <v>17390.2142946756</v>
      </c>
      <c r="AL68" s="19">
        <f ca="1">AG68*$B$4</f>
        <v>17513.3188270433</v>
      </c>
      <c r="AM68" s="19">
        <f ca="1">AH68*$B$4</f>
        <v>18639.2658706474</v>
      </c>
      <c r="AN68" s="19">
        <f ca="1">AI68*$B$4</f>
        <v>24277.1358868465</v>
      </c>
      <c r="AO68" s="19">
        <f ca="1">AJ68*$B$4</f>
        <v>41324.3389089102</v>
      </c>
      <c r="AP68" s="19">
        <f ca="1" t="shared" si="38"/>
        <v>17390.2142946756</v>
      </c>
      <c r="AQ68" s="19">
        <f ca="1" t="shared" si="39"/>
        <v>17513.3188270433</v>
      </c>
      <c r="AR68" s="19">
        <f ca="1" t="shared" si="40"/>
        <v>18639.2658706474</v>
      </c>
      <c r="AS68" s="19">
        <f ca="1" t="shared" si="41"/>
        <v>24277.1358868465</v>
      </c>
      <c r="AT68" s="19">
        <f ca="1" t="shared" si="42"/>
        <v>41324.3389089102</v>
      </c>
      <c r="AU68" s="19">
        <f ca="1" t="shared" si="43"/>
        <v>49682.2768750599</v>
      </c>
      <c r="AV68" s="19">
        <f ca="1" t="shared" si="44"/>
        <v>-108859.958849987</v>
      </c>
      <c r="AW68" s="19">
        <f ca="1" t="shared" si="45"/>
        <v>32184.6347884073</v>
      </c>
      <c r="AX68" s="19">
        <f ca="1" t="shared" si="46"/>
        <v>32307.739320775</v>
      </c>
      <c r="AY68" s="19">
        <f ca="1" t="shared" si="47"/>
        <v>33433.6863643792</v>
      </c>
      <c r="AZ68" s="19">
        <f ca="1" t="shared" si="48"/>
        <v>39071.5563805782</v>
      </c>
      <c r="BA68" s="19">
        <f ca="1" t="shared" si="49"/>
        <v>105801.036277702</v>
      </c>
      <c r="BB68" s="20">
        <f ca="1" t="shared" si="50"/>
        <v>0.269537126005217</v>
      </c>
      <c r="BC68" s="19">
        <f ca="1">NPV($B$5,AW68:BA68)+AV68</f>
        <v>40480.2670618435</v>
      </c>
    </row>
    <row r="69" spans="1:55">
      <c r="A69" s="3">
        <v>45</v>
      </c>
      <c r="B69" s="11">
        <f ca="1" t="shared" si="3"/>
        <v>0.549117147210344</v>
      </c>
      <c r="C69" s="19">
        <f ca="1" t="shared" si="4"/>
        <v>-74330.162122592</v>
      </c>
      <c r="D69" s="11">
        <f ca="1" t="shared" si="5"/>
        <v>0.490703877231011</v>
      </c>
      <c r="E69" s="19">
        <f ca="1" t="shared" si="6"/>
        <v>-31420.6304669485</v>
      </c>
      <c r="F69" s="11">
        <f ca="1" t="shared" si="7"/>
        <v>0.119183962184354</v>
      </c>
      <c r="G69" s="19">
        <f ca="1" t="shared" si="8"/>
        <v>34228.1904318104</v>
      </c>
      <c r="H69" s="11">
        <f ca="1" t="shared" si="9"/>
        <v>0.964117182445148</v>
      </c>
      <c r="I69" s="19">
        <f ca="1" t="shared" si="10"/>
        <v>43359.5088184894</v>
      </c>
      <c r="J69" s="11">
        <f ca="1" t="shared" si="11"/>
        <v>0.927350456559153</v>
      </c>
      <c r="K69" s="19">
        <f ca="1" t="shared" si="12"/>
        <v>42665.7515646222</v>
      </c>
      <c r="L69" s="11">
        <f ca="1" t="shared" si="13"/>
        <v>0.602011194955727</v>
      </c>
      <c r="M69" s="19">
        <f ca="1" t="shared" si="14"/>
        <v>39502.7195709102</v>
      </c>
      <c r="N69" s="11">
        <f ca="1" t="shared" si="15"/>
        <v>0.251408495932721</v>
      </c>
      <c r="O69" s="19">
        <f ca="1" t="shared" si="16"/>
        <v>36140.9506096294</v>
      </c>
      <c r="P69" s="11">
        <f ca="1" t="shared" si="17"/>
        <v>0.721261496344488</v>
      </c>
      <c r="Q69" s="12">
        <f ca="1" t="shared" si="18"/>
        <v>15.7600685131462</v>
      </c>
      <c r="R69" s="11">
        <f ca="1" t="shared" si="19"/>
        <v>0.122698865107315</v>
      </c>
      <c r="S69" s="12">
        <f ca="1" t="shared" si="20"/>
        <v>13.486129056284</v>
      </c>
      <c r="T69" s="11">
        <f ca="1" t="shared" si="21"/>
        <v>0.0577976182523887</v>
      </c>
      <c r="U69" s="12">
        <f ca="1" t="shared" si="22"/>
        <v>16.1017032192474</v>
      </c>
      <c r="V69" s="11">
        <f ca="1" t="shared" si="23"/>
        <v>0.999223490798637</v>
      </c>
      <c r="W69" s="12">
        <f ca="1" t="shared" si="24"/>
        <v>24.8351430254806</v>
      </c>
      <c r="X69" s="11">
        <f ca="1" t="shared" si="25"/>
        <v>0.109071036559429</v>
      </c>
      <c r="Y69" s="12">
        <f ca="1" t="shared" si="26"/>
        <v>20.7160763348711</v>
      </c>
      <c r="Z69" s="19">
        <f ca="1" t="shared" si="27"/>
        <v>39622.5766946739</v>
      </c>
      <c r="AA69" s="19">
        <f ca="1" t="shared" si="28"/>
        <v>56962.0894834262</v>
      </c>
      <c r="AB69" s="19">
        <f ca="1" t="shared" si="29"/>
        <v>65075.8049840185</v>
      </c>
      <c r="AC69" s="19">
        <f ca="1" t="shared" si="30"/>
        <v>75214.9216958962</v>
      </c>
      <c r="AD69" s="19">
        <f ca="1" t="shared" si="31"/>
        <v>83069.5187678461</v>
      </c>
      <c r="AE69" s="19">
        <f ca="1" t="shared" si="32"/>
        <v>14866.0324245184</v>
      </c>
      <c r="AF69" s="19">
        <f ca="1" t="shared" si="33"/>
        <v>24756.5442701555</v>
      </c>
      <c r="AG69" s="19">
        <f ca="1" t="shared" si="34"/>
        <v>42096.0570589078</v>
      </c>
      <c r="AH69" s="19">
        <f ca="1" t="shared" si="35"/>
        <v>50209.7725595001</v>
      </c>
      <c r="AI69" s="19">
        <f ca="1" t="shared" si="36"/>
        <v>60348.8892713778</v>
      </c>
      <c r="AJ69" s="19">
        <f ca="1" t="shared" si="37"/>
        <v>68203.4863433277</v>
      </c>
      <c r="AK69" s="19">
        <f ca="1">AF69*$B$4</f>
        <v>12378.2721350777</v>
      </c>
      <c r="AL69" s="19">
        <f ca="1">AG69*$B$4</f>
        <v>21048.0285294539</v>
      </c>
      <c r="AM69" s="19">
        <f ca="1">AH69*$B$4</f>
        <v>25104.8862797501</v>
      </c>
      <c r="AN69" s="19">
        <f ca="1">AI69*$B$4</f>
        <v>30174.4446356889</v>
      </c>
      <c r="AO69" s="19">
        <f ca="1">AJ69*$B$4</f>
        <v>34101.7431716638</v>
      </c>
      <c r="AP69" s="19">
        <f ca="1" t="shared" si="38"/>
        <v>12378.2721350777</v>
      </c>
      <c r="AQ69" s="19">
        <f ca="1" t="shared" si="39"/>
        <v>21048.0285294539</v>
      </c>
      <c r="AR69" s="19">
        <f ca="1" t="shared" si="40"/>
        <v>25104.8862797501</v>
      </c>
      <c r="AS69" s="19">
        <f ca="1" t="shared" si="41"/>
        <v>30174.4446356889</v>
      </c>
      <c r="AT69" s="19">
        <f ca="1" t="shared" si="42"/>
        <v>34101.7431716638</v>
      </c>
      <c r="AU69" s="19">
        <f ca="1" t="shared" si="43"/>
        <v>46286.6628914669</v>
      </c>
      <c r="AV69" s="19">
        <f ca="1" t="shared" si="44"/>
        <v>-105750.792589541</v>
      </c>
      <c r="AW69" s="19">
        <f ca="1" t="shared" si="45"/>
        <v>27244.3045595961</v>
      </c>
      <c r="AX69" s="19">
        <f ca="1" t="shared" si="46"/>
        <v>35914.0609539723</v>
      </c>
      <c r="AY69" s="19">
        <f ca="1" t="shared" si="47"/>
        <v>39970.9187042684</v>
      </c>
      <c r="AZ69" s="19">
        <f ca="1" t="shared" si="48"/>
        <v>45040.4770602073</v>
      </c>
      <c r="BA69" s="19">
        <f ca="1" t="shared" si="49"/>
        <v>95254.4384876492</v>
      </c>
      <c r="BB69" s="20">
        <f ca="1" t="shared" si="50"/>
        <v>0.283991022186934</v>
      </c>
      <c r="BC69" s="19">
        <f ca="1">NPV($B$5,AW69:BA69)+AV69</f>
        <v>44487.9543502257</v>
      </c>
    </row>
    <row r="70" spans="1:55">
      <c r="A70" s="3">
        <v>46</v>
      </c>
      <c r="B70" s="11">
        <f ca="1" t="shared" si="3"/>
        <v>0.441403986145193</v>
      </c>
      <c r="C70" s="19">
        <f ca="1" t="shared" si="4"/>
        <v>-76985.1182194166</v>
      </c>
      <c r="D70" s="11">
        <f ca="1" t="shared" si="5"/>
        <v>0.620613956147594</v>
      </c>
      <c r="E70" s="19">
        <f ca="1" t="shared" si="6"/>
        <v>-30351.5755989831</v>
      </c>
      <c r="F70" s="11">
        <f ca="1" t="shared" si="7"/>
        <v>0.423286287285713</v>
      </c>
      <c r="G70" s="19">
        <f ca="1" t="shared" si="8"/>
        <v>37968.2459232165</v>
      </c>
      <c r="H70" s="11">
        <f ca="1" t="shared" si="9"/>
        <v>0.0863322520272656</v>
      </c>
      <c r="I70" s="19">
        <f ca="1" t="shared" si="10"/>
        <v>33598.5883071129</v>
      </c>
      <c r="J70" s="11">
        <f ca="1" t="shared" si="11"/>
        <v>0.930766445830986</v>
      </c>
      <c r="K70" s="19">
        <f ca="1" t="shared" si="12"/>
        <v>42721.290592753</v>
      </c>
      <c r="L70" s="11">
        <f ca="1" t="shared" si="13"/>
        <v>0.511802712474168</v>
      </c>
      <c r="M70" s="19">
        <f ca="1" t="shared" si="14"/>
        <v>38761.872338212</v>
      </c>
      <c r="N70" s="11">
        <f ca="1" t="shared" si="15"/>
        <v>0.330063185499645</v>
      </c>
      <c r="O70" s="19">
        <f ca="1" t="shared" si="16"/>
        <v>37036.2971671858</v>
      </c>
      <c r="P70" s="11">
        <f ca="1" t="shared" si="17"/>
        <v>0.828059006007051</v>
      </c>
      <c r="Q70" s="12">
        <f ca="1" t="shared" si="18"/>
        <v>16.2407564432765</v>
      </c>
      <c r="R70" s="11">
        <f ca="1" t="shared" si="19"/>
        <v>0.652910796316994</v>
      </c>
      <c r="S70" s="12">
        <f ca="1" t="shared" si="20"/>
        <v>15.5004789126126</v>
      </c>
      <c r="T70" s="11">
        <f ca="1" t="shared" si="21"/>
        <v>0.841270634887326</v>
      </c>
      <c r="U70" s="12">
        <f ca="1" t="shared" si="22"/>
        <v>19.8918201634692</v>
      </c>
      <c r="V70" s="11">
        <f ca="1" t="shared" si="23"/>
        <v>0.0162718536395812</v>
      </c>
      <c r="W70" s="12">
        <f ca="1" t="shared" si="24"/>
        <v>18.4772902166964</v>
      </c>
      <c r="X70" s="11">
        <f ca="1" t="shared" si="25"/>
        <v>0.97464025975935</v>
      </c>
      <c r="Y70" s="12">
        <f ca="1" t="shared" si="26"/>
        <v>26.829775246803</v>
      </c>
      <c r="Z70" s="19">
        <f ca="1" t="shared" si="27"/>
        <v>44134.5762693904</v>
      </c>
      <c r="AA70" s="19">
        <f ca="1" t="shared" si="28"/>
        <v>45109.0044893636</v>
      </c>
      <c r="AB70" s="19">
        <f ca="1" t="shared" si="29"/>
        <v>68766.374828371</v>
      </c>
      <c r="AC70" s="19">
        <f ca="1" t="shared" si="30"/>
        <v>73921.6454590421</v>
      </c>
      <c r="AD70" s="19">
        <f ca="1" t="shared" si="31"/>
        <v>89580.9495359021</v>
      </c>
      <c r="AE70" s="19">
        <f ca="1" t="shared" si="32"/>
        <v>15397.0236438833</v>
      </c>
      <c r="AF70" s="19">
        <f ca="1" t="shared" si="33"/>
        <v>28737.5526255071</v>
      </c>
      <c r="AG70" s="19">
        <f ca="1" t="shared" si="34"/>
        <v>29711.9808454803</v>
      </c>
      <c r="AH70" s="19">
        <f ca="1" t="shared" si="35"/>
        <v>53369.3511844877</v>
      </c>
      <c r="AI70" s="19">
        <f ca="1" t="shared" si="36"/>
        <v>58524.6218151588</v>
      </c>
      <c r="AJ70" s="19">
        <f ca="1" t="shared" si="37"/>
        <v>74183.9258920188</v>
      </c>
      <c r="AK70" s="19">
        <f ca="1">AF70*$B$4</f>
        <v>14368.7763127535</v>
      </c>
      <c r="AL70" s="19">
        <f ca="1">AG70*$B$4</f>
        <v>14855.9904227401</v>
      </c>
      <c r="AM70" s="19">
        <f ca="1">AH70*$B$4</f>
        <v>26684.6755922438</v>
      </c>
      <c r="AN70" s="19">
        <f ca="1">AI70*$B$4</f>
        <v>29262.3109075794</v>
      </c>
      <c r="AO70" s="19">
        <f ca="1">AJ70*$B$4</f>
        <v>37091.9629460094</v>
      </c>
      <c r="AP70" s="19">
        <f ca="1" t="shared" si="38"/>
        <v>14368.7763127535</v>
      </c>
      <c r="AQ70" s="19">
        <f ca="1" t="shared" si="39"/>
        <v>14855.9904227401</v>
      </c>
      <c r="AR70" s="19">
        <f ca="1" t="shared" si="40"/>
        <v>26684.6755922438</v>
      </c>
      <c r="AS70" s="19">
        <f ca="1" t="shared" si="41"/>
        <v>29262.3109075794</v>
      </c>
      <c r="AT70" s="19">
        <f ca="1" t="shared" si="42"/>
        <v>37091.9629460094</v>
      </c>
      <c r="AU70" s="19">
        <f ca="1" t="shared" si="43"/>
        <v>45748.5992428664</v>
      </c>
      <c r="AV70" s="19">
        <f ca="1" t="shared" si="44"/>
        <v>-107336.6938184</v>
      </c>
      <c r="AW70" s="19">
        <f ca="1" t="shared" si="45"/>
        <v>29765.7999566369</v>
      </c>
      <c r="AX70" s="19">
        <f ca="1" t="shared" si="46"/>
        <v>30253.0140666235</v>
      </c>
      <c r="AY70" s="19">
        <f ca="1" t="shared" si="47"/>
        <v>42081.6992361272</v>
      </c>
      <c r="AZ70" s="19">
        <f ca="1" t="shared" si="48"/>
        <v>44659.3345514627</v>
      </c>
      <c r="BA70" s="19">
        <f ca="1" t="shared" si="49"/>
        <v>98237.5858327591</v>
      </c>
      <c r="BB70" s="20">
        <f ca="1" t="shared" si="50"/>
        <v>0.278748613326987</v>
      </c>
      <c r="BC70" s="19">
        <f ca="1">NPV($B$5,AW70:BA70)+AV70</f>
        <v>43467.1975146523</v>
      </c>
    </row>
    <row r="71" spans="1:55">
      <c r="A71" s="3">
        <v>47</v>
      </c>
      <c r="B71" s="11">
        <f ca="1" t="shared" si="3"/>
        <v>0.844417284807326</v>
      </c>
      <c r="C71" s="19">
        <f ca="1" t="shared" si="4"/>
        <v>-67888.7949698968</v>
      </c>
      <c r="D71" s="11">
        <f ca="1" t="shared" si="5"/>
        <v>0.548118387416174</v>
      </c>
      <c r="E71" s="19">
        <f ca="1" t="shared" si="6"/>
        <v>-30932.5991534274</v>
      </c>
      <c r="F71" s="11">
        <f ca="1" t="shared" si="7"/>
        <v>0.177326647731459</v>
      </c>
      <c r="G71" s="19">
        <f ca="1" t="shared" si="8"/>
        <v>35157.4215611795</v>
      </c>
      <c r="H71" s="11">
        <f ca="1" t="shared" si="9"/>
        <v>0.0664723917827232</v>
      </c>
      <c r="I71" s="19">
        <f ca="1" t="shared" si="10"/>
        <v>33157.6666650247</v>
      </c>
      <c r="J71" s="11">
        <f ca="1" t="shared" si="11"/>
        <v>0.733400493785271</v>
      </c>
      <c r="K71" s="19">
        <f ca="1" t="shared" si="12"/>
        <v>40528.4272379727</v>
      </c>
      <c r="L71" s="11">
        <f ca="1" t="shared" si="13"/>
        <v>0.569325999426119</v>
      </c>
      <c r="M71" s="19">
        <f ca="1" t="shared" si="14"/>
        <v>39241.1525208665</v>
      </c>
      <c r="N71" s="11">
        <f ca="1" t="shared" si="15"/>
        <v>0.697725937895138</v>
      </c>
      <c r="O71" s="19">
        <f ca="1" t="shared" si="16"/>
        <v>40238.6394110649</v>
      </c>
      <c r="P71" s="11">
        <f ca="1" t="shared" si="17"/>
        <v>0.310374803528249</v>
      </c>
      <c r="Q71" s="12">
        <f ca="1" t="shared" si="18"/>
        <v>14.3636299337055</v>
      </c>
      <c r="R71" s="11">
        <f ca="1" t="shared" si="19"/>
        <v>0.676847653689364</v>
      </c>
      <c r="S71" s="12">
        <f ca="1" t="shared" si="20"/>
        <v>15.5882076719602</v>
      </c>
      <c r="T71" s="11">
        <f ca="1" t="shared" si="21"/>
        <v>0.0168845251474483</v>
      </c>
      <c r="U71" s="12">
        <f ca="1" t="shared" si="22"/>
        <v>15.5954620290971</v>
      </c>
      <c r="V71" s="11">
        <f ca="1" t="shared" si="23"/>
        <v>0.669154116278391</v>
      </c>
      <c r="W71" s="12">
        <f ca="1" t="shared" si="24"/>
        <v>21.5971179964247</v>
      </c>
      <c r="X71" s="11">
        <f ca="1" t="shared" si="25"/>
        <v>0.522987881182148</v>
      </c>
      <c r="Y71" s="12">
        <f ca="1" t="shared" si="26"/>
        <v>22.9247015441293</v>
      </c>
      <c r="Z71" s="19">
        <f ca="1" t="shared" si="27"/>
        <v>40207.3034884601</v>
      </c>
      <c r="AA71" s="19">
        <f ca="1" t="shared" si="28"/>
        <v>43831.4080590629</v>
      </c>
      <c r="AB71" s="19">
        <f ca="1" t="shared" si="29"/>
        <v>61930.1307508687</v>
      </c>
      <c r="AC71" s="19">
        <f ca="1" t="shared" si="30"/>
        <v>72913.3885936246</v>
      </c>
      <c r="AD71" s="19">
        <f ca="1" t="shared" si="31"/>
        <v>91906.8704391497</v>
      </c>
      <c r="AE71" s="19">
        <f ca="1" t="shared" si="32"/>
        <v>13577.7589939794</v>
      </c>
      <c r="AF71" s="19">
        <f ca="1" t="shared" si="33"/>
        <v>26629.5444944807</v>
      </c>
      <c r="AG71" s="19">
        <f ca="1" t="shared" si="34"/>
        <v>30253.6490650835</v>
      </c>
      <c r="AH71" s="19">
        <f ca="1" t="shared" si="35"/>
        <v>48352.3717568893</v>
      </c>
      <c r="AI71" s="19">
        <f ca="1" t="shared" si="36"/>
        <v>59335.6295996452</v>
      </c>
      <c r="AJ71" s="19">
        <f ca="1" t="shared" si="37"/>
        <v>78329.1114451703</v>
      </c>
      <c r="AK71" s="19">
        <f ca="1">AF71*$B$4</f>
        <v>13314.7722472403</v>
      </c>
      <c r="AL71" s="19">
        <f ca="1">AG71*$B$4</f>
        <v>15126.8245325418</v>
      </c>
      <c r="AM71" s="19">
        <f ca="1">AH71*$B$4</f>
        <v>24176.1858784447</v>
      </c>
      <c r="AN71" s="19">
        <f ca="1">AI71*$B$4</f>
        <v>29667.8147998226</v>
      </c>
      <c r="AO71" s="19">
        <f ca="1">AJ71*$B$4</f>
        <v>39164.5557225851</v>
      </c>
      <c r="AP71" s="19">
        <f ca="1" t="shared" si="38"/>
        <v>13314.7722472403</v>
      </c>
      <c r="AQ71" s="19">
        <f ca="1" t="shared" si="39"/>
        <v>15126.8245325418</v>
      </c>
      <c r="AR71" s="19">
        <f ca="1" t="shared" si="40"/>
        <v>24176.1858784447</v>
      </c>
      <c r="AS71" s="19">
        <f ca="1" t="shared" si="41"/>
        <v>29667.8147998226</v>
      </c>
      <c r="AT71" s="19">
        <f ca="1" t="shared" si="42"/>
        <v>39164.5557225851</v>
      </c>
      <c r="AU71" s="19">
        <f ca="1" t="shared" si="43"/>
        <v>44510.3581474067</v>
      </c>
      <c r="AV71" s="19">
        <f ca="1" t="shared" si="44"/>
        <v>-98821.3941233242</v>
      </c>
      <c r="AW71" s="19">
        <f ca="1" t="shared" si="45"/>
        <v>26892.5312412197</v>
      </c>
      <c r="AX71" s="19">
        <f ca="1" t="shared" si="46"/>
        <v>28704.5835265211</v>
      </c>
      <c r="AY71" s="19">
        <f ca="1" t="shared" si="47"/>
        <v>37753.944872424</v>
      </c>
      <c r="AZ71" s="19">
        <f ca="1" t="shared" si="48"/>
        <v>43245.573793802</v>
      </c>
      <c r="BA71" s="19">
        <f ca="1" t="shared" si="49"/>
        <v>97252.6728639712</v>
      </c>
      <c r="BB71" s="20">
        <f ca="1" t="shared" si="50"/>
        <v>0.288751332089876</v>
      </c>
      <c r="BC71" s="19">
        <f ca="1">NPV($B$5,AW71:BA71)+AV71</f>
        <v>44169.5998672624</v>
      </c>
    </row>
    <row r="72" spans="1:55">
      <c r="A72" s="3">
        <v>48</v>
      </c>
      <c r="B72" s="11">
        <f ca="1" t="shared" si="3"/>
        <v>0.434917985615549</v>
      </c>
      <c r="C72" s="19">
        <f ca="1" t="shared" si="4"/>
        <v>-77154.8345871898</v>
      </c>
      <c r="D72" s="11">
        <f ca="1" t="shared" si="5"/>
        <v>0.548106910593482</v>
      </c>
      <c r="E72" s="19">
        <f ca="1" t="shared" si="6"/>
        <v>-30932.6940831897</v>
      </c>
      <c r="F72" s="11">
        <f ca="1" t="shared" si="7"/>
        <v>0.74096827488085</v>
      </c>
      <c r="G72" s="19">
        <f ca="1" t="shared" si="8"/>
        <v>40592.3499022794</v>
      </c>
      <c r="H72" s="11">
        <f ca="1" t="shared" si="9"/>
        <v>0.0494359061642826</v>
      </c>
      <c r="I72" s="19">
        <f ca="1" t="shared" si="10"/>
        <v>32723.1206224922</v>
      </c>
      <c r="J72" s="11">
        <f ca="1" t="shared" si="11"/>
        <v>0.548509334692892</v>
      </c>
      <c r="K72" s="19">
        <f ca="1" t="shared" si="12"/>
        <v>39070.633947191</v>
      </c>
      <c r="L72" s="11">
        <f ca="1" t="shared" si="13"/>
        <v>0.160635259522901</v>
      </c>
      <c r="M72" s="19">
        <f ca="1" t="shared" si="14"/>
        <v>34908.6952368664</v>
      </c>
      <c r="N72" s="11">
        <f ca="1" t="shared" si="15"/>
        <v>0.737920502545149</v>
      </c>
      <c r="O72" s="19">
        <f ca="1" t="shared" si="16"/>
        <v>40566.495482227</v>
      </c>
      <c r="P72" s="11">
        <f ca="1" t="shared" si="17"/>
        <v>0.190492706213208</v>
      </c>
      <c r="Q72" s="12">
        <f ca="1" t="shared" si="18"/>
        <v>13.8517204734618</v>
      </c>
      <c r="R72" s="11">
        <f ca="1" t="shared" si="19"/>
        <v>0.549709330682363</v>
      </c>
      <c r="S72" s="12">
        <f ca="1" t="shared" si="20"/>
        <v>15.1530310771423</v>
      </c>
      <c r="T72" s="11">
        <f ca="1" t="shared" si="21"/>
        <v>0.501375769206285</v>
      </c>
      <c r="U72" s="12">
        <f ca="1" t="shared" si="22"/>
        <v>18.2634938161132</v>
      </c>
      <c r="V72" s="11">
        <f ca="1" t="shared" si="23"/>
        <v>0.681005305628507</v>
      </c>
      <c r="W72" s="12">
        <f ca="1" t="shared" si="24"/>
        <v>21.6586208980419</v>
      </c>
      <c r="X72" s="11">
        <f ca="1" t="shared" si="25"/>
        <v>0.768294545805814</v>
      </c>
      <c r="Y72" s="12">
        <f ca="1" t="shared" si="26"/>
        <v>24.462756083264</v>
      </c>
      <c r="Z72" s="19">
        <f ca="1" t="shared" si="27"/>
        <v>46215.0887443527</v>
      </c>
      <c r="AA72" s="19">
        <f ca="1" t="shared" si="28"/>
        <v>42901.2242013663</v>
      </c>
      <c r="AB72" s="19">
        <f ca="1" t="shared" si="29"/>
        <v>60578.1679495795</v>
      </c>
      <c r="AC72" s="19">
        <f ca="1" t="shared" si="30"/>
        <v>65847.9384496971</v>
      </c>
      <c r="AD72" s="19">
        <f ca="1" t="shared" si="31"/>
        <v>95239.1411940742</v>
      </c>
      <c r="AE72" s="19">
        <f ca="1" t="shared" si="32"/>
        <v>15430.966917438</v>
      </c>
      <c r="AF72" s="19">
        <f ca="1" t="shared" si="33"/>
        <v>30784.1218269148</v>
      </c>
      <c r="AG72" s="19">
        <f ca="1" t="shared" si="34"/>
        <v>27470.2572839284</v>
      </c>
      <c r="AH72" s="19">
        <f ca="1" t="shared" si="35"/>
        <v>45147.2010321415</v>
      </c>
      <c r="AI72" s="19">
        <f ca="1" t="shared" si="36"/>
        <v>50416.9715322591</v>
      </c>
      <c r="AJ72" s="19">
        <f ca="1" t="shared" si="37"/>
        <v>79808.1742766363</v>
      </c>
      <c r="AK72" s="19">
        <f ca="1">AF72*$B$4</f>
        <v>15392.0609134574</v>
      </c>
      <c r="AL72" s="19">
        <f ca="1">AG72*$B$4</f>
        <v>13735.1286419642</v>
      </c>
      <c r="AM72" s="19">
        <f ca="1">AH72*$B$4</f>
        <v>22573.6005160707</v>
      </c>
      <c r="AN72" s="19">
        <f ca="1">AI72*$B$4</f>
        <v>25208.4857661296</v>
      </c>
      <c r="AO72" s="19">
        <f ca="1">AJ72*$B$4</f>
        <v>39904.0871383181</v>
      </c>
      <c r="AP72" s="19">
        <f ca="1" t="shared" si="38"/>
        <v>15392.0609134574</v>
      </c>
      <c r="AQ72" s="19">
        <f ca="1" t="shared" si="39"/>
        <v>13735.1286419642</v>
      </c>
      <c r="AR72" s="19">
        <f ca="1" t="shared" si="40"/>
        <v>22573.6005160707</v>
      </c>
      <c r="AS72" s="19">
        <f ca="1" t="shared" si="41"/>
        <v>25208.4857661296</v>
      </c>
      <c r="AT72" s="19">
        <f ca="1" t="shared" si="42"/>
        <v>39904.0871383181</v>
      </c>
      <c r="AU72" s="19">
        <f ca="1" t="shared" si="43"/>
        <v>46363.6610006277</v>
      </c>
      <c r="AV72" s="19">
        <f ca="1" t="shared" si="44"/>
        <v>-108087.52867038</v>
      </c>
      <c r="AW72" s="19">
        <f ca="1" t="shared" si="45"/>
        <v>30823.0278308953</v>
      </c>
      <c r="AX72" s="19">
        <f ca="1" t="shared" si="46"/>
        <v>29166.0955594022</v>
      </c>
      <c r="AY72" s="19">
        <f ca="1" t="shared" si="47"/>
        <v>38004.5674335087</v>
      </c>
      <c r="AZ72" s="19">
        <f ca="1" t="shared" si="48"/>
        <v>40639.4526835675</v>
      </c>
      <c r="BA72" s="19">
        <f ca="1" t="shared" si="49"/>
        <v>101698.715056384</v>
      </c>
      <c r="BB72" s="20">
        <f ca="1" t="shared" si="50"/>
        <v>0.267048539930272</v>
      </c>
      <c r="BC72" s="19">
        <f ca="1">NPV($B$5,AW72:BA72)+AV72</f>
        <v>39555.4567838723</v>
      </c>
    </row>
    <row r="73" spans="1:55">
      <c r="A73" s="3">
        <v>49</v>
      </c>
      <c r="B73" s="11">
        <f ca="1" t="shared" si="3"/>
        <v>0.765722699827683</v>
      </c>
      <c r="C73" s="19">
        <f ca="1" t="shared" si="4"/>
        <v>-69680.4400762014</v>
      </c>
      <c r="D73" s="11">
        <f ca="1" t="shared" si="5"/>
        <v>0.0198604745942348</v>
      </c>
      <c r="E73" s="19">
        <f ca="1" t="shared" si="6"/>
        <v>-38274.0013936462</v>
      </c>
      <c r="F73" s="11">
        <f ca="1" t="shared" si="7"/>
        <v>0.451697817511879</v>
      </c>
      <c r="G73" s="19">
        <f ca="1" t="shared" si="8"/>
        <v>38231.3226535461</v>
      </c>
      <c r="H73" s="11">
        <f ca="1" t="shared" si="9"/>
        <v>0.660468723018086</v>
      </c>
      <c r="I73" s="19">
        <f ca="1" t="shared" si="10"/>
        <v>39953.4068766786</v>
      </c>
      <c r="J73" s="11">
        <f ca="1" t="shared" si="11"/>
        <v>0.164593995389402</v>
      </c>
      <c r="K73" s="19">
        <f ca="1" t="shared" si="12"/>
        <v>34968.81266586</v>
      </c>
      <c r="L73" s="11">
        <f ca="1" t="shared" si="13"/>
        <v>0.457118733955396</v>
      </c>
      <c r="M73" s="19">
        <f ca="1" t="shared" si="14"/>
        <v>38280.5682228522</v>
      </c>
      <c r="N73" s="11">
        <f ca="1" t="shared" si="15"/>
        <v>0.211766494811669</v>
      </c>
      <c r="O73" s="19">
        <f ca="1" t="shared" si="16"/>
        <v>35636.0424254747</v>
      </c>
      <c r="P73" s="11">
        <f ca="1" t="shared" si="17"/>
        <v>0.674369541709916</v>
      </c>
      <c r="Q73" s="12">
        <f ca="1" t="shared" si="18"/>
        <v>15.5789778503241</v>
      </c>
      <c r="R73" s="11">
        <f ca="1" t="shared" si="19"/>
        <v>0.210459303312972</v>
      </c>
      <c r="S73" s="12">
        <f ca="1" t="shared" si="20"/>
        <v>13.9463472094242</v>
      </c>
      <c r="T73" s="11">
        <f ca="1" t="shared" si="21"/>
        <v>0.064822297331278</v>
      </c>
      <c r="U73" s="12">
        <f ca="1" t="shared" si="22"/>
        <v>16.1667340073714</v>
      </c>
      <c r="V73" s="11">
        <f ca="1" t="shared" si="23"/>
        <v>0.820963483014525</v>
      </c>
      <c r="W73" s="12">
        <f ca="1" t="shared" si="24"/>
        <v>22.4967464981565</v>
      </c>
      <c r="X73" s="11">
        <f ca="1" t="shared" si="25"/>
        <v>0.264510238865768</v>
      </c>
      <c r="Y73" s="12">
        <f ca="1" t="shared" si="26"/>
        <v>21.672410232239</v>
      </c>
      <c r="Z73" s="19">
        <f ca="1" t="shared" si="27"/>
        <v>44187.371941628</v>
      </c>
      <c r="AA73" s="19">
        <f ca="1" t="shared" si="28"/>
        <v>52617.8471385178</v>
      </c>
      <c r="AB73" s="19">
        <f ca="1" t="shared" si="29"/>
        <v>53498.5391067422</v>
      </c>
      <c r="AC73" s="19">
        <f ca="1" t="shared" si="30"/>
        <v>71740.4284484997</v>
      </c>
      <c r="AD73" s="19">
        <f ca="1" t="shared" si="31"/>
        <v>81258.1945866711</v>
      </c>
      <c r="AE73" s="19">
        <f ca="1" t="shared" si="32"/>
        <v>13936.0880152403</v>
      </c>
      <c r="AF73" s="19">
        <f ca="1" t="shared" si="33"/>
        <v>30251.2839263877</v>
      </c>
      <c r="AG73" s="19">
        <f ca="1" t="shared" si="34"/>
        <v>38681.7591232775</v>
      </c>
      <c r="AH73" s="19">
        <f ca="1" t="shared" si="35"/>
        <v>39562.4510915019</v>
      </c>
      <c r="AI73" s="19">
        <f ca="1" t="shared" si="36"/>
        <v>57804.3404332595</v>
      </c>
      <c r="AJ73" s="19">
        <f ca="1" t="shared" si="37"/>
        <v>67322.1065714308</v>
      </c>
      <c r="AK73" s="19">
        <f ca="1">AF73*$B$4</f>
        <v>15125.6419631939</v>
      </c>
      <c r="AL73" s="19">
        <f ca="1">AG73*$B$4</f>
        <v>19340.8795616387</v>
      </c>
      <c r="AM73" s="19">
        <f ca="1">AH73*$B$4</f>
        <v>19781.225545751</v>
      </c>
      <c r="AN73" s="19">
        <f ca="1">AI73*$B$4</f>
        <v>28902.1702166297</v>
      </c>
      <c r="AO73" s="19">
        <f ca="1">AJ73*$B$4</f>
        <v>33661.0532857154</v>
      </c>
      <c r="AP73" s="19">
        <f ca="1" t="shared" si="38"/>
        <v>15125.6419631939</v>
      </c>
      <c r="AQ73" s="19">
        <f ca="1" t="shared" si="39"/>
        <v>19340.8795616387</v>
      </c>
      <c r="AR73" s="19">
        <f ca="1" t="shared" si="40"/>
        <v>19781.225545751</v>
      </c>
      <c r="AS73" s="19">
        <f ca="1" t="shared" si="41"/>
        <v>28902.1702166297</v>
      </c>
      <c r="AT73" s="19">
        <f ca="1" t="shared" si="42"/>
        <v>33661.0532857154</v>
      </c>
      <c r="AU73" s="19">
        <f ca="1" t="shared" si="43"/>
        <v>52210.0894088865</v>
      </c>
      <c r="AV73" s="19">
        <f ca="1" t="shared" si="44"/>
        <v>-107954.441469848</v>
      </c>
      <c r="AW73" s="19">
        <f ca="1" t="shared" si="45"/>
        <v>29061.7299784342</v>
      </c>
      <c r="AX73" s="19">
        <f ca="1" t="shared" si="46"/>
        <v>33276.967576879</v>
      </c>
      <c r="AY73" s="19">
        <f ca="1" t="shared" si="47"/>
        <v>33717.3135609913</v>
      </c>
      <c r="AZ73" s="19">
        <f ca="1" t="shared" si="48"/>
        <v>42838.25823187</v>
      </c>
      <c r="BA73" s="19">
        <f ca="1" t="shared" si="49"/>
        <v>99807.2307098422</v>
      </c>
      <c r="BB73" s="20">
        <f ca="1" t="shared" si="50"/>
        <v>0.265041823160433</v>
      </c>
      <c r="BC73" s="19">
        <f ca="1">NPV($B$5,AW73:BA73)+AV73</f>
        <v>38763.2236601721</v>
      </c>
    </row>
    <row r="74" spans="1:55">
      <c r="A74" s="3">
        <v>50</v>
      </c>
      <c r="B74" s="11">
        <f ca="1" t="shared" si="3"/>
        <v>0.867330219823359</v>
      </c>
      <c r="C74" s="19">
        <f ca="1" t="shared" si="4"/>
        <v>-67284.7726162631</v>
      </c>
      <c r="D74" s="11">
        <f ca="1" t="shared" si="5"/>
        <v>0.174238699895629</v>
      </c>
      <c r="E74" s="19">
        <f ca="1" t="shared" si="6"/>
        <v>-34887.6810560819</v>
      </c>
      <c r="F74" s="11">
        <f ca="1" t="shared" si="7"/>
        <v>0.276057401621969</v>
      </c>
      <c r="G74" s="19">
        <f ca="1" t="shared" si="8"/>
        <v>36434.952233179</v>
      </c>
      <c r="H74" s="11">
        <f ca="1" t="shared" si="9"/>
        <v>0.113782216478174</v>
      </c>
      <c r="I74" s="19">
        <f ca="1" t="shared" si="10"/>
        <v>34131.2628180408</v>
      </c>
      <c r="J74" s="11">
        <f ca="1" t="shared" si="11"/>
        <v>0.819284251907513</v>
      </c>
      <c r="K74" s="19">
        <f ca="1" t="shared" si="12"/>
        <v>41318.4675599777</v>
      </c>
      <c r="L74" s="11">
        <f ca="1" t="shared" si="13"/>
        <v>0.734286510351549</v>
      </c>
      <c r="M74" s="19">
        <f ca="1" t="shared" si="14"/>
        <v>40535.8638323149</v>
      </c>
      <c r="N74" s="11">
        <f ca="1" t="shared" si="15"/>
        <v>0.333511359814387</v>
      </c>
      <c r="O74" s="19">
        <f ca="1" t="shared" si="16"/>
        <v>37072.9558157929</v>
      </c>
      <c r="P74" s="11">
        <f ca="1" t="shared" si="17"/>
        <v>0.110395279869171</v>
      </c>
      <c r="Q74" s="12">
        <f ca="1" t="shared" si="18"/>
        <v>13.4096506792979</v>
      </c>
      <c r="R74" s="11">
        <f ca="1" t="shared" si="19"/>
        <v>0.123614809724784</v>
      </c>
      <c r="S74" s="12">
        <f ca="1" t="shared" si="20"/>
        <v>13.4916657048569</v>
      </c>
      <c r="T74" s="11">
        <f ca="1" t="shared" si="21"/>
        <v>0.997561922591777</v>
      </c>
      <c r="U74" s="12">
        <f ca="1" t="shared" si="22"/>
        <v>21.7387220494756</v>
      </c>
      <c r="V74" s="11">
        <f ca="1" t="shared" si="23"/>
        <v>0.153169364862952</v>
      </c>
      <c r="W74" s="12">
        <f ca="1" t="shared" si="24"/>
        <v>19.4643671356874</v>
      </c>
      <c r="X74" s="11">
        <f ca="1" t="shared" si="25"/>
        <v>0.428901635174233</v>
      </c>
      <c r="Y74" s="12">
        <f ca="1" t="shared" si="26"/>
        <v>22.4466846208241</v>
      </c>
      <c r="Z74" s="19">
        <f ca="1" t="shared" si="27"/>
        <v>41320.7520528173</v>
      </c>
      <c r="AA74" s="19">
        <f ca="1" t="shared" si="28"/>
        <v>43930.5195843869</v>
      </c>
      <c r="AB74" s="19">
        <f ca="1" t="shared" si="29"/>
        <v>64742.1216026083</v>
      </c>
      <c r="AC74" s="19">
        <f ca="1" t="shared" si="30"/>
        <v>75878.8151068301</v>
      </c>
      <c r="AD74" s="19">
        <f ca="1" t="shared" si="31"/>
        <v>84973.8610652924</v>
      </c>
      <c r="AE74" s="19">
        <f ca="1" t="shared" si="32"/>
        <v>13456.9545232526</v>
      </c>
      <c r="AF74" s="19">
        <f ca="1" t="shared" si="33"/>
        <v>27863.7975295647</v>
      </c>
      <c r="AG74" s="19">
        <f ca="1" t="shared" si="34"/>
        <v>30473.5650611343</v>
      </c>
      <c r="AH74" s="19">
        <f ca="1" t="shared" si="35"/>
        <v>51285.1670793557</v>
      </c>
      <c r="AI74" s="19">
        <f ca="1" t="shared" si="36"/>
        <v>62421.8605835775</v>
      </c>
      <c r="AJ74" s="19">
        <f ca="1" t="shared" si="37"/>
        <v>71516.9065420398</v>
      </c>
      <c r="AK74" s="19">
        <f ca="1">AF74*$B$4</f>
        <v>13931.8987647824</v>
      </c>
      <c r="AL74" s="19">
        <f ca="1">AG74*$B$4</f>
        <v>15236.7825305671</v>
      </c>
      <c r="AM74" s="19">
        <f ca="1">AH74*$B$4</f>
        <v>25642.5835396778</v>
      </c>
      <c r="AN74" s="19">
        <f ca="1">AI74*$B$4</f>
        <v>31210.9302917887</v>
      </c>
      <c r="AO74" s="19">
        <f ca="1">AJ74*$B$4</f>
        <v>35758.4532710199</v>
      </c>
      <c r="AP74" s="19">
        <f ca="1" t="shared" si="38"/>
        <v>13931.8987647824</v>
      </c>
      <c r="AQ74" s="19">
        <f ca="1" t="shared" si="39"/>
        <v>15236.7825305671</v>
      </c>
      <c r="AR74" s="19">
        <f ca="1" t="shared" si="40"/>
        <v>25642.5835396778</v>
      </c>
      <c r="AS74" s="19">
        <f ca="1" t="shared" si="41"/>
        <v>31210.9302917887</v>
      </c>
      <c r="AT74" s="19">
        <f ca="1" t="shared" si="42"/>
        <v>35758.4532710199</v>
      </c>
      <c r="AU74" s="19">
        <f ca="1" t="shared" si="43"/>
        <v>48344.6355793345</v>
      </c>
      <c r="AV74" s="19">
        <f ca="1" t="shared" si="44"/>
        <v>-102172.453672345</v>
      </c>
      <c r="AW74" s="19">
        <f ca="1" t="shared" si="45"/>
        <v>27388.853288035</v>
      </c>
      <c r="AX74" s="19">
        <f ca="1" t="shared" si="46"/>
        <v>28693.7370538197</v>
      </c>
      <c r="AY74" s="19">
        <f ca="1" t="shared" si="47"/>
        <v>39099.5380629304</v>
      </c>
      <c r="AZ74" s="19">
        <f ca="1" t="shared" si="48"/>
        <v>44667.8848150413</v>
      </c>
      <c r="BA74" s="19">
        <f ca="1" t="shared" si="49"/>
        <v>97560.043373607</v>
      </c>
      <c r="BB74" s="20">
        <f ca="1" t="shared" si="50"/>
        <v>0.281665693316968</v>
      </c>
      <c r="BC74" s="19">
        <f ca="1">NPV($B$5,AW74:BA74)+AV74</f>
        <v>43092.700989283</v>
      </c>
    </row>
    <row r="75" spans="1:55">
      <c r="A75" s="3">
        <v>51</v>
      </c>
      <c r="B75" s="11">
        <f ca="1" t="shared" si="3"/>
        <v>0.668479681900971</v>
      </c>
      <c r="C75" s="19">
        <f ca="1" t="shared" si="4"/>
        <v>-71677.2950041638</v>
      </c>
      <c r="D75" s="11">
        <f ca="1" t="shared" si="5"/>
        <v>0.383342445831471</v>
      </c>
      <c r="E75" s="19">
        <f ca="1" t="shared" si="6"/>
        <v>-32417.034427434</v>
      </c>
      <c r="F75" s="11">
        <f ca="1" t="shared" si="7"/>
        <v>0.45489244369317</v>
      </c>
      <c r="G75" s="19">
        <f ca="1" t="shared" si="8"/>
        <v>38260.3793226447</v>
      </c>
      <c r="H75" s="11">
        <f ca="1" t="shared" si="9"/>
        <v>0.156692209136664</v>
      </c>
      <c r="I75" s="19">
        <f ca="1" t="shared" si="10"/>
        <v>34848.0750170041</v>
      </c>
      <c r="J75" s="11">
        <f ca="1" t="shared" si="11"/>
        <v>0.210764119754572</v>
      </c>
      <c r="K75" s="19">
        <f ca="1" t="shared" si="12"/>
        <v>35622.6877881655</v>
      </c>
      <c r="L75" s="11">
        <f ca="1" t="shared" si="13"/>
        <v>0.0373269122558548</v>
      </c>
      <c r="M75" s="19">
        <f ca="1" t="shared" si="14"/>
        <v>32366.2283994531</v>
      </c>
      <c r="N75" s="11">
        <f ca="1" t="shared" si="15"/>
        <v>0.700434202710216</v>
      </c>
      <c r="O75" s="19">
        <f ca="1" t="shared" si="16"/>
        <v>40260.0174265369</v>
      </c>
      <c r="P75" s="11">
        <f ca="1" t="shared" si="17"/>
        <v>0.468929992184033</v>
      </c>
      <c r="Q75" s="12">
        <f ca="1" t="shared" si="18"/>
        <v>14.9052951415153</v>
      </c>
      <c r="R75" s="11">
        <f ca="1" t="shared" si="19"/>
        <v>0.625065254102388</v>
      </c>
      <c r="S75" s="12">
        <f ca="1" t="shared" si="20"/>
        <v>15.4021498453227</v>
      </c>
      <c r="T75" s="11">
        <f ca="1" t="shared" si="21"/>
        <v>0.313370399625951</v>
      </c>
      <c r="U75" s="12">
        <f ca="1" t="shared" si="22"/>
        <v>17.5653027876149</v>
      </c>
      <c r="V75" s="11">
        <f ca="1" t="shared" si="23"/>
        <v>0.612742775506297</v>
      </c>
      <c r="W75" s="12">
        <f ca="1" t="shared" si="24"/>
        <v>21.3184238623547</v>
      </c>
      <c r="X75" s="11">
        <f ca="1" t="shared" si="25"/>
        <v>0.422239338897837</v>
      </c>
      <c r="Y75" s="12">
        <f ca="1" t="shared" si="26"/>
        <v>22.4143867212707</v>
      </c>
      <c r="Z75" s="19">
        <f ca="1" t="shared" si="27"/>
        <v>43963.2017829481</v>
      </c>
      <c r="AA75" s="19">
        <f ca="1" t="shared" si="28"/>
        <v>46209.6559477946</v>
      </c>
      <c r="AB75" s="19">
        <f ca="1" t="shared" si="29"/>
        <v>55534.1070765382</v>
      </c>
      <c r="AC75" s="19">
        <f ca="1" t="shared" si="30"/>
        <v>61214.1696313598</v>
      </c>
      <c r="AD75" s="19">
        <f ca="1" t="shared" si="31"/>
        <v>93210.811261103</v>
      </c>
      <c r="AE75" s="19">
        <f ca="1" t="shared" si="32"/>
        <v>14335.4590008328</v>
      </c>
      <c r="AF75" s="19">
        <f ca="1" t="shared" si="33"/>
        <v>29627.7427821154</v>
      </c>
      <c r="AG75" s="19">
        <f ca="1" t="shared" si="34"/>
        <v>31874.1969469618</v>
      </c>
      <c r="AH75" s="19">
        <f ca="1" t="shared" si="35"/>
        <v>41198.6480757055</v>
      </c>
      <c r="AI75" s="19">
        <f ca="1" t="shared" si="36"/>
        <v>46878.7106305271</v>
      </c>
      <c r="AJ75" s="19">
        <f ca="1" t="shared" si="37"/>
        <v>78875.3522602702</v>
      </c>
      <c r="AK75" s="19">
        <f ca="1">AF75*$B$4</f>
        <v>14813.8713910577</v>
      </c>
      <c r="AL75" s="19">
        <f ca="1">AG75*$B$4</f>
        <v>15937.0984734809</v>
      </c>
      <c r="AM75" s="19">
        <f ca="1">AH75*$B$4</f>
        <v>20599.3240378527</v>
      </c>
      <c r="AN75" s="19">
        <f ca="1">AI75*$B$4</f>
        <v>23439.3553152635</v>
      </c>
      <c r="AO75" s="19">
        <f ca="1">AJ75*$B$4</f>
        <v>39437.6761301351</v>
      </c>
      <c r="AP75" s="19">
        <f ca="1" t="shared" si="38"/>
        <v>14813.8713910577</v>
      </c>
      <c r="AQ75" s="19">
        <f ca="1" t="shared" si="39"/>
        <v>15937.0984734809</v>
      </c>
      <c r="AR75" s="19">
        <f ca="1" t="shared" si="40"/>
        <v>20599.3240378527</v>
      </c>
      <c r="AS75" s="19">
        <f ca="1" t="shared" si="41"/>
        <v>23439.3553152635</v>
      </c>
      <c r="AT75" s="19">
        <f ca="1" t="shared" si="42"/>
        <v>39437.6761301351</v>
      </c>
      <c r="AU75" s="19">
        <f ca="1" t="shared" si="43"/>
        <v>46752.4934282668</v>
      </c>
      <c r="AV75" s="19">
        <f ca="1" t="shared" si="44"/>
        <v>-104094.329431598</v>
      </c>
      <c r="AW75" s="19">
        <f ca="1" t="shared" si="45"/>
        <v>29149.3303918905</v>
      </c>
      <c r="AX75" s="19">
        <f ca="1" t="shared" si="46"/>
        <v>30272.5574743137</v>
      </c>
      <c r="AY75" s="19">
        <f ca="1" t="shared" si="47"/>
        <v>34934.7830386855</v>
      </c>
      <c r="AZ75" s="19">
        <f ca="1" t="shared" si="48"/>
        <v>37774.8143160963</v>
      </c>
      <c r="BA75" s="19">
        <f ca="1" t="shared" si="49"/>
        <v>100525.628559235</v>
      </c>
      <c r="BB75" s="20">
        <f ca="1" t="shared" si="50"/>
        <v>0.268541675387915</v>
      </c>
      <c r="BC75" s="19">
        <f ca="1">NPV($B$5,AW75:BA75)+AV75</f>
        <v>38690.3804467341</v>
      </c>
    </row>
    <row r="76" spans="1:55">
      <c r="A76" s="3">
        <v>52</v>
      </c>
      <c r="B76" s="11">
        <f ca="1" t="shared" si="3"/>
        <v>0.721157501428175</v>
      </c>
      <c r="C76" s="19">
        <f ca="1" t="shared" si="4"/>
        <v>-70582.5051761063</v>
      </c>
      <c r="D76" s="11">
        <f ca="1" t="shared" si="5"/>
        <v>0.383359723182178</v>
      </c>
      <c r="E76" s="19">
        <f ca="1" t="shared" si="6"/>
        <v>-32416.8635461752</v>
      </c>
      <c r="F76" s="11">
        <f ca="1" t="shared" si="7"/>
        <v>0.180855868371121</v>
      </c>
      <c r="G76" s="19">
        <f ca="1" t="shared" si="8"/>
        <v>35208.4911688193</v>
      </c>
      <c r="H76" s="11">
        <f ca="1" t="shared" si="9"/>
        <v>0.490887353771206</v>
      </c>
      <c r="I76" s="19">
        <f ca="1" t="shared" si="10"/>
        <v>38580.9733169193</v>
      </c>
      <c r="J76" s="11">
        <f ca="1" t="shared" si="11"/>
        <v>0.635576210039772</v>
      </c>
      <c r="K76" s="19">
        <f ca="1" t="shared" si="12"/>
        <v>39764.0376641001</v>
      </c>
      <c r="L76" s="11">
        <f ca="1" t="shared" si="13"/>
        <v>0.247630212921127</v>
      </c>
      <c r="M76" s="19">
        <f ca="1" t="shared" si="14"/>
        <v>36094.6314029783</v>
      </c>
      <c r="N76" s="11">
        <f ca="1" t="shared" si="15"/>
        <v>0.60321663163321</v>
      </c>
      <c r="O76" s="19">
        <f ca="1" t="shared" si="16"/>
        <v>39512.2286949474</v>
      </c>
      <c r="P76" s="11">
        <f ca="1" t="shared" si="17"/>
        <v>0.0344535185420414</v>
      </c>
      <c r="Q76" s="12">
        <f ca="1" t="shared" si="18"/>
        <v>12.7875044976105</v>
      </c>
      <c r="R76" s="11">
        <f ca="1" t="shared" si="19"/>
        <v>0.503066164238311</v>
      </c>
      <c r="S76" s="12">
        <f ca="1" t="shared" si="20"/>
        <v>15.0092126381653</v>
      </c>
      <c r="T76" s="11">
        <f ca="1" t="shared" si="21"/>
        <v>0.129763297566418</v>
      </c>
      <c r="U76" s="12">
        <f ca="1" t="shared" si="22"/>
        <v>16.6507662611329</v>
      </c>
      <c r="V76" s="11">
        <f ca="1" t="shared" si="23"/>
        <v>0.809453464855657</v>
      </c>
      <c r="W76" s="12">
        <f ca="1" t="shared" si="24"/>
        <v>22.4175343700154</v>
      </c>
      <c r="X76" s="11">
        <f ca="1" t="shared" si="25"/>
        <v>0.263709405510772</v>
      </c>
      <c r="Y76" s="12">
        <f ca="1" t="shared" si="26"/>
        <v>21.6683616600436</v>
      </c>
      <c r="Z76" s="19">
        <f ca="1" t="shared" si="27"/>
        <v>39710.7785605728</v>
      </c>
      <c r="AA76" s="19">
        <f ca="1" t="shared" si="28"/>
        <v>50045.7034023005</v>
      </c>
      <c r="AB76" s="19">
        <f ca="1" t="shared" si="29"/>
        <v>60168.8471496249</v>
      </c>
      <c r="AC76" s="19">
        <f ca="1" t="shared" si="30"/>
        <v>66860.1664012239</v>
      </c>
      <c r="AD76" s="19">
        <f ca="1" t="shared" si="31"/>
        <v>89050.0215379564</v>
      </c>
      <c r="AE76" s="19">
        <f ca="1" t="shared" si="32"/>
        <v>14116.5010352213</v>
      </c>
      <c r="AF76" s="19">
        <f ca="1" t="shared" si="33"/>
        <v>25594.2775253515</v>
      </c>
      <c r="AG76" s="19">
        <f ca="1" t="shared" si="34"/>
        <v>35929.2023670793</v>
      </c>
      <c r="AH76" s="19">
        <f ca="1" t="shared" si="35"/>
        <v>46052.3461144036</v>
      </c>
      <c r="AI76" s="19">
        <f ca="1" t="shared" si="36"/>
        <v>52743.6653660026</v>
      </c>
      <c r="AJ76" s="19">
        <f ca="1" t="shared" si="37"/>
        <v>74933.5205027351</v>
      </c>
      <c r="AK76" s="19">
        <f ca="1">AF76*$B$4</f>
        <v>12797.1387626758</v>
      </c>
      <c r="AL76" s="19">
        <f ca="1">AG76*$B$4</f>
        <v>17964.6011835396</v>
      </c>
      <c r="AM76" s="19">
        <f ca="1">AH76*$B$4</f>
        <v>23026.1730572018</v>
      </c>
      <c r="AN76" s="19">
        <f ca="1">AI76*$B$4</f>
        <v>26371.8326830013</v>
      </c>
      <c r="AO76" s="19">
        <f ca="1">AJ76*$B$4</f>
        <v>37466.7602513675</v>
      </c>
      <c r="AP76" s="19">
        <f ca="1" t="shared" si="38"/>
        <v>12797.1387626758</v>
      </c>
      <c r="AQ76" s="19">
        <f ca="1" t="shared" si="39"/>
        <v>17964.6011835396</v>
      </c>
      <c r="AR76" s="19">
        <f ca="1" t="shared" si="40"/>
        <v>23026.1730572018</v>
      </c>
      <c r="AS76" s="19">
        <f ca="1" t="shared" si="41"/>
        <v>26371.8326830013</v>
      </c>
      <c r="AT76" s="19">
        <f ca="1" t="shared" si="42"/>
        <v>37466.7602513675</v>
      </c>
      <c r="AU76" s="19">
        <f ca="1" t="shared" si="43"/>
        <v>46533.3645813965</v>
      </c>
      <c r="AV76" s="19">
        <f ca="1" t="shared" si="44"/>
        <v>-102999.368722282</v>
      </c>
      <c r="AW76" s="19">
        <f ca="1" t="shared" si="45"/>
        <v>26913.639797897</v>
      </c>
      <c r="AX76" s="19">
        <f ca="1" t="shared" si="46"/>
        <v>32081.1022187609</v>
      </c>
      <c r="AY76" s="19">
        <f ca="1" t="shared" si="47"/>
        <v>37142.6740924231</v>
      </c>
      <c r="AZ76" s="19">
        <f ca="1" t="shared" si="48"/>
        <v>40488.3337182226</v>
      </c>
      <c r="BA76" s="19">
        <f ca="1" t="shared" si="49"/>
        <v>98116.6258679853</v>
      </c>
      <c r="BB76" s="20">
        <f ca="1" t="shared" si="50"/>
        <v>0.275816054641776</v>
      </c>
      <c r="BC76" s="19">
        <f ca="1">NPV($B$5,AW76:BA76)+AV76</f>
        <v>41014.2696732605</v>
      </c>
    </row>
    <row r="77" spans="1:55">
      <c r="A77" s="3">
        <v>53</v>
      </c>
      <c r="B77" s="11">
        <f ca="1" t="shared" si="3"/>
        <v>0.323461733200989</v>
      </c>
      <c r="C77" s="19">
        <f ca="1" t="shared" si="4"/>
        <v>-80298.373675222</v>
      </c>
      <c r="D77" s="11">
        <f ca="1" t="shared" si="5"/>
        <v>0.0198523532085446</v>
      </c>
      <c r="E77" s="19">
        <f ca="1" t="shared" si="6"/>
        <v>-38274.3543291621</v>
      </c>
      <c r="F77" s="11">
        <f ca="1" t="shared" si="7"/>
        <v>0.657075750242085</v>
      </c>
      <c r="G77" s="19">
        <f ca="1" t="shared" si="8"/>
        <v>39927.8075392461</v>
      </c>
      <c r="H77" s="11">
        <f ca="1" t="shared" si="9"/>
        <v>0.230580367267292</v>
      </c>
      <c r="I77" s="19">
        <f ca="1" t="shared" si="10"/>
        <v>35881.0760146502</v>
      </c>
      <c r="J77" s="11">
        <f ca="1" t="shared" si="11"/>
        <v>0.172910055304101</v>
      </c>
      <c r="K77" s="19">
        <f ca="1" t="shared" si="12"/>
        <v>35092.7898342279</v>
      </c>
      <c r="L77" s="11">
        <f ca="1" t="shared" si="13"/>
        <v>0.507589063629219</v>
      </c>
      <c r="M77" s="19">
        <f ca="1" t="shared" si="14"/>
        <v>38725.7297427999</v>
      </c>
      <c r="N77" s="11">
        <f ca="1" t="shared" si="15"/>
        <v>0.642551284049101</v>
      </c>
      <c r="O77" s="19">
        <f ca="1" t="shared" si="16"/>
        <v>39817.4687474606</v>
      </c>
      <c r="P77" s="11">
        <f ca="1" t="shared" si="17"/>
        <v>0.103901488345634</v>
      </c>
      <c r="Q77" s="12">
        <f ca="1" t="shared" si="18"/>
        <v>13.3675623533212</v>
      </c>
      <c r="R77" s="11">
        <f ca="1" t="shared" si="19"/>
        <v>0.803850703805251</v>
      </c>
      <c r="S77" s="12">
        <f ca="1" t="shared" si="20"/>
        <v>16.1209876712737</v>
      </c>
      <c r="T77" s="11">
        <f ca="1" t="shared" si="21"/>
        <v>0.806600493648878</v>
      </c>
      <c r="U77" s="12">
        <f ca="1" t="shared" si="22"/>
        <v>19.6729447411307</v>
      </c>
      <c r="V77" s="11">
        <f ca="1" t="shared" si="23"/>
        <v>0.562723686331164</v>
      </c>
      <c r="W77" s="12">
        <f ca="1" t="shared" si="24"/>
        <v>21.0878815229585</v>
      </c>
      <c r="X77" s="11">
        <f ca="1" t="shared" si="25"/>
        <v>0.160484984249465</v>
      </c>
      <c r="Y77" s="12">
        <f ca="1" t="shared" si="26"/>
        <v>21.081608650716</v>
      </c>
      <c r="Z77" s="19">
        <f ca="1" t="shared" si="27"/>
        <v>45265.182108369</v>
      </c>
      <c r="AA77" s="19">
        <f ca="1" t="shared" si="28"/>
        <v>47235.1161812465</v>
      </c>
      <c r="AB77" s="19">
        <f ca="1" t="shared" si="29"/>
        <v>55285.7750946159</v>
      </c>
      <c r="AC77" s="19">
        <f ca="1" t="shared" si="30"/>
        <v>73874.7116314412</v>
      </c>
      <c r="AD77" s="19">
        <f ca="1" t="shared" si="31"/>
        <v>91970.3879448831</v>
      </c>
      <c r="AE77" s="19">
        <f ca="1" t="shared" si="32"/>
        <v>16059.6747350444</v>
      </c>
      <c r="AF77" s="19">
        <f ca="1" t="shared" si="33"/>
        <v>29205.5073733246</v>
      </c>
      <c r="AG77" s="19">
        <f ca="1" t="shared" si="34"/>
        <v>31175.4414462021</v>
      </c>
      <c r="AH77" s="19">
        <f ca="1" t="shared" si="35"/>
        <v>39226.1003595715</v>
      </c>
      <c r="AI77" s="19">
        <f ca="1" t="shared" si="36"/>
        <v>57815.0368963968</v>
      </c>
      <c r="AJ77" s="19">
        <f ca="1" t="shared" si="37"/>
        <v>75910.7132098387</v>
      </c>
      <c r="AK77" s="19">
        <f ca="1">AF77*$B$4</f>
        <v>14602.7536866623</v>
      </c>
      <c r="AL77" s="19">
        <f ca="1">AG77*$B$4</f>
        <v>15587.7207231011</v>
      </c>
      <c r="AM77" s="19">
        <f ca="1">AH77*$B$4</f>
        <v>19613.0501797858</v>
      </c>
      <c r="AN77" s="19">
        <f ca="1">AI77*$B$4</f>
        <v>28907.5184481984</v>
      </c>
      <c r="AO77" s="19">
        <f ca="1">AJ77*$B$4</f>
        <v>37955.3566049194</v>
      </c>
      <c r="AP77" s="19">
        <f ca="1" t="shared" si="38"/>
        <v>14602.7536866623</v>
      </c>
      <c r="AQ77" s="19">
        <f ca="1" t="shared" si="39"/>
        <v>15587.7207231011</v>
      </c>
      <c r="AR77" s="19">
        <f ca="1" t="shared" si="40"/>
        <v>19613.0501797858</v>
      </c>
      <c r="AS77" s="19">
        <f ca="1" t="shared" si="41"/>
        <v>28907.5184481984</v>
      </c>
      <c r="AT77" s="19">
        <f ca="1" t="shared" si="42"/>
        <v>37955.3566049194</v>
      </c>
      <c r="AU77" s="19">
        <f ca="1" t="shared" si="43"/>
        <v>54334.0290642065</v>
      </c>
      <c r="AV77" s="19">
        <f ca="1" t="shared" si="44"/>
        <v>-118572.728004384</v>
      </c>
      <c r="AW77" s="19">
        <f ca="1" t="shared" si="45"/>
        <v>30662.4284217067</v>
      </c>
      <c r="AX77" s="19">
        <f ca="1" t="shared" si="46"/>
        <v>31647.3954581454</v>
      </c>
      <c r="AY77" s="19">
        <f ca="1" t="shared" si="47"/>
        <v>35672.7249148301</v>
      </c>
      <c r="AZ77" s="19">
        <f ca="1" t="shared" si="48"/>
        <v>44967.1931832428</v>
      </c>
      <c r="BA77" s="19">
        <f ca="1" t="shared" si="49"/>
        <v>108349.06040417</v>
      </c>
      <c r="BB77" s="20">
        <f ca="1" t="shared" si="50"/>
        <v>0.244660566418677</v>
      </c>
      <c r="BC77" s="19">
        <f ca="1">NPV($B$5,AW77:BA77)+AV77</f>
        <v>35054.3973526888</v>
      </c>
    </row>
    <row r="78" spans="1:55">
      <c r="A78" s="3">
        <v>54</v>
      </c>
      <c r="B78" s="11">
        <f ca="1" t="shared" si="3"/>
        <v>0.867232239031906</v>
      </c>
      <c r="C78" s="19">
        <f ca="1" t="shared" si="4"/>
        <v>-67287.4621362473</v>
      </c>
      <c r="D78" s="11">
        <f ca="1" t="shared" si="5"/>
        <v>0.735672329899004</v>
      </c>
      <c r="E78" s="19">
        <f ca="1" t="shared" si="6"/>
        <v>-29452.4796751445</v>
      </c>
      <c r="F78" s="11">
        <f ca="1" t="shared" si="7"/>
        <v>0.882239045920308</v>
      </c>
      <c r="G78" s="19">
        <f ca="1" t="shared" si="8"/>
        <v>42028.1198617749</v>
      </c>
      <c r="H78" s="11">
        <f ca="1" t="shared" si="9"/>
        <v>0.534109673654026</v>
      </c>
      <c r="I78" s="19">
        <f ca="1" t="shared" si="10"/>
        <v>38950.7793542297</v>
      </c>
      <c r="J78" s="11">
        <f ca="1" t="shared" si="11"/>
        <v>0.315439414308742</v>
      </c>
      <c r="K78" s="19">
        <f ca="1" t="shared" si="12"/>
        <v>36878.6562747612</v>
      </c>
      <c r="L78" s="11">
        <f ca="1" t="shared" si="13"/>
        <v>0.000323261220940951</v>
      </c>
      <c r="M78" s="19">
        <f ca="1" t="shared" si="14"/>
        <v>30220.202595673</v>
      </c>
      <c r="N78" s="11">
        <f ca="1" t="shared" si="15"/>
        <v>0.893649838009937</v>
      </c>
      <c r="O78" s="19">
        <f ca="1" t="shared" si="16"/>
        <v>42175.7722915362</v>
      </c>
      <c r="P78" s="11">
        <f ca="1" t="shared" si="17"/>
        <v>0.461976553431292</v>
      </c>
      <c r="Q78" s="12">
        <f ca="1" t="shared" si="18"/>
        <v>14.8836743855302</v>
      </c>
      <c r="R78" s="11">
        <f ca="1" t="shared" si="19"/>
        <v>0.231193508973971</v>
      </c>
      <c r="S78" s="12">
        <f ca="1" t="shared" si="20"/>
        <v>14.0399713629195</v>
      </c>
      <c r="T78" s="11">
        <f ca="1" t="shared" si="21"/>
        <v>0.750275182198554</v>
      </c>
      <c r="U78" s="12">
        <f ca="1" t="shared" si="22"/>
        <v>19.3557052171816</v>
      </c>
      <c r="V78" s="11">
        <f ca="1" t="shared" si="23"/>
        <v>0.36786914464994</v>
      </c>
      <c r="W78" s="12">
        <f ca="1" t="shared" si="24"/>
        <v>20.2963227218216</v>
      </c>
      <c r="X78" s="11">
        <f ca="1" t="shared" si="25"/>
        <v>0.171827632762747</v>
      </c>
      <c r="Y78" s="12">
        <f ca="1" t="shared" si="26"/>
        <v>21.1539141312026</v>
      </c>
      <c r="Z78" s="19">
        <f ca="1" t="shared" si="27"/>
        <v>48283.4483723618</v>
      </c>
      <c r="AA78" s="19">
        <f ca="1" t="shared" si="28"/>
        <v>51030.7050573551</v>
      </c>
      <c r="AB78" s="19">
        <f ca="1" t="shared" si="29"/>
        <v>57667.8405116005</v>
      </c>
      <c r="AC78" s="19">
        <f ca="1" t="shared" si="30"/>
        <v>56847.101176876</v>
      </c>
      <c r="AD78" s="19">
        <f ca="1" t="shared" si="31"/>
        <v>96119.4872204245</v>
      </c>
      <c r="AE78" s="19">
        <f ca="1" t="shared" si="32"/>
        <v>13457.4924272495</v>
      </c>
      <c r="AF78" s="19">
        <f ca="1" t="shared" si="33"/>
        <v>34825.9559451124</v>
      </c>
      <c r="AG78" s="19">
        <f ca="1" t="shared" si="34"/>
        <v>37573.2126301056</v>
      </c>
      <c r="AH78" s="19">
        <f ca="1" t="shared" si="35"/>
        <v>44210.3480843511</v>
      </c>
      <c r="AI78" s="19">
        <f ca="1" t="shared" si="36"/>
        <v>43389.6087496265</v>
      </c>
      <c r="AJ78" s="19">
        <f ca="1" t="shared" si="37"/>
        <v>82661.9947931751</v>
      </c>
      <c r="AK78" s="19">
        <f ca="1">AF78*$B$4</f>
        <v>17412.9779725562</v>
      </c>
      <c r="AL78" s="19">
        <f ca="1">AG78*$B$4</f>
        <v>18786.6063150528</v>
      </c>
      <c r="AM78" s="19">
        <f ca="1">AH78*$B$4</f>
        <v>22105.1740421755</v>
      </c>
      <c r="AN78" s="19">
        <f ca="1">AI78*$B$4</f>
        <v>21694.8043748133</v>
      </c>
      <c r="AO78" s="19">
        <f ca="1">AJ78*$B$4</f>
        <v>41330.9973965875</v>
      </c>
      <c r="AP78" s="19">
        <f ca="1" t="shared" si="38"/>
        <v>17412.9779725562</v>
      </c>
      <c r="AQ78" s="19">
        <f ca="1" t="shared" si="39"/>
        <v>18786.6063150528</v>
      </c>
      <c r="AR78" s="19">
        <f ca="1" t="shared" si="40"/>
        <v>22105.1740421755</v>
      </c>
      <c r="AS78" s="19">
        <f ca="1" t="shared" si="41"/>
        <v>21694.8043748133</v>
      </c>
      <c r="AT78" s="19">
        <f ca="1" t="shared" si="42"/>
        <v>41330.9973965875</v>
      </c>
      <c r="AU78" s="19">
        <f ca="1" t="shared" si="43"/>
        <v>42909.9721023939</v>
      </c>
      <c r="AV78" s="19">
        <f ca="1" t="shared" si="44"/>
        <v>-96739.9418113918</v>
      </c>
      <c r="AW78" s="19">
        <f ca="1" t="shared" si="45"/>
        <v>30870.4703998056</v>
      </c>
      <c r="AX78" s="19">
        <f ca="1" t="shared" si="46"/>
        <v>32244.0987423023</v>
      </c>
      <c r="AY78" s="19">
        <f ca="1" t="shared" si="47"/>
        <v>35562.666469425</v>
      </c>
      <c r="AZ78" s="19">
        <f ca="1" t="shared" si="48"/>
        <v>35152.2968020627</v>
      </c>
      <c r="BA78" s="19">
        <f ca="1" t="shared" si="49"/>
        <v>97698.4619262309</v>
      </c>
      <c r="BB78" s="20">
        <f ca="1" t="shared" si="50"/>
        <v>0.304018259337133</v>
      </c>
      <c r="BC78" s="19">
        <f ca="1">NPV($B$5,AW78:BA78)+AV78</f>
        <v>46539.9891674597</v>
      </c>
    </row>
    <row r="79" spans="1:55">
      <c r="A79" s="3">
        <v>55</v>
      </c>
      <c r="B79" s="11">
        <f ca="1" t="shared" si="3"/>
        <v>0.609131397503296</v>
      </c>
      <c r="C79" s="19">
        <f ca="1" t="shared" si="4"/>
        <v>-72963.7710284153</v>
      </c>
      <c r="D79" s="11">
        <f ca="1" t="shared" si="5"/>
        <v>0.336071836147601</v>
      </c>
      <c r="E79" s="19">
        <f ca="1" t="shared" si="6"/>
        <v>-32899.945393017</v>
      </c>
      <c r="F79" s="11">
        <f ca="1" t="shared" si="7"/>
        <v>0.297450081770883</v>
      </c>
      <c r="G79" s="19">
        <f ca="1" t="shared" si="8"/>
        <v>36679.6341416003</v>
      </c>
      <c r="H79" s="11">
        <f ca="1" t="shared" si="9"/>
        <v>0.581725093999305</v>
      </c>
      <c r="I79" s="19">
        <f ca="1" t="shared" si="10"/>
        <v>39341.2399658662</v>
      </c>
      <c r="J79" s="11">
        <f ca="1" t="shared" si="11"/>
        <v>0.826062448284031</v>
      </c>
      <c r="K79" s="19">
        <f ca="1" t="shared" si="12"/>
        <v>41388.1699405014</v>
      </c>
      <c r="L79" s="11">
        <f ca="1" t="shared" si="13"/>
        <v>0.854815143606032</v>
      </c>
      <c r="M79" s="19">
        <f ca="1" t="shared" si="14"/>
        <v>41700.1720909193</v>
      </c>
      <c r="N79" s="11">
        <f ca="1" t="shared" si="15"/>
        <v>0.648178168385992</v>
      </c>
      <c r="O79" s="19">
        <f ca="1" t="shared" si="16"/>
        <v>39860.3613147744</v>
      </c>
      <c r="P79" s="11">
        <f ca="1" t="shared" si="17"/>
        <v>0.759305019524854</v>
      </c>
      <c r="Q79" s="12">
        <f ca="1" t="shared" si="18"/>
        <v>15.9185318526212</v>
      </c>
      <c r="R79" s="11">
        <f ca="1" t="shared" si="19"/>
        <v>0.828325794793251</v>
      </c>
      <c r="S79" s="12">
        <f ca="1" t="shared" si="20"/>
        <v>16.2421218205685</v>
      </c>
      <c r="T79" s="11">
        <f ca="1" t="shared" si="21"/>
        <v>0.591188813705673</v>
      </c>
      <c r="U79" s="12">
        <f ca="1" t="shared" si="22"/>
        <v>18.6167008384949</v>
      </c>
      <c r="V79" s="11">
        <f ca="1" t="shared" si="23"/>
        <v>0.152558943626597</v>
      </c>
      <c r="W79" s="12">
        <f ca="1" t="shared" si="24"/>
        <v>19.4614462736524</v>
      </c>
      <c r="X79" s="11">
        <f ca="1" t="shared" si="25"/>
        <v>0.537109765208886</v>
      </c>
      <c r="Y79" s="12">
        <f ca="1" t="shared" si="26"/>
        <v>23.000392747553</v>
      </c>
      <c r="Z79" s="19">
        <f ca="1" t="shared" si="27"/>
        <v>42518.4933858559</v>
      </c>
      <c r="AA79" s="19">
        <f ca="1" t="shared" si="28"/>
        <v>53010.8105472402</v>
      </c>
      <c r="AB79" s="19">
        <f ca="1" t="shared" si="29"/>
        <v>66151.3124320533</v>
      </c>
      <c r="AC79" s="19">
        <f ca="1" t="shared" si="30"/>
        <v>79621.0419895896</v>
      </c>
      <c r="AD79" s="19">
        <f ca="1" t="shared" si="31"/>
        <v>93613.3396194549</v>
      </c>
      <c r="AE79" s="19">
        <f ca="1" t="shared" si="32"/>
        <v>14592.7542056831</v>
      </c>
      <c r="AF79" s="19">
        <f ca="1" t="shared" si="33"/>
        <v>27925.7391801728</v>
      </c>
      <c r="AG79" s="19">
        <f ca="1" t="shared" si="34"/>
        <v>38418.0563415571</v>
      </c>
      <c r="AH79" s="19">
        <f ca="1" t="shared" si="35"/>
        <v>51558.5582263703</v>
      </c>
      <c r="AI79" s="19">
        <f ca="1" t="shared" si="36"/>
        <v>65028.2877839066</v>
      </c>
      <c r="AJ79" s="19">
        <f ca="1" t="shared" si="37"/>
        <v>79020.5854137718</v>
      </c>
      <c r="AK79" s="19">
        <f ca="1">AF79*$B$4</f>
        <v>13962.8695900864</v>
      </c>
      <c r="AL79" s="19">
        <f ca="1">AG79*$B$4</f>
        <v>19209.0281707786</v>
      </c>
      <c r="AM79" s="19">
        <f ca="1">AH79*$B$4</f>
        <v>25779.2791131851</v>
      </c>
      <c r="AN79" s="19">
        <f ca="1">AI79*$B$4</f>
        <v>32514.1438919533</v>
      </c>
      <c r="AO79" s="19">
        <f ca="1">AJ79*$B$4</f>
        <v>39510.2927068859</v>
      </c>
      <c r="AP79" s="19">
        <f ca="1" t="shared" si="38"/>
        <v>13962.8695900864</v>
      </c>
      <c r="AQ79" s="19">
        <f ca="1" t="shared" si="39"/>
        <v>19209.0281707786</v>
      </c>
      <c r="AR79" s="19">
        <f ca="1" t="shared" si="40"/>
        <v>25779.2791131851</v>
      </c>
      <c r="AS79" s="19">
        <f ca="1" t="shared" si="41"/>
        <v>32514.1438919533</v>
      </c>
      <c r="AT79" s="19">
        <f ca="1" t="shared" si="42"/>
        <v>39510.2927068859</v>
      </c>
      <c r="AU79" s="19">
        <f ca="1" t="shared" si="43"/>
        <v>47492.6995987001</v>
      </c>
      <c r="AV79" s="19">
        <f ca="1" t="shared" si="44"/>
        <v>-105863.716421432</v>
      </c>
      <c r="AW79" s="19">
        <f ca="1" t="shared" si="45"/>
        <v>28555.6237957695</v>
      </c>
      <c r="AX79" s="19">
        <f ca="1" t="shared" si="46"/>
        <v>33801.7823764616</v>
      </c>
      <c r="AY79" s="19">
        <f ca="1" t="shared" si="47"/>
        <v>40372.0333188682</v>
      </c>
      <c r="AZ79" s="19">
        <f ca="1" t="shared" si="48"/>
        <v>47106.8980976363</v>
      </c>
      <c r="BA79" s="19">
        <f ca="1" t="shared" si="49"/>
        <v>101595.746511269</v>
      </c>
      <c r="BB79" s="20">
        <f ca="1" t="shared" si="50"/>
        <v>0.293318009467653</v>
      </c>
      <c r="BC79" s="19">
        <f ca="1">NPV($B$5,AW79:BA79)+AV79</f>
        <v>48516.095170836</v>
      </c>
    </row>
    <row r="80" spans="1:55">
      <c r="A80" s="3">
        <v>56</v>
      </c>
      <c r="B80" s="11">
        <f ca="1" t="shared" si="3"/>
        <v>0.461432677940699</v>
      </c>
      <c r="C80" s="19">
        <f ca="1" t="shared" si="4"/>
        <v>-76468.7609011162</v>
      </c>
      <c r="D80" s="11">
        <f ca="1" t="shared" si="5"/>
        <v>0.735683303018064</v>
      </c>
      <c r="E80" s="19">
        <f ca="1" t="shared" si="6"/>
        <v>-29452.3872555793</v>
      </c>
      <c r="F80" s="11">
        <f ca="1" t="shared" si="7"/>
        <v>0.531085434785592</v>
      </c>
      <c r="G80" s="19">
        <f ca="1" t="shared" si="8"/>
        <v>38925.4028042346</v>
      </c>
      <c r="H80" s="11">
        <f ca="1" t="shared" si="9"/>
        <v>0.187225683772057</v>
      </c>
      <c r="I80" s="19">
        <f ca="1" t="shared" si="10"/>
        <v>35299.4200216447</v>
      </c>
      <c r="J80" s="11">
        <f ca="1" t="shared" si="11"/>
        <v>0.390960151848602</v>
      </c>
      <c r="K80" s="19">
        <f ca="1" t="shared" si="12"/>
        <v>37657.9385461944</v>
      </c>
      <c r="L80" s="11">
        <f ca="1" t="shared" si="13"/>
        <v>0.508779768431502</v>
      </c>
      <c r="M80" s="19">
        <f ca="1" t="shared" si="14"/>
        <v>38735.9581766813</v>
      </c>
      <c r="N80" s="11">
        <f ca="1" t="shared" si="15"/>
        <v>0.344983977674533</v>
      </c>
      <c r="O80" s="19">
        <f ca="1" t="shared" si="16"/>
        <v>37193.5802387393</v>
      </c>
      <c r="P80" s="11">
        <f ca="1" t="shared" si="17"/>
        <v>0.535576067188288</v>
      </c>
      <c r="Q80" s="12">
        <f ca="1" t="shared" si="18"/>
        <v>15.1086973886134</v>
      </c>
      <c r="R80" s="11">
        <f ca="1" t="shared" si="19"/>
        <v>0.704193459324956</v>
      </c>
      <c r="S80" s="12">
        <f ca="1" t="shared" si="20"/>
        <v>15.6925083462446</v>
      </c>
      <c r="T80" s="11">
        <f ca="1" t="shared" si="21"/>
        <v>0.273986745019957</v>
      </c>
      <c r="U80" s="12">
        <f ca="1" t="shared" si="22"/>
        <v>17.3986916528431</v>
      </c>
      <c r="V80" s="11">
        <f ca="1" t="shared" si="23"/>
        <v>0.382852116404125</v>
      </c>
      <c r="W80" s="12">
        <f ca="1" t="shared" si="24"/>
        <v>20.3524010579811</v>
      </c>
      <c r="X80" s="11">
        <f ca="1" t="shared" si="25"/>
        <v>0.0334739259512276</v>
      </c>
      <c r="Y80" s="12">
        <f ca="1" t="shared" si="26"/>
        <v>19.9506818609204</v>
      </c>
      <c r="Z80" s="19">
        <f ca="1" t="shared" si="27"/>
        <v>44806.5241212252</v>
      </c>
      <c r="AA80" s="19">
        <f ca="1" t="shared" si="28"/>
        <v>47008.9928151685</v>
      </c>
      <c r="AB80" s="19">
        <f ca="1" t="shared" si="29"/>
        <v>58875.3057923445</v>
      </c>
      <c r="AC80" s="19">
        <f ca="1" t="shared" si="30"/>
        <v>72886.2649815048</v>
      </c>
      <c r="AD80" s="19">
        <f ca="1" t="shared" si="31"/>
        <v>83946.4043471242</v>
      </c>
      <c r="AE80" s="19">
        <f ca="1" t="shared" si="32"/>
        <v>15293.7521802232</v>
      </c>
      <c r="AF80" s="19">
        <f ca="1" t="shared" si="33"/>
        <v>29512.771941002</v>
      </c>
      <c r="AG80" s="19">
        <f ca="1" t="shared" si="34"/>
        <v>31715.2406349453</v>
      </c>
      <c r="AH80" s="19">
        <f ca="1" t="shared" si="35"/>
        <v>43581.5536121213</v>
      </c>
      <c r="AI80" s="19">
        <f ca="1" t="shared" si="36"/>
        <v>57592.5128012816</v>
      </c>
      <c r="AJ80" s="19">
        <f ca="1" t="shared" si="37"/>
        <v>68652.652166901</v>
      </c>
      <c r="AK80" s="19">
        <f ca="1">AF80*$B$4</f>
        <v>14756.385970501</v>
      </c>
      <c r="AL80" s="19">
        <f ca="1">AG80*$B$4</f>
        <v>15857.6203174727</v>
      </c>
      <c r="AM80" s="19">
        <f ca="1">AH80*$B$4</f>
        <v>21790.7768060606</v>
      </c>
      <c r="AN80" s="19">
        <f ca="1">AI80*$B$4</f>
        <v>28796.2564006408</v>
      </c>
      <c r="AO80" s="19">
        <f ca="1">AJ80*$B$4</f>
        <v>34326.3260834505</v>
      </c>
      <c r="AP80" s="19">
        <f ca="1" t="shared" si="38"/>
        <v>14756.385970501</v>
      </c>
      <c r="AQ80" s="19">
        <f ca="1" t="shared" si="39"/>
        <v>15857.6203174727</v>
      </c>
      <c r="AR80" s="19">
        <f ca="1" t="shared" si="40"/>
        <v>21790.7768060606</v>
      </c>
      <c r="AS80" s="19">
        <f ca="1" t="shared" si="41"/>
        <v>28796.2564006408</v>
      </c>
      <c r="AT80" s="19">
        <f ca="1" t="shared" si="42"/>
        <v>34326.3260834505</v>
      </c>
      <c r="AU80" s="19">
        <f ca="1" t="shared" si="43"/>
        <v>44746.1394358026</v>
      </c>
      <c r="AV80" s="19">
        <f ca="1" t="shared" si="44"/>
        <v>-105921.148156696</v>
      </c>
      <c r="AW80" s="19">
        <f ca="1" t="shared" si="45"/>
        <v>30050.1381507242</v>
      </c>
      <c r="AX80" s="19">
        <f ca="1" t="shared" si="46"/>
        <v>31151.3724976959</v>
      </c>
      <c r="AY80" s="19">
        <f ca="1" t="shared" si="47"/>
        <v>37084.5289862839</v>
      </c>
      <c r="AZ80" s="19">
        <f ca="1" t="shared" si="48"/>
        <v>44090.008580864</v>
      </c>
      <c r="BA80" s="19">
        <f ca="1" t="shared" si="49"/>
        <v>94366.2176994763</v>
      </c>
      <c r="BB80" s="20">
        <f ca="1" t="shared" si="50"/>
        <v>0.272611197890259</v>
      </c>
      <c r="BC80" s="19">
        <f ca="1">NPV($B$5,AW80:BA80)+AV80</f>
        <v>40273.293121897</v>
      </c>
    </row>
    <row r="81" spans="1:55">
      <c r="A81" s="3">
        <v>57</v>
      </c>
      <c r="B81" s="11">
        <f ca="1" t="shared" si="3"/>
        <v>0.75953555508547</v>
      </c>
      <c r="C81" s="19">
        <f ca="1" t="shared" si="4"/>
        <v>-69807.4348310765</v>
      </c>
      <c r="D81" s="11">
        <f ca="1" t="shared" si="5"/>
        <v>0.691790632478037</v>
      </c>
      <c r="E81" s="19">
        <f ca="1" t="shared" si="6"/>
        <v>-29807.8792168842</v>
      </c>
      <c r="F81" s="11">
        <f ca="1" t="shared" si="7"/>
        <v>0.248212893415209</v>
      </c>
      <c r="G81" s="19">
        <f ca="1" t="shared" si="8"/>
        <v>36101.7976049916</v>
      </c>
      <c r="H81" s="11">
        <f ca="1" t="shared" si="9"/>
        <v>0.795686580360716</v>
      </c>
      <c r="I81" s="19">
        <f ca="1" t="shared" si="10"/>
        <v>41085.4749364774</v>
      </c>
      <c r="J81" s="11">
        <f ca="1" t="shared" si="11"/>
        <v>0.53372186307033</v>
      </c>
      <c r="K81" s="19">
        <f ca="1" t="shared" si="12"/>
        <v>38947.5292377588</v>
      </c>
      <c r="L81" s="11">
        <f ca="1" t="shared" si="13"/>
        <v>0.870768410990928</v>
      </c>
      <c r="M81" s="19">
        <f ca="1" t="shared" si="14"/>
        <v>41886.7429955623</v>
      </c>
      <c r="N81" s="11">
        <f ca="1" t="shared" si="15"/>
        <v>0.779769213996333</v>
      </c>
      <c r="O81" s="19">
        <f ca="1" t="shared" si="16"/>
        <v>40935.8507716528</v>
      </c>
      <c r="P81" s="11">
        <f ca="1" t="shared" si="17"/>
        <v>0.329247480520588</v>
      </c>
      <c r="Q81" s="12">
        <f ca="1" t="shared" si="18"/>
        <v>14.4344310730375</v>
      </c>
      <c r="R81" s="11">
        <f ca="1" t="shared" si="19"/>
        <v>0.277884324094067</v>
      </c>
      <c r="S81" s="12">
        <f ca="1" t="shared" si="20"/>
        <v>14.2364967770362</v>
      </c>
      <c r="T81" s="11">
        <f ca="1" t="shared" si="21"/>
        <v>0.377174003923587</v>
      </c>
      <c r="U81" s="12">
        <f ca="1" t="shared" si="22"/>
        <v>17.8143656625242</v>
      </c>
      <c r="V81" s="11">
        <f ca="1" t="shared" si="23"/>
        <v>0.727491601074596</v>
      </c>
      <c r="W81" s="12">
        <f ca="1" t="shared" si="24"/>
        <v>21.9116680938751</v>
      </c>
      <c r="X81" s="11">
        <f ca="1" t="shared" si="25"/>
        <v>0.114693529044961</v>
      </c>
      <c r="Y81" s="12">
        <f ca="1" t="shared" si="26"/>
        <v>20.7597514836516</v>
      </c>
      <c r="Z81" s="19">
        <f ca="1" t="shared" si="27"/>
        <v>41312.8866964116</v>
      </c>
      <c r="AA81" s="19">
        <f ca="1" t="shared" si="28"/>
        <v>53709.3507847778</v>
      </c>
      <c r="AB81" s="19">
        <f ca="1" t="shared" si="29"/>
        <v>59984.5979689235</v>
      </c>
      <c r="AC81" s="19">
        <f ca="1" t="shared" si="30"/>
        <v>78646.917626333</v>
      </c>
      <c r="AD81" s="19">
        <f ca="1" t="shared" si="31"/>
        <v>92817.7733054907</v>
      </c>
      <c r="AE81" s="19">
        <f ca="1" t="shared" si="32"/>
        <v>13961.4869662153</v>
      </c>
      <c r="AF81" s="19">
        <f ca="1" t="shared" si="33"/>
        <v>27351.3997301963</v>
      </c>
      <c r="AG81" s="19">
        <f ca="1" t="shared" si="34"/>
        <v>39747.8638185625</v>
      </c>
      <c r="AH81" s="19">
        <f ca="1" t="shared" si="35"/>
        <v>46023.1110027082</v>
      </c>
      <c r="AI81" s="19">
        <f ca="1" t="shared" si="36"/>
        <v>64685.4306601177</v>
      </c>
      <c r="AJ81" s="19">
        <f ca="1" t="shared" si="37"/>
        <v>78856.2863392755</v>
      </c>
      <c r="AK81" s="19">
        <f ca="1">AF81*$B$4</f>
        <v>13675.6998650982</v>
      </c>
      <c r="AL81" s="19">
        <f ca="1">AG81*$B$4</f>
        <v>19873.9319092812</v>
      </c>
      <c r="AM81" s="19">
        <f ca="1">AH81*$B$4</f>
        <v>23011.5555013541</v>
      </c>
      <c r="AN81" s="19">
        <f ca="1">AI81*$B$4</f>
        <v>32342.7153300588</v>
      </c>
      <c r="AO81" s="19">
        <f ca="1">AJ81*$B$4</f>
        <v>39428.1431696377</v>
      </c>
      <c r="AP81" s="19">
        <f ca="1" t="shared" si="38"/>
        <v>13675.6998650982</v>
      </c>
      <c r="AQ81" s="19">
        <f ca="1" t="shared" si="39"/>
        <v>19873.9319092812</v>
      </c>
      <c r="AR81" s="19">
        <f ca="1" t="shared" si="40"/>
        <v>23011.5555013541</v>
      </c>
      <c r="AS81" s="19">
        <f ca="1" t="shared" si="41"/>
        <v>32342.7153300588</v>
      </c>
      <c r="AT81" s="19">
        <f ca="1" t="shared" si="42"/>
        <v>39428.1431696377</v>
      </c>
      <c r="AU81" s="19">
        <f ca="1" t="shared" si="43"/>
        <v>43769.3661830995</v>
      </c>
      <c r="AV81" s="19">
        <f ca="1" t="shared" si="44"/>
        <v>-99615.3140479607</v>
      </c>
      <c r="AW81" s="19">
        <f ca="1" t="shared" si="45"/>
        <v>27637.1868313135</v>
      </c>
      <c r="AX81" s="19">
        <f ca="1" t="shared" si="46"/>
        <v>33835.4188754965</v>
      </c>
      <c r="AY81" s="19">
        <f ca="1" t="shared" si="47"/>
        <v>36973.0424675694</v>
      </c>
      <c r="AZ81" s="19">
        <f ca="1" t="shared" si="48"/>
        <v>46304.2022962741</v>
      </c>
      <c r="BA81" s="19">
        <f ca="1" t="shared" si="49"/>
        <v>97158.9963189525</v>
      </c>
      <c r="BB81" s="20">
        <f ca="1" t="shared" si="50"/>
        <v>0.303720729873131</v>
      </c>
      <c r="BC81" s="19">
        <f ca="1">NPV($B$5,AW81:BA81)+AV81</f>
        <v>49091.606167166</v>
      </c>
    </row>
    <row r="82" spans="1:55">
      <c r="A82" s="3">
        <v>58</v>
      </c>
      <c r="B82" s="11">
        <f ca="1" t="shared" si="3"/>
        <v>0.497484929300767</v>
      </c>
      <c r="C82" s="19">
        <f ca="1" t="shared" si="4"/>
        <v>-75566.7866386568</v>
      </c>
      <c r="D82" s="11">
        <f ca="1" t="shared" si="5"/>
        <v>0.102702930071247</v>
      </c>
      <c r="E82" s="19">
        <f ca="1" t="shared" si="6"/>
        <v>-36075.023629283</v>
      </c>
      <c r="F82" s="11">
        <f ca="1" t="shared" si="7"/>
        <v>0.756667890659948</v>
      </c>
      <c r="G82" s="19">
        <f ca="1" t="shared" si="8"/>
        <v>40728.0088716731</v>
      </c>
      <c r="H82" s="11">
        <f ca="1" t="shared" si="9"/>
        <v>0.45195186954643</v>
      </c>
      <c r="I82" s="19">
        <f ca="1" t="shared" si="10"/>
        <v>38233.6371326386</v>
      </c>
      <c r="J82" s="11">
        <f ca="1" t="shared" si="11"/>
        <v>0.0579542565535078</v>
      </c>
      <c r="K82" s="19">
        <f ca="1" t="shared" si="12"/>
        <v>32948.4128752646</v>
      </c>
      <c r="L82" s="11">
        <f ca="1" t="shared" si="13"/>
        <v>0.0804842733325701</v>
      </c>
      <c r="M82" s="19">
        <f ca="1" t="shared" si="14"/>
        <v>33474.570620938</v>
      </c>
      <c r="N82" s="11">
        <f ca="1" t="shared" si="15"/>
        <v>0.594841059814905</v>
      </c>
      <c r="O82" s="19">
        <f ca="1" t="shared" si="16"/>
        <v>39445.9599285745</v>
      </c>
      <c r="P82" s="11">
        <f ca="1" t="shared" si="17"/>
        <v>0.0952332605151789</v>
      </c>
      <c r="Q82" s="12">
        <f ca="1" t="shared" si="18"/>
        <v>13.3092741077686</v>
      </c>
      <c r="R82" s="11">
        <f ca="1" t="shared" si="19"/>
        <v>0.88288764347744</v>
      </c>
      <c r="S82" s="12">
        <f ca="1" t="shared" si="20"/>
        <v>16.5480969669409</v>
      </c>
      <c r="T82" s="11">
        <f ca="1" t="shared" si="21"/>
        <v>0.652924772962956</v>
      </c>
      <c r="U82" s="12">
        <f ca="1" t="shared" si="22"/>
        <v>18.8826122543005</v>
      </c>
      <c r="V82" s="11">
        <f ca="1" t="shared" si="23"/>
        <v>0.610347732088871</v>
      </c>
      <c r="W82" s="12">
        <f ca="1" t="shared" si="24"/>
        <v>21.3070568137474</v>
      </c>
      <c r="X82" s="11">
        <f ca="1" t="shared" si="25"/>
        <v>0.210412275009124</v>
      </c>
      <c r="Y82" s="12">
        <f ca="1" t="shared" si="26"/>
        <v>21.3835124134869</v>
      </c>
      <c r="Z82" s="19">
        <f ca="1" t="shared" si="27"/>
        <v>46148.6112110404</v>
      </c>
      <c r="AA82" s="19">
        <f ca="1" t="shared" si="28"/>
        <v>50491.2657469726</v>
      </c>
      <c r="AB82" s="19">
        <f ca="1" t="shared" si="29"/>
        <v>51727.7374399022</v>
      </c>
      <c r="AC82" s="19">
        <f ca="1" t="shared" si="30"/>
        <v>63751.4495941359</v>
      </c>
      <c r="AD82" s="19">
        <f ca="1" t="shared" si="31"/>
        <v>91187.9135408883</v>
      </c>
      <c r="AE82" s="19">
        <f ca="1" t="shared" si="32"/>
        <v>15113.3573277314</v>
      </c>
      <c r="AF82" s="19">
        <f ca="1" t="shared" si="33"/>
        <v>31035.253883309</v>
      </c>
      <c r="AG82" s="19">
        <f ca="1" t="shared" si="34"/>
        <v>35377.9084192412</v>
      </c>
      <c r="AH82" s="19">
        <f ca="1" t="shared" si="35"/>
        <v>36614.3801121708</v>
      </c>
      <c r="AI82" s="19">
        <f ca="1" t="shared" si="36"/>
        <v>48638.0922664045</v>
      </c>
      <c r="AJ82" s="19">
        <f ca="1" t="shared" si="37"/>
        <v>76074.5562131569</v>
      </c>
      <c r="AK82" s="19">
        <f ca="1">AF82*$B$4</f>
        <v>15517.6269416545</v>
      </c>
      <c r="AL82" s="19">
        <f ca="1">AG82*$B$4</f>
        <v>17688.9542096206</v>
      </c>
      <c r="AM82" s="19">
        <f ca="1">AH82*$B$4</f>
        <v>18307.1900560854</v>
      </c>
      <c r="AN82" s="19">
        <f ca="1">AI82*$B$4</f>
        <v>24319.0461332023</v>
      </c>
      <c r="AO82" s="19">
        <f ca="1">AJ82*$B$4</f>
        <v>38037.2781065785</v>
      </c>
      <c r="AP82" s="19">
        <f ca="1" t="shared" si="38"/>
        <v>15517.6269416545</v>
      </c>
      <c r="AQ82" s="19">
        <f ca="1" t="shared" si="39"/>
        <v>17688.9542096206</v>
      </c>
      <c r="AR82" s="19">
        <f ca="1" t="shared" si="40"/>
        <v>18307.1900560854</v>
      </c>
      <c r="AS82" s="19">
        <f ca="1" t="shared" si="41"/>
        <v>24319.0461332023</v>
      </c>
      <c r="AT82" s="19">
        <f ca="1" t="shared" si="42"/>
        <v>38037.2781065785</v>
      </c>
      <c r="AU82" s="19">
        <f ca="1" t="shared" si="43"/>
        <v>51188.3809570143</v>
      </c>
      <c r="AV82" s="19">
        <f ca="1" t="shared" si="44"/>
        <v>-111641.81026794</v>
      </c>
      <c r="AW82" s="19">
        <f ca="1" t="shared" si="45"/>
        <v>30630.9842693859</v>
      </c>
      <c r="AX82" s="19">
        <f ca="1" t="shared" si="46"/>
        <v>32802.311537352</v>
      </c>
      <c r="AY82" s="19">
        <f ca="1" t="shared" si="47"/>
        <v>33420.5473838168</v>
      </c>
      <c r="AZ82" s="19">
        <f ca="1" t="shared" si="48"/>
        <v>39432.4034609336</v>
      </c>
      <c r="BA82" s="19">
        <f ca="1" t="shared" si="49"/>
        <v>104339.016391324</v>
      </c>
      <c r="BB82" s="20">
        <f ca="1" t="shared" si="50"/>
        <v>0.254673029353949</v>
      </c>
      <c r="BC82" s="19">
        <f ca="1">NPV($B$5,AW82:BA82)+AV82</f>
        <v>36192.1769644614</v>
      </c>
    </row>
    <row r="83" spans="1:55">
      <c r="A83" s="3">
        <v>59</v>
      </c>
      <c r="B83" s="11">
        <f ca="1" t="shared" si="3"/>
        <v>0.537378269349712</v>
      </c>
      <c r="C83" s="19">
        <f ca="1" t="shared" si="4"/>
        <v>-74606.0258482518</v>
      </c>
      <c r="D83" s="11">
        <f ca="1" t="shared" si="5"/>
        <v>0.883346986596342</v>
      </c>
      <c r="E83" s="19">
        <f ca="1" t="shared" si="6"/>
        <v>-27957.8667997857</v>
      </c>
      <c r="F83" s="11">
        <f ca="1" t="shared" si="7"/>
        <v>0.71340593202346</v>
      </c>
      <c r="G83" s="19">
        <f ca="1" t="shared" si="8"/>
        <v>40363.7779282868</v>
      </c>
      <c r="H83" s="11">
        <f ca="1" t="shared" si="9"/>
        <v>0.855831470101752</v>
      </c>
      <c r="I83" s="19">
        <f ca="1" t="shared" si="10"/>
        <v>41711.7421417461</v>
      </c>
      <c r="J83" s="11">
        <f ca="1" t="shared" si="11"/>
        <v>0.942639594488544</v>
      </c>
      <c r="K83" s="19">
        <f ca="1" t="shared" si="12"/>
        <v>42925.8663463125</v>
      </c>
      <c r="L83" s="11">
        <f ca="1" t="shared" si="13"/>
        <v>0.633357183641805</v>
      </c>
      <c r="M83" s="19">
        <f ca="1" t="shared" si="14"/>
        <v>39746.9778673326</v>
      </c>
      <c r="N83" s="11">
        <f ca="1" t="shared" si="15"/>
        <v>0.78634991121067</v>
      </c>
      <c r="O83" s="19">
        <f ca="1" t="shared" si="16"/>
        <v>40997.0315190849</v>
      </c>
      <c r="P83" s="11">
        <f ca="1" t="shared" si="17"/>
        <v>0.198262091221956</v>
      </c>
      <c r="Q83" s="12">
        <f ca="1" t="shared" si="18"/>
        <v>13.8891049843763</v>
      </c>
      <c r="R83" s="11">
        <f ca="1" t="shared" si="19"/>
        <v>0.651723669405714</v>
      </c>
      <c r="S83" s="12">
        <f ca="1" t="shared" si="20"/>
        <v>15.4962080855836</v>
      </c>
      <c r="T83" s="11">
        <f ca="1" t="shared" si="21"/>
        <v>0.228388018800885</v>
      </c>
      <c r="U83" s="12">
        <f ca="1" t="shared" si="22"/>
        <v>17.1900110490175</v>
      </c>
      <c r="V83" s="11">
        <f ca="1" t="shared" si="23"/>
        <v>0.773330747062387</v>
      </c>
      <c r="W83" s="12">
        <f ca="1" t="shared" si="24"/>
        <v>22.1833665746469</v>
      </c>
      <c r="X83" s="11">
        <f ca="1" t="shared" si="25"/>
        <v>0.3453532203107</v>
      </c>
      <c r="Y83" s="12">
        <f ca="1" t="shared" si="26"/>
        <v>22.0543355204635</v>
      </c>
      <c r="Z83" s="19">
        <f ca="1" t="shared" si="27"/>
        <v>45969.9454204071</v>
      </c>
      <c r="AA83" s="19">
        <f ca="1" t="shared" si="28"/>
        <v>54866.6235635471</v>
      </c>
      <c r="AB83" s="19">
        <f ca="1" t="shared" si="29"/>
        <v>66169.761628935</v>
      </c>
      <c r="AC83" s="19">
        <f ca="1" t="shared" si="30"/>
        <v>74861.1856836764</v>
      </c>
      <c r="AD83" s="19">
        <f ca="1" t="shared" si="31"/>
        <v>94244.976591239</v>
      </c>
      <c r="AE83" s="19">
        <f ca="1" t="shared" si="32"/>
        <v>14921.2051696504</v>
      </c>
      <c r="AF83" s="19">
        <f ca="1" t="shared" si="33"/>
        <v>31048.7402507567</v>
      </c>
      <c r="AG83" s="19">
        <f ca="1" t="shared" si="34"/>
        <v>39945.4183938967</v>
      </c>
      <c r="AH83" s="19">
        <f ca="1" t="shared" si="35"/>
        <v>51248.5564592846</v>
      </c>
      <c r="AI83" s="19">
        <f ca="1" t="shared" si="36"/>
        <v>59939.9805140261</v>
      </c>
      <c r="AJ83" s="19">
        <f ca="1" t="shared" si="37"/>
        <v>79323.7714215886</v>
      </c>
      <c r="AK83" s="19">
        <f ca="1">AF83*$B$4</f>
        <v>15524.3701253784</v>
      </c>
      <c r="AL83" s="19">
        <f ca="1">AG83*$B$4</f>
        <v>19972.7091969484</v>
      </c>
      <c r="AM83" s="19">
        <f ca="1">AH83*$B$4</f>
        <v>25624.2782296423</v>
      </c>
      <c r="AN83" s="19">
        <f ca="1">AI83*$B$4</f>
        <v>29969.990257013</v>
      </c>
      <c r="AO83" s="19">
        <f ca="1">AJ83*$B$4</f>
        <v>39661.8857107943</v>
      </c>
      <c r="AP83" s="19">
        <f ca="1" t="shared" si="38"/>
        <v>15524.3701253784</v>
      </c>
      <c r="AQ83" s="19">
        <f ca="1" t="shared" si="39"/>
        <v>19972.7091969484</v>
      </c>
      <c r="AR83" s="19">
        <f ca="1" t="shared" si="40"/>
        <v>25624.2782296423</v>
      </c>
      <c r="AS83" s="19">
        <f ca="1" t="shared" si="41"/>
        <v>29969.990257013</v>
      </c>
      <c r="AT83" s="19">
        <f ca="1" t="shared" si="42"/>
        <v>39661.8857107943</v>
      </c>
      <c r="AU83" s="19">
        <f ca="1" t="shared" si="43"/>
        <v>42879.071969436</v>
      </c>
      <c r="AV83" s="19">
        <f ca="1" t="shared" si="44"/>
        <v>-102563.892648037</v>
      </c>
      <c r="AW83" s="19">
        <f ca="1" t="shared" si="45"/>
        <v>30445.5752950287</v>
      </c>
      <c r="AX83" s="19">
        <f ca="1" t="shared" si="46"/>
        <v>34893.9143665987</v>
      </c>
      <c r="AY83" s="19">
        <f ca="1" t="shared" si="47"/>
        <v>40545.4833992927</v>
      </c>
      <c r="AZ83" s="19">
        <f ca="1" t="shared" si="48"/>
        <v>44891.1954266634</v>
      </c>
      <c r="BA83" s="19">
        <f ca="1" t="shared" si="49"/>
        <v>97462.1628498807</v>
      </c>
      <c r="BB83" s="20">
        <f ca="1" t="shared" si="50"/>
        <v>0.308082943494148</v>
      </c>
      <c r="BC83" s="19">
        <f ca="1">NPV($B$5,AW83:BA83)+AV83</f>
        <v>51077.253138884</v>
      </c>
    </row>
    <row r="84" spans="1:55">
      <c r="A84" s="3">
        <v>60</v>
      </c>
      <c r="B84" s="11">
        <f ca="1" t="shared" si="3"/>
        <v>0.0447824771000949</v>
      </c>
      <c r="C84" s="19">
        <f ca="1" t="shared" si="4"/>
        <v>-92669.3129571565</v>
      </c>
      <c r="D84" s="11">
        <f ca="1" t="shared" si="5"/>
        <v>0.509111489382841</v>
      </c>
      <c r="E84" s="19">
        <f ca="1" t="shared" si="6"/>
        <v>-31261.1943946884</v>
      </c>
      <c r="F84" s="11">
        <f ca="1" t="shared" si="7"/>
        <v>0.633939540439823</v>
      </c>
      <c r="G84" s="19">
        <f ca="1" t="shared" si="8"/>
        <v>39751.4578943855</v>
      </c>
      <c r="H84" s="11">
        <f ca="1" t="shared" si="9"/>
        <v>0.901587171242209</v>
      </c>
      <c r="I84" s="19">
        <f ca="1" t="shared" si="10"/>
        <v>42283.2073769177</v>
      </c>
      <c r="J84" s="11">
        <f ca="1" t="shared" si="11"/>
        <v>0.593611471941424</v>
      </c>
      <c r="K84" s="19">
        <f ca="1" t="shared" si="12"/>
        <v>39436.1920704919</v>
      </c>
      <c r="L84" s="11">
        <f ca="1" t="shared" si="13"/>
        <v>0.24099144151429</v>
      </c>
      <c r="M84" s="19">
        <f ca="1" t="shared" si="14"/>
        <v>36012.3802463869</v>
      </c>
      <c r="N84" s="11">
        <f ca="1" t="shared" si="15"/>
        <v>0.816406556131138</v>
      </c>
      <c r="O84" s="19">
        <f ca="1" t="shared" si="16"/>
        <v>41289.271191509</v>
      </c>
      <c r="P84" s="11">
        <f ca="1" t="shared" si="17"/>
        <v>0.0920999548432262</v>
      </c>
      <c r="Q84" s="12">
        <f ca="1" t="shared" si="18"/>
        <v>13.2875555083871</v>
      </c>
      <c r="R84" s="11">
        <f ca="1" t="shared" si="19"/>
        <v>0.126937956308283</v>
      </c>
      <c r="S84" s="12">
        <f ca="1" t="shared" si="20"/>
        <v>13.511583015765</v>
      </c>
      <c r="T84" s="11">
        <f ca="1" t="shared" si="21"/>
        <v>0.478930171173648</v>
      </c>
      <c r="U84" s="12">
        <f ca="1" t="shared" si="22"/>
        <v>18.1803200124699</v>
      </c>
      <c r="V84" s="11">
        <f ca="1" t="shared" si="23"/>
        <v>0.970484459874198</v>
      </c>
      <c r="W84" s="12">
        <f ca="1" t="shared" si="24"/>
        <v>23.9836123257324</v>
      </c>
      <c r="X84" s="11">
        <f ca="1" t="shared" si="25"/>
        <v>0.119323361137708</v>
      </c>
      <c r="Y84" s="12">
        <f ca="1" t="shared" si="26"/>
        <v>20.7949180345403</v>
      </c>
      <c r="Z84" s="19">
        <f ca="1" t="shared" si="27"/>
        <v>45033.4549274951</v>
      </c>
      <c r="AA84" s="19">
        <f ca="1" t="shared" si="28"/>
        <v>54373.878102885</v>
      </c>
      <c r="AB84" s="19">
        <f ca="1" t="shared" si="29"/>
        <v>59932.5175042725</v>
      </c>
      <c r="AC84" s="19">
        <f ca="1" t="shared" si="30"/>
        <v>67855.2821159975</v>
      </c>
      <c r="AD84" s="19">
        <f ca="1" t="shared" si="31"/>
        <v>93976.1640553327</v>
      </c>
      <c r="AE84" s="19">
        <f ca="1" t="shared" si="32"/>
        <v>18533.8625914313</v>
      </c>
      <c r="AF84" s="19">
        <f ca="1" t="shared" si="33"/>
        <v>26499.5923360638</v>
      </c>
      <c r="AG84" s="19">
        <f ca="1" t="shared" si="34"/>
        <v>35840.0155114537</v>
      </c>
      <c r="AH84" s="19">
        <f ca="1" t="shared" si="35"/>
        <v>41398.6549128412</v>
      </c>
      <c r="AI84" s="19">
        <f ca="1" t="shared" si="36"/>
        <v>49321.4195245662</v>
      </c>
      <c r="AJ84" s="19">
        <f ca="1" t="shared" si="37"/>
        <v>75442.3014639014</v>
      </c>
      <c r="AK84" s="19">
        <f ca="1">AF84*$B$4</f>
        <v>13249.7961680319</v>
      </c>
      <c r="AL84" s="19">
        <f ca="1">AG84*$B$4</f>
        <v>17920.0077557268</v>
      </c>
      <c r="AM84" s="19">
        <f ca="1">AH84*$B$4</f>
        <v>20699.3274564206</v>
      </c>
      <c r="AN84" s="19">
        <f ca="1">AI84*$B$4</f>
        <v>24660.7097622831</v>
      </c>
      <c r="AO84" s="19">
        <f ca="1">AJ84*$B$4</f>
        <v>37721.1507319507</v>
      </c>
      <c r="AP84" s="19">
        <f ca="1" t="shared" si="38"/>
        <v>13249.7961680319</v>
      </c>
      <c r="AQ84" s="19">
        <f ca="1" t="shared" si="39"/>
        <v>17920.0077557268</v>
      </c>
      <c r="AR84" s="19">
        <f ca="1" t="shared" si="40"/>
        <v>20699.3274564206</v>
      </c>
      <c r="AS84" s="19">
        <f ca="1" t="shared" si="41"/>
        <v>24660.7097622831</v>
      </c>
      <c r="AT84" s="19">
        <f ca="1" t="shared" si="42"/>
        <v>37721.1507319507</v>
      </c>
      <c r="AU84" s="19">
        <f ca="1" t="shared" si="43"/>
        <v>49795.0569861197</v>
      </c>
      <c r="AV84" s="19">
        <f ca="1" t="shared" si="44"/>
        <v>-123930.507351845</v>
      </c>
      <c r="AW84" s="19">
        <f ca="1" t="shared" si="45"/>
        <v>31783.6587594632</v>
      </c>
      <c r="AX84" s="19">
        <f ca="1" t="shared" si="46"/>
        <v>36453.8703471581</v>
      </c>
      <c r="AY84" s="19">
        <f ca="1" t="shared" si="47"/>
        <v>39233.1900478519</v>
      </c>
      <c r="AZ84" s="19">
        <f ca="1" t="shared" si="48"/>
        <v>43194.5723537144</v>
      </c>
      <c r="BA84" s="19">
        <f ca="1" t="shared" si="49"/>
        <v>106050.070309502</v>
      </c>
      <c r="BB84" s="20">
        <f ca="1" t="shared" si="50"/>
        <v>0.241380914889251</v>
      </c>
      <c r="BC84" s="19">
        <f ca="1">NPV($B$5,AW84:BA84)+AV84</f>
        <v>34490.5439747038</v>
      </c>
    </row>
    <row r="85" spans="1:55">
      <c r="A85" s="3">
        <v>61</v>
      </c>
      <c r="B85" s="11">
        <f ca="1" t="shared" si="3"/>
        <v>0.483534947921925</v>
      </c>
      <c r="C85" s="19">
        <f ca="1" t="shared" si="4"/>
        <v>-75911.7884120404</v>
      </c>
      <c r="D85" s="11">
        <f ca="1" t="shared" si="5"/>
        <v>0.0474595679218333</v>
      </c>
      <c r="E85" s="19">
        <f ca="1" t="shared" si="6"/>
        <v>-37331.8667221679</v>
      </c>
      <c r="F85" s="11">
        <f ca="1" t="shared" si="7"/>
        <v>0.971606514420734</v>
      </c>
      <c r="G85" s="19">
        <f ca="1" t="shared" si="8"/>
        <v>43540.7154429499</v>
      </c>
      <c r="H85" s="11">
        <f ca="1" t="shared" si="9"/>
        <v>0.62953784205708</v>
      </c>
      <c r="I85" s="19">
        <f ca="1" t="shared" si="10"/>
        <v>39717.5447675101</v>
      </c>
      <c r="J85" s="11">
        <f ca="1" t="shared" si="11"/>
        <v>0.892357828897062</v>
      </c>
      <c r="K85" s="19">
        <f ca="1" t="shared" si="12"/>
        <v>42158.6688273416</v>
      </c>
      <c r="L85" s="11">
        <f ca="1" t="shared" si="13"/>
        <v>0.131336686095798</v>
      </c>
      <c r="M85" s="19">
        <f ca="1" t="shared" si="14"/>
        <v>34438.5248579195</v>
      </c>
      <c r="N85" s="11">
        <f ca="1" t="shared" si="15"/>
        <v>0.614648620953588</v>
      </c>
      <c r="O85" s="19">
        <f ca="1" t="shared" si="16"/>
        <v>39601.9421547434</v>
      </c>
      <c r="P85" s="11">
        <f ca="1" t="shared" si="17"/>
        <v>0.67805014857806</v>
      </c>
      <c r="Q85" s="12">
        <f ca="1" t="shared" si="18"/>
        <v>15.5926991618007</v>
      </c>
      <c r="R85" s="11">
        <f ca="1" t="shared" si="19"/>
        <v>0.0131542619180585</v>
      </c>
      <c r="S85" s="12">
        <f ca="1" t="shared" si="20"/>
        <v>12.4865970761575</v>
      </c>
      <c r="T85" s="11">
        <f ca="1" t="shared" si="21"/>
        <v>0.679464818247179</v>
      </c>
      <c r="U85" s="12">
        <f ca="1" t="shared" si="22"/>
        <v>19.0041720528243</v>
      </c>
      <c r="V85" s="11">
        <f ca="1" t="shared" si="23"/>
        <v>0.428216012353119</v>
      </c>
      <c r="W85" s="12">
        <f ca="1" t="shared" si="24"/>
        <v>20.5264734752501</v>
      </c>
      <c r="X85" s="11">
        <f ca="1" t="shared" si="25"/>
        <v>0.682910375930583</v>
      </c>
      <c r="Y85" s="12">
        <f ca="1" t="shared" si="26"/>
        <v>23.8620246859426</v>
      </c>
      <c r="Z85" s="19">
        <f ca="1" t="shared" si="27"/>
        <v>50329.8882148648</v>
      </c>
      <c r="AA85" s="19">
        <f ca="1" t="shared" si="28"/>
        <v>51643.2514319105</v>
      </c>
      <c r="AB85" s="19">
        <f ca="1" t="shared" si="29"/>
        <v>65234.9389507233</v>
      </c>
      <c r="AC85" s="19">
        <f ca="1" t="shared" si="30"/>
        <v>64227.4028670796</v>
      </c>
      <c r="AD85" s="19">
        <f ca="1" t="shared" si="31"/>
        <v>91480.9109005962</v>
      </c>
      <c r="AE85" s="19">
        <f ca="1" t="shared" si="32"/>
        <v>15182.3576824081</v>
      </c>
      <c r="AF85" s="19">
        <f ca="1" t="shared" si="33"/>
        <v>35147.5305324567</v>
      </c>
      <c r="AG85" s="19">
        <f ca="1" t="shared" si="34"/>
        <v>36460.8937495024</v>
      </c>
      <c r="AH85" s="19">
        <f ca="1" t="shared" si="35"/>
        <v>50052.5812683152</v>
      </c>
      <c r="AI85" s="19">
        <f ca="1" t="shared" si="36"/>
        <v>49045.0451846715</v>
      </c>
      <c r="AJ85" s="19">
        <f ca="1" t="shared" si="37"/>
        <v>76298.5532181881</v>
      </c>
      <c r="AK85" s="19">
        <f ca="1">AF85*$B$4</f>
        <v>17573.7652662283</v>
      </c>
      <c r="AL85" s="19">
        <f ca="1">AG85*$B$4</f>
        <v>18230.4468747512</v>
      </c>
      <c r="AM85" s="19">
        <f ca="1">AH85*$B$4</f>
        <v>25026.2906341576</v>
      </c>
      <c r="AN85" s="19">
        <f ca="1">AI85*$B$4</f>
        <v>24522.5225923357</v>
      </c>
      <c r="AO85" s="19">
        <f ca="1">AJ85*$B$4</f>
        <v>38149.276609094</v>
      </c>
      <c r="AP85" s="19">
        <f ca="1" t="shared" si="38"/>
        <v>17573.7652662283</v>
      </c>
      <c r="AQ85" s="19">
        <f ca="1" t="shared" si="39"/>
        <v>18230.4468747512</v>
      </c>
      <c r="AR85" s="19">
        <f ca="1" t="shared" si="40"/>
        <v>25026.2906341576</v>
      </c>
      <c r="AS85" s="19">
        <f ca="1" t="shared" si="41"/>
        <v>24522.5225923357</v>
      </c>
      <c r="AT85" s="19">
        <f ca="1" t="shared" si="42"/>
        <v>38149.276609094</v>
      </c>
      <c r="AU85" s="19">
        <f ca="1" t="shared" si="43"/>
        <v>52514.224404576</v>
      </c>
      <c r="AV85" s="19">
        <f ca="1" t="shared" si="44"/>
        <v>-113243.655134208</v>
      </c>
      <c r="AW85" s="19">
        <f ca="1" t="shared" si="45"/>
        <v>32756.1229486364</v>
      </c>
      <c r="AX85" s="19">
        <f ca="1" t="shared" si="46"/>
        <v>33412.8045571593</v>
      </c>
      <c r="AY85" s="19">
        <f ca="1" t="shared" si="47"/>
        <v>40208.6483165657</v>
      </c>
      <c r="AZ85" s="19">
        <f ca="1" t="shared" si="48"/>
        <v>39704.8802747438</v>
      </c>
      <c r="BA85" s="19">
        <f ca="1" t="shared" si="49"/>
        <v>105845.858696078</v>
      </c>
      <c r="BB85" s="20">
        <f ca="1" t="shared" si="50"/>
        <v>0.270709817366165</v>
      </c>
      <c r="BC85" s="19">
        <f ca="1">NPV($B$5,AW85:BA85)+AV85</f>
        <v>42268.1421976591</v>
      </c>
    </row>
    <row r="86" spans="1:55">
      <c r="A86" s="3">
        <v>62</v>
      </c>
      <c r="B86" s="11">
        <f ca="1" t="shared" si="3"/>
        <v>0.985866194607145</v>
      </c>
      <c r="C86" s="19">
        <f ca="1" t="shared" si="4"/>
        <v>-62377.713640694</v>
      </c>
      <c r="D86" s="11">
        <f ca="1" t="shared" si="5"/>
        <v>0.50912035154469</v>
      </c>
      <c r="E86" s="19">
        <f ca="1" t="shared" si="6"/>
        <v>-31261.1183363257</v>
      </c>
      <c r="F86" s="11">
        <f ca="1" t="shared" si="7"/>
        <v>0.823209970167041</v>
      </c>
      <c r="G86" s="19">
        <f ca="1" t="shared" si="8"/>
        <v>41358.6743845858</v>
      </c>
      <c r="H86" s="11">
        <f ca="1" t="shared" si="9"/>
        <v>0.684162362616437</v>
      </c>
      <c r="I86" s="19">
        <f ca="1" t="shared" si="10"/>
        <v>40132.9862539985</v>
      </c>
      <c r="J86" s="11">
        <f ca="1" t="shared" si="11"/>
        <v>0.803079191515781</v>
      </c>
      <c r="K86" s="19">
        <f ca="1" t="shared" si="12"/>
        <v>41156.9464437356</v>
      </c>
      <c r="L86" s="11">
        <f ca="1" t="shared" si="13"/>
        <v>0.307901741040993</v>
      </c>
      <c r="M86" s="19">
        <f ca="1" t="shared" si="14"/>
        <v>36795.9738931333</v>
      </c>
      <c r="N86" s="11">
        <f ca="1" t="shared" si="15"/>
        <v>0.87067330655632</v>
      </c>
      <c r="O86" s="19">
        <f ca="1" t="shared" si="16"/>
        <v>41885.5976482998</v>
      </c>
      <c r="P86" s="11">
        <f ca="1" t="shared" si="17"/>
        <v>0.285581948981184</v>
      </c>
      <c r="Q86" s="12">
        <f ca="1" t="shared" si="18"/>
        <v>14.2672615820988</v>
      </c>
      <c r="R86" s="11">
        <f ca="1" t="shared" si="19"/>
        <v>0.651067978155356</v>
      </c>
      <c r="S86" s="12">
        <f ca="1" t="shared" si="20"/>
        <v>15.4938522802509</v>
      </c>
      <c r="T86" s="11">
        <f ca="1" t="shared" si="21"/>
        <v>0.174460363671519</v>
      </c>
      <c r="U86" s="12">
        <f ca="1" t="shared" si="22"/>
        <v>16.9140709592651</v>
      </c>
      <c r="V86" s="11">
        <f ca="1" t="shared" si="23"/>
        <v>0.724025530142928</v>
      </c>
      <c r="W86" s="12">
        <f ca="1" t="shared" si="24"/>
        <v>21.8920896980451</v>
      </c>
      <c r="X86" s="11">
        <f ca="1" t="shared" si="25"/>
        <v>0.720148294559827</v>
      </c>
      <c r="Y86" s="12">
        <f ca="1" t="shared" si="26"/>
        <v>24.1125854229618</v>
      </c>
      <c r="Z86" s="19">
        <f ca="1" t="shared" si="27"/>
        <v>47259.4246459231</v>
      </c>
      <c r="AA86" s="19">
        <f ca="1" t="shared" si="28"/>
        <v>52964.1690885543</v>
      </c>
      <c r="AB86" s="19">
        <f ca="1" t="shared" si="29"/>
        <v>63502.4696618814</v>
      </c>
      <c r="AC86" s="19">
        <f ca="1" t="shared" si="30"/>
        <v>69202.7407107793</v>
      </c>
      <c r="AD86" s="19">
        <f ca="1" t="shared" si="31"/>
        <v>97769.5309782506</v>
      </c>
      <c r="AE86" s="19">
        <f ca="1" t="shared" si="32"/>
        <v>12475.5427281388</v>
      </c>
      <c r="AF86" s="19">
        <f ca="1" t="shared" si="33"/>
        <v>34783.8819177843</v>
      </c>
      <c r="AG86" s="19">
        <f ca="1" t="shared" si="34"/>
        <v>40488.6263604155</v>
      </c>
      <c r="AH86" s="19">
        <f ca="1" t="shared" si="35"/>
        <v>51026.9269337426</v>
      </c>
      <c r="AI86" s="19">
        <f ca="1" t="shared" si="36"/>
        <v>56727.1979826405</v>
      </c>
      <c r="AJ86" s="19">
        <f ca="1" t="shared" si="37"/>
        <v>85293.9882501118</v>
      </c>
      <c r="AK86" s="19">
        <f ca="1">AF86*$B$4</f>
        <v>17391.9409588922</v>
      </c>
      <c r="AL86" s="19">
        <f ca="1">AG86*$B$4</f>
        <v>20244.3131802078</v>
      </c>
      <c r="AM86" s="19">
        <f ca="1">AH86*$B$4</f>
        <v>25513.4634668713</v>
      </c>
      <c r="AN86" s="19">
        <f ca="1">AI86*$B$4</f>
        <v>28363.5989913203</v>
      </c>
      <c r="AO86" s="19">
        <f ca="1">AJ86*$B$4</f>
        <v>42646.9941250559</v>
      </c>
      <c r="AP86" s="19">
        <f ca="1" t="shared" si="38"/>
        <v>17391.9409588922</v>
      </c>
      <c r="AQ86" s="19">
        <f ca="1" t="shared" si="39"/>
        <v>20244.3131802078</v>
      </c>
      <c r="AR86" s="19">
        <f ca="1" t="shared" si="40"/>
        <v>25513.4634668713</v>
      </c>
      <c r="AS86" s="19">
        <f ca="1" t="shared" si="41"/>
        <v>28363.5989913203</v>
      </c>
      <c r="AT86" s="19">
        <f ca="1" t="shared" si="42"/>
        <v>42646.9941250559</v>
      </c>
      <c r="AU86" s="19">
        <f ca="1" t="shared" si="43"/>
        <v>43736.6610644645</v>
      </c>
      <c r="AV86" s="19">
        <f ca="1" t="shared" si="44"/>
        <v>-93638.8319770196</v>
      </c>
      <c r="AW86" s="19">
        <f ca="1" t="shared" si="45"/>
        <v>29867.483687031</v>
      </c>
      <c r="AX86" s="19">
        <f ca="1" t="shared" si="46"/>
        <v>32719.8559083466</v>
      </c>
      <c r="AY86" s="19">
        <f ca="1" t="shared" si="47"/>
        <v>37989.0061950101</v>
      </c>
      <c r="AZ86" s="19">
        <f ca="1" t="shared" si="48"/>
        <v>40839.1417194591</v>
      </c>
      <c r="BA86" s="19">
        <f ca="1" t="shared" si="49"/>
        <v>98859.1979176592</v>
      </c>
      <c r="BB86" s="20">
        <f ca="1" t="shared" si="50"/>
        <v>0.331288842644266</v>
      </c>
      <c r="BC86" s="19">
        <f ca="1">NPV($B$5,AW86:BA86)+AV86</f>
        <v>54552.5981356066</v>
      </c>
    </row>
    <row r="87" spans="1:55">
      <c r="A87" s="3">
        <v>63</v>
      </c>
      <c r="B87" s="11">
        <f ca="1" t="shared" si="3"/>
        <v>0.968618071725259</v>
      </c>
      <c r="C87" s="19">
        <f ca="1" t="shared" si="4"/>
        <v>-63542.989036096</v>
      </c>
      <c r="D87" s="11">
        <f ca="1" t="shared" si="5"/>
        <v>0.691790617722395</v>
      </c>
      <c r="E87" s="19">
        <f ca="1" t="shared" si="6"/>
        <v>-29807.8793319738</v>
      </c>
      <c r="F87" s="11">
        <f ca="1" t="shared" si="7"/>
        <v>0.542739639959339</v>
      </c>
      <c r="G87" s="19">
        <f ca="1" t="shared" si="8"/>
        <v>39022.8014493228</v>
      </c>
      <c r="H87" s="11">
        <f ca="1" t="shared" si="9"/>
        <v>0.230982083122683</v>
      </c>
      <c r="I87" s="19">
        <f ca="1" t="shared" si="10"/>
        <v>35886.1967745228</v>
      </c>
      <c r="J87" s="11">
        <f ca="1" t="shared" si="11"/>
        <v>0.701425555148534</v>
      </c>
      <c r="K87" s="19">
        <f ca="1" t="shared" si="12"/>
        <v>40267.8669329931</v>
      </c>
      <c r="L87" s="11">
        <f ca="1" t="shared" si="13"/>
        <v>0.534768401907221</v>
      </c>
      <c r="M87" s="19">
        <f ca="1" t="shared" si="14"/>
        <v>38956.2972419456</v>
      </c>
      <c r="N87" s="11">
        <f ca="1" t="shared" si="15"/>
        <v>0.103797729586268</v>
      </c>
      <c r="O87" s="19">
        <f ca="1" t="shared" si="16"/>
        <v>33945.8407770639</v>
      </c>
      <c r="P87" s="11">
        <f ca="1" t="shared" si="17"/>
        <v>0.343046302241645</v>
      </c>
      <c r="Q87" s="12">
        <f ca="1" t="shared" si="18"/>
        <v>14.4849212141132</v>
      </c>
      <c r="R87" s="11">
        <f ca="1" t="shared" si="19"/>
        <v>0.918264156402786</v>
      </c>
      <c r="S87" s="12">
        <f ca="1" t="shared" si="20"/>
        <v>16.7870510378627</v>
      </c>
      <c r="T87" s="11">
        <f ca="1" t="shared" si="21"/>
        <v>0.729446355832205</v>
      </c>
      <c r="U87" s="12">
        <f ca="1" t="shared" si="22"/>
        <v>19.247637008551</v>
      </c>
      <c r="V87" s="11">
        <f ca="1" t="shared" si="23"/>
        <v>0.7992787069701</v>
      </c>
      <c r="W87" s="12">
        <f ca="1" t="shared" si="24"/>
        <v>22.349482077773</v>
      </c>
      <c r="X87" s="11">
        <f ca="1" t="shared" si="25"/>
        <v>0.518388753446354</v>
      </c>
      <c r="Y87" s="12">
        <f ca="1" t="shared" si="26"/>
        <v>22.9002934090384</v>
      </c>
      <c r="Z87" s="19">
        <f ca="1" t="shared" si="27"/>
        <v>44675.223494797</v>
      </c>
      <c r="AA87" s="19">
        <f ca="1" t="shared" si="28"/>
        <v>47981.1238451421</v>
      </c>
      <c r="AB87" s="19">
        <f ca="1" t="shared" si="29"/>
        <v>64202.4185566393</v>
      </c>
      <c r="AC87" s="19">
        <f ca="1" t="shared" si="30"/>
        <v>75992.8215791531</v>
      </c>
      <c r="AD87" s="19">
        <f ca="1" t="shared" si="31"/>
        <v>81383.129958744</v>
      </c>
      <c r="AE87" s="19">
        <f ca="1" t="shared" si="32"/>
        <v>12708.5978072192</v>
      </c>
      <c r="AF87" s="19">
        <f ca="1" t="shared" si="33"/>
        <v>31966.6256875778</v>
      </c>
      <c r="AG87" s="19">
        <f ca="1" t="shared" si="34"/>
        <v>35272.5260379229</v>
      </c>
      <c r="AH87" s="19">
        <f ca="1" t="shared" si="35"/>
        <v>51493.8207494201</v>
      </c>
      <c r="AI87" s="19">
        <f ca="1" t="shared" si="36"/>
        <v>63284.2237719339</v>
      </c>
      <c r="AJ87" s="19">
        <f ca="1" t="shared" si="37"/>
        <v>68674.5321515248</v>
      </c>
      <c r="AK87" s="19">
        <f ca="1">AF87*$B$4</f>
        <v>15983.3128437889</v>
      </c>
      <c r="AL87" s="19">
        <f ca="1">AG87*$B$4</f>
        <v>17636.2630189615</v>
      </c>
      <c r="AM87" s="19">
        <f ca="1">AH87*$B$4</f>
        <v>25746.9103747101</v>
      </c>
      <c r="AN87" s="19">
        <f ca="1">AI87*$B$4</f>
        <v>31642.111885967</v>
      </c>
      <c r="AO87" s="19">
        <f ca="1">AJ87*$B$4</f>
        <v>34337.2660757624</v>
      </c>
      <c r="AP87" s="19">
        <f ca="1" t="shared" si="38"/>
        <v>15983.3128437889</v>
      </c>
      <c r="AQ87" s="19">
        <f ca="1" t="shared" si="39"/>
        <v>17636.2630189615</v>
      </c>
      <c r="AR87" s="19">
        <f ca="1" t="shared" si="40"/>
        <v>25746.9103747101</v>
      </c>
      <c r="AS87" s="19">
        <f ca="1" t="shared" si="41"/>
        <v>31642.111885967</v>
      </c>
      <c r="AT87" s="19">
        <f ca="1" t="shared" si="42"/>
        <v>34337.2660757624</v>
      </c>
      <c r="AU87" s="19">
        <f ca="1" t="shared" si="43"/>
        <v>42516.477139193</v>
      </c>
      <c r="AV87" s="19">
        <f ca="1" t="shared" si="44"/>
        <v>-93350.8683680697</v>
      </c>
      <c r="AW87" s="19">
        <f ca="1" t="shared" si="45"/>
        <v>28691.9106510081</v>
      </c>
      <c r="AX87" s="19">
        <f ca="1" t="shared" si="46"/>
        <v>30344.8608261807</v>
      </c>
      <c r="AY87" s="19">
        <f ca="1" t="shared" si="47"/>
        <v>38455.5081819293</v>
      </c>
      <c r="AZ87" s="19">
        <f ca="1" t="shared" si="48"/>
        <v>44350.7096931862</v>
      </c>
      <c r="BA87" s="19">
        <f ca="1" t="shared" si="49"/>
        <v>89562.3410221746</v>
      </c>
      <c r="BB87" s="20">
        <f ca="1" t="shared" si="50"/>
        <v>0.317524371244786</v>
      </c>
      <c r="BC87" s="19">
        <f ca="1">NPV($B$5,AW87:BA87)+AV87</f>
        <v>49714.7888858149</v>
      </c>
    </row>
    <row r="88" spans="1:55">
      <c r="A88" s="3">
        <v>64</v>
      </c>
      <c r="B88" s="11">
        <f ca="1" t="shared" si="3"/>
        <v>0.921341652922387</v>
      </c>
      <c r="C88" s="19">
        <f ca="1" t="shared" si="4"/>
        <v>-65609.2190928012</v>
      </c>
      <c r="D88" s="11">
        <f ca="1" t="shared" si="5"/>
        <v>0.531019751824214</v>
      </c>
      <c r="E88" s="19">
        <f ca="1" t="shared" si="6"/>
        <v>-31075.1491455805</v>
      </c>
      <c r="F88" s="11">
        <f ca="1" t="shared" si="7"/>
        <v>0.175144611376568</v>
      </c>
      <c r="G88" s="19">
        <f ca="1" t="shared" si="8"/>
        <v>35125.5918396303</v>
      </c>
      <c r="H88" s="11">
        <f ca="1" t="shared" si="9"/>
        <v>0.900364699061703</v>
      </c>
      <c r="I88" s="19">
        <f ca="1" t="shared" si="10"/>
        <v>42266.3856214945</v>
      </c>
      <c r="J88" s="11">
        <f ca="1" t="shared" si="11"/>
        <v>0.102218650192976</v>
      </c>
      <c r="K88" s="19">
        <f ca="1" t="shared" si="12"/>
        <v>33915.711624845</v>
      </c>
      <c r="L88" s="11">
        <f ca="1" t="shared" si="13"/>
        <v>0.041324325288947</v>
      </c>
      <c r="M88" s="19">
        <f ca="1" t="shared" si="14"/>
        <v>32489.7085759868</v>
      </c>
      <c r="N88" s="11">
        <f ca="1" t="shared" si="15"/>
        <v>0.585656988545609</v>
      </c>
      <c r="O88" s="19">
        <f ca="1" t="shared" si="16"/>
        <v>39372.7556397167</v>
      </c>
      <c r="P88" s="11">
        <f ca="1" t="shared" si="17"/>
        <v>0.537721671103057</v>
      </c>
      <c r="Q88" s="12">
        <f ca="1" t="shared" si="18"/>
        <v>15.1153839215339</v>
      </c>
      <c r="R88" s="11">
        <f ca="1" t="shared" si="19"/>
        <v>0.175783126618608</v>
      </c>
      <c r="S88" s="12">
        <f ca="1" t="shared" si="20"/>
        <v>13.7787906788419</v>
      </c>
      <c r="T88" s="11">
        <f ca="1" t="shared" si="21"/>
        <v>0.514984453655081</v>
      </c>
      <c r="U88" s="12">
        <f ca="1" t="shared" si="22"/>
        <v>18.3148357841668</v>
      </c>
      <c r="V88" s="11">
        <f ca="1" t="shared" si="23"/>
        <v>0.273768662106047</v>
      </c>
      <c r="W88" s="12">
        <f ca="1" t="shared" si="24"/>
        <v>19.9577439233681</v>
      </c>
      <c r="X88" s="11">
        <f ca="1" t="shared" si="25"/>
        <v>0.83895916796522</v>
      </c>
      <c r="Y88" s="12">
        <f ca="1" t="shared" si="26"/>
        <v>25.0510671540576</v>
      </c>
      <c r="Z88" s="19">
        <f ca="1" t="shared" si="27"/>
        <v>40434.9599009015</v>
      </c>
      <c r="AA88" s="19">
        <f ca="1" t="shared" si="28"/>
        <v>55359.1981257146</v>
      </c>
      <c r="AB88" s="19">
        <f ca="1" t="shared" si="29"/>
        <v>52557.5145166578</v>
      </c>
      <c r="AC88" s="19">
        <f ca="1" t="shared" si="30"/>
        <v>60395.9740901034</v>
      </c>
      <c r="AD88" s="19">
        <f ca="1" t="shared" si="31"/>
        <v>91526.1908029592</v>
      </c>
      <c r="AE88" s="19">
        <f ca="1" t="shared" si="32"/>
        <v>13121.8438185602</v>
      </c>
      <c r="AF88" s="19">
        <f ca="1" t="shared" si="33"/>
        <v>27313.1160823412</v>
      </c>
      <c r="AG88" s="19">
        <f ca="1" t="shared" si="34"/>
        <v>42237.3543071543</v>
      </c>
      <c r="AH88" s="19">
        <f ca="1" t="shared" si="35"/>
        <v>39435.6706980975</v>
      </c>
      <c r="AI88" s="19">
        <f ca="1" t="shared" si="36"/>
        <v>47274.1302715432</v>
      </c>
      <c r="AJ88" s="19">
        <f ca="1" t="shared" si="37"/>
        <v>78404.3469843989</v>
      </c>
      <c r="AK88" s="19">
        <f ca="1">AF88*$B$4</f>
        <v>13656.5580411706</v>
      </c>
      <c r="AL88" s="19">
        <f ca="1">AG88*$B$4</f>
        <v>21118.6771535772</v>
      </c>
      <c r="AM88" s="19">
        <f ca="1">AH88*$B$4</f>
        <v>19717.8353490488</v>
      </c>
      <c r="AN88" s="19">
        <f ca="1">AI88*$B$4</f>
        <v>23637.0651357716</v>
      </c>
      <c r="AO88" s="19">
        <f ca="1">AJ88*$B$4</f>
        <v>39202.1734921995</v>
      </c>
      <c r="AP88" s="19">
        <f ca="1" t="shared" si="38"/>
        <v>13656.5580411706</v>
      </c>
      <c r="AQ88" s="19">
        <f ca="1" t="shared" si="39"/>
        <v>21118.6771535772</v>
      </c>
      <c r="AR88" s="19">
        <f ca="1" t="shared" si="40"/>
        <v>19717.8353490488</v>
      </c>
      <c r="AS88" s="19">
        <f ca="1" t="shared" si="41"/>
        <v>23637.0651357716</v>
      </c>
      <c r="AT88" s="19">
        <f ca="1" t="shared" si="42"/>
        <v>39202.1734921995</v>
      </c>
      <c r="AU88" s="19">
        <f ca="1" t="shared" si="43"/>
        <v>44196.9929641408</v>
      </c>
      <c r="AV88" s="19">
        <f ca="1" t="shared" si="44"/>
        <v>-96684.3682383817</v>
      </c>
      <c r="AW88" s="19">
        <f ca="1" t="shared" si="45"/>
        <v>26778.4018597309</v>
      </c>
      <c r="AX88" s="19">
        <f ca="1" t="shared" si="46"/>
        <v>34240.5209721374</v>
      </c>
      <c r="AY88" s="19">
        <f ca="1" t="shared" si="47"/>
        <v>32839.679167609</v>
      </c>
      <c r="AZ88" s="19">
        <f ca="1" t="shared" si="48"/>
        <v>36758.9089543318</v>
      </c>
      <c r="BA88" s="19">
        <f ca="1" t="shared" si="49"/>
        <v>96521.0102749005</v>
      </c>
      <c r="BB88" s="20">
        <f ca="1" t="shared" si="50"/>
        <v>0.291053348077513</v>
      </c>
      <c r="BC88" s="19">
        <f ca="1">NPV($B$5,AW88:BA88)+AV88</f>
        <v>43089.6000900186</v>
      </c>
    </row>
    <row r="89" spans="1:55">
      <c r="A89" s="3">
        <v>65</v>
      </c>
      <c r="B89" s="11">
        <f ca="1" t="shared" ref="B89:B124" si="51">RAND()</f>
        <v>0.842524092952405</v>
      </c>
      <c r="C89" s="19">
        <f ca="1" t="shared" ref="C89:C124" si="52">IF(B89&lt;=($F$12-$E$12)/($G$12-$E$12),$E$12+SQRT(B89*($G$12-$E$12)*($F$12-$E$12)),$G$12-SQRT((1-B89)*($G$12-$E$12)*($G$12-$F$12)))</f>
        <v>-67936.6468246381</v>
      </c>
      <c r="D89" s="11">
        <f ca="1" t="shared" ref="D89:D124" si="53">RAND()</f>
        <v>0.432743136060772</v>
      </c>
      <c r="E89" s="19">
        <f ca="1" t="shared" ref="E89:E124" si="54">IF(D89&lt;=($F$13-$E$13)/($G$13-$E$13),$E$13+SQRT(D89*($G$13-$E$13)*($F$13-$E$13)),$G$13-SQRT((1-D89)*($G$13-$E$13)*($G$13-$F$13)))</f>
        <v>-31943.234494593</v>
      </c>
      <c r="F89" s="11">
        <f ca="1" t="shared" ref="F89:F124" si="55">RAND()</f>
        <v>0.122646021228945</v>
      </c>
      <c r="G89" s="19">
        <f ca="1" t="shared" ref="G89:G124" si="56">IF(F89&lt;=($F$14-$E$14)/($G$14-$E$14),$E$14+SQRT(F89*($G$14-$E$14)*($F$14-$E$14)),$G$14-SQRT((1-F89)*($G$14-$E$14)*($G$14-$F$14)))</f>
        <v>34289.1611282793</v>
      </c>
      <c r="H89" s="11">
        <f ca="1" t="shared" ref="H89:H124" si="57">RAND()</f>
        <v>0.760331482686665</v>
      </c>
      <c r="I89" s="19">
        <f ca="1" t="shared" ref="I89:I124" si="58">IF(H89&lt;=($F$14-$E$14)/($G$14-$E$14),$E$14+SQRT(H89*($G$14-$E$14)*($F$14-$E$14)),$G$14-SQRT((1-H89)*($G$14-$E$14)*($G$14-$F$14)))</f>
        <v>40760.2902459602</v>
      </c>
      <c r="J89" s="11">
        <f ca="1" t="shared" ref="J89:J124" si="59">RAND()</f>
        <v>0.0532963291060213</v>
      </c>
      <c r="K89" s="19">
        <f ca="1" t="shared" ref="K89:K124" si="60">IF(J89&lt;=($F$14-$E$14)/($G$14-$E$14),$E$14+SQRT(J89*($G$14-$E$14)*($F$14-$E$14)),$G$14-SQRT((1-J89)*($G$14-$E$14)*($G$14-$F$14)))</f>
        <v>32827.4457317344</v>
      </c>
      <c r="L89" s="11">
        <f ca="1" t="shared" ref="L89:L124" si="61">RAND()</f>
        <v>0.848171557830328</v>
      </c>
      <c r="M89" s="19">
        <f ca="1" t="shared" ref="M89:M124" si="62">IF(L89&lt;=($F$14-$E$14)/($G$14-$E$14),$E$14+SQRT(L89*($G$14-$E$14)*($F$14-$E$14)),$G$14-SQRT((1-L89)*($G$14-$E$14)*($G$14-$F$14)))</f>
        <v>41625.5173488777</v>
      </c>
      <c r="N89" s="11">
        <f ca="1" t="shared" ref="N89:N124" si="63">RAND()</f>
        <v>0.953945607504713</v>
      </c>
      <c r="O89" s="19">
        <f ca="1" t="shared" ref="O89:O124" si="64">IF(N89&lt;=($F$14-$E$14)/($G$14-$E$14),$E$14+SQRT(N89*($G$14-$E$14)*($F$14-$E$14)),$G$14-SQRT((1-N89)*($G$14-$E$14)*($G$14-$F$14)))</f>
        <v>43141.4846147673</v>
      </c>
      <c r="P89" s="11">
        <f ca="1" t="shared" ref="P89:P124" si="65">RAND()</f>
        <v>0.295189364572742</v>
      </c>
      <c r="Q89" s="12">
        <f ca="1" t="shared" ref="Q89:Q124" si="66">IF(P89&lt;=($F$15-$E$15)/($G$15-$E$15),$E$15+SQRT(P89*($G$15-$E$15)*($F$15-$E$15)),$G$15-SQRT((1-P89)*($G$15-$E$15)*($G$15-$F$15)))</f>
        <v>14.3050832007347</v>
      </c>
      <c r="R89" s="11">
        <f ca="1" t="shared" ref="R89:R124" si="67">RAND()</f>
        <v>0.204627883508887</v>
      </c>
      <c r="S89" s="12">
        <f ca="1" t="shared" ref="S89:S124" si="68">IF(R89&lt;=($F$16-$E$16)/($G$16-$E$16),$E$16+SQRT(R89*($G$16-$E$16)*($F$16-$E$16)),$G$16-SQRT((1-R89)*($G$16-$E$16)*($G$16-$F$16)))</f>
        <v>13.9191930343663</v>
      </c>
      <c r="T89" s="11">
        <f ca="1" t="shared" ref="T89:T124" si="69">RAND()</f>
        <v>0.489390033790652</v>
      </c>
      <c r="U89" s="12">
        <f ca="1" t="shared" ref="U89:U124" si="70">IF(T89&lt;=($F$17-$E$17)/($G$17-$E$17),$E$17+SQRT(T89*($G$17-$E$17)*($F$17-$E$17)),$G$17-SQRT((1-T89)*($G$17-$E$17)*($G$17-$F$17)))</f>
        <v>18.2188521512824</v>
      </c>
      <c r="V89" s="11">
        <f ca="1" t="shared" ref="V89:V124" si="71">RAND()</f>
        <v>0.928993691261566</v>
      </c>
      <c r="W89" s="12">
        <f ca="1" t="shared" ref="W89:W124" si="72">IF(V89&lt;=($F$18-$E$18)/($G$18-$E$18),$E$18+SQRT(V89*($G$18-$E$18)*($F$18-$E$18)),$G$18-SQRT((1-V89)*($G$18-$E$18)*($G$18-$F$18)))</f>
        <v>23.4235416891509</v>
      </c>
      <c r="X89" s="11">
        <f ca="1" t="shared" ref="X89:X124" si="73">RAND()</f>
        <v>0.613269415923985</v>
      </c>
      <c r="Y89" s="12">
        <f ca="1" t="shared" ref="Y89:Y124" si="74">IF(X89&lt;=($F$19-$E$19)/($G$19-$E$19),$E$19+SQRT(X89*($G$19-$E$19)*($F$19-$E$19)),$G$19-SQRT((1-X89)*($G$19-$E$19)*($G$19-$F$19)))</f>
        <v>23.4301584775722</v>
      </c>
      <c r="Z89" s="19">
        <f ca="1" t="shared" ref="Z89:Z124" si="75">G89*(1+Q89/100)</f>
        <v>39194.2541565136</v>
      </c>
      <c r="AA89" s="19">
        <f ca="1" t="shared" ref="AA89:AA124" si="76">I89*(1+Q89/100)*(1+S89/100)</f>
        <v>53076.1865525201</v>
      </c>
      <c r="AB89" s="19">
        <f ca="1" t="shared" ref="AB89:AB124" si="77">K89*(1+Q89/100)*(1+S89/100)*(1+U89/100)</f>
        <v>50534.3023350479</v>
      </c>
      <c r="AC89" s="19">
        <f ca="1" t="shared" ref="AC89:AC124" si="78">M89*(1+Q89/100)*(1+S89/100)*(1+U89/100)*(1+W89/100)</f>
        <v>79087.3148971522</v>
      </c>
      <c r="AD89" s="19">
        <f ca="1" t="shared" ref="AD89:AD124" si="79">O89*(1+Q89/100)*(1+S89/100)*(1+U89/100)*(1+W89/100)*(1+Y89/100)</f>
        <v>101172.751123661</v>
      </c>
      <c r="AE89" s="19">
        <f ca="1" t="shared" ref="AE89:AE124" si="80">ABS(C89)/$B$7</f>
        <v>13587.3293649276</v>
      </c>
      <c r="AF89" s="19">
        <f ca="1" t="shared" ref="AF89:AF124" si="81">Z89-AE89</f>
        <v>25606.924791586</v>
      </c>
      <c r="AG89" s="19">
        <f ca="1" t="shared" ref="AG89:AG124" si="82">AA89-AE89</f>
        <v>39488.8571875925</v>
      </c>
      <c r="AH89" s="19">
        <f ca="1" t="shared" ref="AH89:AH124" si="83">AB89-AE89</f>
        <v>36946.9729701203</v>
      </c>
      <c r="AI89" s="19">
        <f ca="1" t="shared" ref="AI89:AI124" si="84">AC89-AE89</f>
        <v>65499.9855322246</v>
      </c>
      <c r="AJ89" s="19">
        <f ca="1" t="shared" ref="AJ89:AJ124" si="85">AD89-AE89</f>
        <v>87585.4217587339</v>
      </c>
      <c r="AK89" s="19">
        <f ca="1">AF89*$B$4</f>
        <v>12803.462395793</v>
      </c>
      <c r="AL89" s="19">
        <f ca="1">AG89*$B$4</f>
        <v>19744.4285937962</v>
      </c>
      <c r="AM89" s="19">
        <f ca="1">AH89*$B$4</f>
        <v>18473.4864850601</v>
      </c>
      <c r="AN89" s="19">
        <f ca="1">AI89*$B$4</f>
        <v>32749.9927661123</v>
      </c>
      <c r="AO89" s="19">
        <f ca="1">AJ89*$B$4</f>
        <v>43792.7108793669</v>
      </c>
      <c r="AP89" s="19">
        <f ca="1" t="shared" ref="AP89:AP124" si="86">AF89-AK89</f>
        <v>12803.462395793</v>
      </c>
      <c r="AQ89" s="19">
        <f ca="1" t="shared" ref="AQ89:AQ124" si="87">AG89-AL89</f>
        <v>19744.4285937962</v>
      </c>
      <c r="AR89" s="19">
        <f ca="1" t="shared" ref="AR89:AR124" si="88">AH89-AM89</f>
        <v>18473.4864850601</v>
      </c>
      <c r="AS89" s="19">
        <f ca="1" t="shared" ref="AS89:AS124" si="89">AI89-AN89</f>
        <v>32749.9927661123</v>
      </c>
      <c r="AT89" s="19">
        <f ca="1" t="shared" ref="AT89:AT124" si="90">AJ89-AO89</f>
        <v>43792.7108793669</v>
      </c>
      <c r="AU89" s="19">
        <f ca="1" t="shared" ref="AU89:AU124" si="91">0.2*ABS(C89)+1*ABS(E89)</f>
        <v>45530.5638595206</v>
      </c>
      <c r="AV89" s="19">
        <f ca="1" t="shared" ref="AV89:AV124" si="92">C89+E89</f>
        <v>-99879.8813192311</v>
      </c>
      <c r="AW89" s="19">
        <f ca="1" t="shared" ref="AW89:AW124" si="93">AP89+AE89</f>
        <v>26390.7917607206</v>
      </c>
      <c r="AX89" s="19">
        <f ca="1" t="shared" ref="AX89:AX124" si="94">AQ89+AE89</f>
        <v>33331.7579587239</v>
      </c>
      <c r="AY89" s="19">
        <f ca="1" t="shared" ref="AY89:AY124" si="95">AR89+AE89</f>
        <v>32060.8158499878</v>
      </c>
      <c r="AZ89" s="19">
        <f ca="1" t="shared" ref="AZ89:AZ124" si="96">AS89+AE89</f>
        <v>46337.3221310399</v>
      </c>
      <c r="BA89" s="19">
        <f ca="1" t="shared" ref="BA89:BA124" si="97">AT89+AE89+AU89</f>
        <v>102910.604103815</v>
      </c>
      <c r="BB89" s="20">
        <f ca="1" t="shared" ref="BB89:BB124" si="98">IFERROR(IRR(AV89:BA89,0.15),"n/a")</f>
        <v>0.294457624514232</v>
      </c>
      <c r="BC89" s="19">
        <f ca="1">NPV($B$5,AW89:BA89)+AV89</f>
        <v>47011.0102984682</v>
      </c>
    </row>
    <row r="90" spans="1:55">
      <c r="A90" s="3">
        <v>66</v>
      </c>
      <c r="B90" s="11">
        <f ca="1" t="shared" si="51"/>
        <v>0.186814137540782</v>
      </c>
      <c r="C90" s="19">
        <f ca="1" t="shared" si="52"/>
        <v>-85027.4596327498</v>
      </c>
      <c r="D90" s="11">
        <f ca="1" t="shared" si="53"/>
        <v>0.171290799088581</v>
      </c>
      <c r="E90" s="19">
        <f ca="1" t="shared" si="54"/>
        <v>-34931.1125615884</v>
      </c>
      <c r="F90" s="11">
        <f ca="1" t="shared" si="55"/>
        <v>0.579763435547742</v>
      </c>
      <c r="G90" s="19">
        <f ca="1" t="shared" si="56"/>
        <v>39325.4766812298</v>
      </c>
      <c r="H90" s="11">
        <f ca="1" t="shared" si="57"/>
        <v>0.260712109819666</v>
      </c>
      <c r="I90" s="19">
        <f ca="1" t="shared" si="58"/>
        <v>36253.5443128637</v>
      </c>
      <c r="J90" s="11">
        <f ca="1" t="shared" si="59"/>
        <v>0.028143824033648</v>
      </c>
      <c r="K90" s="19">
        <f ca="1" t="shared" si="60"/>
        <v>32054.6468321946</v>
      </c>
      <c r="L90" s="11">
        <f ca="1" t="shared" si="61"/>
        <v>0.432935251302114</v>
      </c>
      <c r="M90" s="19">
        <f ca="1" t="shared" si="62"/>
        <v>38058.5536974892</v>
      </c>
      <c r="N90" s="11">
        <f ca="1" t="shared" si="63"/>
        <v>0.253044517493002</v>
      </c>
      <c r="O90" s="19">
        <f ca="1" t="shared" si="64"/>
        <v>36160.899092174</v>
      </c>
      <c r="P90" s="11">
        <f ca="1" t="shared" si="65"/>
        <v>0.562536546471913</v>
      </c>
      <c r="Q90" s="12">
        <f ca="1" t="shared" si="66"/>
        <v>15.1938741718331</v>
      </c>
      <c r="R90" s="11">
        <f ca="1" t="shared" si="67"/>
        <v>0.676558881519954</v>
      </c>
      <c r="S90" s="12">
        <f ca="1" t="shared" si="68"/>
        <v>15.5871303117158</v>
      </c>
      <c r="T90" s="11">
        <f ca="1" t="shared" si="69"/>
        <v>0.893407017985264</v>
      </c>
      <c r="U90" s="12">
        <f ca="1" t="shared" si="70"/>
        <v>20.2723994974495</v>
      </c>
      <c r="V90" s="11">
        <f ca="1" t="shared" si="71"/>
        <v>0.584323177655274</v>
      </c>
      <c r="W90" s="12">
        <f ca="1" t="shared" si="72"/>
        <v>21.1857256545884</v>
      </c>
      <c r="X90" s="11">
        <f ca="1" t="shared" si="73"/>
        <v>0.947372718027459</v>
      </c>
      <c r="Y90" s="12">
        <f ca="1" t="shared" si="74"/>
        <v>26.3142143592624</v>
      </c>
      <c r="Z90" s="19">
        <f ca="1" t="shared" si="75"/>
        <v>45300.5401256494</v>
      </c>
      <c r="AA90" s="19">
        <f ca="1" t="shared" si="76"/>
        <v>48271.3381032008</v>
      </c>
      <c r="AB90" s="19">
        <f ca="1" t="shared" si="77"/>
        <v>51332.9044949543</v>
      </c>
      <c r="AC90" s="19">
        <f ca="1" t="shared" si="78"/>
        <v>73859.8786192562</v>
      </c>
      <c r="AD90" s="19">
        <f ca="1" t="shared" si="79"/>
        <v>88643.6753935376</v>
      </c>
      <c r="AE90" s="19">
        <f ca="1" t="shared" si="80"/>
        <v>17005.49192655</v>
      </c>
      <c r="AF90" s="19">
        <f ca="1" t="shared" si="81"/>
        <v>28295.0481990995</v>
      </c>
      <c r="AG90" s="19">
        <f ca="1" t="shared" si="82"/>
        <v>31265.8461766508</v>
      </c>
      <c r="AH90" s="19">
        <f ca="1" t="shared" si="83"/>
        <v>34327.4125684043</v>
      </c>
      <c r="AI90" s="19">
        <f ca="1" t="shared" si="84"/>
        <v>56854.3866927062</v>
      </c>
      <c r="AJ90" s="19">
        <f ca="1" t="shared" si="85"/>
        <v>71638.1834669876</v>
      </c>
      <c r="AK90" s="19">
        <f ca="1">AF90*$B$4</f>
        <v>14147.5240995497</v>
      </c>
      <c r="AL90" s="19">
        <f ca="1">AG90*$B$4</f>
        <v>15632.9230883254</v>
      </c>
      <c r="AM90" s="19">
        <f ca="1">AH90*$B$4</f>
        <v>17163.7062842021</v>
      </c>
      <c r="AN90" s="19">
        <f ca="1">AI90*$B$4</f>
        <v>28427.1933463531</v>
      </c>
      <c r="AO90" s="19">
        <f ca="1">AJ90*$B$4</f>
        <v>35819.0917334938</v>
      </c>
      <c r="AP90" s="19">
        <f ca="1" t="shared" si="86"/>
        <v>14147.5240995497</v>
      </c>
      <c r="AQ90" s="19">
        <f ca="1" t="shared" si="87"/>
        <v>15632.9230883254</v>
      </c>
      <c r="AR90" s="19">
        <f ca="1" t="shared" si="88"/>
        <v>17163.7062842021</v>
      </c>
      <c r="AS90" s="19">
        <f ca="1" t="shared" si="89"/>
        <v>28427.1933463531</v>
      </c>
      <c r="AT90" s="19">
        <f ca="1" t="shared" si="90"/>
        <v>35819.0917334938</v>
      </c>
      <c r="AU90" s="19">
        <f ca="1" t="shared" si="91"/>
        <v>51936.6044881383</v>
      </c>
      <c r="AV90" s="19">
        <f ca="1" t="shared" si="92"/>
        <v>-119958.572194338</v>
      </c>
      <c r="AW90" s="19">
        <f ca="1" t="shared" si="93"/>
        <v>31153.0160260997</v>
      </c>
      <c r="AX90" s="19">
        <f ca="1" t="shared" si="94"/>
        <v>32638.4150148754</v>
      </c>
      <c r="AY90" s="19">
        <f ca="1" t="shared" si="95"/>
        <v>34169.1982107521</v>
      </c>
      <c r="AZ90" s="19">
        <f ca="1" t="shared" si="96"/>
        <v>45432.6852729031</v>
      </c>
      <c r="BA90" s="19">
        <f ca="1" t="shared" si="97"/>
        <v>104761.188148182</v>
      </c>
      <c r="BB90" s="20">
        <f ca="1" t="shared" si="98"/>
        <v>0.237592178062306</v>
      </c>
      <c r="BC90" s="19">
        <f ca="1">NPV($B$5,AW90:BA90)+AV90</f>
        <v>32338.2510259221</v>
      </c>
    </row>
    <row r="91" spans="1:55">
      <c r="A91" s="3">
        <v>67</v>
      </c>
      <c r="B91" s="11">
        <f ca="1" t="shared" si="51"/>
        <v>0.392955317094303</v>
      </c>
      <c r="C91" s="19">
        <f ca="1" t="shared" si="52"/>
        <v>-78284.8812917552</v>
      </c>
      <c r="D91" s="11">
        <f ca="1" t="shared" si="53"/>
        <v>0.977797534725058</v>
      </c>
      <c r="E91" s="19">
        <f ca="1" t="shared" si="54"/>
        <v>-26290.4204336652</v>
      </c>
      <c r="F91" s="11">
        <f ca="1" t="shared" si="55"/>
        <v>0.165193659155344</v>
      </c>
      <c r="G91" s="19">
        <f ca="1" t="shared" si="56"/>
        <v>34977.8558509967</v>
      </c>
      <c r="H91" s="11">
        <f ca="1" t="shared" si="57"/>
        <v>0.0730240324174127</v>
      </c>
      <c r="I91" s="19">
        <f ca="1" t="shared" si="58"/>
        <v>33309.6230695673</v>
      </c>
      <c r="J91" s="11">
        <f ca="1" t="shared" si="59"/>
        <v>0.927325568775038</v>
      </c>
      <c r="K91" s="19">
        <f ca="1" t="shared" si="60"/>
        <v>42665.3517734202</v>
      </c>
      <c r="L91" s="11">
        <f ca="1" t="shared" si="61"/>
        <v>0.166782234850732</v>
      </c>
      <c r="M91" s="19">
        <f ca="1" t="shared" si="62"/>
        <v>35001.733222355</v>
      </c>
      <c r="N91" s="11">
        <f ca="1" t="shared" si="63"/>
        <v>0.246957235038329</v>
      </c>
      <c r="O91" s="19">
        <f ca="1" t="shared" si="64"/>
        <v>36086.3441617895</v>
      </c>
      <c r="P91" s="11">
        <f ca="1" t="shared" si="65"/>
        <v>0.963736119899625</v>
      </c>
      <c r="Q91" s="12">
        <f ca="1" t="shared" si="66"/>
        <v>17.1920706455347</v>
      </c>
      <c r="R91" s="11">
        <f ca="1" t="shared" si="67"/>
        <v>0.336942501393171</v>
      </c>
      <c r="S91" s="12">
        <f ca="1" t="shared" si="68"/>
        <v>14.4627149703279</v>
      </c>
      <c r="T91" s="11">
        <f ca="1" t="shared" si="69"/>
        <v>0.11215490225278</v>
      </c>
      <c r="U91" s="12">
        <f ca="1" t="shared" si="70"/>
        <v>16.5346833377959</v>
      </c>
      <c r="V91" s="11">
        <f ca="1" t="shared" si="71"/>
        <v>0.413297502212256</v>
      </c>
      <c r="W91" s="12">
        <f ca="1" t="shared" si="72"/>
        <v>20.4684894987906</v>
      </c>
      <c r="X91" s="11">
        <f ca="1" t="shared" si="73"/>
        <v>0.600289100106779</v>
      </c>
      <c r="Y91" s="12">
        <f ca="1" t="shared" si="74"/>
        <v>23.3540998079776</v>
      </c>
      <c r="Z91" s="19">
        <f ca="1" t="shared" si="75"/>
        <v>40991.2735391933</v>
      </c>
      <c r="AA91" s="19">
        <f ca="1" t="shared" si="76"/>
        <v>44681.9366918205</v>
      </c>
      <c r="AB91" s="19">
        <f ca="1" t="shared" si="77"/>
        <v>66694.9270306989</v>
      </c>
      <c r="AC91" s="19">
        <f ca="1" t="shared" si="78"/>
        <v>65914.4277979624</v>
      </c>
      <c r="AD91" s="19">
        <f ca="1" t="shared" si="79"/>
        <v>83827.6730832845</v>
      </c>
      <c r="AE91" s="19">
        <f ca="1" t="shared" si="80"/>
        <v>15656.976258351</v>
      </c>
      <c r="AF91" s="19">
        <f ca="1" t="shared" si="81"/>
        <v>25334.2972808422</v>
      </c>
      <c r="AG91" s="19">
        <f ca="1" t="shared" si="82"/>
        <v>29024.9604334695</v>
      </c>
      <c r="AH91" s="19">
        <f ca="1" t="shared" si="83"/>
        <v>51037.9507723479</v>
      </c>
      <c r="AI91" s="19">
        <f ca="1" t="shared" si="84"/>
        <v>50257.4515396113</v>
      </c>
      <c r="AJ91" s="19">
        <f ca="1" t="shared" si="85"/>
        <v>68170.6968249335</v>
      </c>
      <c r="AK91" s="19">
        <f ca="1">AF91*$B$4</f>
        <v>12667.1486404211</v>
      </c>
      <c r="AL91" s="19">
        <f ca="1">AG91*$B$4</f>
        <v>14512.4802167347</v>
      </c>
      <c r="AM91" s="19">
        <f ca="1">AH91*$B$4</f>
        <v>25518.9753861739</v>
      </c>
      <c r="AN91" s="19">
        <f ca="1">AI91*$B$4</f>
        <v>25128.7257698057</v>
      </c>
      <c r="AO91" s="19">
        <f ca="1">AJ91*$B$4</f>
        <v>34085.3484124667</v>
      </c>
      <c r="AP91" s="19">
        <f ca="1" t="shared" si="86"/>
        <v>12667.1486404211</v>
      </c>
      <c r="AQ91" s="19">
        <f ca="1" t="shared" si="87"/>
        <v>14512.4802167347</v>
      </c>
      <c r="AR91" s="19">
        <f ca="1" t="shared" si="88"/>
        <v>25518.9753861739</v>
      </c>
      <c r="AS91" s="19">
        <f ca="1" t="shared" si="89"/>
        <v>25128.7257698057</v>
      </c>
      <c r="AT91" s="19">
        <f ca="1" t="shared" si="90"/>
        <v>34085.3484124667</v>
      </c>
      <c r="AU91" s="19">
        <f ca="1" t="shared" si="91"/>
        <v>41947.3966920162</v>
      </c>
      <c r="AV91" s="19">
        <f ca="1" t="shared" si="92"/>
        <v>-104575.30172542</v>
      </c>
      <c r="AW91" s="19">
        <f ca="1" t="shared" si="93"/>
        <v>28324.1248987722</v>
      </c>
      <c r="AX91" s="19">
        <f ca="1" t="shared" si="94"/>
        <v>30169.4564750858</v>
      </c>
      <c r="AY91" s="19">
        <f ca="1" t="shared" si="95"/>
        <v>41175.951644525</v>
      </c>
      <c r="AZ91" s="19">
        <f ca="1" t="shared" si="96"/>
        <v>40785.7020281567</v>
      </c>
      <c r="BA91" s="19">
        <f ca="1" t="shared" si="97"/>
        <v>91689.721362834</v>
      </c>
      <c r="BB91" s="20">
        <f ca="1" t="shared" si="98"/>
        <v>0.269859909906858</v>
      </c>
      <c r="BC91" s="19">
        <f ca="1">NPV($B$5,AW91:BA91)+AV91</f>
        <v>38846.0259871035</v>
      </c>
    </row>
    <row r="92" spans="1:55">
      <c r="A92" s="3">
        <v>68</v>
      </c>
      <c r="B92" s="11">
        <f ca="1" t="shared" si="51"/>
        <v>0.522889689498114</v>
      </c>
      <c r="C92" s="19">
        <f ca="1" t="shared" si="52"/>
        <v>-74950.6960695963</v>
      </c>
      <c r="D92" s="11">
        <f ca="1" t="shared" si="53"/>
        <v>0.171275980967891</v>
      </c>
      <c r="E92" s="19">
        <f ca="1" t="shared" si="54"/>
        <v>-34931.3318174116</v>
      </c>
      <c r="F92" s="11">
        <f ca="1" t="shared" si="55"/>
        <v>0.897443306636409</v>
      </c>
      <c r="G92" s="19">
        <f ca="1" t="shared" si="56"/>
        <v>42226.5991991295</v>
      </c>
      <c r="H92" s="11">
        <f ca="1" t="shared" si="57"/>
        <v>0.987470627860517</v>
      </c>
      <c r="I92" s="19">
        <f ca="1" t="shared" si="58"/>
        <v>44030.6172528556</v>
      </c>
      <c r="J92" s="11">
        <f ca="1" t="shared" si="59"/>
        <v>0.614281409019133</v>
      </c>
      <c r="K92" s="19">
        <f ca="1" t="shared" si="60"/>
        <v>39599.07346325</v>
      </c>
      <c r="L92" s="11">
        <f ca="1" t="shared" si="61"/>
        <v>0.169337983883197</v>
      </c>
      <c r="M92" s="19">
        <f ca="1" t="shared" si="62"/>
        <v>35039.9104736572</v>
      </c>
      <c r="N92" s="11">
        <f ca="1" t="shared" si="63"/>
        <v>0.564750908345838</v>
      </c>
      <c r="O92" s="19">
        <f ca="1" t="shared" si="64"/>
        <v>39203.9467758063</v>
      </c>
      <c r="P92" s="11">
        <f ca="1" t="shared" si="65"/>
        <v>0.864839069173428</v>
      </c>
      <c r="Q92" s="12">
        <f ca="1" t="shared" si="66"/>
        <v>16.4402254153634</v>
      </c>
      <c r="R92" s="11">
        <f ca="1" t="shared" si="67"/>
        <v>0.529547429527595</v>
      </c>
      <c r="S92" s="12">
        <f ca="1" t="shared" si="68"/>
        <v>15.0899920500962</v>
      </c>
      <c r="T92" s="11">
        <f ca="1" t="shared" si="69"/>
        <v>0.39763412866163</v>
      </c>
      <c r="U92" s="12">
        <f ca="1" t="shared" si="70"/>
        <v>17.8896914544453</v>
      </c>
      <c r="V92" s="11">
        <f ca="1" t="shared" si="71"/>
        <v>0.0617081362077292</v>
      </c>
      <c r="W92" s="12">
        <f ca="1" t="shared" si="72"/>
        <v>18.9294696912262</v>
      </c>
      <c r="X92" s="11">
        <f ca="1" t="shared" si="73"/>
        <v>0.554511268994278</v>
      </c>
      <c r="Y92" s="12">
        <f ca="1" t="shared" si="74"/>
        <v>23.0952684605262</v>
      </c>
      <c r="Z92" s="19">
        <f ca="1" t="shared" si="75"/>
        <v>49168.7472927084</v>
      </c>
      <c r="AA92" s="19">
        <f ca="1" t="shared" si="76"/>
        <v>59005.89081727</v>
      </c>
      <c r="AB92" s="19">
        <f ca="1" t="shared" si="77"/>
        <v>62560.6789131833</v>
      </c>
      <c r="AC92" s="19">
        <f ca="1" t="shared" si="78"/>
        <v>65836.828052656</v>
      </c>
      <c r="AD92" s="19">
        <f ca="1" t="shared" si="79"/>
        <v>90672.8072372209</v>
      </c>
      <c r="AE92" s="19">
        <f ca="1" t="shared" si="80"/>
        <v>14990.1392139193</v>
      </c>
      <c r="AF92" s="19">
        <f ca="1" t="shared" si="81"/>
        <v>34178.6080787891</v>
      </c>
      <c r="AG92" s="19">
        <f ca="1" t="shared" si="82"/>
        <v>44015.7516033507</v>
      </c>
      <c r="AH92" s="19">
        <f ca="1" t="shared" si="83"/>
        <v>47570.539699264</v>
      </c>
      <c r="AI92" s="19">
        <f ca="1" t="shared" si="84"/>
        <v>50846.6888387367</v>
      </c>
      <c r="AJ92" s="19">
        <f ca="1" t="shared" si="85"/>
        <v>75682.6680233016</v>
      </c>
      <c r="AK92" s="19">
        <f ca="1">AF92*$B$4</f>
        <v>17089.3040393946</v>
      </c>
      <c r="AL92" s="19">
        <f ca="1">AG92*$B$4</f>
        <v>22007.8758016754</v>
      </c>
      <c r="AM92" s="19">
        <f ca="1">AH92*$B$4</f>
        <v>23785.269849632</v>
      </c>
      <c r="AN92" s="19">
        <f ca="1">AI92*$B$4</f>
        <v>25423.3444193683</v>
      </c>
      <c r="AO92" s="19">
        <f ca="1">AJ92*$B$4</f>
        <v>37841.3340116508</v>
      </c>
      <c r="AP92" s="19">
        <f ca="1" t="shared" si="86"/>
        <v>17089.3040393946</v>
      </c>
      <c r="AQ92" s="19">
        <f ca="1" t="shared" si="87"/>
        <v>22007.8758016754</v>
      </c>
      <c r="AR92" s="19">
        <f ca="1" t="shared" si="88"/>
        <v>23785.269849632</v>
      </c>
      <c r="AS92" s="19">
        <f ca="1" t="shared" si="89"/>
        <v>25423.3444193683</v>
      </c>
      <c r="AT92" s="19">
        <f ca="1" t="shared" si="90"/>
        <v>37841.3340116508</v>
      </c>
      <c r="AU92" s="19">
        <f ca="1" t="shared" si="91"/>
        <v>49921.4710313309</v>
      </c>
      <c r="AV92" s="19">
        <f ca="1" t="shared" si="92"/>
        <v>-109882.027887008</v>
      </c>
      <c r="AW92" s="19">
        <f ca="1" t="shared" si="93"/>
        <v>32079.4432533138</v>
      </c>
      <c r="AX92" s="19">
        <f ca="1" t="shared" si="94"/>
        <v>36998.0150155946</v>
      </c>
      <c r="AY92" s="19">
        <f ca="1" t="shared" si="95"/>
        <v>38775.4090635513</v>
      </c>
      <c r="AZ92" s="19">
        <f ca="1" t="shared" si="96"/>
        <v>40413.4836332876</v>
      </c>
      <c r="BA92" s="19">
        <f ca="1" t="shared" si="97"/>
        <v>102752.944256901</v>
      </c>
      <c r="BB92" s="20">
        <f ca="1" t="shared" si="98"/>
        <v>0.284663796646224</v>
      </c>
      <c r="BC92" s="19">
        <f ca="1">NPV($B$5,AW92:BA92)+AV92</f>
        <v>45677.3295954069</v>
      </c>
    </row>
    <row r="93" spans="1:55">
      <c r="A93" s="3">
        <v>69</v>
      </c>
      <c r="B93" s="11">
        <f ca="1" t="shared" si="51"/>
        <v>0.0692016559522266</v>
      </c>
      <c r="C93" s="19">
        <f ca="1" t="shared" si="52"/>
        <v>-90887.2623683839</v>
      </c>
      <c r="D93" s="11">
        <f ca="1" t="shared" si="53"/>
        <v>0.649802766747398</v>
      </c>
      <c r="E93" s="19">
        <f ca="1" t="shared" si="54"/>
        <v>-30127.2893786909</v>
      </c>
      <c r="F93" s="11">
        <f ca="1" t="shared" si="55"/>
        <v>0.353600672049994</v>
      </c>
      <c r="G93" s="19">
        <f ca="1" t="shared" si="56"/>
        <v>37282.8635032863</v>
      </c>
      <c r="H93" s="11">
        <f ca="1" t="shared" si="57"/>
        <v>0.454994291950071</v>
      </c>
      <c r="I93" s="19">
        <f ca="1" t="shared" si="58"/>
        <v>38261.304000732</v>
      </c>
      <c r="J93" s="11">
        <f ca="1" t="shared" si="59"/>
        <v>0.651447441037933</v>
      </c>
      <c r="K93" s="19">
        <f ca="1" t="shared" si="60"/>
        <v>39885.1968192692</v>
      </c>
      <c r="L93" s="11">
        <f ca="1" t="shared" si="61"/>
        <v>0.828056192252486</v>
      </c>
      <c r="M93" s="19">
        <f ca="1" t="shared" si="62"/>
        <v>41408.9297443431</v>
      </c>
      <c r="N93" s="11">
        <f ca="1" t="shared" si="63"/>
        <v>0.978082376110647</v>
      </c>
      <c r="O93" s="19">
        <f ca="1" t="shared" si="64"/>
        <v>43717.8838618513</v>
      </c>
      <c r="P93" s="11">
        <f ca="1" t="shared" si="65"/>
        <v>0.551544346915401</v>
      </c>
      <c r="Q93" s="12">
        <f ca="1" t="shared" si="66"/>
        <v>15.1588379568348</v>
      </c>
      <c r="R93" s="11">
        <f ca="1" t="shared" si="67"/>
        <v>0.759847711583863</v>
      </c>
      <c r="S93" s="12">
        <f ca="1" t="shared" si="68"/>
        <v>15.9208797073064</v>
      </c>
      <c r="T93" s="11">
        <f ca="1" t="shared" si="69"/>
        <v>0.0474104352507279</v>
      </c>
      <c r="U93" s="12">
        <f ca="1" t="shared" si="70"/>
        <v>15.9978071658719</v>
      </c>
      <c r="V93" s="11">
        <f ca="1" t="shared" si="71"/>
        <v>0.113527013821813</v>
      </c>
      <c r="W93" s="12">
        <f ca="1" t="shared" si="72"/>
        <v>19.2607054348679</v>
      </c>
      <c r="X93" s="11">
        <f ca="1" t="shared" si="73"/>
        <v>0.783510244242653</v>
      </c>
      <c r="Y93" s="12">
        <f ca="1" t="shared" si="74"/>
        <v>24.5808704600591</v>
      </c>
      <c r="Z93" s="19">
        <f ca="1" t="shared" si="75"/>
        <v>42934.5123674173</v>
      </c>
      <c r="AA93" s="19">
        <f ca="1" t="shared" si="76"/>
        <v>51076.2153580539</v>
      </c>
      <c r="AB93" s="19">
        <f ca="1" t="shared" si="77"/>
        <v>61761.8734213203</v>
      </c>
      <c r="AC93" s="19">
        <f ca="1" t="shared" si="78"/>
        <v>76471.5866729958</v>
      </c>
      <c r="AD93" s="19">
        <f ca="1" t="shared" si="79"/>
        <v>100581.148049077</v>
      </c>
      <c r="AE93" s="19">
        <f ca="1" t="shared" si="80"/>
        <v>18177.4524736768</v>
      </c>
      <c r="AF93" s="19">
        <f ca="1" t="shared" si="81"/>
        <v>24757.0598937405</v>
      </c>
      <c r="AG93" s="19">
        <f ca="1" t="shared" si="82"/>
        <v>32898.7628843771</v>
      </c>
      <c r="AH93" s="19">
        <f ca="1" t="shared" si="83"/>
        <v>43584.4209476435</v>
      </c>
      <c r="AI93" s="19">
        <f ca="1" t="shared" si="84"/>
        <v>58294.134199319</v>
      </c>
      <c r="AJ93" s="19">
        <f ca="1" t="shared" si="85"/>
        <v>82403.6955754006</v>
      </c>
      <c r="AK93" s="19">
        <f ca="1">AF93*$B$4</f>
        <v>12378.5299468703</v>
      </c>
      <c r="AL93" s="19">
        <f ca="1">AG93*$B$4</f>
        <v>16449.3814421886</v>
      </c>
      <c r="AM93" s="19">
        <f ca="1">AH93*$B$4</f>
        <v>21792.2104738218</v>
      </c>
      <c r="AN93" s="19">
        <f ca="1">AI93*$B$4</f>
        <v>29147.0670996595</v>
      </c>
      <c r="AO93" s="19">
        <f ca="1">AJ93*$B$4</f>
        <v>41201.8477877003</v>
      </c>
      <c r="AP93" s="19">
        <f ca="1" t="shared" si="86"/>
        <v>12378.5299468703</v>
      </c>
      <c r="AQ93" s="19">
        <f ca="1" t="shared" si="87"/>
        <v>16449.3814421886</v>
      </c>
      <c r="AR93" s="19">
        <f ca="1" t="shared" si="88"/>
        <v>21792.2104738218</v>
      </c>
      <c r="AS93" s="19">
        <f ca="1" t="shared" si="89"/>
        <v>29147.0670996595</v>
      </c>
      <c r="AT93" s="19">
        <f ca="1" t="shared" si="90"/>
        <v>41201.8477877003</v>
      </c>
      <c r="AU93" s="19">
        <f ca="1" t="shared" si="91"/>
        <v>48304.7418523677</v>
      </c>
      <c r="AV93" s="19">
        <f ca="1" t="shared" si="92"/>
        <v>-121014.551747075</v>
      </c>
      <c r="AW93" s="19">
        <f ca="1" t="shared" si="93"/>
        <v>30555.9824205471</v>
      </c>
      <c r="AX93" s="19">
        <f ca="1" t="shared" si="94"/>
        <v>34626.8339158653</v>
      </c>
      <c r="AY93" s="19">
        <f ca="1" t="shared" si="95"/>
        <v>39969.6629474986</v>
      </c>
      <c r="AZ93" s="19">
        <f ca="1" t="shared" si="96"/>
        <v>47324.5195733363</v>
      </c>
      <c r="BA93" s="19">
        <f ca="1" t="shared" si="97"/>
        <v>107684.042113745</v>
      </c>
      <c r="BB93" s="20">
        <f ca="1" t="shared" si="98"/>
        <v>0.252373140182454</v>
      </c>
      <c r="BC93" s="19">
        <f ca="1">NPV($B$5,AW93:BA93)+AV93</f>
        <v>38615.3792899091</v>
      </c>
    </row>
    <row r="94" spans="1:55">
      <c r="A94" s="3">
        <v>70</v>
      </c>
      <c r="B94" s="11">
        <f ca="1" t="shared" si="51"/>
        <v>0.536598107832204</v>
      </c>
      <c r="C94" s="19">
        <f ca="1" t="shared" si="52"/>
        <v>-74624.4659287997</v>
      </c>
      <c r="D94" s="11">
        <f ca="1" t="shared" si="53"/>
        <v>0.454066788015965</v>
      </c>
      <c r="E94" s="19">
        <f ca="1" t="shared" si="54"/>
        <v>-31747.1206114233</v>
      </c>
      <c r="F94" s="11">
        <f ca="1" t="shared" si="55"/>
        <v>0.853961213374723</v>
      </c>
      <c r="G94" s="19">
        <f ca="1" t="shared" si="56"/>
        <v>41690.4820597411</v>
      </c>
      <c r="H94" s="11">
        <f ca="1" t="shared" si="57"/>
        <v>0.686811094032688</v>
      </c>
      <c r="I94" s="19">
        <f ca="1" t="shared" si="58"/>
        <v>40153.4375122621</v>
      </c>
      <c r="J94" s="11">
        <f ca="1" t="shared" si="59"/>
        <v>0.804033467311114</v>
      </c>
      <c r="K94" s="19">
        <f ca="1" t="shared" si="60"/>
        <v>41166.2694471747</v>
      </c>
      <c r="L94" s="11">
        <f ca="1" t="shared" si="61"/>
        <v>0.921474543573377</v>
      </c>
      <c r="M94" s="19">
        <f ca="1" t="shared" si="62"/>
        <v>42573.1894940073</v>
      </c>
      <c r="N94" s="11">
        <f ca="1" t="shared" si="63"/>
        <v>0.583256426579462</v>
      </c>
      <c r="O94" s="19">
        <f ca="1" t="shared" si="64"/>
        <v>39353.526820773</v>
      </c>
      <c r="P94" s="11">
        <f ca="1" t="shared" si="65"/>
        <v>0.762472373227243</v>
      </c>
      <c r="Q94" s="12">
        <f ca="1" t="shared" si="66"/>
        <v>15.9322724352784</v>
      </c>
      <c r="R94" s="11">
        <f ca="1" t="shared" si="67"/>
        <v>0.289456534734811</v>
      </c>
      <c r="S94" s="12">
        <f ca="1" t="shared" si="68"/>
        <v>14.2825901132763</v>
      </c>
      <c r="T94" s="11">
        <f ca="1" t="shared" si="69"/>
        <v>0.298919523953809</v>
      </c>
      <c r="U94" s="12">
        <f ca="1" t="shared" si="70"/>
        <v>17.5054560469164</v>
      </c>
      <c r="V94" s="11">
        <f ca="1" t="shared" si="71"/>
        <v>0.386856145586526</v>
      </c>
      <c r="W94" s="12">
        <f ca="1" t="shared" si="72"/>
        <v>20.3675023038892</v>
      </c>
      <c r="X94" s="11">
        <f ca="1" t="shared" si="73"/>
        <v>0.2854663638041</v>
      </c>
      <c r="Y94" s="12">
        <f ca="1" t="shared" si="74"/>
        <v>21.7762549995832</v>
      </c>
      <c r="Z94" s="19">
        <f ca="1" t="shared" si="75"/>
        <v>48332.7232410799</v>
      </c>
      <c r="AA94" s="19">
        <f ca="1" t="shared" si="76"/>
        <v>53199.4514659345</v>
      </c>
      <c r="AB94" s="19">
        <f ca="1" t="shared" si="77"/>
        <v>64089.0697899279</v>
      </c>
      <c r="AC94" s="19">
        <f ca="1" t="shared" si="78"/>
        <v>79778.8721657897</v>
      </c>
      <c r="AD94" s="19">
        <f ca="1" t="shared" si="79"/>
        <v>89804.4749408679</v>
      </c>
      <c r="AE94" s="19">
        <f ca="1" t="shared" si="80"/>
        <v>14924.8931857599</v>
      </c>
      <c r="AF94" s="19">
        <f ca="1" t="shared" si="81"/>
        <v>33407.8300553199</v>
      </c>
      <c r="AG94" s="19">
        <f ca="1" t="shared" si="82"/>
        <v>38274.5582801746</v>
      </c>
      <c r="AH94" s="19">
        <f ca="1" t="shared" si="83"/>
        <v>49164.1766041679</v>
      </c>
      <c r="AI94" s="19">
        <f ca="1" t="shared" si="84"/>
        <v>64853.9789800298</v>
      </c>
      <c r="AJ94" s="19">
        <f ca="1" t="shared" si="85"/>
        <v>74879.581755108</v>
      </c>
      <c r="AK94" s="19">
        <f ca="1">AF94*$B$4</f>
        <v>16703.91502766</v>
      </c>
      <c r="AL94" s="19">
        <f ca="1">AG94*$B$4</f>
        <v>19137.2791400873</v>
      </c>
      <c r="AM94" s="19">
        <f ca="1">AH94*$B$4</f>
        <v>24582.088302084</v>
      </c>
      <c r="AN94" s="19">
        <f ca="1">AI94*$B$4</f>
        <v>32426.9894900149</v>
      </c>
      <c r="AO94" s="19">
        <f ca="1">AJ94*$B$4</f>
        <v>37439.790877554</v>
      </c>
      <c r="AP94" s="19">
        <f ca="1" t="shared" si="86"/>
        <v>16703.91502766</v>
      </c>
      <c r="AQ94" s="19">
        <f ca="1" t="shared" si="87"/>
        <v>19137.2791400873</v>
      </c>
      <c r="AR94" s="19">
        <f ca="1" t="shared" si="88"/>
        <v>24582.088302084</v>
      </c>
      <c r="AS94" s="19">
        <f ca="1" t="shared" si="89"/>
        <v>32426.9894900149</v>
      </c>
      <c r="AT94" s="19">
        <f ca="1" t="shared" si="90"/>
        <v>37439.790877554</v>
      </c>
      <c r="AU94" s="19">
        <f ca="1" t="shared" si="91"/>
        <v>46672.0137971832</v>
      </c>
      <c r="AV94" s="19">
        <f ca="1" t="shared" si="92"/>
        <v>-106371.586540223</v>
      </c>
      <c r="AW94" s="19">
        <f ca="1" t="shared" si="93"/>
        <v>31628.8082134199</v>
      </c>
      <c r="AX94" s="19">
        <f ca="1" t="shared" si="94"/>
        <v>34062.1723258472</v>
      </c>
      <c r="AY94" s="19">
        <f ca="1" t="shared" si="95"/>
        <v>39506.9814878439</v>
      </c>
      <c r="AZ94" s="19">
        <f ca="1" t="shared" si="96"/>
        <v>47351.8826757748</v>
      </c>
      <c r="BA94" s="19">
        <f ca="1" t="shared" si="97"/>
        <v>99036.6978604972</v>
      </c>
      <c r="BB94" s="20">
        <f ca="1" t="shared" si="98"/>
        <v>0.297351046014926</v>
      </c>
      <c r="BC94" s="19">
        <f ca="1">NPV($B$5,AW94:BA94)+AV94</f>
        <v>49176.4371927359</v>
      </c>
    </row>
    <row r="95" spans="1:55">
      <c r="A95" s="3">
        <v>71</v>
      </c>
      <c r="B95" s="11">
        <f ca="1" t="shared" si="51"/>
        <v>0.339771350303108</v>
      </c>
      <c r="C95" s="19">
        <f ca="1" t="shared" si="52"/>
        <v>-79807.7831736154</v>
      </c>
      <c r="D95" s="11">
        <f ca="1" t="shared" si="53"/>
        <v>0.37123345971351</v>
      </c>
      <c r="E95" s="19">
        <f ca="1" t="shared" si="54"/>
        <v>-32537.7604596859</v>
      </c>
      <c r="F95" s="11">
        <f ca="1" t="shared" si="55"/>
        <v>0.494682411333725</v>
      </c>
      <c r="G95" s="19">
        <f ca="1" t="shared" si="56"/>
        <v>38614.0792717538</v>
      </c>
      <c r="H95" s="11">
        <f ca="1" t="shared" si="57"/>
        <v>0.588904164787233</v>
      </c>
      <c r="I95" s="19">
        <f ca="1" t="shared" si="58"/>
        <v>39398.7033530208</v>
      </c>
      <c r="J95" s="11">
        <f ca="1" t="shared" si="59"/>
        <v>0.602124532975077</v>
      </c>
      <c r="K95" s="19">
        <f ca="1" t="shared" si="60"/>
        <v>39503.6140465752</v>
      </c>
      <c r="L95" s="11">
        <f ca="1" t="shared" si="61"/>
        <v>0.00548498251625107</v>
      </c>
      <c r="M95" s="19">
        <f ca="1" t="shared" si="62"/>
        <v>30907.0542307038</v>
      </c>
      <c r="N95" s="11">
        <f ca="1" t="shared" si="63"/>
        <v>0.531037722419913</v>
      </c>
      <c r="O95" s="19">
        <f ca="1" t="shared" si="64"/>
        <v>38925.0018690747</v>
      </c>
      <c r="P95" s="11">
        <f ca="1" t="shared" si="65"/>
        <v>0.43630624783507</v>
      </c>
      <c r="Q95" s="12">
        <f ca="1" t="shared" si="66"/>
        <v>14.8024119006726</v>
      </c>
      <c r="R95" s="11">
        <f ca="1" t="shared" si="67"/>
        <v>0.467353021421884</v>
      </c>
      <c r="S95" s="12">
        <f ca="1" t="shared" si="68"/>
        <v>14.9004059001447</v>
      </c>
      <c r="T95" s="11">
        <f ca="1" t="shared" si="69"/>
        <v>0.652087485138353</v>
      </c>
      <c r="U95" s="12">
        <f ca="1" t="shared" si="70"/>
        <v>18.8788543103331</v>
      </c>
      <c r="V95" s="11">
        <f ca="1" t="shared" si="71"/>
        <v>0.804192658322569</v>
      </c>
      <c r="W95" s="12">
        <f ca="1" t="shared" si="72"/>
        <v>22.3821273983041</v>
      </c>
      <c r="X95" s="11">
        <f ca="1" t="shared" si="73"/>
        <v>0.627724979580086</v>
      </c>
      <c r="Y95" s="12">
        <f ca="1" t="shared" si="74"/>
        <v>23.5163796879446</v>
      </c>
      <c r="Z95" s="19">
        <f ca="1" t="shared" si="75"/>
        <v>44329.894337211</v>
      </c>
      <c r="AA95" s="19">
        <f ca="1" t="shared" si="76"/>
        <v>51970.2138925024</v>
      </c>
      <c r="AB95" s="19">
        <f ca="1" t="shared" si="77"/>
        <v>61946.1066163899</v>
      </c>
      <c r="AC95" s="19">
        <f ca="1" t="shared" si="78"/>
        <v>59313.3971386457</v>
      </c>
      <c r="AD95" s="19">
        <f ca="1" t="shared" si="79"/>
        <v>92267.4207445338</v>
      </c>
      <c r="AE95" s="19">
        <f ca="1" t="shared" si="80"/>
        <v>15961.5566347231</v>
      </c>
      <c r="AF95" s="19">
        <f ca="1" t="shared" si="81"/>
        <v>28368.337702488</v>
      </c>
      <c r="AG95" s="19">
        <f ca="1" t="shared" si="82"/>
        <v>36008.6572577793</v>
      </c>
      <c r="AH95" s="19">
        <f ca="1" t="shared" si="83"/>
        <v>45984.5499816668</v>
      </c>
      <c r="AI95" s="19">
        <f ca="1" t="shared" si="84"/>
        <v>43351.8405039226</v>
      </c>
      <c r="AJ95" s="19">
        <f ca="1" t="shared" si="85"/>
        <v>76305.8641098107</v>
      </c>
      <c r="AK95" s="19">
        <f ca="1">AF95*$B$4</f>
        <v>14184.168851244</v>
      </c>
      <c r="AL95" s="19">
        <f ca="1">AG95*$B$4</f>
        <v>18004.3286288896</v>
      </c>
      <c r="AM95" s="19">
        <f ca="1">AH95*$B$4</f>
        <v>22992.2749908334</v>
      </c>
      <c r="AN95" s="19">
        <f ca="1">AI95*$B$4</f>
        <v>21675.9202519613</v>
      </c>
      <c r="AO95" s="19">
        <f ca="1">AJ95*$B$4</f>
        <v>38152.9320549054</v>
      </c>
      <c r="AP95" s="19">
        <f ca="1" t="shared" si="86"/>
        <v>14184.168851244</v>
      </c>
      <c r="AQ95" s="19">
        <f ca="1" t="shared" si="87"/>
        <v>18004.3286288896</v>
      </c>
      <c r="AR95" s="19">
        <f ca="1" t="shared" si="88"/>
        <v>22992.2749908334</v>
      </c>
      <c r="AS95" s="19">
        <f ca="1" t="shared" si="89"/>
        <v>21675.9202519613</v>
      </c>
      <c r="AT95" s="19">
        <f ca="1" t="shared" si="90"/>
        <v>38152.9320549054</v>
      </c>
      <c r="AU95" s="19">
        <f ca="1" t="shared" si="91"/>
        <v>48499.317094409</v>
      </c>
      <c r="AV95" s="19">
        <f ca="1" t="shared" si="92"/>
        <v>-112345.543633301</v>
      </c>
      <c r="AW95" s="19">
        <f ca="1" t="shared" si="93"/>
        <v>30145.7254859671</v>
      </c>
      <c r="AX95" s="19">
        <f ca="1" t="shared" si="94"/>
        <v>33965.8852636127</v>
      </c>
      <c r="AY95" s="19">
        <f ca="1" t="shared" si="95"/>
        <v>38953.8316255565</v>
      </c>
      <c r="AZ95" s="19">
        <f ca="1" t="shared" si="96"/>
        <v>37637.4768866844</v>
      </c>
      <c r="BA95" s="19">
        <f ca="1" t="shared" si="97"/>
        <v>102613.805784037</v>
      </c>
      <c r="BB95" s="20">
        <f ca="1" t="shared" si="98"/>
        <v>0.258879519580609</v>
      </c>
      <c r="BC95" s="19">
        <f ca="1">NPV($B$5,AW95:BA95)+AV95</f>
        <v>37700.5428798932</v>
      </c>
    </row>
    <row r="96" spans="1:55">
      <c r="A96" s="3">
        <v>72</v>
      </c>
      <c r="B96" s="11">
        <f ca="1" t="shared" si="51"/>
        <v>0.701747070096937</v>
      </c>
      <c r="C96" s="19">
        <f ca="1" t="shared" si="52"/>
        <v>-70981.101259415</v>
      </c>
      <c r="D96" s="11">
        <f ca="1" t="shared" si="53"/>
        <v>0.199825199485351</v>
      </c>
      <c r="E96" s="19">
        <f ca="1" t="shared" si="54"/>
        <v>-34525.1685027937</v>
      </c>
      <c r="F96" s="11">
        <f ca="1" t="shared" si="55"/>
        <v>0.242420814209828</v>
      </c>
      <c r="G96" s="19">
        <f ca="1" t="shared" si="56"/>
        <v>36030.1842535261</v>
      </c>
      <c r="H96" s="11">
        <f ca="1" t="shared" si="57"/>
        <v>0.335560554058136</v>
      </c>
      <c r="I96" s="19">
        <f ca="1" t="shared" si="58"/>
        <v>37094.6517256818</v>
      </c>
      <c r="J96" s="11">
        <f ca="1" t="shared" si="59"/>
        <v>0.316718834564726</v>
      </c>
      <c r="K96" s="19">
        <f ca="1" t="shared" si="60"/>
        <v>36892.5920512322</v>
      </c>
      <c r="L96" s="11">
        <f ca="1" t="shared" si="61"/>
        <v>0.884830916498176</v>
      </c>
      <c r="M96" s="19">
        <f ca="1" t="shared" si="62"/>
        <v>42061.0067603622</v>
      </c>
      <c r="N96" s="11">
        <f ca="1" t="shared" si="63"/>
        <v>0.943643494708546</v>
      </c>
      <c r="O96" s="19">
        <f ca="1" t="shared" si="64"/>
        <v>42944.0968172458</v>
      </c>
      <c r="P96" s="11">
        <f ca="1" t="shared" si="65"/>
        <v>0.528870529189113</v>
      </c>
      <c r="Q96" s="12">
        <f ca="1" t="shared" si="66"/>
        <v>15.0878993021195</v>
      </c>
      <c r="R96" s="11">
        <f ca="1" t="shared" si="67"/>
        <v>0.0553265146567945</v>
      </c>
      <c r="S96" s="12">
        <f ca="1" t="shared" si="68"/>
        <v>12.997936502901</v>
      </c>
      <c r="T96" s="11">
        <f ca="1" t="shared" si="69"/>
        <v>0.885087211831074</v>
      </c>
      <c r="U96" s="12">
        <f ca="1" t="shared" si="70"/>
        <v>20.206244702104</v>
      </c>
      <c r="V96" s="11">
        <f ca="1" t="shared" si="71"/>
        <v>0.132218378046938</v>
      </c>
      <c r="W96" s="12">
        <f ca="1" t="shared" si="72"/>
        <v>19.3605356638681</v>
      </c>
      <c r="X96" s="11">
        <f ca="1" t="shared" si="73"/>
        <v>0.422127918100261</v>
      </c>
      <c r="Y96" s="12">
        <f ca="1" t="shared" si="74"/>
        <v>22.4138481561467</v>
      </c>
      <c r="Z96" s="19">
        <f ca="1" t="shared" si="75"/>
        <v>41466.3821720662</v>
      </c>
      <c r="AA96" s="19">
        <f ca="1" t="shared" si="76"/>
        <v>48240.4636927687</v>
      </c>
      <c r="AB96" s="19">
        <f ca="1" t="shared" si="77"/>
        <v>57672.1809418112</v>
      </c>
      <c r="AC96" s="19">
        <f ca="1" t="shared" si="78"/>
        <v>78481.5602240043</v>
      </c>
      <c r="AD96" s="19">
        <f ca="1" t="shared" si="79"/>
        <v>98089.3797595557</v>
      </c>
      <c r="AE96" s="19">
        <f ca="1" t="shared" si="80"/>
        <v>14196.220251883</v>
      </c>
      <c r="AF96" s="19">
        <f ca="1" t="shared" si="81"/>
        <v>27270.1619201832</v>
      </c>
      <c r="AG96" s="19">
        <f ca="1" t="shared" si="82"/>
        <v>34044.2434408857</v>
      </c>
      <c r="AH96" s="19">
        <f ca="1" t="shared" si="83"/>
        <v>43475.9606899282</v>
      </c>
      <c r="AI96" s="19">
        <f ca="1" t="shared" si="84"/>
        <v>64285.3399721213</v>
      </c>
      <c r="AJ96" s="19">
        <f ca="1" t="shared" si="85"/>
        <v>83893.1595076727</v>
      </c>
      <c r="AK96" s="19">
        <f ca="1">AF96*$B$4</f>
        <v>13635.0809600916</v>
      </c>
      <c r="AL96" s="19">
        <f ca="1">AG96*$B$4</f>
        <v>17022.1217204428</v>
      </c>
      <c r="AM96" s="19">
        <f ca="1">AH96*$B$4</f>
        <v>21737.9803449641</v>
      </c>
      <c r="AN96" s="19">
        <f ca="1">AI96*$B$4</f>
        <v>32142.6699860607</v>
      </c>
      <c r="AO96" s="19">
        <f ca="1">AJ96*$B$4</f>
        <v>41946.5797538363</v>
      </c>
      <c r="AP96" s="19">
        <f ca="1" t="shared" si="86"/>
        <v>13635.0809600916</v>
      </c>
      <c r="AQ96" s="19">
        <f ca="1" t="shared" si="87"/>
        <v>17022.1217204428</v>
      </c>
      <c r="AR96" s="19">
        <f ca="1" t="shared" si="88"/>
        <v>21737.9803449641</v>
      </c>
      <c r="AS96" s="19">
        <f ca="1" t="shared" si="89"/>
        <v>32142.6699860607</v>
      </c>
      <c r="AT96" s="19">
        <f ca="1" t="shared" si="90"/>
        <v>41946.5797538363</v>
      </c>
      <c r="AU96" s="19">
        <f ca="1" t="shared" si="91"/>
        <v>48721.3887546767</v>
      </c>
      <c r="AV96" s="19">
        <f ca="1" t="shared" si="92"/>
        <v>-105506.269762209</v>
      </c>
      <c r="AW96" s="19">
        <f ca="1" t="shared" si="93"/>
        <v>27831.3012119746</v>
      </c>
      <c r="AX96" s="19">
        <f ca="1" t="shared" si="94"/>
        <v>31218.3419723258</v>
      </c>
      <c r="AY96" s="19">
        <f ca="1" t="shared" si="95"/>
        <v>35934.2005968471</v>
      </c>
      <c r="AZ96" s="19">
        <f ca="1" t="shared" si="96"/>
        <v>46338.8902379437</v>
      </c>
      <c r="BA96" s="19">
        <f ca="1" t="shared" si="97"/>
        <v>104864.188760396</v>
      </c>
      <c r="BB96" s="20">
        <f ca="1" t="shared" si="98"/>
        <v>0.280800732006304</v>
      </c>
      <c r="BC96" s="19">
        <f ca="1">NPV($B$5,AW96:BA96)+AV96</f>
        <v>44558.1794125597</v>
      </c>
    </row>
    <row r="97" spans="1:55">
      <c r="A97" s="3">
        <v>73</v>
      </c>
      <c r="B97" s="11">
        <f ca="1" t="shared" si="51"/>
        <v>0.634386252814265</v>
      </c>
      <c r="C97" s="19">
        <f ca="1" t="shared" si="52"/>
        <v>-72408.9959701152</v>
      </c>
      <c r="D97" s="11">
        <f ca="1" t="shared" si="53"/>
        <v>0.785050183571958</v>
      </c>
      <c r="E97" s="19">
        <f ca="1" t="shared" si="54"/>
        <v>-29015.1259297939</v>
      </c>
      <c r="F97" s="11">
        <f ca="1" t="shared" si="55"/>
        <v>0.869814710519358</v>
      </c>
      <c r="G97" s="19">
        <f ca="1" t="shared" si="56"/>
        <v>41875.2765384681</v>
      </c>
      <c r="H97" s="11">
        <f ca="1" t="shared" si="57"/>
        <v>0.442595255943979</v>
      </c>
      <c r="I97" s="19">
        <f ca="1" t="shared" si="58"/>
        <v>38147.9622232554</v>
      </c>
      <c r="J97" s="11">
        <f ca="1" t="shared" si="59"/>
        <v>0.928989564669076</v>
      </c>
      <c r="K97" s="19">
        <f ca="1" t="shared" si="60"/>
        <v>42692.2342731942</v>
      </c>
      <c r="L97" s="11">
        <f ca="1" t="shared" si="61"/>
        <v>0.0549812091267832</v>
      </c>
      <c r="M97" s="19">
        <f ca="1" t="shared" si="62"/>
        <v>32871.7906206786</v>
      </c>
      <c r="N97" s="11">
        <f ca="1" t="shared" si="63"/>
        <v>0.167611067419761</v>
      </c>
      <c r="O97" s="19">
        <f ca="1" t="shared" si="64"/>
        <v>35014.1460003638</v>
      </c>
      <c r="P97" s="11">
        <f ca="1" t="shared" si="65"/>
        <v>0.0890728592827084</v>
      </c>
      <c r="Q97" s="12">
        <f ca="1" t="shared" si="66"/>
        <v>13.2662193597828</v>
      </c>
      <c r="R97" s="11">
        <f ca="1" t="shared" si="67"/>
        <v>0.446642571217687</v>
      </c>
      <c r="S97" s="12">
        <f ca="1" t="shared" si="68"/>
        <v>14.8354128944333</v>
      </c>
      <c r="T97" s="11">
        <f ca="1" t="shared" si="69"/>
        <v>0.226218582580909</v>
      </c>
      <c r="U97" s="12">
        <f ca="1" t="shared" si="70"/>
        <v>17.1795848765761</v>
      </c>
      <c r="V97" s="11">
        <f ca="1" t="shared" si="71"/>
        <v>0.161865000116615</v>
      </c>
      <c r="W97" s="12">
        <f ca="1" t="shared" si="72"/>
        <v>19.5053604225011</v>
      </c>
      <c r="X97" s="11">
        <f ca="1" t="shared" si="73"/>
        <v>0.571565687598119</v>
      </c>
      <c r="Y97" s="12">
        <f ca="1" t="shared" si="74"/>
        <v>23.1900672697322</v>
      </c>
      <c r="Z97" s="19">
        <f ca="1" t="shared" si="75"/>
        <v>47430.5425815769</v>
      </c>
      <c r="AA97" s="19">
        <f ca="1" t="shared" si="76"/>
        <v>49618.9517205382</v>
      </c>
      <c r="AB97" s="19">
        <f ca="1" t="shared" si="77"/>
        <v>65069.441636916</v>
      </c>
      <c r="AC97" s="19">
        <f ca="1" t="shared" si="78"/>
        <v>59874.0925245291</v>
      </c>
      <c r="AD97" s="19">
        <f ca="1" t="shared" si="79"/>
        <v>78566.0307877636</v>
      </c>
      <c r="AE97" s="19">
        <f ca="1" t="shared" si="80"/>
        <v>14481.799194023</v>
      </c>
      <c r="AF97" s="19">
        <f ca="1" t="shared" si="81"/>
        <v>32948.7433875538</v>
      </c>
      <c r="AG97" s="19">
        <f ca="1" t="shared" si="82"/>
        <v>35137.1525265151</v>
      </c>
      <c r="AH97" s="19">
        <f ca="1" t="shared" si="83"/>
        <v>50587.642442893</v>
      </c>
      <c r="AI97" s="19">
        <f ca="1" t="shared" si="84"/>
        <v>45392.293330506</v>
      </c>
      <c r="AJ97" s="19">
        <f ca="1" t="shared" si="85"/>
        <v>64084.2315937406</v>
      </c>
      <c r="AK97" s="19">
        <f ca="1">AF97*$B$4</f>
        <v>16474.3716937769</v>
      </c>
      <c r="AL97" s="19">
        <f ca="1">AG97*$B$4</f>
        <v>17568.5762632576</v>
      </c>
      <c r="AM97" s="19">
        <f ca="1">AH97*$B$4</f>
        <v>25293.8212214465</v>
      </c>
      <c r="AN97" s="19">
        <f ca="1">AI97*$B$4</f>
        <v>22696.146665253</v>
      </c>
      <c r="AO97" s="19">
        <f ca="1">AJ97*$B$4</f>
        <v>32042.1157968703</v>
      </c>
      <c r="AP97" s="19">
        <f ca="1" t="shared" si="86"/>
        <v>16474.3716937769</v>
      </c>
      <c r="AQ97" s="19">
        <f ca="1" t="shared" si="87"/>
        <v>17568.5762632576</v>
      </c>
      <c r="AR97" s="19">
        <f ca="1" t="shared" si="88"/>
        <v>25293.8212214465</v>
      </c>
      <c r="AS97" s="19">
        <f ca="1" t="shared" si="89"/>
        <v>22696.146665253</v>
      </c>
      <c r="AT97" s="19">
        <f ca="1" t="shared" si="90"/>
        <v>32042.1157968703</v>
      </c>
      <c r="AU97" s="19">
        <f ca="1" t="shared" si="91"/>
        <v>43496.9251238169</v>
      </c>
      <c r="AV97" s="19">
        <f ca="1" t="shared" si="92"/>
        <v>-101424.121899909</v>
      </c>
      <c r="AW97" s="19">
        <f ca="1" t="shared" si="93"/>
        <v>30956.1708878</v>
      </c>
      <c r="AX97" s="19">
        <f ca="1" t="shared" si="94"/>
        <v>32050.3754572806</v>
      </c>
      <c r="AY97" s="19">
        <f ca="1" t="shared" si="95"/>
        <v>39775.6204154695</v>
      </c>
      <c r="AZ97" s="19">
        <f ca="1" t="shared" si="96"/>
        <v>37177.9458592761</v>
      </c>
      <c r="BA97" s="19">
        <f ca="1" t="shared" si="97"/>
        <v>90020.8401147103</v>
      </c>
      <c r="BB97" s="20">
        <f ca="1" t="shared" si="98"/>
        <v>0.285645485394957</v>
      </c>
      <c r="BC97" s="19">
        <f ca="1">NPV($B$5,AW97:BA97)+AV97</f>
        <v>41894.9706890386</v>
      </c>
    </row>
    <row r="98" spans="1:55">
      <c r="A98" s="3">
        <v>74</v>
      </c>
      <c r="B98" s="11">
        <f ca="1" t="shared" si="51"/>
        <v>0.622497912558114</v>
      </c>
      <c r="C98" s="19">
        <f ca="1" t="shared" si="52"/>
        <v>-72668.7450879083</v>
      </c>
      <c r="D98" s="11">
        <f ca="1" t="shared" si="53"/>
        <v>0.977808432368791</v>
      </c>
      <c r="E98" s="19">
        <f ca="1" t="shared" si="54"/>
        <v>-26290.103706041</v>
      </c>
      <c r="F98" s="11">
        <f ca="1" t="shared" si="55"/>
        <v>0.21140757782241</v>
      </c>
      <c r="G98" s="19">
        <f ca="1" t="shared" si="56"/>
        <v>35631.2642162628</v>
      </c>
      <c r="H98" s="11">
        <f ca="1" t="shared" si="57"/>
        <v>0.541282650733839</v>
      </c>
      <c r="I98" s="19">
        <f ca="1" t="shared" si="58"/>
        <v>39010.6824164475</v>
      </c>
      <c r="J98" s="11">
        <f ca="1" t="shared" si="59"/>
        <v>0.505835290260191</v>
      </c>
      <c r="K98" s="19">
        <f ca="1" t="shared" si="60"/>
        <v>38710.642544556</v>
      </c>
      <c r="L98" s="11">
        <f ca="1" t="shared" si="61"/>
        <v>0.553131041676886</v>
      </c>
      <c r="M98" s="19">
        <f ca="1" t="shared" si="62"/>
        <v>39108.7680973627</v>
      </c>
      <c r="N98" s="11">
        <f ca="1" t="shared" si="63"/>
        <v>0.514769855007419</v>
      </c>
      <c r="O98" s="19">
        <f ca="1" t="shared" si="64"/>
        <v>38787.23382249</v>
      </c>
      <c r="P98" s="11">
        <f ca="1" t="shared" si="65"/>
        <v>0.531641898999409</v>
      </c>
      <c r="Q98" s="12">
        <f ca="1" t="shared" si="66"/>
        <v>15.0964769988838</v>
      </c>
      <c r="R98" s="11">
        <f ca="1" t="shared" si="67"/>
        <v>0.13358790327691</v>
      </c>
      <c r="S98" s="12">
        <f ca="1" t="shared" si="68"/>
        <v>13.5506715509689</v>
      </c>
      <c r="T98" s="11">
        <f ca="1" t="shared" si="69"/>
        <v>0.343298783520636</v>
      </c>
      <c r="U98" s="12">
        <f ca="1" t="shared" si="70"/>
        <v>17.6850092092828</v>
      </c>
      <c r="V98" s="11">
        <f ca="1" t="shared" si="71"/>
        <v>0.662878736497235</v>
      </c>
      <c r="W98" s="12">
        <f ca="1" t="shared" si="72"/>
        <v>21.5649972019521</v>
      </c>
      <c r="X98" s="11">
        <f ca="1" t="shared" si="73"/>
        <v>0.944936425880587</v>
      </c>
      <c r="Y98" s="12">
        <f ca="1" t="shared" si="74"/>
        <v>26.2756354786623</v>
      </c>
      <c r="Z98" s="19">
        <f ca="1" t="shared" si="75"/>
        <v>41010.3298230824</v>
      </c>
      <c r="AA98" s="19">
        <f ca="1" t="shared" si="76"/>
        <v>50984.1619514315</v>
      </c>
      <c r="AB98" s="19">
        <f ca="1" t="shared" si="77"/>
        <v>59539.236781702</v>
      </c>
      <c r="AC98" s="19">
        <f ca="1" t="shared" si="78"/>
        <v>73123.2631560973</v>
      </c>
      <c r="AD98" s="19">
        <f ca="1" t="shared" si="79"/>
        <v>91577.7140644165</v>
      </c>
      <c r="AE98" s="19">
        <f ca="1" t="shared" si="80"/>
        <v>14533.7490175817</v>
      </c>
      <c r="AF98" s="19">
        <f ca="1" t="shared" si="81"/>
        <v>26476.5808055008</v>
      </c>
      <c r="AG98" s="19">
        <f ca="1" t="shared" si="82"/>
        <v>36450.4129338498</v>
      </c>
      <c r="AH98" s="19">
        <f ca="1" t="shared" si="83"/>
        <v>45005.4877641203</v>
      </c>
      <c r="AI98" s="19">
        <f ca="1" t="shared" si="84"/>
        <v>58589.5141385156</v>
      </c>
      <c r="AJ98" s="19">
        <f ca="1" t="shared" si="85"/>
        <v>77043.9650468349</v>
      </c>
      <c r="AK98" s="19">
        <f ca="1">AF98*$B$4</f>
        <v>13238.2904027504</v>
      </c>
      <c r="AL98" s="19">
        <f ca="1">AG98*$B$4</f>
        <v>18225.2064669249</v>
      </c>
      <c r="AM98" s="19">
        <f ca="1">AH98*$B$4</f>
        <v>22502.7438820602</v>
      </c>
      <c r="AN98" s="19">
        <f ca="1">AI98*$B$4</f>
        <v>29294.7570692578</v>
      </c>
      <c r="AO98" s="19">
        <f ca="1">AJ98*$B$4</f>
        <v>38521.9825234174</v>
      </c>
      <c r="AP98" s="19">
        <f ca="1" t="shared" si="86"/>
        <v>13238.2904027504</v>
      </c>
      <c r="AQ98" s="19">
        <f ca="1" t="shared" si="87"/>
        <v>18225.2064669249</v>
      </c>
      <c r="AR98" s="19">
        <f ca="1" t="shared" si="88"/>
        <v>22502.7438820602</v>
      </c>
      <c r="AS98" s="19">
        <f ca="1" t="shared" si="89"/>
        <v>29294.7570692578</v>
      </c>
      <c r="AT98" s="19">
        <f ca="1" t="shared" si="90"/>
        <v>38521.9825234174</v>
      </c>
      <c r="AU98" s="19">
        <f ca="1" t="shared" si="91"/>
        <v>40823.8527236226</v>
      </c>
      <c r="AV98" s="19">
        <f ca="1" t="shared" si="92"/>
        <v>-98958.8487939493</v>
      </c>
      <c r="AW98" s="19">
        <f ca="1" t="shared" si="93"/>
        <v>27772.039420332</v>
      </c>
      <c r="AX98" s="19">
        <f ca="1" t="shared" si="94"/>
        <v>32758.9554845066</v>
      </c>
      <c r="AY98" s="19">
        <f ca="1" t="shared" si="95"/>
        <v>37036.4928996418</v>
      </c>
      <c r="AZ98" s="19">
        <f ca="1" t="shared" si="96"/>
        <v>43828.5060868395</v>
      </c>
      <c r="BA98" s="19">
        <f ca="1" t="shared" si="97"/>
        <v>93879.5842646217</v>
      </c>
      <c r="BB98" s="20">
        <f ca="1" t="shared" si="98"/>
        <v>0.296865553585903</v>
      </c>
      <c r="BC98" s="19">
        <f ca="1">NPV($B$5,AW98:BA98)+AV98</f>
        <v>46047.158533215</v>
      </c>
    </row>
    <row r="99" spans="1:55">
      <c r="A99" s="3">
        <v>75</v>
      </c>
      <c r="B99" s="11">
        <f ca="1" t="shared" si="51"/>
        <v>0.518873349713491</v>
      </c>
      <c r="C99" s="19">
        <f ca="1" t="shared" si="52"/>
        <v>-75047.0839448334</v>
      </c>
      <c r="D99" s="11">
        <f ca="1" t="shared" si="53"/>
        <v>0.37123994913283</v>
      </c>
      <c r="E99" s="19">
        <f ca="1" t="shared" si="54"/>
        <v>-32537.6952373999</v>
      </c>
      <c r="F99" s="11">
        <f ca="1" t="shared" si="55"/>
        <v>0.0378932596738792</v>
      </c>
      <c r="G99" s="19">
        <f ca="1" t="shared" si="56"/>
        <v>32384.1117740328</v>
      </c>
      <c r="H99" s="11">
        <f ca="1" t="shared" si="57"/>
        <v>0.0772261468251556</v>
      </c>
      <c r="I99" s="19">
        <f ca="1" t="shared" si="58"/>
        <v>33403.5161265628</v>
      </c>
      <c r="J99" s="11">
        <f ca="1" t="shared" si="59"/>
        <v>0.919660789494408</v>
      </c>
      <c r="K99" s="19">
        <f ca="1" t="shared" si="60"/>
        <v>42545.3226713233</v>
      </c>
      <c r="L99" s="11">
        <f ca="1" t="shared" si="61"/>
        <v>0.154868115924977</v>
      </c>
      <c r="M99" s="19">
        <f ca="1" t="shared" si="62"/>
        <v>34819.7735827263</v>
      </c>
      <c r="N99" s="11">
        <f ca="1" t="shared" si="63"/>
        <v>0.00162007417939192</v>
      </c>
      <c r="O99" s="19">
        <f ca="1" t="shared" si="64"/>
        <v>30492.9615876605</v>
      </c>
      <c r="P99" s="11">
        <f ca="1" t="shared" si="65"/>
        <v>0.727759604954387</v>
      </c>
      <c r="Q99" s="12">
        <f ca="1" t="shared" si="66"/>
        <v>15.7863317523122</v>
      </c>
      <c r="R99" s="11">
        <f ca="1" t="shared" si="67"/>
        <v>0.529862011547149</v>
      </c>
      <c r="S99" s="12">
        <f ca="1" t="shared" si="68"/>
        <v>15.0909651442186</v>
      </c>
      <c r="T99" s="11">
        <f ca="1" t="shared" si="69"/>
        <v>0.372653264145733</v>
      </c>
      <c r="U99" s="12">
        <f ca="1" t="shared" si="70"/>
        <v>17.7974485780905</v>
      </c>
      <c r="V99" s="11">
        <f ca="1" t="shared" si="71"/>
        <v>0.212331759003386</v>
      </c>
      <c r="W99" s="12">
        <f ca="1" t="shared" si="72"/>
        <v>19.7241359070698</v>
      </c>
      <c r="X99" s="11">
        <f ca="1" t="shared" si="73"/>
        <v>0.426079330100514</v>
      </c>
      <c r="Y99" s="12">
        <f ca="1" t="shared" si="74"/>
        <v>22.4329795963575</v>
      </c>
      <c r="Z99" s="19">
        <f ca="1" t="shared" si="75"/>
        <v>37496.3750937212</v>
      </c>
      <c r="AA99" s="19">
        <f ca="1" t="shared" si="76"/>
        <v>44513.3942205162</v>
      </c>
      <c r="AB99" s="19">
        <f ca="1" t="shared" si="77"/>
        <v>66786.1230028837</v>
      </c>
      <c r="AC99" s="19">
        <f ca="1" t="shared" si="78"/>
        <v>65439.8153543364</v>
      </c>
      <c r="AD99" s="19">
        <f ca="1" t="shared" si="79"/>
        <v>70163.9690017547</v>
      </c>
      <c r="AE99" s="19">
        <f ca="1" t="shared" si="80"/>
        <v>15009.4167889667</v>
      </c>
      <c r="AF99" s="19">
        <f ca="1" t="shared" si="81"/>
        <v>22486.9583047546</v>
      </c>
      <c r="AG99" s="19">
        <f ca="1" t="shared" si="82"/>
        <v>29503.9774315496</v>
      </c>
      <c r="AH99" s="19">
        <f ca="1" t="shared" si="83"/>
        <v>51776.706213917</v>
      </c>
      <c r="AI99" s="19">
        <f ca="1" t="shared" si="84"/>
        <v>50430.3985653697</v>
      </c>
      <c r="AJ99" s="19">
        <f ca="1" t="shared" si="85"/>
        <v>55154.552212788</v>
      </c>
      <c r="AK99" s="19">
        <f ca="1">AF99*$B$4</f>
        <v>11243.4791523773</v>
      </c>
      <c r="AL99" s="19">
        <f ca="1">AG99*$B$4</f>
        <v>14751.9887157748</v>
      </c>
      <c r="AM99" s="19">
        <f ca="1">AH99*$B$4</f>
        <v>25888.3531069585</v>
      </c>
      <c r="AN99" s="19">
        <f ca="1">AI99*$B$4</f>
        <v>25215.1992826849</v>
      </c>
      <c r="AO99" s="19">
        <f ca="1">AJ99*$B$4</f>
        <v>27577.276106394</v>
      </c>
      <c r="AP99" s="19">
        <f ca="1" t="shared" si="86"/>
        <v>11243.4791523773</v>
      </c>
      <c r="AQ99" s="19">
        <f ca="1" t="shared" si="87"/>
        <v>14751.9887157748</v>
      </c>
      <c r="AR99" s="19">
        <f ca="1" t="shared" si="88"/>
        <v>25888.3531069585</v>
      </c>
      <c r="AS99" s="19">
        <f ca="1" t="shared" si="89"/>
        <v>25215.1992826849</v>
      </c>
      <c r="AT99" s="19">
        <f ca="1" t="shared" si="90"/>
        <v>27577.276106394</v>
      </c>
      <c r="AU99" s="19">
        <f ca="1" t="shared" si="91"/>
        <v>47547.1120263666</v>
      </c>
      <c r="AV99" s="19">
        <f ca="1" t="shared" si="92"/>
        <v>-107584.779182233</v>
      </c>
      <c r="AW99" s="19">
        <f ca="1" t="shared" si="93"/>
        <v>26252.895941344</v>
      </c>
      <c r="AX99" s="19">
        <f ca="1" t="shared" si="94"/>
        <v>29761.4055047415</v>
      </c>
      <c r="AY99" s="19">
        <f ca="1" t="shared" si="95"/>
        <v>40897.7698959252</v>
      </c>
      <c r="AZ99" s="19">
        <f ca="1" t="shared" si="96"/>
        <v>40224.6160716515</v>
      </c>
      <c r="BA99" s="19">
        <f ca="1" t="shared" si="97"/>
        <v>90133.8049217272</v>
      </c>
      <c r="BB99" s="20">
        <f ca="1" t="shared" si="98"/>
        <v>0.247831541941335</v>
      </c>
      <c r="BC99" s="19">
        <f ca="1">NPV($B$5,AW99:BA99)+AV99</f>
        <v>32449.6575259516</v>
      </c>
    </row>
    <row r="100" spans="1:55">
      <c r="A100" s="3">
        <v>76</v>
      </c>
      <c r="B100" s="11">
        <f ca="1" t="shared" si="51"/>
        <v>0.66234239424803</v>
      </c>
      <c r="C100" s="19">
        <f ca="1" t="shared" si="52"/>
        <v>-71807.6096597391</v>
      </c>
      <c r="D100" s="11">
        <f ca="1" t="shared" si="53"/>
        <v>0.790321670200475</v>
      </c>
      <c r="E100" s="19">
        <f ca="1" t="shared" si="54"/>
        <v>-28965.586304062</v>
      </c>
      <c r="F100" s="11">
        <f ca="1" t="shared" si="55"/>
        <v>0.146597254959024</v>
      </c>
      <c r="G100" s="19">
        <f ca="1" t="shared" si="56"/>
        <v>34689.30573154</v>
      </c>
      <c r="H100" s="11">
        <f ca="1" t="shared" si="57"/>
        <v>0.109550498558297</v>
      </c>
      <c r="I100" s="19">
        <f ca="1" t="shared" si="58"/>
        <v>34053.7112358609</v>
      </c>
      <c r="J100" s="11">
        <f ca="1" t="shared" si="59"/>
        <v>0.826683874283064</v>
      </c>
      <c r="K100" s="19">
        <f ca="1" t="shared" si="60"/>
        <v>41394.6276990066</v>
      </c>
      <c r="L100" s="11">
        <f ca="1" t="shared" si="61"/>
        <v>0.801283595890497</v>
      </c>
      <c r="M100" s="19">
        <f ca="1" t="shared" si="62"/>
        <v>41139.4650230554</v>
      </c>
      <c r="N100" s="11">
        <f ca="1" t="shared" si="63"/>
        <v>0.875140147070531</v>
      </c>
      <c r="O100" s="19">
        <f ca="1" t="shared" si="64"/>
        <v>41939.8547469589</v>
      </c>
      <c r="P100" s="11">
        <f ca="1" t="shared" si="65"/>
        <v>0.834187028240034</v>
      </c>
      <c r="Q100" s="12">
        <f ca="1" t="shared" si="66"/>
        <v>16.2723908162783</v>
      </c>
      <c r="R100" s="11">
        <f ca="1" t="shared" si="67"/>
        <v>0.0386809205043916</v>
      </c>
      <c r="S100" s="12">
        <f ca="1" t="shared" si="68"/>
        <v>12.8344198997382</v>
      </c>
      <c r="T100" s="11">
        <f ca="1" t="shared" si="69"/>
        <v>0.0426748580467058</v>
      </c>
      <c r="U100" s="12">
        <f ca="1" t="shared" si="70"/>
        <v>15.9466636250437</v>
      </c>
      <c r="V100" s="11">
        <f ca="1" t="shared" si="71"/>
        <v>0.610418118092124</v>
      </c>
      <c r="W100" s="12">
        <f ca="1" t="shared" si="72"/>
        <v>21.3073903717323</v>
      </c>
      <c r="X100" s="11">
        <f ca="1" t="shared" si="73"/>
        <v>0.718203855157573</v>
      </c>
      <c r="Y100" s="12">
        <f ca="1" t="shared" si="74"/>
        <v>24.0991037156198</v>
      </c>
      <c r="Z100" s="19">
        <f ca="1" t="shared" si="75"/>
        <v>40334.0851316298</v>
      </c>
      <c r="AA100" s="19">
        <f ca="1" t="shared" si="76"/>
        <v>44676.861016609</v>
      </c>
      <c r="AB100" s="19">
        <f ca="1" t="shared" si="77"/>
        <v>62968.0784254267</v>
      </c>
      <c r="AC100" s="19">
        <f ca="1" t="shared" si="78"/>
        <v>75914.0845560923</v>
      </c>
      <c r="AD100" s="19">
        <f ca="1" t="shared" si="79"/>
        <v>96041.5778365438</v>
      </c>
      <c r="AE100" s="19">
        <f ca="1" t="shared" si="80"/>
        <v>14361.5219319478</v>
      </c>
      <c r="AF100" s="19">
        <f ca="1" t="shared" si="81"/>
        <v>25972.563199682</v>
      </c>
      <c r="AG100" s="19">
        <f ca="1" t="shared" si="82"/>
        <v>30315.3390846612</v>
      </c>
      <c r="AH100" s="19">
        <f ca="1" t="shared" si="83"/>
        <v>48606.5564934789</v>
      </c>
      <c r="AI100" s="19">
        <f ca="1" t="shared" si="84"/>
        <v>61552.5626241445</v>
      </c>
      <c r="AJ100" s="19">
        <f ca="1" t="shared" si="85"/>
        <v>81680.055904596</v>
      </c>
      <c r="AK100" s="19">
        <f ca="1">AF100*$B$4</f>
        <v>12986.281599841</v>
      </c>
      <c r="AL100" s="19">
        <f ca="1">AG100*$B$4</f>
        <v>15157.6695423306</v>
      </c>
      <c r="AM100" s="19">
        <f ca="1">AH100*$B$4</f>
        <v>24303.2782467394</v>
      </c>
      <c r="AN100" s="19">
        <f ca="1">AI100*$B$4</f>
        <v>30776.2813120722</v>
      </c>
      <c r="AO100" s="19">
        <f ca="1">AJ100*$B$4</f>
        <v>40840.027952298</v>
      </c>
      <c r="AP100" s="19">
        <f ca="1" t="shared" si="86"/>
        <v>12986.281599841</v>
      </c>
      <c r="AQ100" s="19">
        <f ca="1" t="shared" si="87"/>
        <v>15157.6695423306</v>
      </c>
      <c r="AR100" s="19">
        <f ca="1" t="shared" si="88"/>
        <v>24303.2782467394</v>
      </c>
      <c r="AS100" s="19">
        <f ca="1" t="shared" si="89"/>
        <v>30776.2813120722</v>
      </c>
      <c r="AT100" s="19">
        <f ca="1" t="shared" si="90"/>
        <v>40840.027952298</v>
      </c>
      <c r="AU100" s="19">
        <f ca="1" t="shared" si="91"/>
        <v>43327.1082360099</v>
      </c>
      <c r="AV100" s="19">
        <f ca="1" t="shared" si="92"/>
        <v>-100773.195963801</v>
      </c>
      <c r="AW100" s="19">
        <f ca="1" t="shared" si="93"/>
        <v>27347.8035317888</v>
      </c>
      <c r="AX100" s="19">
        <f ca="1" t="shared" si="94"/>
        <v>29519.1914742784</v>
      </c>
      <c r="AY100" s="19">
        <f ca="1" t="shared" si="95"/>
        <v>38664.8001786873</v>
      </c>
      <c r="AZ100" s="19">
        <f ca="1" t="shared" si="96"/>
        <v>45137.80324402</v>
      </c>
      <c r="BA100" s="19">
        <f ca="1" t="shared" si="97"/>
        <v>98528.6581202557</v>
      </c>
      <c r="BB100" s="20">
        <f ca="1" t="shared" si="98"/>
        <v>0.29023802512448</v>
      </c>
      <c r="BC100" s="19">
        <f ca="1">NPV($B$5,AW100:BA100)+AV100</f>
        <v>45544.8282789748</v>
      </c>
    </row>
    <row r="101" spans="1:55">
      <c r="A101" s="3">
        <v>77</v>
      </c>
      <c r="B101" s="11">
        <f ca="1" t="shared" si="51"/>
        <v>0.150826904178261</v>
      </c>
      <c r="C101" s="19">
        <f ca="1" t="shared" si="52"/>
        <v>-86546.6626811816</v>
      </c>
      <c r="D101" s="11">
        <f ca="1" t="shared" si="53"/>
        <v>0.184643584832353</v>
      </c>
      <c r="E101" s="19">
        <f ca="1" t="shared" si="54"/>
        <v>-34737.2499845753</v>
      </c>
      <c r="F101" s="11">
        <f ca="1" t="shared" si="55"/>
        <v>0.138150325268465</v>
      </c>
      <c r="G101" s="19">
        <f ca="1" t="shared" si="56"/>
        <v>34552.2026306251</v>
      </c>
      <c r="H101" s="11">
        <f ca="1" t="shared" si="57"/>
        <v>0.858356176610591</v>
      </c>
      <c r="I101" s="19">
        <f ca="1" t="shared" si="58"/>
        <v>41740.6616079017</v>
      </c>
      <c r="J101" s="11">
        <f ca="1" t="shared" si="59"/>
        <v>0.593765570849025</v>
      </c>
      <c r="K101" s="19">
        <f ca="1" t="shared" si="60"/>
        <v>39437.4167878373</v>
      </c>
      <c r="L101" s="11">
        <f ca="1" t="shared" si="61"/>
        <v>0.964912703436793</v>
      </c>
      <c r="M101" s="19">
        <f ca="1" t="shared" si="62"/>
        <v>43377.7955608985</v>
      </c>
      <c r="N101" s="11">
        <f ca="1" t="shared" si="63"/>
        <v>0.924922174106351</v>
      </c>
      <c r="O101" s="19">
        <f ca="1" t="shared" si="64"/>
        <v>42627.0615385089</v>
      </c>
      <c r="P101" s="11">
        <f ca="1" t="shared" si="65"/>
        <v>0.994835358784637</v>
      </c>
      <c r="Q101" s="12">
        <f ca="1" t="shared" si="66"/>
        <v>17.6951007676682</v>
      </c>
      <c r="R101" s="11">
        <f ca="1" t="shared" si="67"/>
        <v>0.490598376009018</v>
      </c>
      <c r="S101" s="12">
        <f ca="1" t="shared" si="68"/>
        <v>14.97166128086</v>
      </c>
      <c r="T101" s="11">
        <f ca="1" t="shared" si="69"/>
        <v>0.992275142062363</v>
      </c>
      <c r="U101" s="12">
        <f ca="1" t="shared" si="70"/>
        <v>21.5349236382551</v>
      </c>
      <c r="V101" s="11">
        <f ca="1" t="shared" si="71"/>
        <v>0.760347432143386</v>
      </c>
      <c r="W101" s="12">
        <f ca="1" t="shared" si="72"/>
        <v>22.1038232313995</v>
      </c>
      <c r="X101" s="11">
        <f ca="1" t="shared" si="73"/>
        <v>0.0280634790375673</v>
      </c>
      <c r="Y101" s="12">
        <f ca="1" t="shared" si="74"/>
        <v>19.8704676524802</v>
      </c>
      <c r="Z101" s="19">
        <f ca="1" t="shared" si="75"/>
        <v>40666.2497035631</v>
      </c>
      <c r="AA101" s="19">
        <f ca="1" t="shared" si="76"/>
        <v>56481.7989201584</v>
      </c>
      <c r="AB101" s="19">
        <f ca="1" t="shared" si="77"/>
        <v>64857.2819895526</v>
      </c>
      <c r="AC101" s="19">
        <f ca="1" t="shared" si="78"/>
        <v>87105.790087575</v>
      </c>
      <c r="AD101" s="19">
        <f ca="1" t="shared" si="79"/>
        <v>102607.035995136</v>
      </c>
      <c r="AE101" s="19">
        <f ca="1" t="shared" si="80"/>
        <v>17309.3325362363</v>
      </c>
      <c r="AF101" s="19">
        <f ca="1" t="shared" si="81"/>
        <v>23356.9171673267</v>
      </c>
      <c r="AG101" s="19">
        <f ca="1" t="shared" si="82"/>
        <v>39172.4663839221</v>
      </c>
      <c r="AH101" s="19">
        <f ca="1" t="shared" si="83"/>
        <v>47547.9494533163</v>
      </c>
      <c r="AI101" s="19">
        <f ca="1" t="shared" si="84"/>
        <v>69796.4575513387</v>
      </c>
      <c r="AJ101" s="19">
        <f ca="1" t="shared" si="85"/>
        <v>85297.7034588992</v>
      </c>
      <c r="AK101" s="19">
        <f ca="1">AF101*$B$4</f>
        <v>11678.4585836634</v>
      </c>
      <c r="AL101" s="19">
        <f ca="1">AG101*$B$4</f>
        <v>19586.233191961</v>
      </c>
      <c r="AM101" s="19">
        <f ca="1">AH101*$B$4</f>
        <v>23773.9747266581</v>
      </c>
      <c r="AN101" s="19">
        <f ca="1">AI101*$B$4</f>
        <v>34898.2287756693</v>
      </c>
      <c r="AO101" s="19">
        <f ca="1">AJ101*$B$4</f>
        <v>42648.8517294496</v>
      </c>
      <c r="AP101" s="19">
        <f ca="1" t="shared" si="86"/>
        <v>11678.4585836634</v>
      </c>
      <c r="AQ101" s="19">
        <f ca="1" t="shared" si="87"/>
        <v>19586.233191961</v>
      </c>
      <c r="AR101" s="19">
        <f ca="1" t="shared" si="88"/>
        <v>23773.9747266581</v>
      </c>
      <c r="AS101" s="19">
        <f ca="1" t="shared" si="89"/>
        <v>34898.2287756693</v>
      </c>
      <c r="AT101" s="19">
        <f ca="1" t="shared" si="90"/>
        <v>42648.8517294496</v>
      </c>
      <c r="AU101" s="19">
        <f ca="1" t="shared" si="91"/>
        <v>52046.5825208116</v>
      </c>
      <c r="AV101" s="19">
        <f ca="1" t="shared" si="92"/>
        <v>-121283.912665757</v>
      </c>
      <c r="AW101" s="19">
        <f ca="1" t="shared" si="93"/>
        <v>28987.7911198997</v>
      </c>
      <c r="AX101" s="19">
        <f ca="1" t="shared" si="94"/>
        <v>36895.5657281973</v>
      </c>
      <c r="AY101" s="19">
        <f ca="1" t="shared" si="95"/>
        <v>41083.3072628944</v>
      </c>
      <c r="AZ101" s="19">
        <f ca="1" t="shared" si="96"/>
        <v>52207.5613119056</v>
      </c>
      <c r="BA101" s="19">
        <f ca="1" t="shared" si="97"/>
        <v>112004.766786497</v>
      </c>
      <c r="BB101" s="20">
        <f ca="1" t="shared" si="98"/>
        <v>0.264827650570083</v>
      </c>
      <c r="BC101" s="19">
        <f ca="1">NPV($B$5,AW101:BA101)+AV101</f>
        <v>44370.1589185018</v>
      </c>
    </row>
    <row r="102" spans="1:55">
      <c r="A102" s="3">
        <v>78</v>
      </c>
      <c r="B102" s="11">
        <f ca="1" t="shared" si="51"/>
        <v>0.682657545167597</v>
      </c>
      <c r="C102" s="19">
        <f ca="1" t="shared" si="52"/>
        <v>-71378.5211038787</v>
      </c>
      <c r="D102" s="11">
        <f ca="1" t="shared" si="53"/>
        <v>0.0335904052127214</v>
      </c>
      <c r="E102" s="19">
        <f ca="1" t="shared" si="54"/>
        <v>-37755.3261301676</v>
      </c>
      <c r="F102" s="11">
        <f ca="1" t="shared" si="55"/>
        <v>0.508548546696517</v>
      </c>
      <c r="G102" s="19">
        <f ca="1" t="shared" si="56"/>
        <v>38733.972864881</v>
      </c>
      <c r="H102" s="11">
        <f ca="1" t="shared" si="57"/>
        <v>0.75928094732636</v>
      </c>
      <c r="I102" s="19">
        <f ca="1" t="shared" si="58"/>
        <v>40751.0084784124</v>
      </c>
      <c r="J102" s="11">
        <f ca="1" t="shared" si="59"/>
        <v>0.107897419349242</v>
      </c>
      <c r="K102" s="19">
        <f ca="1" t="shared" si="60"/>
        <v>34023.0104278247</v>
      </c>
      <c r="L102" s="11">
        <f ca="1" t="shared" si="61"/>
        <v>0.796401213591202</v>
      </c>
      <c r="M102" s="19">
        <f ca="1" t="shared" si="62"/>
        <v>41092.3269096993</v>
      </c>
      <c r="N102" s="11">
        <f ca="1" t="shared" si="63"/>
        <v>0.319160118326108</v>
      </c>
      <c r="O102" s="19">
        <f ca="1" t="shared" si="64"/>
        <v>36919.1052708364</v>
      </c>
      <c r="P102" s="11">
        <f ca="1" t="shared" si="65"/>
        <v>0.772741481361821</v>
      </c>
      <c r="Q102" s="12">
        <f ca="1" t="shared" si="66"/>
        <v>15.9774636380309</v>
      </c>
      <c r="R102" s="11">
        <f ca="1" t="shared" si="67"/>
        <v>0.846438494602173</v>
      </c>
      <c r="S102" s="12">
        <f ca="1" t="shared" si="68"/>
        <v>16.3374395959362</v>
      </c>
      <c r="T102" s="11">
        <f ca="1" t="shared" si="69"/>
        <v>0.895349366641008</v>
      </c>
      <c r="U102" s="12">
        <f ca="1" t="shared" si="70"/>
        <v>20.2882121235235</v>
      </c>
      <c r="V102" s="11">
        <f ca="1" t="shared" si="71"/>
        <v>0.199353278909298</v>
      </c>
      <c r="W102" s="12">
        <f ca="1" t="shared" si="72"/>
        <v>19.6706124340284</v>
      </c>
      <c r="X102" s="11">
        <f ca="1" t="shared" si="73"/>
        <v>0.631156410666228</v>
      </c>
      <c r="Y102" s="12">
        <f ca="1" t="shared" si="74"/>
        <v>23.5370913269457</v>
      </c>
      <c r="Z102" s="19">
        <f ca="1" t="shared" si="75"/>
        <v>44922.6792949321</v>
      </c>
      <c r="AA102" s="19">
        <f ca="1" t="shared" si="76"/>
        <v>54983.3844613361</v>
      </c>
      <c r="AB102" s="19">
        <f ca="1" t="shared" si="77"/>
        <v>55219.0481766022</v>
      </c>
      <c r="AC102" s="19">
        <f ca="1" t="shared" si="78"/>
        <v>79811.3075931402</v>
      </c>
      <c r="AD102" s="19">
        <f ca="1" t="shared" si="79"/>
        <v>88583.3766364534</v>
      </c>
      <c r="AE102" s="19">
        <f ca="1" t="shared" si="80"/>
        <v>14275.7042207757</v>
      </c>
      <c r="AF102" s="19">
        <f ca="1" t="shared" si="81"/>
        <v>30646.9750741564</v>
      </c>
      <c r="AG102" s="19">
        <f ca="1" t="shared" si="82"/>
        <v>40707.6802405604</v>
      </c>
      <c r="AH102" s="19">
        <f ca="1" t="shared" si="83"/>
        <v>40943.3439558265</v>
      </c>
      <c r="AI102" s="19">
        <f ca="1" t="shared" si="84"/>
        <v>65535.6033723645</v>
      </c>
      <c r="AJ102" s="19">
        <f ca="1" t="shared" si="85"/>
        <v>74307.6724156776</v>
      </c>
      <c r="AK102" s="19">
        <f ca="1">AF102*$B$4</f>
        <v>15323.4875370782</v>
      </c>
      <c r="AL102" s="19">
        <f ca="1">AG102*$B$4</f>
        <v>20353.8401202802</v>
      </c>
      <c r="AM102" s="19">
        <f ca="1">AH102*$B$4</f>
        <v>20471.6719779133</v>
      </c>
      <c r="AN102" s="19">
        <f ca="1">AI102*$B$4</f>
        <v>32767.8016861823</v>
      </c>
      <c r="AO102" s="19">
        <f ca="1">AJ102*$B$4</f>
        <v>37153.8362078388</v>
      </c>
      <c r="AP102" s="19">
        <f ca="1" t="shared" si="86"/>
        <v>15323.4875370782</v>
      </c>
      <c r="AQ102" s="19">
        <f ca="1" t="shared" si="87"/>
        <v>20353.8401202802</v>
      </c>
      <c r="AR102" s="19">
        <f ca="1" t="shared" si="88"/>
        <v>20471.6719779133</v>
      </c>
      <c r="AS102" s="19">
        <f ca="1" t="shared" si="89"/>
        <v>32767.8016861823</v>
      </c>
      <c r="AT102" s="19">
        <f ca="1" t="shared" si="90"/>
        <v>37153.8362078388</v>
      </c>
      <c r="AU102" s="19">
        <f ca="1" t="shared" si="91"/>
        <v>52031.0303509434</v>
      </c>
      <c r="AV102" s="19">
        <f ca="1" t="shared" si="92"/>
        <v>-109133.847234046</v>
      </c>
      <c r="AW102" s="19">
        <f ca="1" t="shared" si="93"/>
        <v>29599.1917578539</v>
      </c>
      <c r="AX102" s="19">
        <f ca="1" t="shared" si="94"/>
        <v>34629.5443410559</v>
      </c>
      <c r="AY102" s="19">
        <f ca="1" t="shared" si="95"/>
        <v>34747.376198689</v>
      </c>
      <c r="AZ102" s="19">
        <f ca="1" t="shared" si="96"/>
        <v>47043.505906958</v>
      </c>
      <c r="BA102" s="19">
        <f ca="1" t="shared" si="97"/>
        <v>103460.570779558</v>
      </c>
      <c r="BB102" s="20">
        <f ca="1" t="shared" si="98"/>
        <v>0.27746416647556</v>
      </c>
      <c r="BC102" s="19">
        <f ca="1">NPV($B$5,AW102:BA102)+AV102</f>
        <v>43971.920920057</v>
      </c>
    </row>
    <row r="103" spans="1:55">
      <c r="A103" s="3">
        <v>79</v>
      </c>
      <c r="B103" s="11">
        <f ca="1" t="shared" si="51"/>
        <v>0.658110461594654</v>
      </c>
      <c r="C103" s="19">
        <f ca="1" t="shared" si="52"/>
        <v>-71897.8194099891</v>
      </c>
      <c r="D103" s="11">
        <f ca="1" t="shared" si="53"/>
        <v>0.79031673550414</v>
      </c>
      <c r="E103" s="19">
        <f ca="1" t="shared" si="54"/>
        <v>-28965.6329680379</v>
      </c>
      <c r="F103" s="11">
        <f ca="1" t="shared" si="55"/>
        <v>0.0598219887799285</v>
      </c>
      <c r="G103" s="19">
        <f ca="1" t="shared" si="56"/>
        <v>32995.5464137598</v>
      </c>
      <c r="H103" s="11">
        <f ca="1" t="shared" si="57"/>
        <v>0.746032994186817</v>
      </c>
      <c r="I103" s="19">
        <f ca="1" t="shared" si="58"/>
        <v>40635.6529198529</v>
      </c>
      <c r="J103" s="11">
        <f ca="1" t="shared" si="59"/>
        <v>0.894556395566867</v>
      </c>
      <c r="K103" s="19">
        <f ca="1" t="shared" si="60"/>
        <v>42187.8352942111</v>
      </c>
      <c r="L103" s="11">
        <f ca="1" t="shared" si="61"/>
        <v>0.491701029157007</v>
      </c>
      <c r="M103" s="19">
        <f ca="1" t="shared" si="62"/>
        <v>38588.0821126461</v>
      </c>
      <c r="N103" s="11">
        <f ca="1" t="shared" si="63"/>
        <v>0.529631661844021</v>
      </c>
      <c r="O103" s="19">
        <f ca="1" t="shared" si="64"/>
        <v>38913.1784048454</v>
      </c>
      <c r="P103" s="11">
        <f ca="1" t="shared" si="65"/>
        <v>0.886805075386241</v>
      </c>
      <c r="Q103" s="12">
        <f ca="1" t="shared" si="66"/>
        <v>16.5725867301136</v>
      </c>
      <c r="R103" s="11">
        <f ca="1" t="shared" si="67"/>
        <v>0.559558525183712</v>
      </c>
      <c r="S103" s="12">
        <f ca="1" t="shared" si="68"/>
        <v>15.1843390568655</v>
      </c>
      <c r="T103" s="11">
        <f ca="1" t="shared" si="69"/>
        <v>0.817860533003135</v>
      </c>
      <c r="U103" s="12">
        <f ca="1" t="shared" si="70"/>
        <v>19.7417030585168</v>
      </c>
      <c r="V103" s="11">
        <f ca="1" t="shared" si="71"/>
        <v>0.393888323982887</v>
      </c>
      <c r="W103" s="12">
        <f ca="1" t="shared" si="72"/>
        <v>20.3941440903347</v>
      </c>
      <c r="X103" s="11">
        <f ca="1" t="shared" si="73"/>
        <v>0.534314449598894</v>
      </c>
      <c r="Y103" s="12">
        <f ca="1" t="shared" si="74"/>
        <v>22.9853195793092</v>
      </c>
      <c r="Z103" s="19">
        <f ca="1" t="shared" si="75"/>
        <v>38463.7619602551</v>
      </c>
      <c r="AA103" s="19">
        <f ca="1" t="shared" si="76"/>
        <v>54562.8579745975</v>
      </c>
      <c r="AB103" s="19">
        <f ca="1" t="shared" si="77"/>
        <v>67830.1130142337</v>
      </c>
      <c r="AC103" s="19">
        <f ca="1" t="shared" si="78"/>
        <v>74695.3998512059</v>
      </c>
      <c r="AD103" s="19">
        <f ca="1" t="shared" si="79"/>
        <v>92638.313829317</v>
      </c>
      <c r="AE103" s="19">
        <f ca="1" t="shared" si="80"/>
        <v>14379.5638819978</v>
      </c>
      <c r="AF103" s="19">
        <f ca="1" t="shared" si="81"/>
        <v>24084.1980782572</v>
      </c>
      <c r="AG103" s="19">
        <f ca="1" t="shared" si="82"/>
        <v>40183.2940925997</v>
      </c>
      <c r="AH103" s="19">
        <f ca="1" t="shared" si="83"/>
        <v>53450.5491322359</v>
      </c>
      <c r="AI103" s="19">
        <f ca="1" t="shared" si="84"/>
        <v>60315.8359692081</v>
      </c>
      <c r="AJ103" s="19">
        <f ca="1" t="shared" si="85"/>
        <v>78258.7499473192</v>
      </c>
      <c r="AK103" s="19">
        <f ca="1">AF103*$B$4</f>
        <v>12042.0990391286</v>
      </c>
      <c r="AL103" s="19">
        <f ca="1">AG103*$B$4</f>
        <v>20091.6470462998</v>
      </c>
      <c r="AM103" s="19">
        <f ca="1">AH103*$B$4</f>
        <v>26725.2745661179</v>
      </c>
      <c r="AN103" s="19">
        <f ca="1">AI103*$B$4</f>
        <v>30157.917984604</v>
      </c>
      <c r="AO103" s="19">
        <f ca="1">AJ103*$B$4</f>
        <v>39129.3749736596</v>
      </c>
      <c r="AP103" s="19">
        <f ca="1" t="shared" si="86"/>
        <v>12042.0990391286</v>
      </c>
      <c r="AQ103" s="19">
        <f ca="1" t="shared" si="87"/>
        <v>20091.6470462998</v>
      </c>
      <c r="AR103" s="19">
        <f ca="1" t="shared" si="88"/>
        <v>26725.2745661179</v>
      </c>
      <c r="AS103" s="19">
        <f ca="1" t="shared" si="89"/>
        <v>30157.917984604</v>
      </c>
      <c r="AT103" s="19">
        <f ca="1" t="shared" si="90"/>
        <v>39129.3749736596</v>
      </c>
      <c r="AU103" s="19">
        <f ca="1" t="shared" si="91"/>
        <v>43345.1968500358</v>
      </c>
      <c r="AV103" s="19">
        <f ca="1" t="shared" si="92"/>
        <v>-100863.452378027</v>
      </c>
      <c r="AW103" s="19">
        <f ca="1" t="shared" si="93"/>
        <v>26421.6629211264</v>
      </c>
      <c r="AX103" s="19">
        <f ca="1" t="shared" si="94"/>
        <v>34471.2109282977</v>
      </c>
      <c r="AY103" s="19">
        <f ca="1" t="shared" si="95"/>
        <v>41104.8384481158</v>
      </c>
      <c r="AZ103" s="19">
        <f ca="1" t="shared" si="96"/>
        <v>44537.4818666019</v>
      </c>
      <c r="BA103" s="19">
        <f ca="1" t="shared" si="97"/>
        <v>96854.1357056932</v>
      </c>
      <c r="BB103" s="20">
        <f ca="1" t="shared" si="98"/>
        <v>0.301037804782912</v>
      </c>
      <c r="BC103" s="19">
        <f ca="1">NPV($B$5,AW103:BA103)+AV103</f>
        <v>48822.2658405013</v>
      </c>
    </row>
    <row r="104" spans="1:55">
      <c r="A104" s="3">
        <v>80</v>
      </c>
      <c r="B104" s="11">
        <f ca="1" t="shared" si="51"/>
        <v>0.656686031161616</v>
      </c>
      <c r="C104" s="19">
        <f ca="1" t="shared" si="52"/>
        <v>-71928.248408873</v>
      </c>
      <c r="D104" s="11">
        <f ca="1" t="shared" si="53"/>
        <v>0.456210821715862</v>
      </c>
      <c r="E104" s="19">
        <f ca="1" t="shared" si="54"/>
        <v>-31727.6591428194</v>
      </c>
      <c r="F104" s="11">
        <f ca="1" t="shared" si="55"/>
        <v>0.347894126054295</v>
      </c>
      <c r="G104" s="19">
        <f ca="1" t="shared" si="56"/>
        <v>37223.8576195925</v>
      </c>
      <c r="H104" s="11">
        <f ca="1" t="shared" si="57"/>
        <v>0.214340176064941</v>
      </c>
      <c r="I104" s="19">
        <f ca="1" t="shared" si="58"/>
        <v>35670.187510986</v>
      </c>
      <c r="J104" s="11">
        <f ca="1" t="shared" si="59"/>
        <v>0.236882607211427</v>
      </c>
      <c r="K104" s="19">
        <f ca="1" t="shared" si="60"/>
        <v>35960.905223346</v>
      </c>
      <c r="L104" s="11">
        <f ca="1" t="shared" si="61"/>
        <v>0.912106113564197</v>
      </c>
      <c r="M104" s="19">
        <f ca="1" t="shared" si="62"/>
        <v>42432.5028758175</v>
      </c>
      <c r="N104" s="11">
        <f ca="1" t="shared" si="63"/>
        <v>0.186638934940447</v>
      </c>
      <c r="O104" s="19">
        <f ca="1" t="shared" si="64"/>
        <v>35291.1095472563</v>
      </c>
      <c r="P104" s="11">
        <f ca="1" t="shared" si="65"/>
        <v>0.114872624082006</v>
      </c>
      <c r="Q104" s="12">
        <f ca="1" t="shared" si="66"/>
        <v>13.4379524447895</v>
      </c>
      <c r="R104" s="11">
        <f ca="1" t="shared" si="67"/>
        <v>0.938752685172951</v>
      </c>
      <c r="S104" s="12">
        <f ca="1" t="shared" si="68"/>
        <v>16.9500230160204</v>
      </c>
      <c r="T104" s="11">
        <f ca="1" t="shared" si="69"/>
        <v>0.262448142655787</v>
      </c>
      <c r="U104" s="12">
        <f ca="1" t="shared" si="70"/>
        <v>17.3476394518263</v>
      </c>
      <c r="V104" s="11">
        <f ca="1" t="shared" si="71"/>
        <v>0.741182775535778</v>
      </c>
      <c r="W104" s="12">
        <f ca="1" t="shared" si="72"/>
        <v>21.9902487052503</v>
      </c>
      <c r="X104" s="11">
        <f ca="1" t="shared" si="73"/>
        <v>0.342180614498556</v>
      </c>
      <c r="Y104" s="12">
        <f ca="1" t="shared" si="74"/>
        <v>22.0399457370693</v>
      </c>
      <c r="Z104" s="19">
        <f ca="1" t="shared" si="75"/>
        <v>42225.9819046295</v>
      </c>
      <c r="AA104" s="19">
        <f ca="1" t="shared" si="76"/>
        <v>47322.1080523666</v>
      </c>
      <c r="AB104" s="19">
        <f ca="1" t="shared" si="77"/>
        <v>55983.9663077943</v>
      </c>
      <c r="AC104" s="19">
        <f ca="1" t="shared" si="78"/>
        <v>80585.4832064415</v>
      </c>
      <c r="AD104" s="19">
        <f ca="1" t="shared" si="79"/>
        <v>81794.7602246379</v>
      </c>
      <c r="AE104" s="19">
        <f ca="1" t="shared" si="80"/>
        <v>14385.6496817746</v>
      </c>
      <c r="AF104" s="19">
        <f ca="1" t="shared" si="81"/>
        <v>27840.3322228549</v>
      </c>
      <c r="AG104" s="19">
        <f ca="1" t="shared" si="82"/>
        <v>32936.458370592</v>
      </c>
      <c r="AH104" s="19">
        <f ca="1" t="shared" si="83"/>
        <v>41598.3166260197</v>
      </c>
      <c r="AI104" s="19">
        <f ca="1" t="shared" si="84"/>
        <v>66199.8335246668</v>
      </c>
      <c r="AJ104" s="19">
        <f ca="1" t="shared" si="85"/>
        <v>67409.1105428633</v>
      </c>
      <c r="AK104" s="19">
        <f ca="1">AF104*$B$4</f>
        <v>13920.1661114274</v>
      </c>
      <c r="AL104" s="19">
        <f ca="1">AG104*$B$4</f>
        <v>16468.229185296</v>
      </c>
      <c r="AM104" s="19">
        <f ca="1">AH104*$B$4</f>
        <v>20799.1583130098</v>
      </c>
      <c r="AN104" s="19">
        <f ca="1">AI104*$B$4</f>
        <v>33099.9167623334</v>
      </c>
      <c r="AO104" s="19">
        <f ca="1">AJ104*$B$4</f>
        <v>33704.5552714317</v>
      </c>
      <c r="AP104" s="19">
        <f ca="1" t="shared" si="86"/>
        <v>13920.1661114274</v>
      </c>
      <c r="AQ104" s="19">
        <f ca="1" t="shared" si="87"/>
        <v>16468.229185296</v>
      </c>
      <c r="AR104" s="19">
        <f ca="1" t="shared" si="88"/>
        <v>20799.1583130098</v>
      </c>
      <c r="AS104" s="19">
        <f ca="1" t="shared" si="89"/>
        <v>33099.9167623334</v>
      </c>
      <c r="AT104" s="19">
        <f ca="1" t="shared" si="90"/>
        <v>33704.5552714317</v>
      </c>
      <c r="AU104" s="19">
        <f ca="1" t="shared" si="91"/>
        <v>46113.308824594</v>
      </c>
      <c r="AV104" s="19">
        <f ca="1" t="shared" si="92"/>
        <v>-103655.907551692</v>
      </c>
      <c r="AW104" s="19">
        <f ca="1" t="shared" si="93"/>
        <v>28305.815793202</v>
      </c>
      <c r="AX104" s="19">
        <f ca="1" t="shared" si="94"/>
        <v>30853.8788670706</v>
      </c>
      <c r="AY104" s="19">
        <f ca="1" t="shared" si="95"/>
        <v>35184.8079947845</v>
      </c>
      <c r="AZ104" s="19">
        <f ca="1" t="shared" si="96"/>
        <v>47485.566444108</v>
      </c>
      <c r="BA104" s="19">
        <f ca="1" t="shared" si="97"/>
        <v>94203.5137778003</v>
      </c>
      <c r="BB104" s="20">
        <f ca="1" t="shared" si="98"/>
        <v>0.276694358476221</v>
      </c>
      <c r="BC104" s="19">
        <f ca="1">NPV($B$5,AW104:BA104)+AV104</f>
        <v>41408.2149873293</v>
      </c>
    </row>
    <row r="105" spans="1:55">
      <c r="A105" s="3">
        <v>81</v>
      </c>
      <c r="B105" s="11">
        <f ca="1" t="shared" si="51"/>
        <v>0.121447769957257</v>
      </c>
      <c r="C105" s="19">
        <f ca="1" t="shared" si="52"/>
        <v>-87927.8285321692</v>
      </c>
      <c r="D105" s="11">
        <f ca="1" t="shared" si="53"/>
        <v>0.454069243804454</v>
      </c>
      <c r="E105" s="19">
        <f ca="1" t="shared" si="54"/>
        <v>-31747.0982938927</v>
      </c>
      <c r="F105" s="11">
        <f ca="1" t="shared" si="55"/>
        <v>0.515276952031469</v>
      </c>
      <c r="G105" s="19">
        <f ca="1" t="shared" si="56"/>
        <v>38791.560885572</v>
      </c>
      <c r="H105" s="11">
        <f ca="1" t="shared" si="57"/>
        <v>0.301124700722708</v>
      </c>
      <c r="I105" s="19">
        <f ca="1" t="shared" si="58"/>
        <v>36720.7667053995</v>
      </c>
      <c r="J105" s="11">
        <f ca="1" t="shared" si="59"/>
        <v>0.971919295211671</v>
      </c>
      <c r="K105" s="19">
        <f ca="1" t="shared" si="60"/>
        <v>43548.7753932886</v>
      </c>
      <c r="L105" s="11">
        <f ca="1" t="shared" si="61"/>
        <v>0.65219554161273</v>
      </c>
      <c r="M105" s="19">
        <f ca="1" t="shared" si="62"/>
        <v>39890.8711063237</v>
      </c>
      <c r="N105" s="11">
        <f ca="1" t="shared" si="63"/>
        <v>0.0664012465740367</v>
      </c>
      <c r="O105" s="19">
        <f ca="1" t="shared" si="64"/>
        <v>33155.9763918803</v>
      </c>
      <c r="P105" s="11">
        <f ca="1" t="shared" si="65"/>
        <v>0.644604915139429</v>
      </c>
      <c r="Q105" s="12">
        <f ca="1" t="shared" si="66"/>
        <v>15.4707488207989</v>
      </c>
      <c r="R105" s="11">
        <f ca="1" t="shared" si="67"/>
        <v>0.325191943752205</v>
      </c>
      <c r="S105" s="12">
        <f ca="1" t="shared" si="68"/>
        <v>14.419391449836</v>
      </c>
      <c r="T105" s="11">
        <f ca="1" t="shared" si="69"/>
        <v>0.098900152870995</v>
      </c>
      <c r="U105" s="12">
        <f ca="1" t="shared" si="70"/>
        <v>16.4411464916138</v>
      </c>
      <c r="V105" s="11">
        <f ca="1" t="shared" si="71"/>
        <v>0.395205124090112</v>
      </c>
      <c r="W105" s="12">
        <f ca="1" t="shared" si="72"/>
        <v>20.399150007135</v>
      </c>
      <c r="X105" s="11">
        <f ca="1" t="shared" si="73"/>
        <v>0.28356831834776</v>
      </c>
      <c r="Y105" s="12">
        <f ca="1" t="shared" si="74"/>
        <v>21.7670100461309</v>
      </c>
      <c r="Z105" s="19">
        <f ca="1" t="shared" si="75"/>
        <v>44792.9058338462</v>
      </c>
      <c r="AA105" s="19">
        <f ca="1" t="shared" si="76"/>
        <v>48515.8177778312</v>
      </c>
      <c r="AB105" s="19">
        <f ca="1" t="shared" si="77"/>
        <v>66996.7962844152</v>
      </c>
      <c r="AC105" s="19">
        <f ca="1" t="shared" si="78"/>
        <v>73888.1903054415</v>
      </c>
      <c r="AD105" s="19">
        <f ca="1" t="shared" si="79"/>
        <v>74781.2936034981</v>
      </c>
      <c r="AE105" s="19">
        <f ca="1" t="shared" si="80"/>
        <v>17585.5657064338</v>
      </c>
      <c r="AF105" s="19">
        <f ca="1" t="shared" si="81"/>
        <v>27207.3401274123</v>
      </c>
      <c r="AG105" s="19">
        <f ca="1" t="shared" si="82"/>
        <v>30930.2520713974</v>
      </c>
      <c r="AH105" s="19">
        <f ca="1" t="shared" si="83"/>
        <v>49411.2305779814</v>
      </c>
      <c r="AI105" s="19">
        <f ca="1" t="shared" si="84"/>
        <v>56302.6245990077</v>
      </c>
      <c r="AJ105" s="19">
        <f ca="1" t="shared" si="85"/>
        <v>57195.7278970643</v>
      </c>
      <c r="AK105" s="19">
        <f ca="1">AF105*$B$4</f>
        <v>13603.6700637062</v>
      </c>
      <c r="AL105" s="19">
        <f ca="1">AG105*$B$4</f>
        <v>15465.1260356987</v>
      </c>
      <c r="AM105" s="19">
        <f ca="1">AH105*$B$4</f>
        <v>24705.6152889907</v>
      </c>
      <c r="AN105" s="19">
        <f ca="1">AI105*$B$4</f>
        <v>28151.3122995038</v>
      </c>
      <c r="AO105" s="19">
        <f ca="1">AJ105*$B$4</f>
        <v>28597.8639485322</v>
      </c>
      <c r="AP105" s="19">
        <f ca="1" t="shared" si="86"/>
        <v>13603.6700637062</v>
      </c>
      <c r="AQ105" s="19">
        <f ca="1" t="shared" si="87"/>
        <v>15465.1260356987</v>
      </c>
      <c r="AR105" s="19">
        <f ca="1" t="shared" si="88"/>
        <v>24705.6152889907</v>
      </c>
      <c r="AS105" s="19">
        <f ca="1" t="shared" si="89"/>
        <v>28151.3122995038</v>
      </c>
      <c r="AT105" s="19">
        <f ca="1" t="shared" si="90"/>
        <v>28597.8639485322</v>
      </c>
      <c r="AU105" s="19">
        <f ca="1" t="shared" si="91"/>
        <v>49332.6640003266</v>
      </c>
      <c r="AV105" s="19">
        <f ca="1" t="shared" si="92"/>
        <v>-119674.926826062</v>
      </c>
      <c r="AW105" s="19">
        <f ca="1" t="shared" si="93"/>
        <v>31189.23577014</v>
      </c>
      <c r="AX105" s="19">
        <f ca="1" t="shared" si="94"/>
        <v>33050.6917421325</v>
      </c>
      <c r="AY105" s="19">
        <f ca="1" t="shared" si="95"/>
        <v>42291.1809954245</v>
      </c>
      <c r="AZ105" s="19">
        <f ca="1" t="shared" si="96"/>
        <v>45736.8780059377</v>
      </c>
      <c r="BA105" s="19">
        <f ca="1" t="shared" si="97"/>
        <v>95516.0936552926</v>
      </c>
      <c r="BB105" s="20">
        <f ca="1" t="shared" si="98"/>
        <v>0.243598565032591</v>
      </c>
      <c r="BC105" s="19">
        <f ca="1">NPV($B$5,AW105:BA105)+AV105</f>
        <v>33882.9450656426</v>
      </c>
    </row>
    <row r="106" spans="1:55">
      <c r="A106" s="3">
        <v>82</v>
      </c>
      <c r="B106" s="11">
        <f ca="1" t="shared" si="51"/>
        <v>0.00398952669451647</v>
      </c>
      <c r="C106" s="19">
        <f ca="1" t="shared" si="52"/>
        <v>-97811.9798827662</v>
      </c>
      <c r="D106" s="11">
        <f ca="1" t="shared" si="53"/>
        <v>0.54811879418768</v>
      </c>
      <c r="E106" s="19">
        <f ca="1" t="shared" si="54"/>
        <v>-30932.5957888626</v>
      </c>
      <c r="F106" s="11">
        <f ca="1" t="shared" si="55"/>
        <v>0.229772187277502</v>
      </c>
      <c r="G106" s="19">
        <f ca="1" t="shared" si="56"/>
        <v>35870.7604355505</v>
      </c>
      <c r="H106" s="11">
        <f ca="1" t="shared" si="57"/>
        <v>0.00932110613248494</v>
      </c>
      <c r="I106" s="19">
        <f ca="1" t="shared" si="58"/>
        <v>31182.4406623052</v>
      </c>
      <c r="J106" s="11">
        <f ca="1" t="shared" si="59"/>
        <v>0.79161982537518</v>
      </c>
      <c r="K106" s="19">
        <f ca="1" t="shared" si="60"/>
        <v>41046.7085742559</v>
      </c>
      <c r="L106" s="11">
        <f ca="1" t="shared" si="61"/>
        <v>0.316033853816603</v>
      </c>
      <c r="M106" s="19">
        <f ca="1" t="shared" si="62"/>
        <v>36885.1345718505</v>
      </c>
      <c r="N106" s="11">
        <f ca="1" t="shared" si="63"/>
        <v>0.0770355529524049</v>
      </c>
      <c r="O106" s="19">
        <f ca="1" t="shared" si="64"/>
        <v>33399.3135987815</v>
      </c>
      <c r="P106" s="11">
        <f ca="1" t="shared" si="65"/>
        <v>0.281342056887318</v>
      </c>
      <c r="Q106" s="12">
        <f ca="1" t="shared" si="66"/>
        <v>14.2503681974228</v>
      </c>
      <c r="R106" s="11">
        <f ca="1" t="shared" si="67"/>
        <v>0.309564794740552</v>
      </c>
      <c r="S106" s="12">
        <f ca="1" t="shared" si="68"/>
        <v>14.3605436461396</v>
      </c>
      <c r="T106" s="11">
        <f ca="1" t="shared" si="69"/>
        <v>0.297516537167419</v>
      </c>
      <c r="U106" s="12">
        <f ca="1" t="shared" si="70"/>
        <v>17.4995694190232</v>
      </c>
      <c r="V106" s="11">
        <f ca="1" t="shared" si="71"/>
        <v>0.743063424501594</v>
      </c>
      <c r="W106" s="12">
        <f ca="1" t="shared" si="72"/>
        <v>22.0012035510151</v>
      </c>
      <c r="X106" s="11">
        <f ca="1" t="shared" si="73"/>
        <v>0.223963645002992</v>
      </c>
      <c r="Y106" s="12">
        <f ca="1" t="shared" si="74"/>
        <v>21.4590686072334</v>
      </c>
      <c r="Z106" s="19">
        <f ca="1" t="shared" si="75"/>
        <v>40982.4758728319</v>
      </c>
      <c r="AA106" s="19">
        <f ca="1" t="shared" si="76"/>
        <v>40742.1481988082</v>
      </c>
      <c r="AB106" s="19">
        <f ca="1" t="shared" si="77"/>
        <v>63015.6517898055</v>
      </c>
      <c r="AC106" s="19">
        <f ca="1" t="shared" si="78"/>
        <v>69085.2895331441</v>
      </c>
      <c r="AD106" s="19">
        <f ca="1" t="shared" si="79"/>
        <v>75980.4213819846</v>
      </c>
      <c r="AE106" s="19">
        <f ca="1" t="shared" si="80"/>
        <v>19562.3959765532</v>
      </c>
      <c r="AF106" s="19">
        <f ca="1" t="shared" si="81"/>
        <v>21420.0798962787</v>
      </c>
      <c r="AG106" s="19">
        <f ca="1" t="shared" si="82"/>
        <v>21179.752222255</v>
      </c>
      <c r="AH106" s="19">
        <f ca="1" t="shared" si="83"/>
        <v>43453.2558132522</v>
      </c>
      <c r="AI106" s="19">
        <f ca="1" t="shared" si="84"/>
        <v>49522.8935565909</v>
      </c>
      <c r="AJ106" s="19">
        <f ca="1" t="shared" si="85"/>
        <v>56418.0254054313</v>
      </c>
      <c r="AK106" s="19">
        <f ca="1">AF106*$B$4</f>
        <v>10710.0399481393</v>
      </c>
      <c r="AL106" s="19">
        <f ca="1">AG106*$B$4</f>
        <v>10589.8761111275</v>
      </c>
      <c r="AM106" s="19">
        <f ca="1">AH106*$B$4</f>
        <v>21726.6279066261</v>
      </c>
      <c r="AN106" s="19">
        <f ca="1">AI106*$B$4</f>
        <v>24761.4467782954</v>
      </c>
      <c r="AO106" s="19">
        <f ca="1">AJ106*$B$4</f>
        <v>28209.0127027157</v>
      </c>
      <c r="AP106" s="19">
        <f ca="1" t="shared" si="86"/>
        <v>10710.0399481393</v>
      </c>
      <c r="AQ106" s="19">
        <f ca="1" t="shared" si="87"/>
        <v>10589.8761111275</v>
      </c>
      <c r="AR106" s="19">
        <f ca="1" t="shared" si="88"/>
        <v>21726.6279066261</v>
      </c>
      <c r="AS106" s="19">
        <f ca="1" t="shared" si="89"/>
        <v>24761.4467782954</v>
      </c>
      <c r="AT106" s="19">
        <f ca="1" t="shared" si="90"/>
        <v>28209.0127027157</v>
      </c>
      <c r="AU106" s="19">
        <f ca="1" t="shared" si="91"/>
        <v>50494.9917654159</v>
      </c>
      <c r="AV106" s="19">
        <f ca="1" t="shared" si="92"/>
        <v>-128744.575671629</v>
      </c>
      <c r="AW106" s="19">
        <f ca="1" t="shared" si="93"/>
        <v>30272.4359246926</v>
      </c>
      <c r="AX106" s="19">
        <f ca="1" t="shared" si="94"/>
        <v>30152.2720876807</v>
      </c>
      <c r="AY106" s="19">
        <f ca="1" t="shared" si="95"/>
        <v>41289.0238831794</v>
      </c>
      <c r="AZ106" s="19">
        <f ca="1" t="shared" si="96"/>
        <v>44323.8427548487</v>
      </c>
      <c r="BA106" s="19">
        <f ca="1" t="shared" si="97"/>
        <v>98266.4004446848</v>
      </c>
      <c r="BB106" s="20">
        <f ca="1" t="shared" si="98"/>
        <v>0.206288750845873</v>
      </c>
      <c r="BC106" s="19">
        <f ca="1">NPV($B$5,AW106:BA106)+AV106</f>
        <v>21725.0037872055</v>
      </c>
    </row>
    <row r="107" spans="1:55">
      <c r="A107" s="3">
        <v>83</v>
      </c>
      <c r="B107" s="11">
        <f ca="1" t="shared" si="51"/>
        <v>0.265972726481981</v>
      </c>
      <c r="C107" s="19">
        <f ca="1" t="shared" si="52"/>
        <v>-82134.746803407</v>
      </c>
      <c r="D107" s="11">
        <f ca="1" t="shared" si="53"/>
        <v>0.440264411548805</v>
      </c>
      <c r="E107" s="19">
        <f ca="1" t="shared" si="54"/>
        <v>-31873.5209510932</v>
      </c>
      <c r="F107" s="11">
        <f ca="1" t="shared" si="55"/>
        <v>0.704949563278059</v>
      </c>
      <c r="G107" s="19">
        <f ca="1" t="shared" si="56"/>
        <v>40295.8759843999</v>
      </c>
      <c r="H107" s="11">
        <f ca="1" t="shared" si="57"/>
        <v>0.615963340059709</v>
      </c>
      <c r="I107" s="19">
        <f ca="1" t="shared" si="58"/>
        <v>39612.2058347164</v>
      </c>
      <c r="J107" s="11">
        <f ca="1" t="shared" si="59"/>
        <v>0.502408931155156</v>
      </c>
      <c r="K107" s="19">
        <f ca="1" t="shared" si="60"/>
        <v>38681.0909264489</v>
      </c>
      <c r="L107" s="11">
        <f ca="1" t="shared" si="61"/>
        <v>0.0126108936633198</v>
      </c>
      <c r="M107" s="19">
        <f ca="1" t="shared" si="62"/>
        <v>31375.3668781449</v>
      </c>
      <c r="N107" s="11">
        <f ca="1" t="shared" si="63"/>
        <v>0.612438090903174</v>
      </c>
      <c r="O107" s="19">
        <f ca="1" t="shared" si="64"/>
        <v>39584.660329687</v>
      </c>
      <c r="P107" s="11">
        <f ca="1" t="shared" si="65"/>
        <v>0.363474160635122</v>
      </c>
      <c r="Q107" s="12">
        <f ca="1" t="shared" si="66"/>
        <v>14.557837932988</v>
      </c>
      <c r="R107" s="11">
        <f ca="1" t="shared" si="67"/>
        <v>0.392223457476759</v>
      </c>
      <c r="S107" s="12">
        <f ca="1" t="shared" si="68"/>
        <v>14.6570702351616</v>
      </c>
      <c r="T107" s="11">
        <f ca="1" t="shared" si="69"/>
        <v>0.935631464348332</v>
      </c>
      <c r="U107" s="12">
        <f ca="1" t="shared" si="70"/>
        <v>20.657495252058</v>
      </c>
      <c r="V107" s="11">
        <f ca="1" t="shared" si="71"/>
        <v>0.378928097350444</v>
      </c>
      <c r="W107" s="12">
        <f ca="1" t="shared" si="72"/>
        <v>20.3376490272895</v>
      </c>
      <c r="X107" s="11">
        <f ca="1" t="shared" si="73"/>
        <v>0.514305748678924</v>
      </c>
      <c r="Y107" s="12">
        <f ca="1" t="shared" si="74"/>
        <v>22.8787218810791</v>
      </c>
      <c r="Z107" s="19">
        <f ca="1" t="shared" si="75"/>
        <v>46162.0843038867</v>
      </c>
      <c r="AA107" s="19">
        <f ca="1" t="shared" si="76"/>
        <v>52030.1018371157</v>
      </c>
      <c r="AB107" s="19">
        <f ca="1" t="shared" si="77"/>
        <v>61302.5680871637</v>
      </c>
      <c r="AC107" s="19">
        <f ca="1" t="shared" si="78"/>
        <v>59837.0658961275</v>
      </c>
      <c r="AD107" s="19">
        <f ca="1" t="shared" si="79"/>
        <v>92765.1999636833</v>
      </c>
      <c r="AE107" s="19">
        <f ca="1" t="shared" si="80"/>
        <v>16426.9493606814</v>
      </c>
      <c r="AF107" s="19">
        <f ca="1" t="shared" si="81"/>
        <v>29735.1349432053</v>
      </c>
      <c r="AG107" s="19">
        <f ca="1" t="shared" si="82"/>
        <v>35603.1524764343</v>
      </c>
      <c r="AH107" s="19">
        <f ca="1" t="shared" si="83"/>
        <v>44875.6187264823</v>
      </c>
      <c r="AI107" s="19">
        <f ca="1" t="shared" si="84"/>
        <v>43410.1165354461</v>
      </c>
      <c r="AJ107" s="19">
        <f ca="1" t="shared" si="85"/>
        <v>76338.2506030019</v>
      </c>
      <c r="AK107" s="19">
        <f ca="1">AF107*$B$4</f>
        <v>14867.5674716026</v>
      </c>
      <c r="AL107" s="19">
        <f ca="1">AG107*$B$4</f>
        <v>17801.5762382172</v>
      </c>
      <c r="AM107" s="19">
        <f ca="1">AH107*$B$4</f>
        <v>22437.8093632411</v>
      </c>
      <c r="AN107" s="19">
        <f ca="1">AI107*$B$4</f>
        <v>21705.058267723</v>
      </c>
      <c r="AO107" s="19">
        <f ca="1">AJ107*$B$4</f>
        <v>38169.1253015009</v>
      </c>
      <c r="AP107" s="19">
        <f ca="1" t="shared" si="86"/>
        <v>14867.5674716026</v>
      </c>
      <c r="AQ107" s="19">
        <f ca="1" t="shared" si="87"/>
        <v>17801.5762382172</v>
      </c>
      <c r="AR107" s="19">
        <f ca="1" t="shared" si="88"/>
        <v>22437.8093632411</v>
      </c>
      <c r="AS107" s="19">
        <f ca="1" t="shared" si="89"/>
        <v>21705.058267723</v>
      </c>
      <c r="AT107" s="19">
        <f ca="1" t="shared" si="90"/>
        <v>38169.1253015009</v>
      </c>
      <c r="AU107" s="19">
        <f ca="1" t="shared" si="91"/>
        <v>48300.4703117746</v>
      </c>
      <c r="AV107" s="19">
        <f ca="1" t="shared" si="92"/>
        <v>-114008.2677545</v>
      </c>
      <c r="AW107" s="19">
        <f ca="1" t="shared" si="93"/>
        <v>31294.516832284</v>
      </c>
      <c r="AX107" s="19">
        <f ca="1" t="shared" si="94"/>
        <v>34228.5255988986</v>
      </c>
      <c r="AY107" s="19">
        <f ca="1" t="shared" si="95"/>
        <v>38864.7587239225</v>
      </c>
      <c r="AZ107" s="19">
        <f ca="1" t="shared" si="96"/>
        <v>38132.0076284044</v>
      </c>
      <c r="BA107" s="19">
        <f ca="1" t="shared" si="97"/>
        <v>102896.544973957</v>
      </c>
      <c r="BB107" s="20">
        <f ca="1" t="shared" si="98"/>
        <v>0.257649417911327</v>
      </c>
      <c r="BC107" s="19">
        <f ca="1">NPV($B$5,AW107:BA107)+AV107</f>
        <v>37600.1156071097</v>
      </c>
    </row>
    <row r="108" spans="1:55">
      <c r="A108" s="3">
        <v>84</v>
      </c>
      <c r="B108" s="11">
        <f ca="1" t="shared" si="51"/>
        <v>0.812176963562059</v>
      </c>
      <c r="C108" s="19">
        <f ca="1" t="shared" si="52"/>
        <v>-68667.7110343606</v>
      </c>
      <c r="D108" s="11">
        <f ca="1" t="shared" si="53"/>
        <v>0.456226206719142</v>
      </c>
      <c r="E108" s="19">
        <f ca="1" t="shared" si="54"/>
        <v>-31727.5196580547</v>
      </c>
      <c r="F108" s="11">
        <f ca="1" t="shared" si="55"/>
        <v>0.803942747828268</v>
      </c>
      <c r="G108" s="19">
        <f ca="1" t="shared" si="56"/>
        <v>41165.3821686014</v>
      </c>
      <c r="H108" s="11">
        <f ca="1" t="shared" si="57"/>
        <v>0.569934898289614</v>
      </c>
      <c r="I108" s="19">
        <f ca="1" t="shared" si="58"/>
        <v>39246.0929447763</v>
      </c>
      <c r="J108" s="11">
        <f ca="1" t="shared" si="59"/>
        <v>0.720310572126768</v>
      </c>
      <c r="K108" s="19">
        <f ca="1" t="shared" si="60"/>
        <v>40419.9664749598</v>
      </c>
      <c r="L108" s="11">
        <f ca="1" t="shared" si="61"/>
        <v>0.490694791435329</v>
      </c>
      <c r="M108" s="19">
        <f ca="1" t="shared" si="62"/>
        <v>38579.2901055565</v>
      </c>
      <c r="N108" s="11">
        <f ca="1" t="shared" si="63"/>
        <v>0.804735004113468</v>
      </c>
      <c r="O108" s="19">
        <f ca="1" t="shared" si="64"/>
        <v>41173.1377485608</v>
      </c>
      <c r="P108" s="11">
        <f ca="1" t="shared" si="65"/>
        <v>0.805288858914885</v>
      </c>
      <c r="Q108" s="12">
        <f ca="1" t="shared" si="66"/>
        <v>16.1278887480889</v>
      </c>
      <c r="R108" s="11">
        <f ca="1" t="shared" si="67"/>
        <v>0.17425310813616</v>
      </c>
      <c r="S108" s="12">
        <f ca="1" t="shared" si="68"/>
        <v>13.7710324521168</v>
      </c>
      <c r="T108" s="11">
        <f ca="1" t="shared" si="69"/>
        <v>0.0127556433229845</v>
      </c>
      <c r="U108" s="12">
        <f ca="1" t="shared" si="70"/>
        <v>15.5175601508836</v>
      </c>
      <c r="V108" s="11">
        <f ca="1" t="shared" si="71"/>
        <v>0.0198396673326997</v>
      </c>
      <c r="W108" s="12">
        <f ca="1" t="shared" si="72"/>
        <v>18.5270249924413</v>
      </c>
      <c r="X108" s="11">
        <f ca="1" t="shared" si="73"/>
        <v>0.298775541394818</v>
      </c>
      <c r="Y108" s="12">
        <f ca="1" t="shared" si="74"/>
        <v>21.8402358383874</v>
      </c>
      <c r="Z108" s="19">
        <f ca="1" t="shared" si="75"/>
        <v>47804.4892074791</v>
      </c>
      <c r="AA108" s="19">
        <f ca="1" t="shared" si="76"/>
        <v>51851.8979650909</v>
      </c>
      <c r="AB108" s="19">
        <f ca="1" t="shared" si="77"/>
        <v>61689.632954983</v>
      </c>
      <c r="AC108" s="19">
        <f ca="1" t="shared" si="78"/>
        <v>69789.1410374195</v>
      </c>
      <c r="AD108" s="19">
        <f ca="1" t="shared" si="79"/>
        <v>90748.2622286093</v>
      </c>
      <c r="AE108" s="19">
        <f ca="1" t="shared" si="80"/>
        <v>13733.5422068721</v>
      </c>
      <c r="AF108" s="19">
        <f ca="1" t="shared" si="81"/>
        <v>34070.947000607</v>
      </c>
      <c r="AG108" s="19">
        <f ca="1" t="shared" si="82"/>
        <v>38118.3557582187</v>
      </c>
      <c r="AH108" s="19">
        <f ca="1" t="shared" si="83"/>
        <v>47956.0907481109</v>
      </c>
      <c r="AI108" s="19">
        <f ca="1" t="shared" si="84"/>
        <v>56055.5988305474</v>
      </c>
      <c r="AJ108" s="19">
        <f ca="1" t="shared" si="85"/>
        <v>77014.7200217372</v>
      </c>
      <c r="AK108" s="19">
        <f ca="1">AF108*$B$4</f>
        <v>17035.4735003035</v>
      </c>
      <c r="AL108" s="19">
        <f ca="1">AG108*$B$4</f>
        <v>19059.1778791094</v>
      </c>
      <c r="AM108" s="19">
        <f ca="1">AH108*$B$4</f>
        <v>23978.0453740555</v>
      </c>
      <c r="AN108" s="19">
        <f ca="1">AI108*$B$4</f>
        <v>28027.7994152737</v>
      </c>
      <c r="AO108" s="19">
        <f ca="1">AJ108*$B$4</f>
        <v>38507.3600108686</v>
      </c>
      <c r="AP108" s="19">
        <f ca="1" t="shared" si="86"/>
        <v>17035.4735003035</v>
      </c>
      <c r="AQ108" s="19">
        <f ca="1" t="shared" si="87"/>
        <v>19059.1778791094</v>
      </c>
      <c r="AR108" s="19">
        <f ca="1" t="shared" si="88"/>
        <v>23978.0453740555</v>
      </c>
      <c r="AS108" s="19">
        <f ca="1" t="shared" si="89"/>
        <v>28027.7994152737</v>
      </c>
      <c r="AT108" s="19">
        <f ca="1" t="shared" si="90"/>
        <v>38507.3600108686</v>
      </c>
      <c r="AU108" s="19">
        <f ca="1" t="shared" si="91"/>
        <v>45461.0618649268</v>
      </c>
      <c r="AV108" s="19">
        <f ca="1" t="shared" si="92"/>
        <v>-100395.230692415</v>
      </c>
      <c r="AW108" s="19">
        <f ca="1" t="shared" si="93"/>
        <v>30769.0157071756</v>
      </c>
      <c r="AX108" s="19">
        <f ca="1" t="shared" si="94"/>
        <v>32792.7200859815</v>
      </c>
      <c r="AY108" s="19">
        <f ca="1" t="shared" si="95"/>
        <v>37711.5875809276</v>
      </c>
      <c r="AZ108" s="19">
        <f ca="1" t="shared" si="96"/>
        <v>41761.3416221458</v>
      </c>
      <c r="BA108" s="19">
        <f ca="1" t="shared" si="97"/>
        <v>97701.9640826675</v>
      </c>
      <c r="BB108" s="20">
        <f ca="1" t="shared" si="98"/>
        <v>0.303347311290505</v>
      </c>
      <c r="BC108" s="19">
        <f ca="1">NPV($B$5,AW108:BA108)+AV108</f>
        <v>48404.7498992355</v>
      </c>
    </row>
    <row r="109" spans="1:55">
      <c r="A109" s="3">
        <v>85</v>
      </c>
      <c r="B109" s="11">
        <f ca="1" t="shared" si="51"/>
        <v>0.691778341428394</v>
      </c>
      <c r="C109" s="19">
        <f ca="1" t="shared" si="52"/>
        <v>-71187.9537395541</v>
      </c>
      <c r="D109" s="11">
        <f ca="1" t="shared" si="53"/>
        <v>0.0123854971674024</v>
      </c>
      <c r="E109" s="19">
        <f ca="1" t="shared" si="54"/>
        <v>-38636.979613098</v>
      </c>
      <c r="F109" s="11">
        <f ca="1" t="shared" si="55"/>
        <v>0.175514861898151</v>
      </c>
      <c r="G109" s="19">
        <f ca="1" t="shared" si="56"/>
        <v>35131.0066541296</v>
      </c>
      <c r="H109" s="11">
        <f ca="1" t="shared" si="57"/>
        <v>0.970947030267838</v>
      </c>
      <c r="I109" s="19">
        <f ca="1" t="shared" si="58"/>
        <v>43523.8656125162</v>
      </c>
      <c r="J109" s="11">
        <f ca="1" t="shared" si="59"/>
        <v>0.317359383904394</v>
      </c>
      <c r="K109" s="19">
        <f ca="1" t="shared" si="60"/>
        <v>36899.5585065756</v>
      </c>
      <c r="L109" s="11">
        <f ca="1" t="shared" si="61"/>
        <v>0.977805134619219</v>
      </c>
      <c r="M109" s="19">
        <f ca="1" t="shared" si="62"/>
        <v>43709.800440413</v>
      </c>
      <c r="N109" s="11">
        <f ca="1" t="shared" si="63"/>
        <v>0.289412875890179</v>
      </c>
      <c r="O109" s="19">
        <f ca="1" t="shared" si="64"/>
        <v>36588.7731318909</v>
      </c>
      <c r="P109" s="11">
        <f ca="1" t="shared" si="65"/>
        <v>0.454067856623126</v>
      </c>
      <c r="Q109" s="12">
        <f ca="1" t="shared" si="66"/>
        <v>14.8588846460143</v>
      </c>
      <c r="R109" s="11">
        <f ca="1" t="shared" si="67"/>
        <v>0.933390364125539</v>
      </c>
      <c r="S109" s="12">
        <f ca="1" t="shared" si="68"/>
        <v>16.9050235410109</v>
      </c>
      <c r="T109" s="11">
        <f ca="1" t="shared" si="69"/>
        <v>0.779691820639669</v>
      </c>
      <c r="U109" s="12">
        <f ca="1" t="shared" si="70"/>
        <v>19.5163275131191</v>
      </c>
      <c r="V109" s="11">
        <f ca="1" t="shared" si="71"/>
        <v>0.548107908185478</v>
      </c>
      <c r="W109" s="12">
        <f ca="1" t="shared" si="72"/>
        <v>21.0230384445524</v>
      </c>
      <c r="X109" s="11">
        <f ca="1" t="shared" si="73"/>
        <v>0.564075361988334</v>
      </c>
      <c r="Y109" s="12">
        <f ca="1" t="shared" si="74"/>
        <v>23.1482033788884</v>
      </c>
      <c r="Z109" s="19">
        <f ca="1" t="shared" si="75"/>
        <v>40351.0824078504</v>
      </c>
      <c r="AA109" s="19">
        <f ca="1" t="shared" si="76"/>
        <v>58442.0214120441</v>
      </c>
      <c r="AB109" s="19">
        <f ca="1" t="shared" si="77"/>
        <v>59216.9694977044</v>
      </c>
      <c r="AC109" s="19">
        <f ca="1" t="shared" si="78"/>
        <v>84893.0005565928</v>
      </c>
      <c r="AD109" s="19">
        <f ca="1" t="shared" si="79"/>
        <v>87512.2777894421</v>
      </c>
      <c r="AE109" s="19">
        <f ca="1" t="shared" si="80"/>
        <v>14237.5907479108</v>
      </c>
      <c r="AF109" s="19">
        <f ca="1" t="shared" si="81"/>
        <v>26113.4916599395</v>
      </c>
      <c r="AG109" s="19">
        <f ca="1" t="shared" si="82"/>
        <v>44204.4306641333</v>
      </c>
      <c r="AH109" s="19">
        <f ca="1" t="shared" si="83"/>
        <v>44979.3787497936</v>
      </c>
      <c r="AI109" s="19">
        <f ca="1" t="shared" si="84"/>
        <v>70655.409808682</v>
      </c>
      <c r="AJ109" s="19">
        <f ca="1" t="shared" si="85"/>
        <v>73274.6870415312</v>
      </c>
      <c r="AK109" s="19">
        <f ca="1">AF109*$B$4</f>
        <v>13056.7458299698</v>
      </c>
      <c r="AL109" s="19">
        <f ca="1">AG109*$B$4</f>
        <v>22102.2153320666</v>
      </c>
      <c r="AM109" s="19">
        <f ca="1">AH109*$B$4</f>
        <v>22489.6893748968</v>
      </c>
      <c r="AN109" s="19">
        <f ca="1">AI109*$B$4</f>
        <v>35327.704904341</v>
      </c>
      <c r="AO109" s="19">
        <f ca="1">AJ109*$B$4</f>
        <v>36637.3435207656</v>
      </c>
      <c r="AP109" s="19">
        <f ca="1" t="shared" si="86"/>
        <v>13056.7458299698</v>
      </c>
      <c r="AQ109" s="19">
        <f ca="1" t="shared" si="87"/>
        <v>22102.2153320666</v>
      </c>
      <c r="AR109" s="19">
        <f ca="1" t="shared" si="88"/>
        <v>22489.6893748968</v>
      </c>
      <c r="AS109" s="19">
        <f ca="1" t="shared" si="89"/>
        <v>35327.704904341</v>
      </c>
      <c r="AT109" s="19">
        <f ca="1" t="shared" si="90"/>
        <v>36637.3435207656</v>
      </c>
      <c r="AU109" s="19">
        <f ca="1" t="shared" si="91"/>
        <v>52874.5703610089</v>
      </c>
      <c r="AV109" s="19">
        <f ca="1" t="shared" si="92"/>
        <v>-109824.933352652</v>
      </c>
      <c r="AW109" s="19">
        <f ca="1" t="shared" si="93"/>
        <v>27294.3365778806</v>
      </c>
      <c r="AX109" s="19">
        <f ca="1" t="shared" si="94"/>
        <v>36339.8060799775</v>
      </c>
      <c r="AY109" s="19">
        <f ca="1" t="shared" si="95"/>
        <v>36727.2801228076</v>
      </c>
      <c r="AZ109" s="19">
        <f ca="1" t="shared" si="96"/>
        <v>49565.2956522518</v>
      </c>
      <c r="BA109" s="19">
        <f ca="1" t="shared" si="97"/>
        <v>103749.504629685</v>
      </c>
      <c r="BB109" s="20">
        <f ca="1" t="shared" si="98"/>
        <v>0.27944593483757</v>
      </c>
      <c r="BC109" s="19">
        <f ca="1">NPV($B$5,AW109:BA109)+AV109</f>
        <v>45457.1281177899</v>
      </c>
    </row>
    <row r="110" spans="1:55">
      <c r="A110" s="3">
        <v>86</v>
      </c>
      <c r="B110" s="11">
        <f ca="1" t="shared" si="51"/>
        <v>0.383335973199604</v>
      </c>
      <c r="C110" s="19">
        <f ca="1" t="shared" si="52"/>
        <v>-78552.3155599602</v>
      </c>
      <c r="D110" s="11">
        <f ca="1" t="shared" si="53"/>
        <v>0.548101151158256</v>
      </c>
      <c r="E110" s="19">
        <f ca="1" t="shared" si="54"/>
        <v>-30932.7417223431</v>
      </c>
      <c r="F110" s="11">
        <f ca="1" t="shared" si="55"/>
        <v>0.613158656207651</v>
      </c>
      <c r="G110" s="19">
        <f ca="1" t="shared" si="56"/>
        <v>39590.2970981689</v>
      </c>
      <c r="H110" s="11">
        <f ca="1" t="shared" si="57"/>
        <v>0.735662661935763</v>
      </c>
      <c r="I110" s="19">
        <f ca="1" t="shared" si="58"/>
        <v>40547.4388993729</v>
      </c>
      <c r="J110" s="11">
        <f ca="1" t="shared" si="59"/>
        <v>0.526091167004764</v>
      </c>
      <c r="K110" s="19">
        <f ca="1" t="shared" si="60"/>
        <v>38883.3369321846</v>
      </c>
      <c r="L110" s="11">
        <f ca="1" t="shared" si="61"/>
        <v>0.509108993241891</v>
      </c>
      <c r="M110" s="19">
        <f ca="1" t="shared" si="62"/>
        <v>38738.7841823839</v>
      </c>
      <c r="N110" s="11">
        <f ca="1" t="shared" si="63"/>
        <v>0.558008062049254</v>
      </c>
      <c r="O110" s="19">
        <f ca="1" t="shared" si="64"/>
        <v>39148.8365001998</v>
      </c>
      <c r="P110" s="11">
        <f ca="1" t="shared" si="65"/>
        <v>0.171267448836204</v>
      </c>
      <c r="Q110" s="12">
        <f ca="1" t="shared" si="66"/>
        <v>13.7557944296106</v>
      </c>
      <c r="R110" s="11">
        <f ca="1" t="shared" si="67"/>
        <v>0.660937734689632</v>
      </c>
      <c r="S110" s="12">
        <f ca="1" t="shared" si="68"/>
        <v>15.5295504911886</v>
      </c>
      <c r="T110" s="11">
        <f ca="1" t="shared" si="69"/>
        <v>0.371245680411919</v>
      </c>
      <c r="U110" s="12">
        <f ca="1" t="shared" si="70"/>
        <v>17.7921603264588</v>
      </c>
      <c r="V110" s="11">
        <f ca="1" t="shared" si="71"/>
        <v>0.733477787610659</v>
      </c>
      <c r="W110" s="12">
        <f ca="1" t="shared" si="72"/>
        <v>21.9457771146121</v>
      </c>
      <c r="X110" s="11">
        <f ca="1" t="shared" si="73"/>
        <v>0.790334006499299</v>
      </c>
      <c r="Y110" s="12">
        <f ca="1" t="shared" si="74"/>
        <v>24.6351874273538</v>
      </c>
      <c r="Z110" s="19">
        <f ca="1" t="shared" si="75"/>
        <v>45036.2569810652</v>
      </c>
      <c r="AA110" s="19">
        <f ca="1" t="shared" si="76"/>
        <v>53288.0759153309</v>
      </c>
      <c r="AB110" s="19">
        <f ca="1" t="shared" si="77"/>
        <v>60193.0745443081</v>
      </c>
      <c r="AC110" s="19">
        <f ca="1" t="shared" si="78"/>
        <v>73130.0297481305</v>
      </c>
      <c r="AD110" s="19">
        <f ca="1" t="shared" si="79"/>
        <v>92110.5327837234</v>
      </c>
      <c r="AE110" s="19">
        <f ca="1" t="shared" si="80"/>
        <v>15710.463111992</v>
      </c>
      <c r="AF110" s="19">
        <f ca="1" t="shared" si="81"/>
        <v>29325.7938690731</v>
      </c>
      <c r="AG110" s="19">
        <f ca="1" t="shared" si="82"/>
        <v>37577.6128033388</v>
      </c>
      <c r="AH110" s="19">
        <f ca="1" t="shared" si="83"/>
        <v>44482.611432316</v>
      </c>
      <c r="AI110" s="19">
        <f ca="1" t="shared" si="84"/>
        <v>57419.5666361384</v>
      </c>
      <c r="AJ110" s="19">
        <f ca="1" t="shared" si="85"/>
        <v>76400.0696717314</v>
      </c>
      <c r="AK110" s="19">
        <f ca="1">AF110*$B$4</f>
        <v>14662.8969345366</v>
      </c>
      <c r="AL110" s="19">
        <f ca="1">AG110*$B$4</f>
        <v>18788.8064016694</v>
      </c>
      <c r="AM110" s="19">
        <f ca="1">AH110*$B$4</f>
        <v>22241.305716158</v>
      </c>
      <c r="AN110" s="19">
        <f ca="1">AI110*$B$4</f>
        <v>28709.7833180692</v>
      </c>
      <c r="AO110" s="19">
        <f ca="1">AJ110*$B$4</f>
        <v>38200.0348358657</v>
      </c>
      <c r="AP110" s="19">
        <f ca="1" t="shared" si="86"/>
        <v>14662.8969345366</v>
      </c>
      <c r="AQ110" s="19">
        <f ca="1" t="shared" si="87"/>
        <v>18788.8064016694</v>
      </c>
      <c r="AR110" s="19">
        <f ca="1" t="shared" si="88"/>
        <v>22241.305716158</v>
      </c>
      <c r="AS110" s="19">
        <f ca="1" t="shared" si="89"/>
        <v>28709.7833180692</v>
      </c>
      <c r="AT110" s="19">
        <f ca="1" t="shared" si="90"/>
        <v>38200.0348358657</v>
      </c>
      <c r="AU110" s="19">
        <f ca="1" t="shared" si="91"/>
        <v>46643.2048343351</v>
      </c>
      <c r="AV110" s="19">
        <f ca="1" t="shared" si="92"/>
        <v>-109485.057282303</v>
      </c>
      <c r="AW110" s="19">
        <f ca="1" t="shared" si="93"/>
        <v>30373.3600465286</v>
      </c>
      <c r="AX110" s="19">
        <f ca="1" t="shared" si="94"/>
        <v>34499.2695136615</v>
      </c>
      <c r="AY110" s="19">
        <f ca="1" t="shared" si="95"/>
        <v>37951.7688281501</v>
      </c>
      <c r="AZ110" s="19">
        <f ca="1" t="shared" si="96"/>
        <v>44420.2464300613</v>
      </c>
      <c r="BA110" s="19">
        <f ca="1" t="shared" si="97"/>
        <v>100553.702782193</v>
      </c>
      <c r="BB110" s="20">
        <f ca="1" t="shared" si="98"/>
        <v>0.276979072739511</v>
      </c>
      <c r="BC110" s="19">
        <f ca="1">NPV($B$5,AW110:BA110)+AV110</f>
        <v>43357.250110431</v>
      </c>
    </row>
    <row r="111" spans="1:55">
      <c r="A111" s="3">
        <v>87</v>
      </c>
      <c r="B111" s="11">
        <f ca="1" t="shared" si="51"/>
        <v>0.0865247741709727</v>
      </c>
      <c r="C111" s="19">
        <f ca="1" t="shared" si="52"/>
        <v>-89810.3126149441</v>
      </c>
      <c r="D111" s="11">
        <f ca="1" t="shared" si="53"/>
        <v>0.383348428371204</v>
      </c>
      <c r="E111" s="19">
        <f ca="1" t="shared" si="54"/>
        <v>-32416.97525682</v>
      </c>
      <c r="F111" s="11">
        <f ca="1" t="shared" si="55"/>
        <v>0.2982718711519</v>
      </c>
      <c r="G111" s="19">
        <f ca="1" t="shared" si="56"/>
        <v>36688.8549597659</v>
      </c>
      <c r="H111" s="11">
        <f ca="1" t="shared" si="57"/>
        <v>0.456212473030822</v>
      </c>
      <c r="I111" s="19">
        <f ca="1" t="shared" si="58"/>
        <v>38272.3558285789</v>
      </c>
      <c r="J111" s="11">
        <f ca="1" t="shared" si="59"/>
        <v>0.33822358503837</v>
      </c>
      <c r="K111" s="19">
        <f ca="1" t="shared" si="60"/>
        <v>37122.7479076376</v>
      </c>
      <c r="L111" s="11">
        <f ca="1" t="shared" si="61"/>
        <v>0.0123786162906487</v>
      </c>
      <c r="M111" s="19">
        <f ca="1" t="shared" si="62"/>
        <v>31362.6417150511</v>
      </c>
      <c r="N111" s="11">
        <f ca="1" t="shared" si="63"/>
        <v>0.353817360544564</v>
      </c>
      <c r="O111" s="19">
        <f ca="1" t="shared" si="64"/>
        <v>37285.0946515254</v>
      </c>
      <c r="P111" s="11">
        <f ca="1" t="shared" si="65"/>
        <v>0.948774404244465</v>
      </c>
      <c r="Q111" s="12">
        <f ca="1" t="shared" si="66"/>
        <v>17.0397600697744</v>
      </c>
      <c r="R111" s="11">
        <f ca="1" t="shared" si="67"/>
        <v>0.0591526200834669</v>
      </c>
      <c r="S111" s="12">
        <f ca="1" t="shared" si="68"/>
        <v>13.0318658641037</v>
      </c>
      <c r="T111" s="11">
        <f ca="1" t="shared" si="69"/>
        <v>0.74368825890916</v>
      </c>
      <c r="U111" s="12">
        <f ca="1" t="shared" si="70"/>
        <v>19.3210582778747</v>
      </c>
      <c r="V111" s="11">
        <f ca="1" t="shared" si="71"/>
        <v>0.596958828120446</v>
      </c>
      <c r="W111" s="12">
        <f ca="1" t="shared" si="72"/>
        <v>21.2441457675005</v>
      </c>
      <c r="X111" s="11">
        <f ca="1" t="shared" si="73"/>
        <v>0.319888694107993</v>
      </c>
      <c r="Y111" s="12">
        <f ca="1" t="shared" si="74"/>
        <v>21.9388764419274</v>
      </c>
      <c r="Z111" s="19">
        <f ca="1" t="shared" si="75"/>
        <v>42940.5478172575</v>
      </c>
      <c r="AA111" s="19">
        <f ca="1" t="shared" si="76"/>
        <v>50631.3509361811</v>
      </c>
      <c r="AB111" s="19">
        <f ca="1" t="shared" si="77"/>
        <v>58599.1791160908</v>
      </c>
      <c r="AC111" s="19">
        <f ca="1" t="shared" si="78"/>
        <v>60023.9858194655</v>
      </c>
      <c r="AD111" s="19">
        <f ca="1" t="shared" si="79"/>
        <v>87014.1001064557</v>
      </c>
      <c r="AE111" s="19">
        <f ca="1" t="shared" si="80"/>
        <v>17962.0625229888</v>
      </c>
      <c r="AF111" s="19">
        <f ca="1" t="shared" si="81"/>
        <v>24978.4852942687</v>
      </c>
      <c r="AG111" s="19">
        <f ca="1" t="shared" si="82"/>
        <v>32669.2884131922</v>
      </c>
      <c r="AH111" s="19">
        <f ca="1" t="shared" si="83"/>
        <v>40637.1165931019</v>
      </c>
      <c r="AI111" s="19">
        <f ca="1" t="shared" si="84"/>
        <v>42061.9232964767</v>
      </c>
      <c r="AJ111" s="19">
        <f ca="1" t="shared" si="85"/>
        <v>69052.0375834669</v>
      </c>
      <c r="AK111" s="19">
        <f ca="1">AF111*$B$4</f>
        <v>12489.2426471344</v>
      </c>
      <c r="AL111" s="19">
        <f ca="1">AG111*$B$4</f>
        <v>16334.6442065961</v>
      </c>
      <c r="AM111" s="19">
        <f ca="1">AH111*$B$4</f>
        <v>20318.558296551</v>
      </c>
      <c r="AN111" s="19">
        <f ca="1">AI111*$B$4</f>
        <v>21030.9616482384</v>
      </c>
      <c r="AO111" s="19">
        <f ca="1">AJ111*$B$4</f>
        <v>34526.0187917334</v>
      </c>
      <c r="AP111" s="19">
        <f ca="1" t="shared" si="86"/>
        <v>12489.2426471344</v>
      </c>
      <c r="AQ111" s="19">
        <f ca="1" t="shared" si="87"/>
        <v>16334.6442065961</v>
      </c>
      <c r="AR111" s="19">
        <f ca="1" t="shared" si="88"/>
        <v>20318.558296551</v>
      </c>
      <c r="AS111" s="19">
        <f ca="1" t="shared" si="89"/>
        <v>21030.9616482384</v>
      </c>
      <c r="AT111" s="19">
        <f ca="1" t="shared" si="90"/>
        <v>34526.0187917334</v>
      </c>
      <c r="AU111" s="19">
        <f ca="1" t="shared" si="91"/>
        <v>50379.0377798088</v>
      </c>
      <c r="AV111" s="19">
        <f ca="1" t="shared" si="92"/>
        <v>-122227.287871764</v>
      </c>
      <c r="AW111" s="19">
        <f ca="1" t="shared" si="93"/>
        <v>30451.3051701232</v>
      </c>
      <c r="AX111" s="19">
        <f ca="1" t="shared" si="94"/>
        <v>34296.7067295849</v>
      </c>
      <c r="AY111" s="19">
        <f ca="1" t="shared" si="95"/>
        <v>38280.6208195398</v>
      </c>
      <c r="AZ111" s="19">
        <f ca="1" t="shared" si="96"/>
        <v>38993.0241712272</v>
      </c>
      <c r="BA111" s="19">
        <f ca="1" t="shared" si="97"/>
        <v>102867.119094531</v>
      </c>
      <c r="BB111" s="20">
        <f ca="1" t="shared" si="98"/>
        <v>0.22790410554873</v>
      </c>
      <c r="BC111" s="19">
        <f ca="1">NPV($B$5,AW111:BA111)+AV111</f>
        <v>28793.0016738212</v>
      </c>
    </row>
    <row r="112" spans="1:55">
      <c r="A112" s="3">
        <v>88</v>
      </c>
      <c r="B112" s="11">
        <f ca="1" t="shared" si="51"/>
        <v>0.977188334677016</v>
      </c>
      <c r="C112" s="19">
        <f ca="1" t="shared" si="52"/>
        <v>-63020.7062302041</v>
      </c>
      <c r="D112" s="11">
        <f ca="1" t="shared" si="53"/>
        <v>0.198382349345956</v>
      </c>
      <c r="E112" s="19">
        <f ca="1" t="shared" si="54"/>
        <v>-34544.9699907431</v>
      </c>
      <c r="F112" s="11">
        <f ca="1" t="shared" si="55"/>
        <v>0.728991378685277</v>
      </c>
      <c r="G112" s="19">
        <f ca="1" t="shared" si="56"/>
        <v>40491.6026574176</v>
      </c>
      <c r="H112" s="11">
        <f ca="1" t="shared" si="57"/>
        <v>0.943721893731816</v>
      </c>
      <c r="I112" s="19">
        <f ca="1" t="shared" si="58"/>
        <v>42945.5273255373</v>
      </c>
      <c r="J112" s="11">
        <f ca="1" t="shared" si="59"/>
        <v>0.576677333852752</v>
      </c>
      <c r="K112" s="19">
        <f ca="1" t="shared" si="60"/>
        <v>39300.6236391928</v>
      </c>
      <c r="L112" s="11">
        <f ca="1" t="shared" si="61"/>
        <v>0.604297498486713</v>
      </c>
      <c r="M112" s="19">
        <f ca="1" t="shared" si="62"/>
        <v>39520.7470701099</v>
      </c>
      <c r="N112" s="11">
        <f ca="1" t="shared" si="63"/>
        <v>0.185583757384664</v>
      </c>
      <c r="O112" s="19">
        <f ca="1" t="shared" si="64"/>
        <v>35276.1315002281</v>
      </c>
      <c r="P112" s="11">
        <f ca="1" t="shared" si="65"/>
        <v>0.660949080422195</v>
      </c>
      <c r="Q112" s="12">
        <f ca="1" t="shared" si="66"/>
        <v>15.5295918247382</v>
      </c>
      <c r="R112" s="11">
        <f ca="1" t="shared" si="67"/>
        <v>0.62874961864268</v>
      </c>
      <c r="S112" s="12">
        <f ca="1" t="shared" si="68"/>
        <v>15.4149454813425</v>
      </c>
      <c r="T112" s="11">
        <f ca="1" t="shared" si="69"/>
        <v>0.0698195978051006</v>
      </c>
      <c r="U112" s="12">
        <f ca="1" t="shared" si="70"/>
        <v>16.2108722285638</v>
      </c>
      <c r="V112" s="11">
        <f ca="1" t="shared" si="71"/>
        <v>0.607376338185171</v>
      </c>
      <c r="W112" s="12">
        <f ca="1" t="shared" si="72"/>
        <v>21.2930028104247</v>
      </c>
      <c r="X112" s="11">
        <f ca="1" t="shared" si="73"/>
        <v>0.851510990704822</v>
      </c>
      <c r="Y112" s="12">
        <f ca="1" t="shared" si="74"/>
        <v>25.1683209041384</v>
      </c>
      <c r="Z112" s="19">
        <f ca="1" t="shared" si="75"/>
        <v>46779.7832734094</v>
      </c>
      <c r="AA112" s="19">
        <f ca="1" t="shared" si="76"/>
        <v>57262.8856293507</v>
      </c>
      <c r="AB112" s="19">
        <f ca="1" t="shared" si="77"/>
        <v>60897.7844330278</v>
      </c>
      <c r="AC112" s="19">
        <f ca="1" t="shared" si="78"/>
        <v>74278.4690552865</v>
      </c>
      <c r="AD112" s="19">
        <f ca="1" t="shared" si="79"/>
        <v>82987.5947704893</v>
      </c>
      <c r="AE112" s="19">
        <f ca="1" t="shared" si="80"/>
        <v>12604.1412460408</v>
      </c>
      <c r="AF112" s="19">
        <f ca="1" t="shared" si="81"/>
        <v>34175.6420273686</v>
      </c>
      <c r="AG112" s="19">
        <f ca="1" t="shared" si="82"/>
        <v>44658.7443833099</v>
      </c>
      <c r="AH112" s="19">
        <f ca="1" t="shared" si="83"/>
        <v>48293.643186987</v>
      </c>
      <c r="AI112" s="19">
        <f ca="1" t="shared" si="84"/>
        <v>61674.3278092457</v>
      </c>
      <c r="AJ112" s="19">
        <f ca="1" t="shared" si="85"/>
        <v>70383.4535244484</v>
      </c>
      <c r="AK112" s="19">
        <f ca="1">AF112*$B$4</f>
        <v>17087.8210136843</v>
      </c>
      <c r="AL112" s="19">
        <f ca="1">AG112*$B$4</f>
        <v>22329.372191655</v>
      </c>
      <c r="AM112" s="19">
        <f ca="1">AH112*$B$4</f>
        <v>24146.8215934935</v>
      </c>
      <c r="AN112" s="19">
        <f ca="1">AI112*$B$4</f>
        <v>30837.1639046228</v>
      </c>
      <c r="AO112" s="19">
        <f ca="1">AJ112*$B$4</f>
        <v>35191.7267622242</v>
      </c>
      <c r="AP112" s="19">
        <f ca="1" t="shared" si="86"/>
        <v>17087.8210136843</v>
      </c>
      <c r="AQ112" s="19">
        <f ca="1" t="shared" si="87"/>
        <v>22329.372191655</v>
      </c>
      <c r="AR112" s="19">
        <f ca="1" t="shared" si="88"/>
        <v>24146.8215934935</v>
      </c>
      <c r="AS112" s="19">
        <f ca="1" t="shared" si="89"/>
        <v>30837.1639046228</v>
      </c>
      <c r="AT112" s="19">
        <f ca="1" t="shared" si="90"/>
        <v>35191.7267622242</v>
      </c>
      <c r="AU112" s="19">
        <f ca="1" t="shared" si="91"/>
        <v>47149.1112367839</v>
      </c>
      <c r="AV112" s="19">
        <f ca="1" t="shared" si="92"/>
        <v>-97565.6762209471</v>
      </c>
      <c r="AW112" s="19">
        <f ca="1" t="shared" si="93"/>
        <v>29691.9622597251</v>
      </c>
      <c r="AX112" s="19">
        <f ca="1" t="shared" si="94"/>
        <v>34933.5134376958</v>
      </c>
      <c r="AY112" s="19">
        <f ca="1" t="shared" si="95"/>
        <v>36750.9628395343</v>
      </c>
      <c r="AZ112" s="19">
        <f ca="1" t="shared" si="96"/>
        <v>43441.3051506636</v>
      </c>
      <c r="BA112" s="19">
        <f ca="1" t="shared" si="97"/>
        <v>94944.9792450489</v>
      </c>
      <c r="BB112" s="20">
        <f ca="1" t="shared" si="98"/>
        <v>0.315231792320253</v>
      </c>
      <c r="BC112" s="19">
        <f ca="1">NPV($B$5,AW112:BA112)+AV112</f>
        <v>50874.6730097512</v>
      </c>
    </row>
    <row r="113" spans="1:55">
      <c r="A113" s="3">
        <v>89</v>
      </c>
      <c r="B113" s="11">
        <f ca="1" t="shared" si="51"/>
        <v>0.0569565470641287</v>
      </c>
      <c r="C113" s="19">
        <f ca="1" t="shared" si="52"/>
        <v>-91732.7237570676</v>
      </c>
      <c r="D113" s="11">
        <f ca="1" t="shared" si="53"/>
        <v>0.0123798709749696</v>
      </c>
      <c r="E113" s="19">
        <f ca="1" t="shared" si="54"/>
        <v>-38637.2892286896</v>
      </c>
      <c r="F113" s="11">
        <f ca="1" t="shared" si="55"/>
        <v>0.680635604935604</v>
      </c>
      <c r="G113" s="19">
        <f ca="1" t="shared" si="56"/>
        <v>40105.8882695805</v>
      </c>
      <c r="H113" s="11">
        <f ca="1" t="shared" si="57"/>
        <v>0.691611046370423</v>
      </c>
      <c r="I113" s="19">
        <f ca="1" t="shared" si="58"/>
        <v>40190.7202699138</v>
      </c>
      <c r="J113" s="11">
        <f ca="1" t="shared" si="59"/>
        <v>0.134562754382741</v>
      </c>
      <c r="K113" s="19">
        <f ca="1" t="shared" si="60"/>
        <v>34492.7066627381</v>
      </c>
      <c r="L113" s="11">
        <f ca="1" t="shared" si="61"/>
        <v>0.080699644685474</v>
      </c>
      <c r="M113" s="19">
        <f ca="1" t="shared" si="62"/>
        <v>33479.216392066</v>
      </c>
      <c r="N113" s="11">
        <f ca="1" t="shared" si="63"/>
        <v>0.0437878668782912</v>
      </c>
      <c r="O113" s="19">
        <f ca="1" t="shared" si="64"/>
        <v>32562.8460803848</v>
      </c>
      <c r="P113" s="11">
        <f ca="1" t="shared" si="65"/>
        <v>0.705897924655176</v>
      </c>
      <c r="Q113" s="12">
        <f ca="1" t="shared" si="66"/>
        <v>15.6991659433573</v>
      </c>
      <c r="R113" s="11">
        <f ca="1" t="shared" si="67"/>
        <v>0.443660081215479</v>
      </c>
      <c r="S113" s="12">
        <f ca="1" t="shared" si="68"/>
        <v>14.8259301940916</v>
      </c>
      <c r="T113" s="11">
        <f ca="1" t="shared" si="69"/>
        <v>0.465181727719593</v>
      </c>
      <c r="U113" s="12">
        <f ca="1" t="shared" si="70"/>
        <v>18.1302569046704</v>
      </c>
      <c r="V113" s="11">
        <f ca="1" t="shared" si="71"/>
        <v>0.537403715497281</v>
      </c>
      <c r="W113" s="12">
        <f ca="1" t="shared" si="72"/>
        <v>20.9762119889841</v>
      </c>
      <c r="X113" s="11">
        <f ca="1" t="shared" si="73"/>
        <v>0.60536855930553</v>
      </c>
      <c r="Y113" s="12">
        <f ca="1" t="shared" si="74"/>
        <v>23.3837138522941</v>
      </c>
      <c r="Z113" s="19">
        <f ca="1" t="shared" si="75"/>
        <v>46402.1782220794</v>
      </c>
      <c r="AA113" s="19">
        <f ca="1" t="shared" si="76"/>
        <v>53394.4343288176</v>
      </c>
      <c r="AB113" s="19">
        <f ca="1" t="shared" si="77"/>
        <v>54132.5672353311</v>
      </c>
      <c r="AC113" s="19">
        <f ca="1" t="shared" si="78"/>
        <v>63563.3261733508</v>
      </c>
      <c r="AD113" s="19">
        <f ca="1" t="shared" si="79"/>
        <v>76280.1477257219</v>
      </c>
      <c r="AE113" s="19">
        <f ca="1" t="shared" si="80"/>
        <v>18346.5447514135</v>
      </c>
      <c r="AF113" s="19">
        <f ca="1" t="shared" si="81"/>
        <v>28055.6334706659</v>
      </c>
      <c r="AG113" s="19">
        <f ca="1" t="shared" si="82"/>
        <v>35047.8895774041</v>
      </c>
      <c r="AH113" s="19">
        <f ca="1" t="shared" si="83"/>
        <v>35786.0224839176</v>
      </c>
      <c r="AI113" s="19">
        <f ca="1" t="shared" si="84"/>
        <v>45216.7814219373</v>
      </c>
      <c r="AJ113" s="19">
        <f ca="1" t="shared" si="85"/>
        <v>57933.6029743084</v>
      </c>
      <c r="AK113" s="19">
        <f ca="1">AF113*$B$4</f>
        <v>14027.816735333</v>
      </c>
      <c r="AL113" s="19">
        <f ca="1">AG113*$B$4</f>
        <v>17523.944788702</v>
      </c>
      <c r="AM113" s="19">
        <f ca="1">AH113*$B$4</f>
        <v>17893.0112419588</v>
      </c>
      <c r="AN113" s="19">
        <f ca="1">AI113*$B$4</f>
        <v>22608.3907109686</v>
      </c>
      <c r="AO113" s="19">
        <f ca="1">AJ113*$B$4</f>
        <v>28966.8014871542</v>
      </c>
      <c r="AP113" s="19">
        <f ca="1" t="shared" si="86"/>
        <v>14027.816735333</v>
      </c>
      <c r="AQ113" s="19">
        <f ca="1" t="shared" si="87"/>
        <v>17523.944788702</v>
      </c>
      <c r="AR113" s="19">
        <f ca="1" t="shared" si="88"/>
        <v>17893.0112419588</v>
      </c>
      <c r="AS113" s="19">
        <f ca="1" t="shared" si="89"/>
        <v>22608.3907109686</v>
      </c>
      <c r="AT113" s="19">
        <f ca="1" t="shared" si="90"/>
        <v>28966.8014871542</v>
      </c>
      <c r="AU113" s="19">
        <f ca="1" t="shared" si="91"/>
        <v>56983.8339801031</v>
      </c>
      <c r="AV113" s="19">
        <f ca="1" t="shared" si="92"/>
        <v>-130370.012985757</v>
      </c>
      <c r="AW113" s="19">
        <f ca="1" t="shared" si="93"/>
        <v>32374.3614867465</v>
      </c>
      <c r="AX113" s="19">
        <f ca="1" t="shared" si="94"/>
        <v>35870.4895401156</v>
      </c>
      <c r="AY113" s="19">
        <f ca="1" t="shared" si="95"/>
        <v>36239.5559933723</v>
      </c>
      <c r="AZ113" s="19">
        <f ca="1" t="shared" si="96"/>
        <v>40954.9354623822</v>
      </c>
      <c r="BA113" s="19">
        <f ca="1" t="shared" si="97"/>
        <v>104297.180218671</v>
      </c>
      <c r="BB113" s="20">
        <f ca="1" t="shared" si="98"/>
        <v>0.211930285861972</v>
      </c>
      <c r="BC113" s="19">
        <f ca="1">NPV($B$5,AW113:BA113)+AV113</f>
        <v>24003.1943643408</v>
      </c>
    </row>
    <row r="114" spans="1:55">
      <c r="A114" s="3">
        <v>90</v>
      </c>
      <c r="B114" s="11">
        <f ca="1" t="shared" si="51"/>
        <v>0.998576154219709</v>
      </c>
      <c r="C114" s="19">
        <f ca="1" t="shared" si="52"/>
        <v>-60754.6776213167</v>
      </c>
      <c r="D114" s="11">
        <f ca="1" t="shared" si="53"/>
        <v>0.667541818097834</v>
      </c>
      <c r="E114" s="19">
        <f ca="1" t="shared" si="54"/>
        <v>-29993.4320504701</v>
      </c>
      <c r="F114" s="11">
        <f ca="1" t="shared" si="55"/>
        <v>0.499695087467529</v>
      </c>
      <c r="G114" s="19">
        <f ca="1" t="shared" si="56"/>
        <v>38657.613015152</v>
      </c>
      <c r="H114" s="11">
        <f ca="1" t="shared" si="57"/>
        <v>0.391040524908768</v>
      </c>
      <c r="I114" s="19">
        <f ca="1" t="shared" si="58"/>
        <v>37658.7256600766</v>
      </c>
      <c r="J114" s="11">
        <f ca="1" t="shared" si="59"/>
        <v>0.556454219941474</v>
      </c>
      <c r="K114" s="19">
        <f ca="1" t="shared" si="60"/>
        <v>39136.0895897107</v>
      </c>
      <c r="L114" s="11">
        <f ca="1" t="shared" si="61"/>
        <v>0.768127268043024</v>
      </c>
      <c r="M114" s="19">
        <f ca="1" t="shared" si="62"/>
        <v>40829.8135657056</v>
      </c>
      <c r="N114" s="11">
        <f ca="1" t="shared" si="63"/>
        <v>0.422743967667624</v>
      </c>
      <c r="O114" s="19">
        <f ca="1" t="shared" si="64"/>
        <v>37963.1397796437</v>
      </c>
      <c r="P114" s="11">
        <f ca="1" t="shared" si="65"/>
        <v>0.332438788361233</v>
      </c>
      <c r="Q114" s="12">
        <f ca="1" t="shared" si="66"/>
        <v>14.4462007665975</v>
      </c>
      <c r="R114" s="11">
        <f ca="1" t="shared" si="67"/>
        <v>0.840931197129043</v>
      </c>
      <c r="S114" s="12">
        <f ca="1" t="shared" si="68"/>
        <v>16.3078893500491</v>
      </c>
      <c r="T114" s="11">
        <f ca="1" t="shared" si="69"/>
        <v>0.456513405456155</v>
      </c>
      <c r="U114" s="12">
        <f ca="1" t="shared" si="70"/>
        <v>18.0990226035995</v>
      </c>
      <c r="V114" s="11">
        <f ca="1" t="shared" si="71"/>
        <v>0.129465583869059</v>
      </c>
      <c r="W114" s="12">
        <f ca="1" t="shared" si="72"/>
        <v>19.3462979514828</v>
      </c>
      <c r="X114" s="11">
        <f ca="1" t="shared" si="73"/>
        <v>0.77789624365075</v>
      </c>
      <c r="Y114" s="12">
        <f ca="1" t="shared" si="74"/>
        <v>24.536821858053</v>
      </c>
      <c r="Z114" s="19">
        <f ca="1" t="shared" si="75"/>
        <v>44242.1694028952</v>
      </c>
      <c r="AA114" s="19">
        <f ca="1" t="shared" si="76"/>
        <v>50127.5148708713</v>
      </c>
      <c r="AB114" s="19">
        <f ca="1" t="shared" si="77"/>
        <v>61522.5442977078</v>
      </c>
      <c r="AC114" s="19">
        <f ca="1" t="shared" si="78"/>
        <v>76602.5464756277</v>
      </c>
      <c r="AD114" s="19">
        <f ca="1" t="shared" si="79"/>
        <v>88700.4274221589</v>
      </c>
      <c r="AE114" s="19">
        <f ca="1" t="shared" si="80"/>
        <v>12150.9355242633</v>
      </c>
      <c r="AF114" s="19">
        <f ca="1" t="shared" si="81"/>
        <v>32091.2338786318</v>
      </c>
      <c r="AG114" s="19">
        <f ca="1" t="shared" si="82"/>
        <v>37976.579346608</v>
      </c>
      <c r="AH114" s="19">
        <f ca="1" t="shared" si="83"/>
        <v>49371.6087734444</v>
      </c>
      <c r="AI114" s="19">
        <f ca="1" t="shared" si="84"/>
        <v>64451.6109513643</v>
      </c>
      <c r="AJ114" s="19">
        <f ca="1" t="shared" si="85"/>
        <v>76549.4918978956</v>
      </c>
      <c r="AK114" s="19">
        <f ca="1">AF114*$B$4</f>
        <v>16045.6169393159</v>
      </c>
      <c r="AL114" s="19">
        <f ca="1">AG114*$B$4</f>
        <v>18988.289673304</v>
      </c>
      <c r="AM114" s="19">
        <f ca="1">AH114*$B$4</f>
        <v>24685.8043867222</v>
      </c>
      <c r="AN114" s="19">
        <f ca="1">AI114*$B$4</f>
        <v>32225.8054756822</v>
      </c>
      <c r="AO114" s="19">
        <f ca="1">AJ114*$B$4</f>
        <v>38274.7459489478</v>
      </c>
      <c r="AP114" s="19">
        <f ca="1" t="shared" si="86"/>
        <v>16045.6169393159</v>
      </c>
      <c r="AQ114" s="19">
        <f ca="1" t="shared" si="87"/>
        <v>18988.289673304</v>
      </c>
      <c r="AR114" s="19">
        <f ca="1" t="shared" si="88"/>
        <v>24685.8043867222</v>
      </c>
      <c r="AS114" s="19">
        <f ca="1" t="shared" si="89"/>
        <v>32225.8054756822</v>
      </c>
      <c r="AT114" s="19">
        <f ca="1" t="shared" si="90"/>
        <v>38274.7459489478</v>
      </c>
      <c r="AU114" s="19">
        <f ca="1" t="shared" si="91"/>
        <v>42144.3675747335</v>
      </c>
      <c r="AV114" s="19">
        <f ca="1" t="shared" si="92"/>
        <v>-90748.1096717869</v>
      </c>
      <c r="AW114" s="19">
        <f ca="1" t="shared" si="93"/>
        <v>28196.5524635793</v>
      </c>
      <c r="AX114" s="19">
        <f ca="1" t="shared" si="94"/>
        <v>31139.2251975673</v>
      </c>
      <c r="AY114" s="19">
        <f ca="1" t="shared" si="95"/>
        <v>36836.7399109856</v>
      </c>
      <c r="AZ114" s="19">
        <f ca="1" t="shared" si="96"/>
        <v>44376.7409999455</v>
      </c>
      <c r="BA114" s="19">
        <f ca="1" t="shared" si="97"/>
        <v>92570.0490479446</v>
      </c>
      <c r="BB114" s="20">
        <f ca="1" t="shared" si="98"/>
        <v>0.330687126410484</v>
      </c>
      <c r="BC114" s="19">
        <f ca="1">NPV($B$5,AW114:BA114)+AV114</f>
        <v>52933.334447528</v>
      </c>
    </row>
    <row r="115" spans="1:55">
      <c r="A115" s="3">
        <v>91</v>
      </c>
      <c r="B115" s="11">
        <f ca="1" t="shared" si="51"/>
        <v>0.0420553485013722</v>
      </c>
      <c r="C115" s="19">
        <f ca="1" t="shared" si="52"/>
        <v>-92896.0279982501</v>
      </c>
      <c r="D115" s="11">
        <f ca="1" t="shared" si="53"/>
        <v>0.948767224513209</v>
      </c>
      <c r="E115" s="19">
        <f ca="1" t="shared" si="54"/>
        <v>-26960.2189065279</v>
      </c>
      <c r="F115" s="11">
        <f ca="1" t="shared" si="55"/>
        <v>0.0841684822387383</v>
      </c>
      <c r="G115" s="19">
        <f ca="1" t="shared" si="56"/>
        <v>33553.2059236429</v>
      </c>
      <c r="H115" s="11">
        <f ca="1" t="shared" si="57"/>
        <v>0.682933044972792</v>
      </c>
      <c r="I115" s="19">
        <f ca="1" t="shared" si="58"/>
        <v>40123.5236464184</v>
      </c>
      <c r="J115" s="11">
        <f ca="1" t="shared" si="59"/>
        <v>0.958502917057338</v>
      </c>
      <c r="K115" s="19">
        <f ca="1" t="shared" si="60"/>
        <v>43235.8341289154</v>
      </c>
      <c r="L115" s="11">
        <f ca="1" t="shared" si="61"/>
        <v>0.701840717339256</v>
      </c>
      <c r="M115" s="19">
        <f ca="1" t="shared" si="62"/>
        <v>40271.1580487866</v>
      </c>
      <c r="N115" s="11">
        <f ca="1" t="shared" si="63"/>
        <v>0.284603885465258</v>
      </c>
      <c r="O115" s="19">
        <f ca="1" t="shared" si="64"/>
        <v>36533.8030900685</v>
      </c>
      <c r="P115" s="11">
        <f ca="1" t="shared" si="65"/>
        <v>0.957279866971065</v>
      </c>
      <c r="Q115" s="12">
        <f ca="1" t="shared" si="66"/>
        <v>17.1230949911645</v>
      </c>
      <c r="R115" s="11">
        <f ca="1" t="shared" si="67"/>
        <v>0.628235876935267</v>
      </c>
      <c r="S115" s="12">
        <f ca="1" t="shared" si="68"/>
        <v>15.4131574815685</v>
      </c>
      <c r="T115" s="11">
        <f ca="1" t="shared" si="69"/>
        <v>0.840431273745213</v>
      </c>
      <c r="U115" s="12">
        <f ca="1" t="shared" si="70"/>
        <v>19.8862534837086</v>
      </c>
      <c r="V115" s="11">
        <f ca="1" t="shared" si="71"/>
        <v>0.336766518411136</v>
      </c>
      <c r="W115" s="12">
        <f ca="1" t="shared" si="72"/>
        <v>20.1819950336669</v>
      </c>
      <c r="X115" s="11">
        <f ca="1" t="shared" si="73"/>
        <v>0.622582129540316</v>
      </c>
      <c r="Y115" s="12">
        <f ca="1" t="shared" si="74"/>
        <v>23.4855160865473</v>
      </c>
      <c r="Z115" s="19">
        <f ca="1" t="shared" si="75"/>
        <v>39298.5532465292</v>
      </c>
      <c r="AA115" s="19">
        <f ca="1" t="shared" si="76"/>
        <v>54237.158487587</v>
      </c>
      <c r="AB115" s="19">
        <f ca="1" t="shared" si="77"/>
        <v>70066.6079906667</v>
      </c>
      <c r="AC115" s="19">
        <f ca="1" t="shared" si="78"/>
        <v>78433.352538675</v>
      </c>
      <c r="AD115" s="19">
        <f ca="1" t="shared" si="79"/>
        <v>87865.3341811086</v>
      </c>
      <c r="AE115" s="19">
        <f ca="1" t="shared" si="80"/>
        <v>18579.20559965</v>
      </c>
      <c r="AF115" s="19">
        <f ca="1" t="shared" si="81"/>
        <v>20719.3476468792</v>
      </c>
      <c r="AG115" s="19">
        <f ca="1" t="shared" si="82"/>
        <v>35657.9528879369</v>
      </c>
      <c r="AH115" s="19">
        <f ca="1" t="shared" si="83"/>
        <v>51487.4023910166</v>
      </c>
      <c r="AI115" s="19">
        <f ca="1" t="shared" si="84"/>
        <v>59854.1469390249</v>
      </c>
      <c r="AJ115" s="19">
        <f ca="1" t="shared" si="85"/>
        <v>69286.1285814585</v>
      </c>
      <c r="AK115" s="19">
        <f ca="1">AF115*$B$4</f>
        <v>10359.6738234396</v>
      </c>
      <c r="AL115" s="19">
        <f ca="1">AG115*$B$4</f>
        <v>17828.9764439685</v>
      </c>
      <c r="AM115" s="19">
        <f ca="1">AH115*$B$4</f>
        <v>25743.7011955083</v>
      </c>
      <c r="AN115" s="19">
        <f ca="1">AI115*$B$4</f>
        <v>29927.0734695125</v>
      </c>
      <c r="AO115" s="19">
        <f ca="1">AJ115*$B$4</f>
        <v>34643.0642907293</v>
      </c>
      <c r="AP115" s="19">
        <f ca="1" t="shared" si="86"/>
        <v>10359.6738234396</v>
      </c>
      <c r="AQ115" s="19">
        <f ca="1" t="shared" si="87"/>
        <v>17828.9764439685</v>
      </c>
      <c r="AR115" s="19">
        <f ca="1" t="shared" si="88"/>
        <v>25743.7011955083</v>
      </c>
      <c r="AS115" s="19">
        <f ca="1" t="shared" si="89"/>
        <v>29927.0734695125</v>
      </c>
      <c r="AT115" s="19">
        <f ca="1" t="shared" si="90"/>
        <v>34643.0642907293</v>
      </c>
      <c r="AU115" s="19">
        <f ca="1" t="shared" si="91"/>
        <v>45539.4245061779</v>
      </c>
      <c r="AV115" s="19">
        <f ca="1" t="shared" si="92"/>
        <v>-119856.246904778</v>
      </c>
      <c r="AW115" s="19">
        <f ca="1" t="shared" si="93"/>
        <v>28938.8794230896</v>
      </c>
      <c r="AX115" s="19">
        <f ca="1" t="shared" si="94"/>
        <v>36408.1820436185</v>
      </c>
      <c r="AY115" s="19">
        <f ca="1" t="shared" si="95"/>
        <v>44322.9067951583</v>
      </c>
      <c r="AZ115" s="19">
        <f ca="1" t="shared" si="96"/>
        <v>48506.2790691625</v>
      </c>
      <c r="BA115" s="19">
        <f ca="1" t="shared" si="97"/>
        <v>98761.6943965572</v>
      </c>
      <c r="BB115" s="20">
        <f ca="1" t="shared" si="98"/>
        <v>0.255060002804549</v>
      </c>
      <c r="BC115" s="19">
        <f ca="1">NPV($B$5,AW115:BA115)+AV115</f>
        <v>38816.4823303219</v>
      </c>
    </row>
    <row r="116" spans="1:55">
      <c r="A116" s="3">
        <v>92</v>
      </c>
      <c r="B116" s="11">
        <f ca="1" t="shared" si="51"/>
        <v>0.5844131876576</v>
      </c>
      <c r="C116" s="19">
        <f ca="1" t="shared" si="52"/>
        <v>-73518.0094179248</v>
      </c>
      <c r="D116" s="11">
        <f ca="1" t="shared" si="53"/>
        <v>0.3833335489342</v>
      </c>
      <c r="E116" s="19">
        <f ca="1" t="shared" si="54"/>
        <v>-32417.1224235037</v>
      </c>
      <c r="F116" s="11">
        <f ca="1" t="shared" si="55"/>
        <v>0.936928850509771</v>
      </c>
      <c r="G116" s="19">
        <f ca="1" t="shared" si="56"/>
        <v>42825.0663891127</v>
      </c>
      <c r="H116" s="11">
        <f ca="1" t="shared" si="57"/>
        <v>0.106408560878178</v>
      </c>
      <c r="I116" s="19">
        <f ca="1" t="shared" si="58"/>
        <v>33995.1575853434</v>
      </c>
      <c r="J116" s="11">
        <f ca="1" t="shared" si="59"/>
        <v>0.0265803339133781</v>
      </c>
      <c r="K116" s="19">
        <f ca="1" t="shared" si="60"/>
        <v>31996.7598971851</v>
      </c>
      <c r="L116" s="11">
        <f ca="1" t="shared" si="61"/>
        <v>0.982161512036408</v>
      </c>
      <c r="M116" s="19">
        <f ca="1" t="shared" si="62"/>
        <v>43843.3295208793</v>
      </c>
      <c r="N116" s="11">
        <f ca="1" t="shared" si="63"/>
        <v>0.193828374698027</v>
      </c>
      <c r="O116" s="19">
        <f ca="1" t="shared" si="64"/>
        <v>35392.054914845</v>
      </c>
      <c r="P116" s="11">
        <f ca="1" t="shared" si="65"/>
        <v>0.376157018731812</v>
      </c>
      <c r="Q116" s="12">
        <f ca="1" t="shared" si="66"/>
        <v>14.6020811549936</v>
      </c>
      <c r="R116" s="11">
        <f ca="1" t="shared" si="67"/>
        <v>0.550986026551594</v>
      </c>
      <c r="S116" s="12">
        <f ca="1" t="shared" si="68"/>
        <v>15.1570699055251</v>
      </c>
      <c r="T116" s="11">
        <f ca="1" t="shared" si="69"/>
        <v>0.339381793933023</v>
      </c>
      <c r="U116" s="12">
        <f ca="1" t="shared" si="70"/>
        <v>17.6696474809595</v>
      </c>
      <c r="V116" s="11">
        <f ca="1" t="shared" si="71"/>
        <v>0.855488360636824</v>
      </c>
      <c r="W116" s="12">
        <f ca="1" t="shared" si="72"/>
        <v>22.7510208143002</v>
      </c>
      <c r="X116" s="11">
        <f ca="1" t="shared" si="73"/>
        <v>0.121145183734293</v>
      </c>
      <c r="Y116" s="12">
        <f ca="1" t="shared" si="74"/>
        <v>20.8085684838639</v>
      </c>
      <c r="Z116" s="19">
        <f ca="1" t="shared" si="75"/>
        <v>49078.4173379308</v>
      </c>
      <c r="AA116" s="19">
        <f ca="1" t="shared" si="76"/>
        <v>44864.2249102287</v>
      </c>
      <c r="AB116" s="19">
        <f ca="1" t="shared" si="77"/>
        <v>49688.2344236677</v>
      </c>
      <c r="AC116" s="19">
        <f ca="1" t="shared" si="78"/>
        <v>83574.9649074396</v>
      </c>
      <c r="AD116" s="19">
        <f ca="1" t="shared" si="79"/>
        <v>81503.4875395696</v>
      </c>
      <c r="AE116" s="19">
        <f ca="1" t="shared" si="80"/>
        <v>14703.601883585</v>
      </c>
      <c r="AF116" s="19">
        <f ca="1" t="shared" si="81"/>
        <v>34374.8154543459</v>
      </c>
      <c r="AG116" s="19">
        <f ca="1" t="shared" si="82"/>
        <v>30160.6230266437</v>
      </c>
      <c r="AH116" s="19">
        <f ca="1" t="shared" si="83"/>
        <v>34984.6325400827</v>
      </c>
      <c r="AI116" s="19">
        <f ca="1" t="shared" si="84"/>
        <v>68871.3630238547</v>
      </c>
      <c r="AJ116" s="19">
        <f ca="1" t="shared" si="85"/>
        <v>66799.8856559846</v>
      </c>
      <c r="AK116" s="19">
        <f ca="1">AF116*$B$4</f>
        <v>17187.4077271729</v>
      </c>
      <c r="AL116" s="19">
        <f ca="1">AG116*$B$4</f>
        <v>15080.3115133218</v>
      </c>
      <c r="AM116" s="19">
        <f ca="1">AH116*$B$4</f>
        <v>17492.3162700414</v>
      </c>
      <c r="AN116" s="19">
        <f ca="1">AI116*$B$4</f>
        <v>34435.6815119273</v>
      </c>
      <c r="AO116" s="19">
        <f ca="1">AJ116*$B$4</f>
        <v>33399.9428279923</v>
      </c>
      <c r="AP116" s="19">
        <f ca="1" t="shared" si="86"/>
        <v>17187.4077271729</v>
      </c>
      <c r="AQ116" s="19">
        <f ca="1" t="shared" si="87"/>
        <v>15080.3115133218</v>
      </c>
      <c r="AR116" s="19">
        <f ca="1" t="shared" si="88"/>
        <v>17492.3162700414</v>
      </c>
      <c r="AS116" s="19">
        <f ca="1" t="shared" si="89"/>
        <v>34435.6815119273</v>
      </c>
      <c r="AT116" s="19">
        <f ca="1" t="shared" si="90"/>
        <v>33399.9428279923</v>
      </c>
      <c r="AU116" s="19">
        <f ca="1" t="shared" si="91"/>
        <v>47120.7243070887</v>
      </c>
      <c r="AV116" s="19">
        <f ca="1" t="shared" si="92"/>
        <v>-105935.131841429</v>
      </c>
      <c r="AW116" s="19">
        <f ca="1" t="shared" si="93"/>
        <v>31891.0096107579</v>
      </c>
      <c r="AX116" s="19">
        <f ca="1" t="shared" si="94"/>
        <v>29783.9133969068</v>
      </c>
      <c r="AY116" s="19">
        <f ca="1" t="shared" si="95"/>
        <v>32195.9181536263</v>
      </c>
      <c r="AZ116" s="19">
        <f ca="1" t="shared" si="96"/>
        <v>49139.2833955123</v>
      </c>
      <c r="BA116" s="19">
        <f ca="1" t="shared" si="97"/>
        <v>95224.269018666</v>
      </c>
      <c r="BB116" s="20">
        <f ca="1" t="shared" si="98"/>
        <v>0.274169756681224</v>
      </c>
      <c r="BC116" s="19">
        <f ca="1">NPV($B$5,AW116:BA116)+AV116</f>
        <v>40925.2731293928</v>
      </c>
    </row>
    <row r="117" spans="1:55">
      <c r="A117" s="3">
        <v>93</v>
      </c>
      <c r="B117" s="11">
        <f ca="1" t="shared" si="51"/>
        <v>0.697394728202636</v>
      </c>
      <c r="C117" s="19">
        <f ca="1" t="shared" si="52"/>
        <v>-71071.2310347785</v>
      </c>
      <c r="D117" s="11">
        <f ca="1" t="shared" si="53"/>
        <v>0.735658579308634</v>
      </c>
      <c r="E117" s="19">
        <f ca="1" t="shared" si="54"/>
        <v>-29452.5954848664</v>
      </c>
      <c r="F117" s="11">
        <f ca="1" t="shared" si="55"/>
        <v>0.312744164818418</v>
      </c>
      <c r="G117" s="19">
        <f ca="1" t="shared" si="56"/>
        <v>36849.206138142</v>
      </c>
      <c r="H117" s="11">
        <f ca="1" t="shared" si="57"/>
        <v>0.859734869400301</v>
      </c>
      <c r="I117" s="19">
        <f ca="1" t="shared" si="58"/>
        <v>41756.5628116183</v>
      </c>
      <c r="J117" s="11">
        <f ca="1" t="shared" si="59"/>
        <v>0.733182327523179</v>
      </c>
      <c r="K117" s="19">
        <f ca="1" t="shared" si="60"/>
        <v>40526.5980019943</v>
      </c>
      <c r="L117" s="11">
        <f ca="1" t="shared" si="61"/>
        <v>0.607443416223514</v>
      </c>
      <c r="M117" s="19">
        <f ca="1" t="shared" si="62"/>
        <v>39545.496971532</v>
      </c>
      <c r="N117" s="11">
        <f ca="1" t="shared" si="63"/>
        <v>0.364496813797413</v>
      </c>
      <c r="O117" s="19">
        <f ca="1" t="shared" si="64"/>
        <v>37394.2222085634</v>
      </c>
      <c r="P117" s="11">
        <f ca="1" t="shared" si="65"/>
        <v>0.330054883290972</v>
      </c>
      <c r="Q117" s="12">
        <f ca="1" t="shared" si="66"/>
        <v>14.4374141829483</v>
      </c>
      <c r="R117" s="11">
        <f ca="1" t="shared" si="67"/>
        <v>0.713853426723973</v>
      </c>
      <c r="S117" s="12">
        <f ca="1" t="shared" si="68"/>
        <v>15.7304982223033</v>
      </c>
      <c r="T117" s="11">
        <f ca="1" t="shared" si="69"/>
        <v>0.962856951035736</v>
      </c>
      <c r="U117" s="12">
        <f ca="1" t="shared" si="70"/>
        <v>20.9801934639357</v>
      </c>
      <c r="V117" s="11">
        <f ca="1" t="shared" si="71"/>
        <v>0.965886655819162</v>
      </c>
      <c r="W117" s="12">
        <f ca="1" t="shared" si="72"/>
        <v>23.9073120087009</v>
      </c>
      <c r="X117" s="11">
        <f ca="1" t="shared" si="73"/>
        <v>0.315603164538672</v>
      </c>
      <c r="Y117" s="12">
        <f ca="1" t="shared" si="74"/>
        <v>21.9191240882402</v>
      </c>
      <c r="Z117" s="19">
        <f ca="1" t="shared" si="75"/>
        <v>42169.278651434</v>
      </c>
      <c r="AA117" s="19">
        <f ca="1" t="shared" si="76"/>
        <v>55301.9698738208</v>
      </c>
      <c r="AB117" s="19">
        <f ca="1" t="shared" si="77"/>
        <v>64933.7196928464</v>
      </c>
      <c r="AC117" s="19">
        <f ca="1" t="shared" si="78"/>
        <v>78509.8426275636</v>
      </c>
      <c r="AD117" s="19">
        <f ca="1" t="shared" si="79"/>
        <v>90511.426036103</v>
      </c>
      <c r="AE117" s="19">
        <f ca="1" t="shared" si="80"/>
        <v>14214.2462069557</v>
      </c>
      <c r="AF117" s="19">
        <f ca="1" t="shared" si="81"/>
        <v>27955.0324444783</v>
      </c>
      <c r="AG117" s="19">
        <f ca="1" t="shared" si="82"/>
        <v>41087.7236668651</v>
      </c>
      <c r="AH117" s="19">
        <f ca="1" t="shared" si="83"/>
        <v>50719.4734858907</v>
      </c>
      <c r="AI117" s="19">
        <f ca="1" t="shared" si="84"/>
        <v>64295.5964206079</v>
      </c>
      <c r="AJ117" s="19">
        <f ca="1" t="shared" si="85"/>
        <v>76297.1798291473</v>
      </c>
      <c r="AK117" s="19">
        <f ca="1">AF117*$B$4</f>
        <v>13977.5162222392</v>
      </c>
      <c r="AL117" s="19">
        <f ca="1">AG117*$B$4</f>
        <v>20543.8618334326</v>
      </c>
      <c r="AM117" s="19">
        <f ca="1">AH117*$B$4</f>
        <v>25359.7367429453</v>
      </c>
      <c r="AN117" s="19">
        <f ca="1">AI117*$B$4</f>
        <v>32147.7982103039</v>
      </c>
      <c r="AO117" s="19">
        <f ca="1">AJ117*$B$4</f>
        <v>38148.5899145736</v>
      </c>
      <c r="AP117" s="19">
        <f ca="1" t="shared" si="86"/>
        <v>13977.5162222392</v>
      </c>
      <c r="AQ117" s="19">
        <f ca="1" t="shared" si="87"/>
        <v>20543.8618334326</v>
      </c>
      <c r="AR117" s="19">
        <f ca="1" t="shared" si="88"/>
        <v>25359.7367429453</v>
      </c>
      <c r="AS117" s="19">
        <f ca="1" t="shared" si="89"/>
        <v>32147.7982103039</v>
      </c>
      <c r="AT117" s="19">
        <f ca="1" t="shared" si="90"/>
        <v>38148.5899145736</v>
      </c>
      <c r="AU117" s="19">
        <f ca="1" t="shared" si="91"/>
        <v>43666.8416918221</v>
      </c>
      <c r="AV117" s="19">
        <f ca="1" t="shared" si="92"/>
        <v>-100523.826519645</v>
      </c>
      <c r="AW117" s="19">
        <f ca="1" t="shared" si="93"/>
        <v>28191.7624291949</v>
      </c>
      <c r="AX117" s="19">
        <f ca="1" t="shared" si="94"/>
        <v>34758.1080403883</v>
      </c>
      <c r="AY117" s="19">
        <f ca="1" t="shared" si="95"/>
        <v>39573.982949901</v>
      </c>
      <c r="AZ117" s="19">
        <f ca="1" t="shared" si="96"/>
        <v>46362.0444172596</v>
      </c>
      <c r="BA117" s="19">
        <f ca="1" t="shared" si="97"/>
        <v>96029.6778133514</v>
      </c>
      <c r="BB117" s="20">
        <f ca="1" t="shared" si="98"/>
        <v>0.307790430446453</v>
      </c>
      <c r="BC117" s="19">
        <f ca="1">NPV($B$5,AW117:BA117)+AV117</f>
        <v>50544.780034131</v>
      </c>
    </row>
    <row r="118" spans="1:55">
      <c r="A118" s="3">
        <v>94</v>
      </c>
      <c r="B118" s="11">
        <f ca="1" t="shared" si="51"/>
        <v>0.984502475048673</v>
      </c>
      <c r="C118" s="19">
        <f ca="1" t="shared" si="52"/>
        <v>-62489.7811109675</v>
      </c>
      <c r="D118" s="11">
        <f ca="1" t="shared" si="53"/>
        <v>0.948787221283998</v>
      </c>
      <c r="E118" s="19">
        <f ca="1" t="shared" si="54"/>
        <v>-26959.8363206401</v>
      </c>
      <c r="F118" s="11">
        <f ca="1" t="shared" si="55"/>
        <v>0.425139392754634</v>
      </c>
      <c r="G118" s="19">
        <f ca="1" t="shared" si="56"/>
        <v>37985.668970925</v>
      </c>
      <c r="H118" s="11">
        <f ca="1" t="shared" si="57"/>
        <v>0.159050029856257</v>
      </c>
      <c r="I118" s="19">
        <f ca="1" t="shared" si="58"/>
        <v>34884.4144458101</v>
      </c>
      <c r="J118" s="11">
        <f ca="1" t="shared" si="59"/>
        <v>0.682092770115073</v>
      </c>
      <c r="K118" s="19">
        <f ca="1" t="shared" si="60"/>
        <v>40117.0662259898</v>
      </c>
      <c r="L118" s="11">
        <f ca="1" t="shared" si="61"/>
        <v>0.184921180094423</v>
      </c>
      <c r="M118" s="19">
        <f ca="1" t="shared" si="62"/>
        <v>35266.7045687188</v>
      </c>
      <c r="N118" s="11">
        <f ca="1" t="shared" si="63"/>
        <v>0.580422455300753</v>
      </c>
      <c r="O118" s="19">
        <f ca="1" t="shared" si="64"/>
        <v>39330.7753319386</v>
      </c>
      <c r="P118" s="11">
        <f ca="1" t="shared" si="65"/>
        <v>0.663744408046744</v>
      </c>
      <c r="Q118" s="12">
        <f ca="1" t="shared" si="66"/>
        <v>15.5397966232121</v>
      </c>
      <c r="R118" s="11">
        <f ca="1" t="shared" si="67"/>
        <v>0.257301267326368</v>
      </c>
      <c r="S118" s="12">
        <f ca="1" t="shared" si="68"/>
        <v>14.1520740721162</v>
      </c>
      <c r="T118" s="11">
        <f ca="1" t="shared" si="69"/>
        <v>0.497127693582098</v>
      </c>
      <c r="U118" s="12">
        <f ca="1" t="shared" si="70"/>
        <v>18.2476108171325</v>
      </c>
      <c r="V118" s="11">
        <f ca="1" t="shared" si="71"/>
        <v>0.972931554343284</v>
      </c>
      <c r="W118" s="12">
        <f ca="1" t="shared" si="72"/>
        <v>24.0266575124936</v>
      </c>
      <c r="X118" s="11">
        <f ca="1" t="shared" si="73"/>
        <v>0.858133914139309</v>
      </c>
      <c r="Y118" s="12">
        <f ca="1" t="shared" si="74"/>
        <v>25.2321906430396</v>
      </c>
      <c r="Z118" s="19">
        <f ca="1" t="shared" si="75"/>
        <v>43888.5646749734</v>
      </c>
      <c r="AA118" s="19">
        <f ca="1" t="shared" si="76"/>
        <v>46009.4289493666</v>
      </c>
      <c r="AB118" s="19">
        <f ca="1" t="shared" si="77"/>
        <v>62565.7918568354</v>
      </c>
      <c r="AC118" s="19">
        <f ca="1" t="shared" si="78"/>
        <v>68216.2276940309</v>
      </c>
      <c r="AD118" s="19">
        <f ca="1" t="shared" si="79"/>
        <v>95273.3212856354</v>
      </c>
      <c r="AE118" s="19">
        <f ca="1" t="shared" si="80"/>
        <v>12497.9562221935</v>
      </c>
      <c r="AF118" s="19">
        <f ca="1" t="shared" si="81"/>
        <v>31390.6084527799</v>
      </c>
      <c r="AG118" s="19">
        <f ca="1" t="shared" si="82"/>
        <v>33511.4727271731</v>
      </c>
      <c r="AH118" s="19">
        <f ca="1" t="shared" si="83"/>
        <v>50067.8356346419</v>
      </c>
      <c r="AI118" s="19">
        <f ca="1" t="shared" si="84"/>
        <v>55718.2714718374</v>
      </c>
      <c r="AJ118" s="19">
        <f ca="1" t="shared" si="85"/>
        <v>82775.3650634419</v>
      </c>
      <c r="AK118" s="19">
        <f ca="1">AF118*$B$4</f>
        <v>15695.3042263899</v>
      </c>
      <c r="AL118" s="19">
        <f ca="1">AG118*$B$4</f>
        <v>16755.7363635865</v>
      </c>
      <c r="AM118" s="19">
        <f ca="1">AH118*$B$4</f>
        <v>25033.917817321</v>
      </c>
      <c r="AN118" s="19">
        <f ca="1">AI118*$B$4</f>
        <v>27859.1357359187</v>
      </c>
      <c r="AO118" s="19">
        <f ca="1">AJ118*$B$4</f>
        <v>41387.682531721</v>
      </c>
      <c r="AP118" s="19">
        <f ca="1" t="shared" si="86"/>
        <v>15695.3042263899</v>
      </c>
      <c r="AQ118" s="19">
        <f ca="1" t="shared" si="87"/>
        <v>16755.7363635865</v>
      </c>
      <c r="AR118" s="19">
        <f ca="1" t="shared" si="88"/>
        <v>25033.917817321</v>
      </c>
      <c r="AS118" s="19">
        <f ca="1" t="shared" si="89"/>
        <v>27859.1357359187</v>
      </c>
      <c r="AT118" s="19">
        <f ca="1" t="shared" si="90"/>
        <v>41387.682531721</v>
      </c>
      <c r="AU118" s="19">
        <f ca="1" t="shared" si="91"/>
        <v>39457.7925428336</v>
      </c>
      <c r="AV118" s="19">
        <f ca="1" t="shared" si="92"/>
        <v>-89449.6174316076</v>
      </c>
      <c r="AW118" s="19">
        <f ca="1" t="shared" si="93"/>
        <v>28193.2604485834</v>
      </c>
      <c r="AX118" s="19">
        <f ca="1" t="shared" si="94"/>
        <v>29253.69258578</v>
      </c>
      <c r="AY118" s="19">
        <f ca="1" t="shared" si="95"/>
        <v>37531.8740395145</v>
      </c>
      <c r="AZ118" s="19">
        <f ca="1" t="shared" si="96"/>
        <v>40357.0919581122</v>
      </c>
      <c r="BA118" s="19">
        <f ca="1" t="shared" si="97"/>
        <v>93343.4312967481</v>
      </c>
      <c r="BB118" s="20">
        <f ca="1" t="shared" si="98"/>
        <v>0.327841110002607</v>
      </c>
      <c r="BC118" s="19">
        <f ca="1">NPV($B$5,AW118:BA118)+AV118</f>
        <v>51346.5527710971</v>
      </c>
    </row>
    <row r="119" spans="1:55">
      <c r="A119" s="3">
        <v>95</v>
      </c>
      <c r="B119" s="11">
        <f ca="1" t="shared" si="51"/>
        <v>0.751771765374543</v>
      </c>
      <c r="C119" s="19">
        <f ca="1" t="shared" si="52"/>
        <v>-69964.5016859943</v>
      </c>
      <c r="D119" s="11">
        <f ca="1" t="shared" si="53"/>
        <v>0.909575856647905</v>
      </c>
      <c r="E119" s="19">
        <f ca="1" t="shared" si="54"/>
        <v>-27604.1909974898</v>
      </c>
      <c r="F119" s="11">
        <f ca="1" t="shared" si="55"/>
        <v>0.756239575596483</v>
      </c>
      <c r="G119" s="19">
        <f ca="1" t="shared" si="56"/>
        <v>40724.2507287887</v>
      </c>
      <c r="H119" s="11">
        <f ca="1" t="shared" si="57"/>
        <v>0.681984302661132</v>
      </c>
      <c r="I119" s="19">
        <f ca="1" t="shared" si="58"/>
        <v>40116.2332876749</v>
      </c>
      <c r="J119" s="11">
        <f ca="1" t="shared" si="59"/>
        <v>0.0535977609266096</v>
      </c>
      <c r="K119" s="19">
        <f ca="1" t="shared" si="60"/>
        <v>32835.4301506106</v>
      </c>
      <c r="L119" s="11">
        <f ca="1" t="shared" si="61"/>
        <v>0.775171621191099</v>
      </c>
      <c r="M119" s="19">
        <f ca="1" t="shared" si="62"/>
        <v>40893.6477975376</v>
      </c>
      <c r="N119" s="11">
        <f ca="1" t="shared" si="63"/>
        <v>0.119941081565734</v>
      </c>
      <c r="O119" s="19">
        <f ca="1" t="shared" si="64"/>
        <v>34241.599018632</v>
      </c>
      <c r="P119" s="11">
        <f ca="1" t="shared" si="65"/>
        <v>0.878051832123323</v>
      </c>
      <c r="Q119" s="12">
        <f ca="1" t="shared" si="66"/>
        <v>16.5184241424145</v>
      </c>
      <c r="R119" s="11">
        <f ca="1" t="shared" si="67"/>
        <v>0.651682580191743</v>
      </c>
      <c r="S119" s="12">
        <f ca="1" t="shared" si="68"/>
        <v>15.4960603927913</v>
      </c>
      <c r="T119" s="11">
        <f ca="1" t="shared" si="69"/>
        <v>0.331704012476379</v>
      </c>
      <c r="U119" s="12">
        <f ca="1" t="shared" si="70"/>
        <v>17.6392772234087</v>
      </c>
      <c r="V119" s="11">
        <f ca="1" t="shared" si="71"/>
        <v>0.454698697881406</v>
      </c>
      <c r="W119" s="12">
        <f ca="1" t="shared" si="72"/>
        <v>20.6312993265559</v>
      </c>
      <c r="X119" s="11">
        <f ca="1" t="shared" si="73"/>
        <v>0.421961912964716</v>
      </c>
      <c r="Y119" s="12">
        <f ca="1" t="shared" si="74"/>
        <v>22.4130458476997</v>
      </c>
      <c r="Z119" s="19">
        <f ca="1" t="shared" si="75"/>
        <v>47451.2551929904</v>
      </c>
      <c r="AA119" s="19">
        <f ca="1" t="shared" si="76"/>
        <v>53986.0958113372</v>
      </c>
      <c r="AB119" s="19">
        <f ca="1" t="shared" si="77"/>
        <v>51982.4602882247</v>
      </c>
      <c r="AC119" s="19">
        <f ca="1" t="shared" si="78"/>
        <v>78096.2136380691</v>
      </c>
      <c r="AD119" s="19">
        <f ca="1" t="shared" si="79"/>
        <v>80048.9919763257</v>
      </c>
      <c r="AE119" s="19">
        <f ca="1" t="shared" si="80"/>
        <v>13992.9003371989</v>
      </c>
      <c r="AF119" s="19">
        <f ca="1" t="shared" si="81"/>
        <v>33458.3548557915</v>
      </c>
      <c r="AG119" s="19">
        <f ca="1" t="shared" si="82"/>
        <v>39993.1954741384</v>
      </c>
      <c r="AH119" s="19">
        <f ca="1" t="shared" si="83"/>
        <v>37989.5599510259</v>
      </c>
      <c r="AI119" s="19">
        <f ca="1" t="shared" si="84"/>
        <v>64103.3133008703</v>
      </c>
      <c r="AJ119" s="19">
        <f ca="1" t="shared" si="85"/>
        <v>66056.0916391268</v>
      </c>
      <c r="AK119" s="19">
        <f ca="1">AF119*$B$4</f>
        <v>16729.1774278958</v>
      </c>
      <c r="AL119" s="19">
        <f ca="1">AG119*$B$4</f>
        <v>19996.5977370692</v>
      </c>
      <c r="AM119" s="19">
        <f ca="1">AH119*$B$4</f>
        <v>18994.7799755129</v>
      </c>
      <c r="AN119" s="19">
        <f ca="1">AI119*$B$4</f>
        <v>32051.6566504351</v>
      </c>
      <c r="AO119" s="19">
        <f ca="1">AJ119*$B$4</f>
        <v>33028.0458195634</v>
      </c>
      <c r="AP119" s="19">
        <f ca="1" t="shared" si="86"/>
        <v>16729.1774278958</v>
      </c>
      <c r="AQ119" s="19">
        <f ca="1" t="shared" si="87"/>
        <v>19996.5977370692</v>
      </c>
      <c r="AR119" s="19">
        <f ca="1" t="shared" si="88"/>
        <v>18994.7799755129</v>
      </c>
      <c r="AS119" s="19">
        <f ca="1" t="shared" si="89"/>
        <v>32051.6566504351</v>
      </c>
      <c r="AT119" s="19">
        <f ca="1" t="shared" si="90"/>
        <v>33028.0458195634</v>
      </c>
      <c r="AU119" s="19">
        <f ca="1" t="shared" si="91"/>
        <v>41597.0913346887</v>
      </c>
      <c r="AV119" s="19">
        <f ca="1" t="shared" si="92"/>
        <v>-97568.6926834841</v>
      </c>
      <c r="AW119" s="19">
        <f ca="1" t="shared" si="93"/>
        <v>30722.0777650946</v>
      </c>
      <c r="AX119" s="19">
        <f ca="1" t="shared" si="94"/>
        <v>33989.498074268</v>
      </c>
      <c r="AY119" s="19">
        <f ca="1" t="shared" si="95"/>
        <v>32987.6803127118</v>
      </c>
      <c r="AZ119" s="19">
        <f ca="1" t="shared" si="96"/>
        <v>46044.556987634</v>
      </c>
      <c r="BA119" s="19">
        <f ca="1" t="shared" si="97"/>
        <v>88618.037491451</v>
      </c>
      <c r="BB119" s="20">
        <f ca="1" t="shared" si="98"/>
        <v>0.305289072175464</v>
      </c>
      <c r="BC119" s="19">
        <f ca="1">NPV($B$5,AW119:BA119)+AV119</f>
        <v>46921.9880144863</v>
      </c>
    </row>
    <row r="120" spans="1:55">
      <c r="A120" s="3">
        <v>96</v>
      </c>
      <c r="B120" s="11">
        <f ca="1" t="shared" si="51"/>
        <v>0.215907148136546</v>
      </c>
      <c r="C120" s="19">
        <f ca="1" t="shared" si="52"/>
        <v>-83903.7713186021</v>
      </c>
      <c r="D120" s="11">
        <f ca="1" t="shared" si="53"/>
        <v>0.74368963120206</v>
      </c>
      <c r="E120" s="19">
        <f ca="1" t="shared" si="54"/>
        <v>-29384.4358428246</v>
      </c>
      <c r="F120" s="11">
        <f ca="1" t="shared" si="55"/>
        <v>0.282279329592873</v>
      </c>
      <c r="G120" s="19">
        <f ca="1" t="shared" si="56"/>
        <v>36507.0653476764</v>
      </c>
      <c r="H120" s="11">
        <f ca="1" t="shared" si="57"/>
        <v>0.909898251195597</v>
      </c>
      <c r="I120" s="19">
        <f ca="1" t="shared" si="58"/>
        <v>42400.4555860055</v>
      </c>
      <c r="J120" s="11">
        <f ca="1" t="shared" si="59"/>
        <v>0.492154182820121</v>
      </c>
      <c r="K120" s="19">
        <f ca="1" t="shared" si="60"/>
        <v>38592.0386069325</v>
      </c>
      <c r="L120" s="11">
        <f ca="1" t="shared" si="61"/>
        <v>0.70399357339815</v>
      </c>
      <c r="M120" s="19">
        <f ca="1" t="shared" si="62"/>
        <v>40288.2612556362</v>
      </c>
      <c r="N120" s="11">
        <f ca="1" t="shared" si="63"/>
        <v>0.914263242873212</v>
      </c>
      <c r="O120" s="19">
        <f ca="1" t="shared" si="64"/>
        <v>42464.2049009218</v>
      </c>
      <c r="P120" s="11">
        <f ca="1" t="shared" si="65"/>
        <v>0.900392961663453</v>
      </c>
      <c r="Q120" s="12">
        <f ca="1" t="shared" si="66"/>
        <v>16.6609978752601</v>
      </c>
      <c r="R120" s="11">
        <f ca="1" t="shared" si="67"/>
        <v>0.102360088952301</v>
      </c>
      <c r="S120" s="12">
        <f ca="1" t="shared" si="68"/>
        <v>13.3573804187262</v>
      </c>
      <c r="T120" s="11">
        <f ca="1" t="shared" si="69"/>
        <v>0.512125327486806</v>
      </c>
      <c r="U120" s="12">
        <f ca="1" t="shared" si="70"/>
        <v>18.3039898768578</v>
      </c>
      <c r="V120" s="11">
        <f ca="1" t="shared" si="71"/>
        <v>0.99641663676165</v>
      </c>
      <c r="W120" s="12">
        <f ca="1" t="shared" si="72"/>
        <v>24.6458563662266</v>
      </c>
      <c r="X120" s="11">
        <f ca="1" t="shared" si="73"/>
        <v>0.611449231093507</v>
      </c>
      <c r="Y120" s="12">
        <f ca="1" t="shared" si="74"/>
        <v>23.4194169016434</v>
      </c>
      <c r="Z120" s="19">
        <f ca="1" t="shared" si="75"/>
        <v>42589.5067295726</v>
      </c>
      <c r="AA120" s="19">
        <f ca="1" t="shared" si="76"/>
        <v>56071.995377057</v>
      </c>
      <c r="AB120" s="19">
        <f ca="1" t="shared" si="77"/>
        <v>60377.1488046519</v>
      </c>
      <c r="AC120" s="19">
        <f ca="1" t="shared" si="78"/>
        <v>78565.3863047542</v>
      </c>
      <c r="AD120" s="19">
        <f ca="1" t="shared" si="79"/>
        <v>102201.957162986</v>
      </c>
      <c r="AE120" s="19">
        <f ca="1" t="shared" si="80"/>
        <v>16780.7542637204</v>
      </c>
      <c r="AF120" s="19">
        <f ca="1" t="shared" si="81"/>
        <v>25808.7524658522</v>
      </c>
      <c r="AG120" s="19">
        <f ca="1" t="shared" si="82"/>
        <v>39291.2411133366</v>
      </c>
      <c r="AH120" s="19">
        <f ca="1" t="shared" si="83"/>
        <v>43596.3945409314</v>
      </c>
      <c r="AI120" s="19">
        <f ca="1" t="shared" si="84"/>
        <v>61784.6320410338</v>
      </c>
      <c r="AJ120" s="19">
        <f ca="1" t="shared" si="85"/>
        <v>85421.2028992652</v>
      </c>
      <c r="AK120" s="19">
        <f ca="1">AF120*$B$4</f>
        <v>12904.3762329261</v>
      </c>
      <c r="AL120" s="19">
        <f ca="1">AG120*$B$4</f>
        <v>19645.6205566683</v>
      </c>
      <c r="AM120" s="19">
        <f ca="1">AH120*$B$4</f>
        <v>21798.1972704657</v>
      </c>
      <c r="AN120" s="19">
        <f ca="1">AI120*$B$4</f>
        <v>30892.3160205169</v>
      </c>
      <c r="AO120" s="19">
        <f ca="1">AJ120*$B$4</f>
        <v>42710.6014496326</v>
      </c>
      <c r="AP120" s="19">
        <f ca="1" t="shared" si="86"/>
        <v>12904.3762329261</v>
      </c>
      <c r="AQ120" s="19">
        <f ca="1" t="shared" si="87"/>
        <v>19645.6205566683</v>
      </c>
      <c r="AR120" s="19">
        <f ca="1" t="shared" si="88"/>
        <v>21798.1972704657</v>
      </c>
      <c r="AS120" s="19">
        <f ca="1" t="shared" si="89"/>
        <v>30892.3160205169</v>
      </c>
      <c r="AT120" s="19">
        <f ca="1" t="shared" si="90"/>
        <v>42710.6014496326</v>
      </c>
      <c r="AU120" s="19">
        <f ca="1" t="shared" si="91"/>
        <v>46165.1901065451</v>
      </c>
      <c r="AV120" s="19">
        <f ca="1" t="shared" si="92"/>
        <v>-113288.207161427</v>
      </c>
      <c r="AW120" s="19">
        <f ca="1" t="shared" si="93"/>
        <v>29685.1304966465</v>
      </c>
      <c r="AX120" s="19">
        <f ca="1" t="shared" si="94"/>
        <v>36426.3748203887</v>
      </c>
      <c r="AY120" s="19">
        <f ca="1" t="shared" si="95"/>
        <v>38578.9515341862</v>
      </c>
      <c r="AZ120" s="19">
        <f ca="1" t="shared" si="96"/>
        <v>47673.0702842373</v>
      </c>
      <c r="BA120" s="19">
        <f ca="1" t="shared" si="97"/>
        <v>105656.545819898</v>
      </c>
      <c r="BB120" s="20">
        <f ca="1" t="shared" si="98"/>
        <v>0.276495089957136</v>
      </c>
      <c r="BC120" s="19">
        <f ca="1">NPV($B$5,AW120:BA120)+AV120</f>
        <v>45222.0184751579</v>
      </c>
    </row>
    <row r="121" spans="1:55">
      <c r="A121" s="3">
        <v>97</v>
      </c>
      <c r="B121" s="11">
        <f ca="1" t="shared" si="51"/>
        <v>0.781093130273519</v>
      </c>
      <c r="C121" s="19">
        <f ca="1" t="shared" si="52"/>
        <v>-69357.4968816769</v>
      </c>
      <c r="D121" s="11">
        <f ca="1" t="shared" si="53"/>
        <v>0.735671379648025</v>
      </c>
      <c r="E121" s="19">
        <f ca="1" t="shared" si="54"/>
        <v>-29452.4876784106</v>
      </c>
      <c r="F121" s="11">
        <f ca="1" t="shared" si="55"/>
        <v>0.231950419973804</v>
      </c>
      <c r="G121" s="19">
        <f ca="1" t="shared" si="56"/>
        <v>35898.5221027026</v>
      </c>
      <c r="H121" s="11">
        <f ca="1" t="shared" si="57"/>
        <v>0.846947257228429</v>
      </c>
      <c r="I121" s="19">
        <f ca="1" t="shared" si="58"/>
        <v>41611.9392408241</v>
      </c>
      <c r="J121" s="11">
        <f ca="1" t="shared" si="59"/>
        <v>0.452709899647776</v>
      </c>
      <c r="K121" s="19">
        <f ca="1" t="shared" si="60"/>
        <v>38240.5391175072</v>
      </c>
      <c r="L121" s="11">
        <f ca="1" t="shared" si="61"/>
        <v>0.0104809100722383</v>
      </c>
      <c r="M121" s="19">
        <f ca="1" t="shared" si="62"/>
        <v>31253.848679401</v>
      </c>
      <c r="N121" s="11">
        <f ca="1" t="shared" si="63"/>
        <v>0.655389725762614</v>
      </c>
      <c r="O121" s="19">
        <f ca="1" t="shared" si="64"/>
        <v>39915.0622219123</v>
      </c>
      <c r="P121" s="11">
        <f ca="1" t="shared" si="65"/>
        <v>0.667799965795723</v>
      </c>
      <c r="Q121" s="12">
        <f ca="1" t="shared" si="66"/>
        <v>15.5546778094335</v>
      </c>
      <c r="R121" s="11">
        <f ca="1" t="shared" si="67"/>
        <v>0.186727595157149</v>
      </c>
      <c r="S121" s="12">
        <f ca="1" t="shared" si="68"/>
        <v>13.8333294065248</v>
      </c>
      <c r="T121" s="11">
        <f ca="1" t="shared" si="69"/>
        <v>0.21927212286165</v>
      </c>
      <c r="U121" s="12">
        <f ca="1" t="shared" si="70"/>
        <v>17.1458598696314</v>
      </c>
      <c r="V121" s="11">
        <f ca="1" t="shared" si="71"/>
        <v>0.55019321326518</v>
      </c>
      <c r="W121" s="12">
        <f ca="1" t="shared" si="72"/>
        <v>21.0322251152921</v>
      </c>
      <c r="X121" s="11">
        <f ca="1" t="shared" si="73"/>
        <v>0.511738752915203</v>
      </c>
      <c r="Y121" s="12">
        <f ca="1" t="shared" si="74"/>
        <v>22.8652062025258</v>
      </c>
      <c r="Z121" s="19">
        <f ca="1" t="shared" si="75"/>
        <v>41482.4215541262</v>
      </c>
      <c r="AA121" s="19">
        <f ca="1" t="shared" si="76"/>
        <v>54736.2354527357</v>
      </c>
      <c r="AB121" s="19">
        <f ca="1" t="shared" si="77"/>
        <v>58926.130086477</v>
      </c>
      <c r="AC121" s="19">
        <f ca="1" t="shared" si="78"/>
        <v>58289.2458710648</v>
      </c>
      <c r="AD121" s="19">
        <f ca="1" t="shared" si="79"/>
        <v>91464.0980263412</v>
      </c>
      <c r="AE121" s="19">
        <f ca="1" t="shared" si="80"/>
        <v>13871.4993763354</v>
      </c>
      <c r="AF121" s="19">
        <f ca="1" t="shared" si="81"/>
        <v>27610.9221777908</v>
      </c>
      <c r="AG121" s="19">
        <f ca="1" t="shared" si="82"/>
        <v>40864.7360764004</v>
      </c>
      <c r="AH121" s="19">
        <f ca="1" t="shared" si="83"/>
        <v>45054.6307101417</v>
      </c>
      <c r="AI121" s="19">
        <f ca="1" t="shared" si="84"/>
        <v>44417.7464947294</v>
      </c>
      <c r="AJ121" s="19">
        <f ca="1" t="shared" si="85"/>
        <v>77592.5986500058</v>
      </c>
      <c r="AK121" s="19">
        <f ca="1">AF121*$B$4</f>
        <v>13805.4610888954</v>
      </c>
      <c r="AL121" s="19">
        <f ca="1">AG121*$B$4</f>
        <v>20432.3680382002</v>
      </c>
      <c r="AM121" s="19">
        <f ca="1">AH121*$B$4</f>
        <v>22527.3153550708</v>
      </c>
      <c r="AN121" s="19">
        <f ca="1">AI121*$B$4</f>
        <v>22208.8732473647</v>
      </c>
      <c r="AO121" s="19">
        <f ca="1">AJ121*$B$4</f>
        <v>38796.2993250029</v>
      </c>
      <c r="AP121" s="19">
        <f ca="1" t="shared" si="86"/>
        <v>13805.4610888954</v>
      </c>
      <c r="AQ121" s="19">
        <f ca="1" t="shared" si="87"/>
        <v>20432.3680382002</v>
      </c>
      <c r="AR121" s="19">
        <f ca="1" t="shared" si="88"/>
        <v>22527.3153550708</v>
      </c>
      <c r="AS121" s="19">
        <f ca="1" t="shared" si="89"/>
        <v>22208.8732473647</v>
      </c>
      <c r="AT121" s="19">
        <f ca="1" t="shared" si="90"/>
        <v>38796.2993250029</v>
      </c>
      <c r="AU121" s="19">
        <f ca="1" t="shared" si="91"/>
        <v>43323.987054746</v>
      </c>
      <c r="AV121" s="19">
        <f ca="1" t="shared" si="92"/>
        <v>-98809.9845600875</v>
      </c>
      <c r="AW121" s="19">
        <f ca="1" t="shared" si="93"/>
        <v>27676.9604652308</v>
      </c>
      <c r="AX121" s="19">
        <f ca="1" t="shared" si="94"/>
        <v>34303.8674145355</v>
      </c>
      <c r="AY121" s="19">
        <f ca="1" t="shared" si="95"/>
        <v>36398.8147314062</v>
      </c>
      <c r="AZ121" s="19">
        <f ca="1" t="shared" si="96"/>
        <v>36080.3726237001</v>
      </c>
      <c r="BA121" s="19">
        <f ca="1" t="shared" si="97"/>
        <v>95991.7857560843</v>
      </c>
      <c r="BB121" s="20">
        <f ca="1" t="shared" si="98"/>
        <v>0.290495004430089</v>
      </c>
      <c r="BC121" s="19">
        <f ca="1">NPV($B$5,AW121:BA121)+AV121</f>
        <v>43482.3540275347</v>
      </c>
    </row>
    <row r="122" spans="1:55">
      <c r="A122" s="3">
        <v>98</v>
      </c>
      <c r="B122" s="11">
        <f ca="1" t="shared" si="51"/>
        <v>0.0450305397027788</v>
      </c>
      <c r="C122" s="19">
        <f ca="1" t="shared" si="52"/>
        <v>-92649.0376382861</v>
      </c>
      <c r="D122" s="11">
        <f ca="1" t="shared" si="53"/>
        <v>0.743707464745158</v>
      </c>
      <c r="E122" s="19">
        <f ca="1" t="shared" si="54"/>
        <v>-29384.2833102017</v>
      </c>
      <c r="F122" s="11">
        <f ca="1" t="shared" si="55"/>
        <v>0.631555875544986</v>
      </c>
      <c r="G122" s="19">
        <f ca="1" t="shared" si="56"/>
        <v>39733.1074858828</v>
      </c>
      <c r="H122" s="11">
        <f ca="1" t="shared" si="57"/>
        <v>0.0678113596756083</v>
      </c>
      <c r="I122" s="19">
        <f ca="1" t="shared" si="58"/>
        <v>33189.3108897286</v>
      </c>
      <c r="J122" s="11">
        <f ca="1" t="shared" si="59"/>
        <v>0.862980798959085</v>
      </c>
      <c r="K122" s="19">
        <f ca="1" t="shared" si="60"/>
        <v>41794.3112942663</v>
      </c>
      <c r="L122" s="11">
        <f ca="1" t="shared" si="61"/>
        <v>0.81916533516736</v>
      </c>
      <c r="M122" s="19">
        <f ca="1" t="shared" si="62"/>
        <v>41317.2564761515</v>
      </c>
      <c r="N122" s="11">
        <f ca="1" t="shared" si="63"/>
        <v>0.173866490162885</v>
      </c>
      <c r="O122" s="19">
        <f ca="1" t="shared" si="64"/>
        <v>35106.8555417627</v>
      </c>
      <c r="P122" s="11">
        <f ca="1" t="shared" si="65"/>
        <v>0.0045618751248071</v>
      </c>
      <c r="Q122" s="12">
        <f ca="1" t="shared" si="66"/>
        <v>12.2865549724687</v>
      </c>
      <c r="R122" s="11">
        <f ca="1" t="shared" si="67"/>
        <v>0.352459147518918</v>
      </c>
      <c r="S122" s="12">
        <f ca="1" t="shared" si="68"/>
        <v>14.5187823755419</v>
      </c>
      <c r="T122" s="11">
        <f ca="1" t="shared" si="69"/>
        <v>0.174256679598066</v>
      </c>
      <c r="U122" s="12">
        <f ca="1" t="shared" si="70"/>
        <v>16.9129532852528</v>
      </c>
      <c r="V122" s="11">
        <f ca="1" t="shared" si="71"/>
        <v>0.543352172843555</v>
      </c>
      <c r="W122" s="12">
        <f ca="1" t="shared" si="72"/>
        <v>21.0021663428207</v>
      </c>
      <c r="X122" s="11">
        <f ca="1" t="shared" si="73"/>
        <v>0.0666991441446108</v>
      </c>
      <c r="Y122" s="12">
        <f ca="1" t="shared" si="74"/>
        <v>20.3419675450265</v>
      </c>
      <c r="Z122" s="19">
        <f ca="1" t="shared" si="75"/>
        <v>44614.9375794059</v>
      </c>
      <c r="AA122" s="19">
        <f ca="1" t="shared" si="76"/>
        <v>42677.8678736968</v>
      </c>
      <c r="AB122" s="19">
        <f ca="1" t="shared" si="77"/>
        <v>62832.4918539715</v>
      </c>
      <c r="AC122" s="19">
        <f ca="1" t="shared" si="78"/>
        <v>75160.85853276</v>
      </c>
      <c r="AD122" s="19">
        <f ca="1" t="shared" si="79"/>
        <v>76854.4990623785</v>
      </c>
      <c r="AE122" s="19">
        <f ca="1" t="shared" si="80"/>
        <v>18529.8075276572</v>
      </c>
      <c r="AF122" s="19">
        <f ca="1" t="shared" si="81"/>
        <v>26085.1300517487</v>
      </c>
      <c r="AG122" s="19">
        <f ca="1" t="shared" si="82"/>
        <v>24148.0603460395</v>
      </c>
      <c r="AH122" s="19">
        <f ca="1" t="shared" si="83"/>
        <v>44302.6843263143</v>
      </c>
      <c r="AI122" s="19">
        <f ca="1" t="shared" si="84"/>
        <v>56631.0510051028</v>
      </c>
      <c r="AJ122" s="19">
        <f ca="1" t="shared" si="85"/>
        <v>58324.6915347213</v>
      </c>
      <c r="AK122" s="19">
        <f ca="1">AF122*$B$4</f>
        <v>13042.5650258743</v>
      </c>
      <c r="AL122" s="19">
        <f ca="1">AG122*$B$4</f>
        <v>12074.0301730198</v>
      </c>
      <c r="AM122" s="19">
        <f ca="1">AH122*$B$4</f>
        <v>22151.3421631571</v>
      </c>
      <c r="AN122" s="19">
        <f ca="1">AI122*$B$4</f>
        <v>28315.5255025514</v>
      </c>
      <c r="AO122" s="19">
        <f ca="1">AJ122*$B$4</f>
        <v>29162.3457673607</v>
      </c>
      <c r="AP122" s="19">
        <f ca="1" t="shared" si="86"/>
        <v>13042.5650258743</v>
      </c>
      <c r="AQ122" s="19">
        <f ca="1" t="shared" si="87"/>
        <v>12074.0301730198</v>
      </c>
      <c r="AR122" s="19">
        <f ca="1" t="shared" si="88"/>
        <v>22151.3421631571</v>
      </c>
      <c r="AS122" s="19">
        <f ca="1" t="shared" si="89"/>
        <v>28315.5255025514</v>
      </c>
      <c r="AT122" s="19">
        <f ca="1" t="shared" si="90"/>
        <v>29162.3457673607</v>
      </c>
      <c r="AU122" s="19">
        <f ca="1" t="shared" si="91"/>
        <v>47914.0908378589</v>
      </c>
      <c r="AV122" s="19">
        <f ca="1" t="shared" si="92"/>
        <v>-122033.320948488</v>
      </c>
      <c r="AW122" s="19">
        <f ca="1" t="shared" si="93"/>
        <v>31572.3725535315</v>
      </c>
      <c r="AX122" s="19">
        <f ca="1" t="shared" si="94"/>
        <v>30603.837700677</v>
      </c>
      <c r="AY122" s="19">
        <f ca="1" t="shared" si="95"/>
        <v>40681.1496908144</v>
      </c>
      <c r="AZ122" s="19">
        <f ca="1" t="shared" si="96"/>
        <v>46845.3330302086</v>
      </c>
      <c r="BA122" s="19">
        <f ca="1" t="shared" si="97"/>
        <v>95606.2441328768</v>
      </c>
      <c r="BB122" s="20">
        <f ca="1" t="shared" si="98"/>
        <v>0.230485972708057</v>
      </c>
      <c r="BC122" s="19">
        <f ca="1">NPV($B$5,AW122:BA122)+AV122</f>
        <v>29627.501935658</v>
      </c>
    </row>
    <row r="123" spans="1:55">
      <c r="A123" s="3">
        <v>99</v>
      </c>
      <c r="B123" s="11">
        <f ca="1" t="shared" si="51"/>
        <v>0.943210643408015</v>
      </c>
      <c r="C123" s="19">
        <f ca="1" t="shared" si="52"/>
        <v>-64766.1035067226</v>
      </c>
      <c r="D123" s="11">
        <f ca="1" t="shared" si="53"/>
        <v>0.50910038343208</v>
      </c>
      <c r="E123" s="19">
        <f ca="1" t="shared" si="54"/>
        <v>-31261.289711015</v>
      </c>
      <c r="F123" s="11">
        <f ca="1" t="shared" si="55"/>
        <v>0.743567754351677</v>
      </c>
      <c r="G123" s="19">
        <f ca="1" t="shared" si="56"/>
        <v>40614.5218705797</v>
      </c>
      <c r="H123" s="11">
        <f ca="1" t="shared" si="57"/>
        <v>0.445494221099491</v>
      </c>
      <c r="I123" s="19">
        <f ca="1" t="shared" si="58"/>
        <v>38174.6029362241</v>
      </c>
      <c r="J123" s="11">
        <f ca="1" t="shared" si="59"/>
        <v>0.848190467070007</v>
      </c>
      <c r="K123" s="19">
        <f ca="1" t="shared" si="60"/>
        <v>41625.7274902952</v>
      </c>
      <c r="L123" s="11">
        <f ca="1" t="shared" si="61"/>
        <v>0.0931169814045461</v>
      </c>
      <c r="M123" s="19">
        <f ca="1" t="shared" si="62"/>
        <v>33737.3181842977</v>
      </c>
      <c r="N123" s="11">
        <f ca="1" t="shared" si="63"/>
        <v>0.330186281696546</v>
      </c>
      <c r="O123" s="19">
        <f ca="1" t="shared" si="64"/>
        <v>37037.6091291348</v>
      </c>
      <c r="P123" s="11">
        <f ca="1" t="shared" si="65"/>
        <v>0.623002325356489</v>
      </c>
      <c r="Q123" s="12">
        <f ca="1" t="shared" si="66"/>
        <v>15.3950128323573</v>
      </c>
      <c r="R123" s="11">
        <f ca="1" t="shared" si="67"/>
        <v>0.34022669744937</v>
      </c>
      <c r="S123" s="12">
        <f ca="1" t="shared" si="68"/>
        <v>14.4746879710559</v>
      </c>
      <c r="T123" s="11">
        <f ca="1" t="shared" si="69"/>
        <v>0.449435353401629</v>
      </c>
      <c r="U123" s="12">
        <f ca="1" t="shared" si="70"/>
        <v>18.0737027488033</v>
      </c>
      <c r="V123" s="11">
        <f ca="1" t="shared" si="71"/>
        <v>0.151405514184342</v>
      </c>
      <c r="W123" s="12">
        <f ca="1" t="shared" si="72"/>
        <v>19.4559111231737</v>
      </c>
      <c r="X123" s="11">
        <f ca="1" t="shared" si="73"/>
        <v>0.174520350239532</v>
      </c>
      <c r="Y123" s="12">
        <f ca="1" t="shared" si="74"/>
        <v>21.1707255599148</v>
      </c>
      <c r="Z123" s="19">
        <f ca="1" t="shared" si="75"/>
        <v>46867.1327243559</v>
      </c>
      <c r="AA123" s="19">
        <f ca="1" t="shared" si="76"/>
        <v>50427.917860022</v>
      </c>
      <c r="AB123" s="19">
        <f ca="1" t="shared" si="77"/>
        <v>64924.9356277541</v>
      </c>
      <c r="AC123" s="19">
        <f ca="1" t="shared" si="78"/>
        <v>62859.0615847019</v>
      </c>
      <c r="AD123" s="19">
        <f ca="1" t="shared" si="79"/>
        <v>83617.6559137994</v>
      </c>
      <c r="AE123" s="19">
        <f ca="1" t="shared" si="80"/>
        <v>12953.2207013445</v>
      </c>
      <c r="AF123" s="19">
        <f ca="1" t="shared" si="81"/>
        <v>33913.9120230114</v>
      </c>
      <c r="AG123" s="19">
        <f ca="1" t="shared" si="82"/>
        <v>37474.6971586775</v>
      </c>
      <c r="AH123" s="19">
        <f ca="1" t="shared" si="83"/>
        <v>51971.7149264096</v>
      </c>
      <c r="AI123" s="19">
        <f ca="1" t="shared" si="84"/>
        <v>49905.8408833574</v>
      </c>
      <c r="AJ123" s="19">
        <f ca="1" t="shared" si="85"/>
        <v>70664.4352124549</v>
      </c>
      <c r="AK123" s="19">
        <f ca="1">AF123*$B$4</f>
        <v>16956.9560115057</v>
      </c>
      <c r="AL123" s="19">
        <f ca="1">AG123*$B$4</f>
        <v>18737.3485793387</v>
      </c>
      <c r="AM123" s="19">
        <f ca="1">AH123*$B$4</f>
        <v>25985.8574632048</v>
      </c>
      <c r="AN123" s="19">
        <f ca="1">AI123*$B$4</f>
        <v>24952.9204416787</v>
      </c>
      <c r="AO123" s="19">
        <f ca="1">AJ123*$B$4</f>
        <v>35332.2176062274</v>
      </c>
      <c r="AP123" s="19">
        <f ca="1" t="shared" si="86"/>
        <v>16956.9560115057</v>
      </c>
      <c r="AQ123" s="19">
        <f ca="1" t="shared" si="87"/>
        <v>18737.3485793387</v>
      </c>
      <c r="AR123" s="19">
        <f ca="1" t="shared" si="88"/>
        <v>25985.8574632048</v>
      </c>
      <c r="AS123" s="19">
        <f ca="1" t="shared" si="89"/>
        <v>24952.9204416787</v>
      </c>
      <c r="AT123" s="19">
        <f ca="1" t="shared" si="90"/>
        <v>35332.2176062274</v>
      </c>
      <c r="AU123" s="19">
        <f ca="1" t="shared" si="91"/>
        <v>44214.5104123596</v>
      </c>
      <c r="AV123" s="19">
        <f ca="1" t="shared" si="92"/>
        <v>-96027.3932177377</v>
      </c>
      <c r="AW123" s="19">
        <f ca="1" t="shared" si="93"/>
        <v>29910.1767128502</v>
      </c>
      <c r="AX123" s="19">
        <f ca="1" t="shared" si="94"/>
        <v>31690.5692806833</v>
      </c>
      <c r="AY123" s="19">
        <f ca="1" t="shared" si="95"/>
        <v>38939.0781645493</v>
      </c>
      <c r="AZ123" s="19">
        <f ca="1" t="shared" si="96"/>
        <v>37906.1411430232</v>
      </c>
      <c r="BA123" s="19">
        <f ca="1" t="shared" si="97"/>
        <v>92499.9487199315</v>
      </c>
      <c r="BB123" s="20">
        <f ca="1" t="shared" si="98"/>
        <v>0.307421615148358</v>
      </c>
      <c r="BC123" s="19">
        <f ca="1">NPV($B$5,AW123:BA123)+AV123</f>
        <v>47208.9370877981</v>
      </c>
    </row>
    <row r="124" spans="1:55">
      <c r="A124" s="3">
        <v>100</v>
      </c>
      <c r="B124" s="11">
        <f ca="1" t="shared" si="51"/>
        <v>0.391019615035947</v>
      </c>
      <c r="C124" s="19">
        <f ca="1" t="shared" si="52"/>
        <v>-78338.4317732271</v>
      </c>
      <c r="D124" s="11">
        <f ca="1" t="shared" si="53"/>
        <v>0.533500860760201</v>
      </c>
      <c r="E124" s="19">
        <f ca="1" t="shared" si="54"/>
        <v>-31054.3234401176</v>
      </c>
      <c r="F124" s="11">
        <f ca="1" t="shared" si="55"/>
        <v>0.700336391260578</v>
      </c>
      <c r="G124" s="19">
        <f ca="1" t="shared" si="56"/>
        <v>40259.2436620876</v>
      </c>
      <c r="H124" s="11">
        <f ca="1" t="shared" si="57"/>
        <v>0.094108034294152</v>
      </c>
      <c r="I124" s="19">
        <f ca="1" t="shared" si="58"/>
        <v>33757.1538621838</v>
      </c>
      <c r="J124" s="11">
        <f ca="1" t="shared" si="59"/>
        <v>0.0139066370653917</v>
      </c>
      <c r="K124" s="19">
        <f ca="1" t="shared" si="60"/>
        <v>31444.2976008457</v>
      </c>
      <c r="L124" s="11">
        <f ca="1" t="shared" si="61"/>
        <v>0.437542055241324</v>
      </c>
      <c r="M124" s="19">
        <f ca="1" t="shared" si="62"/>
        <v>38101.3152195306</v>
      </c>
      <c r="N124" s="11">
        <f ca="1" t="shared" si="63"/>
        <v>0.996731083041282</v>
      </c>
      <c r="O124" s="19">
        <f ca="1" t="shared" si="64"/>
        <v>44504.8547971515</v>
      </c>
      <c r="P124" s="11">
        <f ca="1" t="shared" si="65"/>
        <v>0.523322931395671</v>
      </c>
      <c r="Q124" s="12">
        <f ca="1" t="shared" si="66"/>
        <v>15.0708043365323</v>
      </c>
      <c r="R124" s="11">
        <f ca="1" t="shared" si="67"/>
        <v>0.587155164465418</v>
      </c>
      <c r="S124" s="12">
        <f ca="1" t="shared" si="68"/>
        <v>15.2739759649588</v>
      </c>
      <c r="T124" s="11">
        <f ca="1" t="shared" si="69"/>
        <v>0.720445776184471</v>
      </c>
      <c r="U124" s="12">
        <f ca="1" t="shared" si="70"/>
        <v>19.2022297687561</v>
      </c>
      <c r="V124" s="11">
        <f ca="1" t="shared" si="71"/>
        <v>0.237792001015513</v>
      </c>
      <c r="W124" s="12">
        <f ca="1" t="shared" si="72"/>
        <v>19.8245788594131</v>
      </c>
      <c r="X124" s="11">
        <f ca="1" t="shared" si="73"/>
        <v>0.883147424474204</v>
      </c>
      <c r="Y124" s="12">
        <f ca="1" t="shared" si="74"/>
        <v>25.4880208841646</v>
      </c>
      <c r="Z124" s="19">
        <f ca="1" t="shared" si="75"/>
        <v>46326.6355017686</v>
      </c>
      <c r="AA124" s="19">
        <f ca="1" t="shared" si="76"/>
        <v>44777.7476865723</v>
      </c>
      <c r="AB124" s="19">
        <f ca="1" t="shared" si="77"/>
        <v>49719.0359262252</v>
      </c>
      <c r="AC124" s="19">
        <f ca="1" t="shared" si="78"/>
        <v>72188.2775700946</v>
      </c>
      <c r="AD124" s="19">
        <f ca="1" t="shared" si="79"/>
        <v>105812.352630445</v>
      </c>
      <c r="AE124" s="19">
        <f ca="1" t="shared" si="80"/>
        <v>15667.6863546454</v>
      </c>
      <c r="AF124" s="19">
        <f ca="1" t="shared" si="81"/>
        <v>30658.9491471232</v>
      </c>
      <c r="AG124" s="19">
        <f ca="1" t="shared" si="82"/>
        <v>29110.0613319269</v>
      </c>
      <c r="AH124" s="19">
        <f ca="1" t="shared" si="83"/>
        <v>34051.3495715798</v>
      </c>
      <c r="AI124" s="19">
        <f ca="1" t="shared" si="84"/>
        <v>56520.5912154492</v>
      </c>
      <c r="AJ124" s="19">
        <f ca="1" t="shared" si="85"/>
        <v>90144.6662757992</v>
      </c>
      <c r="AK124" s="19">
        <f ca="1">AF124*$B$4</f>
        <v>15329.4745735616</v>
      </c>
      <c r="AL124" s="19">
        <f ca="1">AG124*$B$4</f>
        <v>14555.0306659634</v>
      </c>
      <c r="AM124" s="19">
        <f ca="1">AH124*$B$4</f>
        <v>17025.6747857899</v>
      </c>
      <c r="AN124" s="19">
        <f ca="1">AI124*$B$4</f>
        <v>28260.2956077246</v>
      </c>
      <c r="AO124" s="19">
        <f ca="1">AJ124*$B$4</f>
        <v>45072.3331378996</v>
      </c>
      <c r="AP124" s="19">
        <f ca="1" t="shared" si="86"/>
        <v>15329.4745735616</v>
      </c>
      <c r="AQ124" s="19">
        <f ca="1" t="shared" si="87"/>
        <v>14555.0306659634</v>
      </c>
      <c r="AR124" s="19">
        <f ca="1" t="shared" si="88"/>
        <v>17025.6747857899</v>
      </c>
      <c r="AS124" s="19">
        <f ca="1" t="shared" si="89"/>
        <v>28260.2956077246</v>
      </c>
      <c r="AT124" s="19">
        <f ca="1" t="shared" si="90"/>
        <v>45072.3331378996</v>
      </c>
      <c r="AU124" s="19">
        <f ca="1" t="shared" si="91"/>
        <v>46722.009794763</v>
      </c>
      <c r="AV124" s="19">
        <f ca="1" t="shared" si="92"/>
        <v>-109392.755213345</v>
      </c>
      <c r="AW124" s="19">
        <f ca="1" t="shared" si="93"/>
        <v>30997.160928207</v>
      </c>
      <c r="AX124" s="19">
        <f ca="1" t="shared" si="94"/>
        <v>30222.7170206089</v>
      </c>
      <c r="AY124" s="19">
        <f ca="1" t="shared" si="95"/>
        <v>32693.3611404353</v>
      </c>
      <c r="AZ124" s="19">
        <f ca="1" t="shared" si="96"/>
        <v>43927.98196237</v>
      </c>
      <c r="BA124" s="19">
        <f ca="1" t="shared" si="97"/>
        <v>107462.029287308</v>
      </c>
      <c r="BB124" s="20">
        <f ca="1" t="shared" si="98"/>
        <v>0.266753617740868</v>
      </c>
      <c r="BC124" s="19">
        <f ca="1">NPV($B$5,AW124:BA124)+AV124</f>
        <v>40454.0166428688</v>
      </c>
    </row>
    <row r="126" spans="1:1">
      <c r="A126" s="2" t="s">
        <v>91</v>
      </c>
    </row>
    <row r="127" spans="1:2">
      <c r="A127" s="16" t="s">
        <v>92</v>
      </c>
      <c r="B127" s="21">
        <f>$B$8</f>
        <v>100</v>
      </c>
    </row>
    <row r="128" spans="1:2">
      <c r="A128" s="16" t="s">
        <v>93</v>
      </c>
      <c r="B128" s="21">
        <f ca="1">COUNTIF(BB25:BB124,"&gt;"&amp;$B$5)</f>
        <v>100</v>
      </c>
    </row>
    <row r="129" spans="1:2">
      <c r="A129" s="16" t="s">
        <v>94</v>
      </c>
      <c r="B129" s="20">
        <f ca="1">B128/B127</f>
        <v>1</v>
      </c>
    </row>
    <row r="130" spans="1:2">
      <c r="A130" s="16" t="s">
        <v>95</v>
      </c>
      <c r="B130" s="20">
        <f ca="1">AVERAGE(BB25:BB124)</f>
        <v>0.279648660887218</v>
      </c>
    </row>
    <row r="131" spans="1:2">
      <c r="A131" s="16" t="s">
        <v>96</v>
      </c>
      <c r="B131" s="20">
        <f ca="1">STDEV(BB25:BB124)</f>
        <v>0.0265502031228514</v>
      </c>
    </row>
    <row r="132" spans="1:2">
      <c r="A132" s="16" t="s">
        <v>97</v>
      </c>
      <c r="B132" s="20">
        <f ca="1">MIN(BB25:BB124)</f>
        <v>0.206288750845873</v>
      </c>
    </row>
    <row r="133" spans="1:2">
      <c r="A133" s="16" t="s">
        <v>98</v>
      </c>
      <c r="B133" s="20">
        <f ca="1">MAX(BB25:BB124)</f>
        <v>0.334888970811778</v>
      </c>
    </row>
    <row r="134" spans="1:2">
      <c r="A134" s="16" t="s">
        <v>6</v>
      </c>
      <c r="B134" s="16" t="str">
        <f ca="1">IF(B129&gt;=$B$6,"ACEPTAR el proyecto","RECHAZAR el proyecto")</f>
        <v>ACEPTAR el proyecto</v>
      </c>
    </row>
    <row r="136" spans="1:1">
      <c r="A136" s="2" t="s">
        <v>99</v>
      </c>
    </row>
    <row r="137" spans="1:3">
      <c r="A137" s="6" t="s">
        <v>100</v>
      </c>
      <c r="B137" s="6" t="s">
        <v>101</v>
      </c>
      <c r="C137" s="6" t="s">
        <v>102</v>
      </c>
    </row>
    <row r="138" spans="1:3">
      <c r="A138" s="22">
        <v>-0.3</v>
      </c>
      <c r="B138" s="22">
        <v>-0.2</v>
      </c>
      <c r="C138" s="3">
        <f ca="1">COUNTIFS(BB25:BB124,"&gt;="&amp;A138,BB25:BB124,"&lt;"&amp;B138)</f>
        <v>0</v>
      </c>
    </row>
    <row r="139" spans="1:3">
      <c r="A139" s="22">
        <v>-0.2</v>
      </c>
      <c r="B139" s="22">
        <v>-0.1</v>
      </c>
      <c r="C139" s="3">
        <f ca="1">COUNTIFS(BB25:BB124,"&gt;="&amp;A139,BB25:BB124,"&lt;"&amp;B139)</f>
        <v>0</v>
      </c>
    </row>
    <row r="140" spans="1:3">
      <c r="A140" s="22">
        <v>-0.1</v>
      </c>
      <c r="B140" s="22">
        <v>0</v>
      </c>
      <c r="C140" s="3">
        <f ca="1">COUNTIFS(BB25:BB124,"&gt;="&amp;A140,BB25:BB124,"&lt;"&amp;B140)</f>
        <v>0</v>
      </c>
    </row>
    <row r="141" spans="1:3">
      <c r="A141" s="22">
        <v>0</v>
      </c>
      <c r="B141" s="22">
        <v>0.1</v>
      </c>
      <c r="C141" s="3">
        <f ca="1">COUNTIFS(BB25:BB124,"&gt;="&amp;A141,BB25:BB124,"&lt;"&amp;B141)</f>
        <v>0</v>
      </c>
    </row>
    <row r="142" spans="1:3">
      <c r="A142" s="22">
        <v>0.1</v>
      </c>
      <c r="B142" s="22">
        <v>0.2</v>
      </c>
      <c r="C142" s="3">
        <f ca="1">COUNTIFS(BB25:BB124,"&gt;="&amp;A142,BB25:BB124,"&lt;"&amp;B142)</f>
        <v>0</v>
      </c>
    </row>
    <row r="143" spans="1:3">
      <c r="A143" s="22">
        <v>0.2</v>
      </c>
      <c r="B143" s="22">
        <v>0.3</v>
      </c>
      <c r="C143" s="3">
        <f ca="1">COUNTIFS(BB25:BB124,"&gt;="&amp;A143,BB25:BB124,"&lt;"&amp;B143)</f>
        <v>76</v>
      </c>
    </row>
    <row r="144" spans="1:3">
      <c r="A144" s="22">
        <v>0.3</v>
      </c>
      <c r="B144" s="22">
        <v>0.4</v>
      </c>
      <c r="C144" s="3">
        <f ca="1">COUNTIFS(BB25:BB124,"&gt;="&amp;A144,BB25:BB124,"&lt;"&amp;B144)</f>
        <v>24</v>
      </c>
    </row>
    <row r="145" spans="1:3">
      <c r="A145" s="22">
        <v>0.4</v>
      </c>
      <c r="B145" s="22">
        <v>0.5</v>
      </c>
      <c r="C145" s="3">
        <f ca="1">COUNTIFS(BB25:BB124,"&gt;="&amp;A145,BB25:BB124,"&lt;"&amp;B145)</f>
        <v>0</v>
      </c>
    </row>
    <row r="146" spans="1:3">
      <c r="A146" s="22">
        <v>0.5</v>
      </c>
      <c r="B146" s="22">
        <v>0.6</v>
      </c>
      <c r="C146" s="3">
        <f ca="1">COUNTIFS(BB25:BB124,"&gt;="&amp;A146,BB25:BB124,"&lt;"&amp;B146)</f>
        <v>0</v>
      </c>
    </row>
    <row r="147" spans="1:3">
      <c r="A147" s="22">
        <v>0.6</v>
      </c>
      <c r="B147" s="22">
        <v>0.7</v>
      </c>
      <c r="C147" s="3">
        <f ca="1">COUNTIFS(BB25:BB124,"&gt;="&amp;A147,BB25:BB124,"&lt;"&amp;B147)</f>
        <v>0</v>
      </c>
    </row>
    <row r="148" spans="1:3">
      <c r="A148" s="22">
        <v>0.7</v>
      </c>
      <c r="B148" s="22">
        <v>0.8</v>
      </c>
      <c r="C148" s="3">
        <f ca="1">COUNTIFS(BB25:BB124,"&gt;="&amp;A148,BB25:BB124,"&lt;"&amp;B148)</f>
        <v>0</v>
      </c>
    </row>
    <row r="149" spans="1:3">
      <c r="A149" s="22">
        <v>0.8</v>
      </c>
      <c r="B149" s="22">
        <v>0.9</v>
      </c>
      <c r="C149" s="3">
        <f ca="1">COUNTIFS(BB25:BB124,"&gt;="&amp;A149,BB25:BB124,"&lt;"&amp;B149)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02"/>
  <sheetViews>
    <sheetView showGridLines="0" tabSelected="1" workbookViewId="0">
      <pane xSplit="1" ySplit="30" topLeftCell="B31" activePane="bottomRight" state="frozen"/>
      <selection/>
      <selection pane="topRight"/>
      <selection pane="bottomLeft"/>
      <selection pane="bottomRight" activeCell="A1" sqref="A1"/>
    </sheetView>
  </sheetViews>
  <sheetFormatPr defaultColWidth="8.68032786885246" defaultRowHeight="13.55"/>
  <cols>
    <col min="1" max="1" width="30" customWidth="1"/>
    <col min="2" max="67" width="10" customWidth="1"/>
  </cols>
  <sheetData>
    <row r="1" ht="17.65" spans="1:1">
      <c r="A1" s="1" t="s">
        <v>103</v>
      </c>
    </row>
    <row r="3" spans="1:1">
      <c r="A3" s="2" t="s">
        <v>12</v>
      </c>
    </row>
    <row r="4" spans="1:2">
      <c r="A4" s="3" t="s">
        <v>104</v>
      </c>
      <c r="B4" s="4">
        <v>100000</v>
      </c>
    </row>
    <row r="5" spans="1:2">
      <c r="A5" s="3" t="s">
        <v>105</v>
      </c>
      <c r="B5" s="4">
        <v>100</v>
      </c>
    </row>
    <row r="6" spans="1:2">
      <c r="A6" s="3" t="s">
        <v>106</v>
      </c>
      <c r="B6" s="5">
        <v>250</v>
      </c>
    </row>
    <row r="7" spans="1:2">
      <c r="A7" s="3" t="s">
        <v>107</v>
      </c>
      <c r="B7" s="5">
        <v>30</v>
      </c>
    </row>
    <row r="8" spans="1:2">
      <c r="A8" s="3" t="s">
        <v>108</v>
      </c>
      <c r="B8" s="5">
        <v>16</v>
      </c>
    </row>
    <row r="10" spans="1:1">
      <c r="A10" s="2" t="s">
        <v>109</v>
      </c>
    </row>
    <row r="11" spans="1:5">
      <c r="A11" s="6" t="s">
        <v>110</v>
      </c>
      <c r="B11" s="6" t="s">
        <v>111</v>
      </c>
      <c r="C11" s="6" t="s">
        <v>112</v>
      </c>
      <c r="D11" s="6" t="s">
        <v>113</v>
      </c>
      <c r="E11" s="6" t="s">
        <v>114</v>
      </c>
    </row>
    <row r="12" spans="1:5">
      <c r="A12" s="7">
        <v>50</v>
      </c>
      <c r="B12" s="7">
        <v>55</v>
      </c>
      <c r="C12" s="8">
        <v>0.1</v>
      </c>
      <c r="D12" s="3">
        <f t="shared" ref="D12:D17" si="0">B12-A12</f>
        <v>5</v>
      </c>
      <c r="E12" s="3">
        <v>0</v>
      </c>
    </row>
    <row r="13" spans="1:5">
      <c r="A13" s="7">
        <v>55</v>
      </c>
      <c r="B13" s="7">
        <v>60</v>
      </c>
      <c r="C13" s="8">
        <v>0.15</v>
      </c>
      <c r="D13" s="3">
        <f t="shared" si="0"/>
        <v>5</v>
      </c>
      <c r="E13" s="13">
        <f>E12+C12</f>
        <v>0.1</v>
      </c>
    </row>
    <row r="14" spans="1:5">
      <c r="A14" s="7">
        <v>60</v>
      </c>
      <c r="B14" s="7">
        <v>65</v>
      </c>
      <c r="C14" s="8">
        <v>0.3</v>
      </c>
      <c r="D14" s="3">
        <f t="shared" si="0"/>
        <v>5</v>
      </c>
      <c r="E14" s="13">
        <f>E13+C13</f>
        <v>0.25</v>
      </c>
    </row>
    <row r="15" spans="1:5">
      <c r="A15" s="7">
        <v>65</v>
      </c>
      <c r="B15" s="7">
        <v>70</v>
      </c>
      <c r="C15" s="8">
        <v>0.35</v>
      </c>
      <c r="D15" s="3">
        <f t="shared" si="0"/>
        <v>5</v>
      </c>
      <c r="E15" s="13">
        <f>E14+C14</f>
        <v>0.55</v>
      </c>
    </row>
    <row r="16" spans="1:5">
      <c r="A16" s="7">
        <v>75</v>
      </c>
      <c r="B16" s="7">
        <v>80</v>
      </c>
      <c r="C16" s="8">
        <v>0.08</v>
      </c>
      <c r="D16" s="3">
        <f t="shared" si="0"/>
        <v>5</v>
      </c>
      <c r="E16" s="13">
        <f>E15+C15</f>
        <v>0.9</v>
      </c>
    </row>
    <row r="17" spans="1:5">
      <c r="A17" s="7">
        <v>80</v>
      </c>
      <c r="B17" s="7">
        <v>85</v>
      </c>
      <c r="C17" s="8">
        <v>0.02</v>
      </c>
      <c r="D17" s="3">
        <f t="shared" si="0"/>
        <v>5</v>
      </c>
      <c r="E17" s="13">
        <f>E16+C16</f>
        <v>0.98</v>
      </c>
    </row>
    <row r="19" spans="1:1">
      <c r="A19" s="9" t="s">
        <v>115</v>
      </c>
    </row>
    <row r="21" spans="1:1">
      <c r="A21" s="2" t="s">
        <v>116</v>
      </c>
    </row>
    <row r="22" spans="1:5">
      <c r="A22" s="6" t="s">
        <v>110</v>
      </c>
      <c r="B22" s="6" t="s">
        <v>111</v>
      </c>
      <c r="C22" s="6" t="s">
        <v>112</v>
      </c>
      <c r="D22" s="6" t="s">
        <v>113</v>
      </c>
      <c r="E22" s="6" t="s">
        <v>114</v>
      </c>
    </row>
    <row r="23" spans="1:5">
      <c r="A23" s="7">
        <v>4</v>
      </c>
      <c r="B23" s="7">
        <v>4.5</v>
      </c>
      <c r="C23" s="8">
        <v>0.3</v>
      </c>
      <c r="D23" s="3">
        <f>B23-A23</f>
        <v>0.5</v>
      </c>
      <c r="E23" s="3">
        <v>0</v>
      </c>
    </row>
    <row r="24" spans="1:5">
      <c r="A24" s="7">
        <v>4.5</v>
      </c>
      <c r="B24" s="7">
        <v>5</v>
      </c>
      <c r="C24" s="8">
        <v>0.4</v>
      </c>
      <c r="D24" s="3">
        <f>B24-A24</f>
        <v>0.5</v>
      </c>
      <c r="E24" s="13">
        <f>E23+C23</f>
        <v>0.3</v>
      </c>
    </row>
    <row r="25" spans="1:5">
      <c r="A25" s="7">
        <v>5</v>
      </c>
      <c r="B25" s="7">
        <v>5.5</v>
      </c>
      <c r="C25" s="8">
        <v>0.2</v>
      </c>
      <c r="D25" s="3">
        <f>B25-A25</f>
        <v>0.5</v>
      </c>
      <c r="E25" s="13">
        <f>E24+C24</f>
        <v>0.7</v>
      </c>
    </row>
    <row r="26" spans="1:5">
      <c r="A26" s="7">
        <v>5.5</v>
      </c>
      <c r="B26" s="7">
        <v>6</v>
      </c>
      <c r="C26" s="8">
        <v>0.1</v>
      </c>
      <c r="D26" s="3">
        <f>B26-A26</f>
        <v>0.5</v>
      </c>
      <c r="E26" s="13">
        <f>E25+C25</f>
        <v>0.9</v>
      </c>
    </row>
    <row r="29" spans="1:1">
      <c r="A29" s="2" t="s">
        <v>117</v>
      </c>
    </row>
    <row r="30" ht="27.15" spans="1:67">
      <c r="A30" s="10" t="s">
        <v>118</v>
      </c>
      <c r="B30" s="10" t="s">
        <v>119</v>
      </c>
      <c r="C30" s="10" t="s">
        <v>120</v>
      </c>
      <c r="D30" s="10" t="s">
        <v>121</v>
      </c>
      <c r="E30" s="10" t="s">
        <v>122</v>
      </c>
      <c r="F30" s="10" t="s">
        <v>123</v>
      </c>
      <c r="G30" s="10" t="s">
        <v>124</v>
      </c>
      <c r="H30" s="10" t="s">
        <v>125</v>
      </c>
      <c r="I30" s="10" t="s">
        <v>126</v>
      </c>
      <c r="J30" s="10" t="s">
        <v>127</v>
      </c>
      <c r="K30" s="10" t="s">
        <v>128</v>
      </c>
      <c r="L30" s="10" t="s">
        <v>129</v>
      </c>
      <c r="M30" s="10" t="s">
        <v>130</v>
      </c>
      <c r="N30" s="10" t="s">
        <v>131</v>
      </c>
      <c r="O30" s="10" t="s">
        <v>132</v>
      </c>
      <c r="P30" s="10" t="s">
        <v>133</v>
      </c>
      <c r="Q30" s="10" t="s">
        <v>134</v>
      </c>
      <c r="R30" s="10" t="s">
        <v>135</v>
      </c>
      <c r="S30" s="10" t="s">
        <v>136</v>
      </c>
      <c r="T30" s="10" t="s">
        <v>137</v>
      </c>
      <c r="U30" s="10" t="s">
        <v>138</v>
      </c>
      <c r="V30" s="10" t="s">
        <v>139</v>
      </c>
      <c r="W30" s="10" t="s">
        <v>140</v>
      </c>
      <c r="X30" s="10" t="s">
        <v>141</v>
      </c>
      <c r="Y30" s="10" t="s">
        <v>142</v>
      </c>
      <c r="Z30" s="10" t="s">
        <v>143</v>
      </c>
      <c r="AA30" s="10" t="s">
        <v>144</v>
      </c>
      <c r="AB30" s="10" t="s">
        <v>145</v>
      </c>
      <c r="AC30" s="10" t="s">
        <v>146</v>
      </c>
      <c r="AD30" s="10" t="s">
        <v>147</v>
      </c>
      <c r="AE30" s="10" t="s">
        <v>148</v>
      </c>
      <c r="AF30" s="10" t="s">
        <v>149</v>
      </c>
      <c r="AG30" s="10" t="s">
        <v>150</v>
      </c>
      <c r="AH30" s="10" t="s">
        <v>151</v>
      </c>
      <c r="AI30" s="10" t="s">
        <v>152</v>
      </c>
      <c r="AJ30" s="10" t="s">
        <v>153</v>
      </c>
      <c r="AK30" s="10" t="s">
        <v>154</v>
      </c>
      <c r="AL30" s="10" t="s">
        <v>155</v>
      </c>
      <c r="AM30" s="10" t="s">
        <v>156</v>
      </c>
      <c r="AN30" s="10" t="s">
        <v>157</v>
      </c>
      <c r="AO30" s="10" t="s">
        <v>158</v>
      </c>
      <c r="AP30" s="10" t="s">
        <v>159</v>
      </c>
      <c r="AQ30" s="10" t="s">
        <v>160</v>
      </c>
      <c r="AR30" s="10" t="s">
        <v>161</v>
      </c>
      <c r="AS30" s="10" t="s">
        <v>162</v>
      </c>
      <c r="AT30" s="10" t="s">
        <v>163</v>
      </c>
      <c r="AU30" s="10" t="s">
        <v>164</v>
      </c>
      <c r="AV30" s="10" t="s">
        <v>165</v>
      </c>
      <c r="AW30" s="10" t="s">
        <v>166</v>
      </c>
      <c r="AX30" s="10" t="s">
        <v>167</v>
      </c>
      <c r="AY30" s="10" t="s">
        <v>168</v>
      </c>
      <c r="AZ30" s="10" t="s">
        <v>169</v>
      </c>
      <c r="BA30" s="10" t="s">
        <v>170</v>
      </c>
      <c r="BB30" s="10" t="s">
        <v>171</v>
      </c>
      <c r="BC30" s="10" t="s">
        <v>172</v>
      </c>
      <c r="BD30" s="10" t="s">
        <v>173</v>
      </c>
      <c r="BE30" s="10" t="s">
        <v>174</v>
      </c>
      <c r="BF30" s="10" t="s">
        <v>175</v>
      </c>
      <c r="BG30" s="10" t="s">
        <v>176</v>
      </c>
      <c r="BH30" s="10" t="s">
        <v>177</v>
      </c>
      <c r="BI30" s="10" t="s">
        <v>178</v>
      </c>
      <c r="BJ30" s="10" t="s">
        <v>179</v>
      </c>
      <c r="BK30" s="10" t="s">
        <v>180</v>
      </c>
      <c r="BL30" s="10" t="s">
        <v>181</v>
      </c>
      <c r="BM30" s="10" t="s">
        <v>182</v>
      </c>
      <c r="BN30" s="10" t="s">
        <v>183</v>
      </c>
      <c r="BO30" s="10" t="s">
        <v>184</v>
      </c>
    </row>
    <row r="31" spans="1:67">
      <c r="A31" s="3">
        <v>1</v>
      </c>
      <c r="B31" s="11">
        <f ca="1" t="shared" ref="B31:B94" si="1">RAND()</f>
        <v>0.609153743004134</v>
      </c>
      <c r="C31" s="12">
        <f ca="1" t="shared" ref="C31:C94" si="2">LOOKUP(B31,$E$12:$E$17,$A$12:$A$17)+LOOKUP(B31,$E$12:$E$17,$D$12:$D$17)*(B31-LOOKUP(B31,$E$12:$E$17))/LOOKUP(B31,$E$12:$E$17,$C$12:$C$17)</f>
        <v>65.8450534714876</v>
      </c>
      <c r="D31" s="11">
        <f ca="1" t="shared" ref="D31:S31" si="3">RAND()</f>
        <v>0.319889828557115</v>
      </c>
      <c r="E31" s="11">
        <f ca="1" t="shared" si="3"/>
        <v>0.509119340355748</v>
      </c>
      <c r="F31" s="11">
        <f ca="1" t="shared" si="3"/>
        <v>0.171286158297278</v>
      </c>
      <c r="G31" s="11">
        <f ca="1" t="shared" si="3"/>
        <v>0.994831890871181</v>
      </c>
      <c r="H31" s="11">
        <f ca="1" t="shared" si="3"/>
        <v>0.730951297966235</v>
      </c>
      <c r="I31" s="11">
        <f ca="1" t="shared" si="3"/>
        <v>0.319895900614773</v>
      </c>
      <c r="J31" s="11">
        <f ca="1" t="shared" si="3"/>
        <v>0.728998810171942</v>
      </c>
      <c r="K31" s="11">
        <f ca="1" t="shared" si="3"/>
        <v>0.666082509739285</v>
      </c>
      <c r="L31" s="11">
        <f ca="1" t="shared" si="3"/>
        <v>0.576660275157304</v>
      </c>
      <c r="M31" s="11">
        <f ca="1" t="shared" si="3"/>
        <v>0.660940182338943</v>
      </c>
      <c r="N31" s="11">
        <f ca="1" t="shared" si="3"/>
        <v>0.0698095354322066</v>
      </c>
      <c r="O31" s="11">
        <f ca="1" t="shared" si="3"/>
        <v>0.991334548205218</v>
      </c>
      <c r="P31" s="11">
        <f ca="1" t="shared" si="3"/>
        <v>0.851515176850637</v>
      </c>
      <c r="Q31" s="11">
        <f ca="1" t="shared" si="3"/>
        <v>0.386606713660387</v>
      </c>
      <c r="R31" s="11">
        <f ca="1" t="shared" si="3"/>
        <v>0.680646821586423</v>
      </c>
      <c r="S31" s="11">
        <f ca="1" t="shared" si="3"/>
        <v>0.852984239223149</v>
      </c>
      <c r="T31" s="12">
        <f ca="1" t="shared" ref="T31:T94" si="4">LOOKUP(D31,$E$23:$E$26,$A$23:$A$26)+LOOKUP(D31,$E$23:$E$26,$D$23:$D$26)*(D31-LOOKUP(D31,$E$23:$E$26))/LOOKUP(D31,$E$23:$E$26,$C$23:$C$26)</f>
        <v>4.52486228569639</v>
      </c>
      <c r="U31" s="12">
        <f ca="1" t="shared" ref="U31:U94" si="5">LOOKUP(E31,$E$23:$E$26,$A$23:$A$26)+LOOKUP(E31,$E$23:$E$26,$D$23:$D$26)*(E31-LOOKUP(E31,$E$23:$E$26))/LOOKUP(E31,$E$23:$E$26,$C$23:$C$26)</f>
        <v>4.76139917544468</v>
      </c>
      <c r="V31" s="12">
        <f ca="1" t="shared" ref="V31:V94" si="6">LOOKUP(F31,$E$23:$E$26,$A$23:$A$26)+LOOKUP(F31,$E$23:$E$26,$D$23:$D$26)*(F31-LOOKUP(F31,$E$23:$E$26))/LOOKUP(F31,$E$23:$E$26,$C$23:$C$26)</f>
        <v>4.28547693049546</v>
      </c>
      <c r="W31" s="12">
        <f ca="1" t="shared" ref="W31:W94" si="7">LOOKUP(G31,$E$23:$E$26,$A$23:$A$26)+LOOKUP(G31,$E$23:$E$26,$D$23:$D$26)*(G31-LOOKUP(G31,$E$23:$E$26))/LOOKUP(G31,$E$23:$E$26,$C$23:$C$26)</f>
        <v>5.9741594543559</v>
      </c>
      <c r="X31" s="12">
        <f ca="1" t="shared" ref="X31:X94" si="8">LOOKUP(H31,$E$23:$E$26,$A$23:$A$26)+LOOKUP(H31,$E$23:$E$26,$D$23:$D$26)*(H31-LOOKUP(H31,$E$23:$E$26))/LOOKUP(H31,$E$23:$E$26,$C$23:$C$26)</f>
        <v>5.07737824491559</v>
      </c>
      <c r="Y31" s="12">
        <f ca="1" t="shared" ref="Y31:Y94" si="9">LOOKUP(I31,$E$23:$E$26,$A$23:$A$26)+LOOKUP(I31,$E$23:$E$26,$D$23:$D$26)*(I31-LOOKUP(I31,$E$23:$E$26))/LOOKUP(I31,$E$23:$E$26,$C$23:$C$26)</f>
        <v>4.52486987576847</v>
      </c>
      <c r="Z31" s="12">
        <f ca="1" t="shared" ref="Z31:Z94" si="10">LOOKUP(J31,$E$23:$E$26,$A$23:$A$26)+LOOKUP(J31,$E$23:$E$26,$D$23:$D$26)*(J31-LOOKUP(J31,$E$23:$E$26))/LOOKUP(J31,$E$23:$E$26,$C$23:$C$26)</f>
        <v>5.07249702542985</v>
      </c>
      <c r="AA31" s="12">
        <f ca="1" t="shared" ref="AA31:AA94" si="11">LOOKUP(K31,$E$23:$E$26,$A$23:$A$26)+LOOKUP(K31,$E$23:$E$26,$D$23:$D$26)*(K31-LOOKUP(K31,$E$23:$E$26))/LOOKUP(K31,$E$23:$E$26,$C$23:$C$26)</f>
        <v>4.95760313717411</v>
      </c>
      <c r="AB31" s="12">
        <f ca="1" t="shared" ref="AB31:AB94" si="12">LOOKUP(L31,$E$23:$E$26,$A$23:$A$26)+LOOKUP(L31,$E$23:$E$26,$D$23:$D$26)*(L31-LOOKUP(L31,$E$23:$E$26))/LOOKUP(L31,$E$23:$E$26,$C$23:$C$26)</f>
        <v>4.84582534394663</v>
      </c>
      <c r="AC31" s="12">
        <f ca="1" t="shared" ref="AC31:AC94" si="13">LOOKUP(M31,$E$23:$E$26,$A$23:$A$26)+LOOKUP(M31,$E$23:$E$26,$D$23:$D$26)*(M31-LOOKUP(M31,$E$23:$E$26))/LOOKUP(M31,$E$23:$E$26,$C$23:$C$26)</f>
        <v>4.95117522792368</v>
      </c>
      <c r="AD31" s="12">
        <f ca="1" t="shared" ref="AD31:AD94" si="14">LOOKUP(N31,$E$23:$E$26,$A$23:$A$26)+LOOKUP(N31,$E$23:$E$26,$D$23:$D$26)*(N31-LOOKUP(N31,$E$23:$E$26))/LOOKUP(N31,$E$23:$E$26,$C$23:$C$26)</f>
        <v>4.11634922572034</v>
      </c>
      <c r="AE31" s="12">
        <f ca="1" t="shared" ref="AE31:AE94" si="15">LOOKUP(O31,$E$23:$E$26,$A$23:$A$26)+LOOKUP(O31,$E$23:$E$26,$D$23:$D$26)*(O31-LOOKUP(O31,$E$23:$E$26))/LOOKUP(O31,$E$23:$E$26,$C$23:$C$26)</f>
        <v>5.95667274102609</v>
      </c>
      <c r="AF31" s="12">
        <f ca="1" t="shared" ref="AF31:AF94" si="16">LOOKUP(P31,$E$23:$E$26,$A$23:$A$26)+LOOKUP(P31,$E$23:$E$26,$D$23:$D$26)*(P31-LOOKUP(P31,$E$23:$E$26))/LOOKUP(P31,$E$23:$E$26,$C$23:$C$26)</f>
        <v>5.37878794212659</v>
      </c>
      <c r="AG31" s="12">
        <f ca="1" t="shared" ref="AG31:AG94" si="17">LOOKUP(Q31,$E$23:$E$26,$A$23:$A$26)+LOOKUP(Q31,$E$23:$E$26,$D$23:$D$26)*(Q31-LOOKUP(Q31,$E$23:$E$26))/LOOKUP(Q31,$E$23:$E$26,$C$23:$C$26)</f>
        <v>4.60825839207548</v>
      </c>
      <c r="AH31" s="12">
        <f ca="1" t="shared" ref="AH31:AH94" si="18">LOOKUP(R31,$E$23:$E$26,$A$23:$A$26)+LOOKUP(R31,$E$23:$E$26,$D$23:$D$26)*(R31-LOOKUP(R31,$E$23:$E$26))/LOOKUP(R31,$E$23:$E$26,$C$23:$C$26)</f>
        <v>4.97580852698303</v>
      </c>
      <c r="AI31" s="12">
        <f ca="1" t="shared" ref="AI31:AI94" si="19">LOOKUP(S31,$E$23:$E$26,$A$23:$A$26)+LOOKUP(S31,$E$23:$E$26,$D$23:$D$26)*(S31-LOOKUP(S31,$E$23:$E$26))/LOOKUP(S31,$E$23:$E$26,$C$23:$C$26)</f>
        <v>5.38246059805787</v>
      </c>
      <c r="AJ31" s="12">
        <f ca="1">SUM($T31:T31)</f>
        <v>4.52486228569639</v>
      </c>
      <c r="AK31" s="12">
        <f ca="1">SUM($T31:U31)</f>
        <v>9.28626146114108</v>
      </c>
      <c r="AL31" s="12">
        <f ca="1">SUM($T31:V31)</f>
        <v>13.5717383916365</v>
      </c>
      <c r="AM31" s="12">
        <f ca="1">SUM($T31:W31)</f>
        <v>19.5458978459924</v>
      </c>
      <c r="AN31" s="12">
        <f ca="1">SUM($T31:X31)</f>
        <v>24.623276090908</v>
      </c>
      <c r="AO31" s="12">
        <f ca="1">SUM($T31:Y31)</f>
        <v>29.1481459666765</v>
      </c>
      <c r="AP31" s="12">
        <f ca="1">SUM($T31:Z31)</f>
        <v>34.2206429921063</v>
      </c>
      <c r="AQ31" s="12">
        <f ca="1">SUM($T31:AA31)</f>
        <v>39.1782461292805</v>
      </c>
      <c r="AR31" s="12">
        <f ca="1">SUM($T31:AB31)</f>
        <v>44.0240714732271</v>
      </c>
      <c r="AS31" s="12">
        <f ca="1">SUM($T31:AC31)</f>
        <v>48.9752467011508</v>
      </c>
      <c r="AT31" s="12">
        <f ca="1">SUM($T31:AD31)</f>
        <v>53.0915959268711</v>
      </c>
      <c r="AU31" s="12">
        <f ca="1">SUM($T31:AE31)</f>
        <v>59.0482686678972</v>
      </c>
      <c r="AV31" s="12">
        <f ca="1">SUM($T31:AF31)</f>
        <v>64.4270566100238</v>
      </c>
      <c r="AW31" s="12">
        <f ca="1">SUM($T31:AG31)</f>
        <v>69.0353150020993</v>
      </c>
      <c r="AX31" s="12">
        <f ca="1">SUM($T31:AH31)</f>
        <v>74.0111235290823</v>
      </c>
      <c r="AY31" s="12">
        <f ca="1">SUM($T31:AI31)</f>
        <v>79.3935841271402</v>
      </c>
      <c r="AZ31" s="12">
        <f ca="1" t="shared" ref="AZ31:AZ94" si="20">MAX(C31-AJ31,0)</f>
        <v>61.3201911857912</v>
      </c>
      <c r="BA31" s="12">
        <f ca="1" t="shared" ref="BA31:BA94" si="21">MAX(C31-AK31,0)</f>
        <v>56.5587920103466</v>
      </c>
      <c r="BB31" s="12">
        <f ca="1" t="shared" ref="BB31:BB94" si="22">MAX(C31-AL31,0)</f>
        <v>52.2733150798511</v>
      </c>
      <c r="BC31" s="12">
        <f ca="1" t="shared" ref="BC31:BC94" si="23">MAX(C31-AM31,0)</f>
        <v>46.2991556254952</v>
      </c>
      <c r="BD31" s="12">
        <f ca="1" t="shared" ref="BD31:BD94" si="24">MAX(C31-AN31,0)</f>
        <v>41.2217773805796</v>
      </c>
      <c r="BE31" s="12">
        <f ca="1" t="shared" ref="BE31:BE94" si="25">MAX(C31-AO31,0)</f>
        <v>36.6969075048111</v>
      </c>
      <c r="BF31" s="12">
        <f ca="1" t="shared" ref="BF31:BF94" si="26">MAX(C31-AP31,0)</f>
        <v>31.6244104793813</v>
      </c>
      <c r="BG31" s="12">
        <f ca="1" t="shared" ref="BG31:BG94" si="27">MAX(C31-AQ31,0)</f>
        <v>26.6668073422072</v>
      </c>
      <c r="BH31" s="12">
        <f ca="1" t="shared" ref="BH31:BH94" si="28">MAX(C31-AR31,0)</f>
        <v>21.8209819982605</v>
      </c>
      <c r="BI31" s="12">
        <f ca="1" t="shared" ref="BI31:BI94" si="29">MAX(C31-AS31,0)</f>
        <v>16.8698067703369</v>
      </c>
      <c r="BJ31" s="12">
        <f ca="1" t="shared" ref="BJ31:BJ94" si="30">MAX(C31-AT31,0)</f>
        <v>12.7534575446165</v>
      </c>
      <c r="BK31" s="12">
        <f ca="1" t="shared" ref="BK31:BK94" si="31">MAX(C31-AU31,0)</f>
        <v>6.79678480359044</v>
      </c>
      <c r="BL31" s="12">
        <f ca="1" t="shared" ref="BL31:BL94" si="32">MAX(C31-AV31,0)</f>
        <v>1.41799686146385</v>
      </c>
      <c r="BM31" s="12">
        <f ca="1" t="shared" ref="BM31:BM94" si="33">MAX(C31-AW31,0)</f>
        <v>0</v>
      </c>
      <c r="BN31" s="12">
        <f ca="1" t="shared" ref="BN31:BN94" si="34">MAX(C31-AX31,0)</f>
        <v>0</v>
      </c>
      <c r="BO31" s="12">
        <f ca="1" t="shared" ref="BO31:BO94" si="35">MAX(C31-AY31,0)</f>
        <v>0</v>
      </c>
    </row>
    <row r="32" spans="1:67">
      <c r="A32" s="3">
        <v>2</v>
      </c>
      <c r="B32" s="11">
        <f ca="1" t="shared" si="1"/>
        <v>0.00310776614443098</v>
      </c>
      <c r="C32" s="12">
        <f ca="1" t="shared" si="2"/>
        <v>50.1553883072215</v>
      </c>
      <c r="D32" s="11">
        <f ca="1" t="shared" ref="D32:S32" si="36">RAND()</f>
        <v>0.134552941948086</v>
      </c>
      <c r="E32" s="11">
        <f ca="1" t="shared" si="36"/>
        <v>0.564640510335461</v>
      </c>
      <c r="F32" s="11">
        <f ca="1" t="shared" si="36"/>
        <v>0.493878717160009</v>
      </c>
      <c r="G32" s="11">
        <f ca="1" t="shared" si="36"/>
        <v>0.0437915693948423</v>
      </c>
      <c r="H32" s="11">
        <f ca="1" t="shared" si="36"/>
        <v>0.866731848753856</v>
      </c>
      <c r="I32" s="11">
        <f ca="1" t="shared" si="36"/>
        <v>0.0299412507902226</v>
      </c>
      <c r="J32" s="11">
        <f ca="1" t="shared" si="36"/>
        <v>0.443646031636002</v>
      </c>
      <c r="K32" s="11">
        <f ca="1" t="shared" si="36"/>
        <v>0.807955182583127</v>
      </c>
      <c r="L32" s="11">
        <f ca="1" t="shared" si="36"/>
        <v>0.171272129741681</v>
      </c>
      <c r="M32" s="11">
        <f ca="1" t="shared" si="36"/>
        <v>0.537393799436619</v>
      </c>
      <c r="N32" s="11">
        <f ca="1" t="shared" si="36"/>
        <v>0.772693079105831</v>
      </c>
      <c r="O32" s="11">
        <f ca="1" t="shared" si="36"/>
        <v>0.998570671494609</v>
      </c>
      <c r="P32" s="11">
        <f ca="1" t="shared" si="36"/>
        <v>0.0129631318809016</v>
      </c>
      <c r="Q32" s="11">
        <f ca="1" t="shared" si="36"/>
        <v>0.391022498845651</v>
      </c>
      <c r="R32" s="11">
        <f ca="1" t="shared" si="36"/>
        <v>0.457695771917086</v>
      </c>
      <c r="S32" s="11">
        <f ca="1" t="shared" si="36"/>
        <v>0.371220350120455</v>
      </c>
      <c r="T32" s="12">
        <f ca="1" t="shared" si="4"/>
        <v>4.22425490324681</v>
      </c>
      <c r="U32" s="12">
        <f ca="1" t="shared" si="5"/>
        <v>4.83080063791933</v>
      </c>
      <c r="V32" s="12">
        <f ca="1" t="shared" si="6"/>
        <v>4.74234839645001</v>
      </c>
      <c r="W32" s="12">
        <f ca="1" t="shared" si="7"/>
        <v>4.0729859489914</v>
      </c>
      <c r="X32" s="12">
        <f ca="1" t="shared" si="8"/>
        <v>5.41682962188464</v>
      </c>
      <c r="Y32" s="12">
        <f ca="1" t="shared" si="9"/>
        <v>4.04990208465037</v>
      </c>
      <c r="Z32" s="12">
        <f ca="1" t="shared" si="10"/>
        <v>4.679557539545</v>
      </c>
      <c r="AA32" s="12">
        <f ca="1" t="shared" si="11"/>
        <v>5.26988795645782</v>
      </c>
      <c r="AB32" s="12">
        <f ca="1" t="shared" si="12"/>
        <v>4.28545354956947</v>
      </c>
      <c r="AC32" s="12">
        <f ca="1" t="shared" si="13"/>
        <v>4.79674224929577</v>
      </c>
      <c r="AD32" s="12">
        <f ca="1" t="shared" si="14"/>
        <v>5.18173269776458</v>
      </c>
      <c r="AE32" s="12">
        <f ca="1" t="shared" si="15"/>
        <v>5.99285335747304</v>
      </c>
      <c r="AF32" s="12">
        <f ca="1" t="shared" si="16"/>
        <v>4.0216052198015</v>
      </c>
      <c r="AG32" s="12">
        <f ca="1" t="shared" si="17"/>
        <v>4.61377812355706</v>
      </c>
      <c r="AH32" s="12">
        <f ca="1" t="shared" si="18"/>
        <v>4.69711971489636</v>
      </c>
      <c r="AI32" s="12">
        <f ca="1" t="shared" si="19"/>
        <v>4.58902543765057</v>
      </c>
      <c r="AJ32" s="12">
        <f ca="1">SUM($T32:T32)</f>
        <v>4.22425490324681</v>
      </c>
      <c r="AK32" s="12">
        <f ca="1">SUM($T32:U32)</f>
        <v>9.05505554116614</v>
      </c>
      <c r="AL32" s="12">
        <f ca="1">SUM($T32:V32)</f>
        <v>13.7974039376161</v>
      </c>
      <c r="AM32" s="12">
        <f ca="1">SUM($T32:W32)</f>
        <v>17.8703898866076</v>
      </c>
      <c r="AN32" s="12">
        <f ca="1">SUM($T32:X32)</f>
        <v>23.2872195084922</v>
      </c>
      <c r="AO32" s="12">
        <f ca="1">SUM($T32:Y32)</f>
        <v>27.3371215931426</v>
      </c>
      <c r="AP32" s="12">
        <f ca="1">SUM($T32:Z32)</f>
        <v>32.0166791326876</v>
      </c>
      <c r="AQ32" s="12">
        <f ca="1">SUM($T32:AA32)</f>
        <v>37.2865670891454</v>
      </c>
      <c r="AR32" s="12">
        <f ca="1">SUM($T32:AB32)</f>
        <v>41.5720206387148</v>
      </c>
      <c r="AS32" s="12">
        <f ca="1">SUM($T32:AC32)</f>
        <v>46.3687628880106</v>
      </c>
      <c r="AT32" s="12">
        <f ca="1">SUM($T32:AD32)</f>
        <v>51.5504955857752</v>
      </c>
      <c r="AU32" s="12">
        <f ca="1">SUM($T32:AE32)</f>
        <v>57.5433489432482</v>
      </c>
      <c r="AV32" s="12">
        <f ca="1">SUM($T32:AF32)</f>
        <v>61.5649541630497</v>
      </c>
      <c r="AW32" s="12">
        <f ca="1">SUM($T32:AG32)</f>
        <v>66.1787322866068</v>
      </c>
      <c r="AX32" s="12">
        <f ca="1">SUM($T32:AH32)</f>
        <v>70.8758520015032</v>
      </c>
      <c r="AY32" s="12">
        <f ca="1">SUM($T32:AI32)</f>
        <v>75.4648774391537</v>
      </c>
      <c r="AZ32" s="12">
        <f ca="1" t="shared" si="20"/>
        <v>45.9311334039747</v>
      </c>
      <c r="BA32" s="12">
        <f ca="1" t="shared" si="21"/>
        <v>41.1003327660554</v>
      </c>
      <c r="BB32" s="12">
        <f ca="1" t="shared" si="22"/>
        <v>36.3579843696054</v>
      </c>
      <c r="BC32" s="12">
        <f ca="1" t="shared" si="23"/>
        <v>32.284998420614</v>
      </c>
      <c r="BD32" s="12">
        <f ca="1" t="shared" si="24"/>
        <v>26.8681687987294</v>
      </c>
      <c r="BE32" s="12">
        <f ca="1" t="shared" si="25"/>
        <v>22.818266714079</v>
      </c>
      <c r="BF32" s="12">
        <f ca="1" t="shared" si="26"/>
        <v>18.138709174534</v>
      </c>
      <c r="BG32" s="12">
        <f ca="1" t="shared" si="27"/>
        <v>12.8688212180762</v>
      </c>
      <c r="BH32" s="12">
        <f ca="1" t="shared" si="28"/>
        <v>8.5833676685067</v>
      </c>
      <c r="BI32" s="12">
        <f ca="1" t="shared" si="29"/>
        <v>3.78662541921093</v>
      </c>
      <c r="BJ32" s="12">
        <f ca="1" t="shared" si="30"/>
        <v>0</v>
      </c>
      <c r="BK32" s="12">
        <f ca="1" t="shared" si="31"/>
        <v>0</v>
      </c>
      <c r="BL32" s="12">
        <f ca="1" t="shared" si="32"/>
        <v>0</v>
      </c>
      <c r="BM32" s="12">
        <f ca="1" t="shared" si="33"/>
        <v>0</v>
      </c>
      <c r="BN32" s="12">
        <f ca="1" t="shared" si="34"/>
        <v>0</v>
      </c>
      <c r="BO32" s="12">
        <f ca="1" t="shared" si="35"/>
        <v>0</v>
      </c>
    </row>
    <row r="33" spans="1:67">
      <c r="A33" s="3">
        <v>3</v>
      </c>
      <c r="B33" s="11">
        <f ca="1" t="shared" si="1"/>
        <v>0.581719822049602</v>
      </c>
      <c r="C33" s="12">
        <f ca="1" t="shared" si="2"/>
        <v>65.4531403149943</v>
      </c>
      <c r="D33" s="11">
        <f ca="1" t="shared" ref="D33:S33" si="37">RAND()</f>
        <v>0.182713382289512</v>
      </c>
      <c r="E33" s="11">
        <f ca="1" t="shared" si="37"/>
        <v>0.768123079226932</v>
      </c>
      <c r="F33" s="11">
        <f ca="1" t="shared" si="37"/>
        <v>0.270239154336683</v>
      </c>
      <c r="G33" s="11">
        <f ca="1" t="shared" si="37"/>
        <v>0.790340912461735</v>
      </c>
      <c r="H33" s="11">
        <f ca="1" t="shared" si="37"/>
        <v>0.456234836033976</v>
      </c>
      <c r="I33" s="11">
        <f ca="1" t="shared" si="37"/>
        <v>0.0123772288437483</v>
      </c>
      <c r="J33" s="11">
        <f ca="1" t="shared" si="37"/>
        <v>0.917578934618634</v>
      </c>
      <c r="K33" s="11">
        <f ca="1" t="shared" si="37"/>
        <v>0.624328448244513</v>
      </c>
      <c r="L33" s="11">
        <f ca="1" t="shared" si="37"/>
        <v>0.332441554214657</v>
      </c>
      <c r="M33" s="11">
        <f ca="1" t="shared" si="37"/>
        <v>0.446090352039389</v>
      </c>
      <c r="N33" s="11">
        <f ca="1" t="shared" si="37"/>
        <v>0.948789888911993</v>
      </c>
      <c r="O33" s="11">
        <f ca="1" t="shared" si="37"/>
        <v>0.456519653622911</v>
      </c>
      <c r="P33" s="11">
        <f ca="1" t="shared" si="37"/>
        <v>0.00225531664842449</v>
      </c>
      <c r="Q33" s="11">
        <f ca="1" t="shared" si="37"/>
        <v>0.870896448813922</v>
      </c>
      <c r="R33" s="11">
        <f ca="1" t="shared" si="37"/>
        <v>0.743693782970795</v>
      </c>
      <c r="S33" s="11">
        <f ca="1" t="shared" si="37"/>
        <v>0.777921232248693</v>
      </c>
      <c r="T33" s="12">
        <f ca="1" t="shared" si="4"/>
        <v>4.30452230381585</v>
      </c>
      <c r="U33" s="12">
        <f ca="1" t="shared" si="5"/>
        <v>5.17030769806733</v>
      </c>
      <c r="V33" s="12">
        <f ca="1" t="shared" si="6"/>
        <v>4.45039859056114</v>
      </c>
      <c r="W33" s="12">
        <f ca="1" t="shared" si="7"/>
        <v>5.22585228115434</v>
      </c>
      <c r="X33" s="12">
        <f ca="1" t="shared" si="8"/>
        <v>4.69529354504247</v>
      </c>
      <c r="Y33" s="12">
        <f ca="1" t="shared" si="9"/>
        <v>4.02062871473958</v>
      </c>
      <c r="Z33" s="12">
        <f ca="1" t="shared" si="10"/>
        <v>5.58789467309317</v>
      </c>
      <c r="AA33" s="12">
        <f ca="1" t="shared" si="11"/>
        <v>4.90541056030564</v>
      </c>
      <c r="AB33" s="12">
        <f ca="1" t="shared" si="12"/>
        <v>4.54055194276832</v>
      </c>
      <c r="AC33" s="12">
        <f ca="1" t="shared" si="13"/>
        <v>4.68261294004924</v>
      </c>
      <c r="AD33" s="12">
        <f ca="1" t="shared" si="14"/>
        <v>5.74394944455997</v>
      </c>
      <c r="AE33" s="12">
        <f ca="1" t="shared" si="15"/>
        <v>4.69564956702864</v>
      </c>
      <c r="AF33" s="12">
        <f ca="1" t="shared" si="16"/>
        <v>4.00375886108071</v>
      </c>
      <c r="AG33" s="12">
        <f ca="1" t="shared" si="17"/>
        <v>5.4272411220348</v>
      </c>
      <c r="AH33" s="12">
        <f ca="1" t="shared" si="18"/>
        <v>5.10923445742699</v>
      </c>
      <c r="AI33" s="12">
        <f ca="1" t="shared" si="19"/>
        <v>5.19480308062173</v>
      </c>
      <c r="AJ33" s="12">
        <f ca="1">SUM($T33:T33)</f>
        <v>4.30452230381585</v>
      </c>
      <c r="AK33" s="12">
        <f ca="1">SUM($T33:U33)</f>
        <v>9.47483000188318</v>
      </c>
      <c r="AL33" s="12">
        <f ca="1">SUM($T33:V33)</f>
        <v>13.9252285924443</v>
      </c>
      <c r="AM33" s="12">
        <f ca="1">SUM($T33:W33)</f>
        <v>19.1510808735987</v>
      </c>
      <c r="AN33" s="12">
        <f ca="1">SUM($T33:X33)</f>
        <v>23.8463744186411</v>
      </c>
      <c r="AO33" s="12">
        <f ca="1">SUM($T33:Y33)</f>
        <v>27.8670031333807</v>
      </c>
      <c r="AP33" s="12">
        <f ca="1">SUM($T33:Z33)</f>
        <v>33.4548978064739</v>
      </c>
      <c r="AQ33" s="12">
        <f ca="1">SUM($T33:AA33)</f>
        <v>38.3603083667795</v>
      </c>
      <c r="AR33" s="12">
        <f ca="1">SUM($T33:AB33)</f>
        <v>42.9008603095479</v>
      </c>
      <c r="AS33" s="12">
        <f ca="1">SUM($T33:AC33)</f>
        <v>47.5834732495971</v>
      </c>
      <c r="AT33" s="12">
        <f ca="1">SUM($T33:AD33)</f>
        <v>53.3274226941571</v>
      </c>
      <c r="AU33" s="12">
        <f ca="1">SUM($T33:AE33)</f>
        <v>58.0230722611857</v>
      </c>
      <c r="AV33" s="12">
        <f ca="1">SUM($T33:AF33)</f>
        <v>62.0268311222664</v>
      </c>
      <c r="AW33" s="12">
        <f ca="1">SUM($T33:AG33)</f>
        <v>67.4540722443012</v>
      </c>
      <c r="AX33" s="12">
        <f ca="1">SUM($T33:AH33)</f>
        <v>72.5633067017282</v>
      </c>
      <c r="AY33" s="12">
        <f ca="1">SUM($T33:AI33)</f>
        <v>77.7581097823499</v>
      </c>
      <c r="AZ33" s="12">
        <f ca="1" t="shared" si="20"/>
        <v>61.1486180111785</v>
      </c>
      <c r="BA33" s="12">
        <f ca="1" t="shared" si="21"/>
        <v>55.9783103131111</v>
      </c>
      <c r="BB33" s="12">
        <f ca="1" t="shared" si="22"/>
        <v>51.52791172255</v>
      </c>
      <c r="BC33" s="12">
        <f ca="1" t="shared" si="23"/>
        <v>46.3020594413957</v>
      </c>
      <c r="BD33" s="12">
        <f ca="1" t="shared" si="24"/>
        <v>41.6067658963532</v>
      </c>
      <c r="BE33" s="12">
        <f ca="1" t="shared" si="25"/>
        <v>37.5861371816136</v>
      </c>
      <c r="BF33" s="12">
        <f ca="1" t="shared" si="26"/>
        <v>31.9982425085204</v>
      </c>
      <c r="BG33" s="12">
        <f ca="1" t="shared" si="27"/>
        <v>27.0928319482148</v>
      </c>
      <c r="BH33" s="12">
        <f ca="1" t="shared" si="28"/>
        <v>22.5522800054465</v>
      </c>
      <c r="BI33" s="12">
        <f ca="1" t="shared" si="29"/>
        <v>17.8696670653972</v>
      </c>
      <c r="BJ33" s="12">
        <f ca="1" t="shared" si="30"/>
        <v>12.1257176208373</v>
      </c>
      <c r="BK33" s="12">
        <f ca="1" t="shared" si="31"/>
        <v>7.43006805380862</v>
      </c>
      <c r="BL33" s="12">
        <f ca="1" t="shared" si="32"/>
        <v>3.42630919272791</v>
      </c>
      <c r="BM33" s="12">
        <f ca="1" t="shared" si="33"/>
        <v>0</v>
      </c>
      <c r="BN33" s="12">
        <f ca="1" t="shared" si="34"/>
        <v>0</v>
      </c>
      <c r="BO33" s="12">
        <f ca="1" t="shared" si="35"/>
        <v>0</v>
      </c>
    </row>
    <row r="34" spans="1:67">
      <c r="A34" s="3">
        <v>4</v>
      </c>
      <c r="B34" s="11">
        <f ca="1" t="shared" si="1"/>
        <v>0.826067098228489</v>
      </c>
      <c r="C34" s="12">
        <f ca="1" t="shared" si="2"/>
        <v>68.9438156889784</v>
      </c>
      <c r="D34" s="11">
        <f ca="1" t="shared" ref="D34:S34" si="38">RAND()</f>
        <v>0.58068007952779</v>
      </c>
      <c r="E34" s="11">
        <f ca="1" t="shared" si="38"/>
        <v>0.319904237881764</v>
      </c>
      <c r="F34" s="11">
        <f ca="1" t="shared" si="38"/>
        <v>0.416646966575519</v>
      </c>
      <c r="G34" s="11">
        <f ca="1" t="shared" si="38"/>
        <v>0.371226323194167</v>
      </c>
      <c r="H34" s="11">
        <f ca="1" t="shared" si="38"/>
        <v>0.790337273113229</v>
      </c>
      <c r="I34" s="11">
        <f ca="1" t="shared" si="38"/>
        <v>0.456214913943617</v>
      </c>
      <c r="J34" s="11">
        <f ca="1" t="shared" si="38"/>
        <v>0.728991608918404</v>
      </c>
      <c r="K34" s="11">
        <f ca="1" t="shared" si="38"/>
        <v>0.731280222414725</v>
      </c>
      <c r="L34" s="11">
        <f ca="1" t="shared" si="38"/>
        <v>0.0841763133919362</v>
      </c>
      <c r="M34" s="11">
        <f ca="1" t="shared" si="38"/>
        <v>0.306507378903622</v>
      </c>
      <c r="N34" s="11">
        <f ca="1" t="shared" si="38"/>
        <v>0.0123644746211955</v>
      </c>
      <c r="O34" s="11">
        <f ca="1" t="shared" si="38"/>
        <v>0.958509064632161</v>
      </c>
      <c r="P34" s="11">
        <f ca="1" t="shared" si="38"/>
        <v>0.943050968737254</v>
      </c>
      <c r="Q34" s="11">
        <f ca="1" t="shared" si="38"/>
        <v>0.728986006740269</v>
      </c>
      <c r="R34" s="11">
        <f ca="1" t="shared" si="38"/>
        <v>0.284599235886417</v>
      </c>
      <c r="S34" s="11">
        <f ca="1" t="shared" si="38"/>
        <v>0.0798571954296119</v>
      </c>
      <c r="T34" s="12">
        <f ca="1" t="shared" si="4"/>
        <v>4.85085009940974</v>
      </c>
      <c r="U34" s="12">
        <f ca="1" t="shared" si="5"/>
        <v>4.5248802973522</v>
      </c>
      <c r="V34" s="12">
        <f ca="1" t="shared" si="6"/>
        <v>4.6458087082194</v>
      </c>
      <c r="W34" s="12">
        <f ca="1" t="shared" si="7"/>
        <v>4.58903290399271</v>
      </c>
      <c r="X34" s="12">
        <f ca="1" t="shared" si="8"/>
        <v>5.22584318278307</v>
      </c>
      <c r="Y34" s="12">
        <f ca="1" t="shared" si="9"/>
        <v>4.69526864242952</v>
      </c>
      <c r="Z34" s="12">
        <f ca="1" t="shared" si="10"/>
        <v>5.07247902229601</v>
      </c>
      <c r="AA34" s="12">
        <f ca="1" t="shared" si="11"/>
        <v>5.07820055603681</v>
      </c>
      <c r="AB34" s="12">
        <f ca="1" t="shared" si="12"/>
        <v>4.14029385565323</v>
      </c>
      <c r="AC34" s="12">
        <f ca="1" t="shared" si="13"/>
        <v>4.50813422362953</v>
      </c>
      <c r="AD34" s="12">
        <f ca="1" t="shared" si="14"/>
        <v>4.02060745770199</v>
      </c>
      <c r="AE34" s="12">
        <f ca="1" t="shared" si="15"/>
        <v>5.7925453231608</v>
      </c>
      <c r="AF34" s="12">
        <f ca="1" t="shared" si="16"/>
        <v>5.71525484368627</v>
      </c>
      <c r="AG34" s="12">
        <f ca="1" t="shared" si="17"/>
        <v>5.07246501685067</v>
      </c>
      <c r="AH34" s="12">
        <f ca="1" t="shared" si="18"/>
        <v>4.4743320598107</v>
      </c>
      <c r="AI34" s="12">
        <f ca="1" t="shared" si="19"/>
        <v>4.13309532571602</v>
      </c>
      <c r="AJ34" s="12">
        <f ca="1">SUM($T34:T34)</f>
        <v>4.85085009940974</v>
      </c>
      <c r="AK34" s="12">
        <f ca="1">SUM($T34:U34)</f>
        <v>9.37573039676194</v>
      </c>
      <c r="AL34" s="12">
        <f ca="1">SUM($T34:V34)</f>
        <v>14.0215391049813</v>
      </c>
      <c r="AM34" s="12">
        <f ca="1">SUM($T34:W34)</f>
        <v>18.610572008974</v>
      </c>
      <c r="AN34" s="12">
        <f ca="1">SUM($T34:X34)</f>
        <v>23.8364151917571</v>
      </c>
      <c r="AO34" s="12">
        <f ca="1">SUM($T34:Y34)</f>
        <v>28.5316838341866</v>
      </c>
      <c r="AP34" s="12">
        <f ca="1">SUM($T34:Z34)</f>
        <v>33.6041628564827</v>
      </c>
      <c r="AQ34" s="12">
        <f ca="1">SUM($T34:AA34)</f>
        <v>38.6823634125195</v>
      </c>
      <c r="AR34" s="12">
        <f ca="1">SUM($T34:AB34)</f>
        <v>42.8226572681727</v>
      </c>
      <c r="AS34" s="12">
        <f ca="1">SUM($T34:AC34)</f>
        <v>47.3307914918022</v>
      </c>
      <c r="AT34" s="12">
        <f ca="1">SUM($T34:AD34)</f>
        <v>51.3513989495042</v>
      </c>
      <c r="AU34" s="12">
        <f ca="1">SUM($T34:AE34)</f>
        <v>57.143944272665</v>
      </c>
      <c r="AV34" s="12">
        <f ca="1">SUM($T34:AF34)</f>
        <v>62.8591991163513</v>
      </c>
      <c r="AW34" s="12">
        <f ca="1">SUM($T34:AG34)</f>
        <v>67.9316641332019</v>
      </c>
      <c r="AX34" s="12">
        <f ca="1">SUM($T34:AH34)</f>
        <v>72.4059961930126</v>
      </c>
      <c r="AY34" s="12">
        <f ca="1">SUM($T34:AI34)</f>
        <v>76.5390915187287</v>
      </c>
      <c r="AZ34" s="12">
        <f ca="1" t="shared" si="20"/>
        <v>64.0929655895687</v>
      </c>
      <c r="BA34" s="12">
        <f ca="1" t="shared" si="21"/>
        <v>59.5680852922165</v>
      </c>
      <c r="BB34" s="12">
        <f ca="1" t="shared" si="22"/>
        <v>54.9222765839971</v>
      </c>
      <c r="BC34" s="12">
        <f ca="1" t="shared" si="23"/>
        <v>50.3332436800044</v>
      </c>
      <c r="BD34" s="12">
        <f ca="1" t="shared" si="24"/>
        <v>45.1074004972213</v>
      </c>
      <c r="BE34" s="12">
        <f ca="1" t="shared" si="25"/>
        <v>40.4121318547918</v>
      </c>
      <c r="BF34" s="12">
        <f ca="1" t="shared" si="26"/>
        <v>35.3396528324958</v>
      </c>
      <c r="BG34" s="12">
        <f ca="1" t="shared" si="27"/>
        <v>30.2614522764589</v>
      </c>
      <c r="BH34" s="12">
        <f ca="1" t="shared" si="28"/>
        <v>26.1211584208057</v>
      </c>
      <c r="BI34" s="12">
        <f ca="1" t="shared" si="29"/>
        <v>21.6130241971762</v>
      </c>
      <c r="BJ34" s="12">
        <f ca="1" t="shared" si="30"/>
        <v>17.5924167394742</v>
      </c>
      <c r="BK34" s="12">
        <f ca="1" t="shared" si="31"/>
        <v>11.7998714163134</v>
      </c>
      <c r="BL34" s="12">
        <f ca="1" t="shared" si="32"/>
        <v>6.08461657262713</v>
      </c>
      <c r="BM34" s="12">
        <f ca="1" t="shared" si="33"/>
        <v>1.01215155577646</v>
      </c>
      <c r="BN34" s="12">
        <f ca="1" t="shared" si="34"/>
        <v>0</v>
      </c>
      <c r="BO34" s="12">
        <f ca="1" t="shared" si="35"/>
        <v>0</v>
      </c>
    </row>
    <row r="35" spans="1:67">
      <c r="A35" s="3">
        <v>5</v>
      </c>
      <c r="B35" s="11">
        <f ca="1" t="shared" si="1"/>
        <v>0.454891093562837</v>
      </c>
      <c r="C35" s="12">
        <f ca="1" t="shared" si="2"/>
        <v>63.4148515593806</v>
      </c>
      <c r="D35" s="11">
        <f ca="1" t="shared" ref="D35:S35" si="39">RAND()</f>
        <v>0.896471980026463</v>
      </c>
      <c r="E35" s="11">
        <f ca="1" t="shared" si="39"/>
        <v>0.840441413719833</v>
      </c>
      <c r="F35" s="11">
        <f ca="1" t="shared" si="39"/>
        <v>0.5766631174483</v>
      </c>
      <c r="G35" s="11">
        <f ca="1" t="shared" si="39"/>
        <v>0.576668372044845</v>
      </c>
      <c r="H35" s="11">
        <f ca="1" t="shared" si="39"/>
        <v>0.660926036876897</v>
      </c>
      <c r="I35" s="11">
        <f ca="1" t="shared" si="39"/>
        <v>0.0698222496588203</v>
      </c>
      <c r="J35" s="11">
        <f ca="1" t="shared" si="39"/>
        <v>0.948787434516849</v>
      </c>
      <c r="K35" s="11">
        <f ca="1" t="shared" si="39"/>
        <v>0.622559779495643</v>
      </c>
      <c r="L35" s="11">
        <f ca="1" t="shared" si="39"/>
        <v>0.851513636113862</v>
      </c>
      <c r="M35" s="11">
        <f ca="1" t="shared" si="39"/>
        <v>0.743704649335187</v>
      </c>
      <c r="N35" s="11">
        <f ca="1" t="shared" si="39"/>
        <v>0.680644851555416</v>
      </c>
      <c r="O35" s="11">
        <f ca="1" t="shared" si="39"/>
        <v>0.660942668755577</v>
      </c>
      <c r="P35" s="11">
        <f ca="1" t="shared" si="39"/>
        <v>0.134566685939161</v>
      </c>
      <c r="Q35" s="11">
        <f ca="1" t="shared" si="39"/>
        <v>0.936943091623375</v>
      </c>
      <c r="R35" s="11">
        <f ca="1" t="shared" si="39"/>
        <v>0.0437914084452029</v>
      </c>
      <c r="S35" s="11">
        <f ca="1" t="shared" si="39"/>
        <v>0.0265611994745341</v>
      </c>
      <c r="T35" s="12">
        <f ca="1" t="shared" si="4"/>
        <v>5.49117995006616</v>
      </c>
      <c r="U35" s="12">
        <f ca="1" t="shared" si="5"/>
        <v>5.35110353429958</v>
      </c>
      <c r="V35" s="12">
        <f ca="1" t="shared" si="6"/>
        <v>4.84582889681038</v>
      </c>
      <c r="W35" s="12">
        <f ca="1" t="shared" si="7"/>
        <v>4.84583546505606</v>
      </c>
      <c r="X35" s="12">
        <f ca="1" t="shared" si="8"/>
        <v>4.95115754609612</v>
      </c>
      <c r="Y35" s="12">
        <f ca="1" t="shared" si="9"/>
        <v>4.11637041609803</v>
      </c>
      <c r="Z35" s="12">
        <f ca="1" t="shared" si="10"/>
        <v>5.74393717258425</v>
      </c>
      <c r="AA35" s="12">
        <f ca="1" t="shared" si="11"/>
        <v>4.90319972436955</v>
      </c>
      <c r="AB35" s="12">
        <f ca="1" t="shared" si="12"/>
        <v>5.37878409028465</v>
      </c>
      <c r="AC35" s="12">
        <f ca="1" t="shared" si="13"/>
        <v>5.10926162333797</v>
      </c>
      <c r="AD35" s="12">
        <f ca="1" t="shared" si="14"/>
        <v>4.97580606444427</v>
      </c>
      <c r="AE35" s="12">
        <f ca="1" t="shared" si="15"/>
        <v>4.95117833594447</v>
      </c>
      <c r="AF35" s="12">
        <f ca="1" t="shared" si="16"/>
        <v>4.2242778098986</v>
      </c>
      <c r="AG35" s="12">
        <f ca="1" t="shared" si="17"/>
        <v>5.68471545811688</v>
      </c>
      <c r="AH35" s="12">
        <f ca="1" t="shared" si="18"/>
        <v>4.07298568074201</v>
      </c>
      <c r="AI35" s="12">
        <f ca="1" t="shared" si="19"/>
        <v>4.04426866579089</v>
      </c>
      <c r="AJ35" s="12">
        <f ca="1">SUM($T35:T35)</f>
        <v>5.49117995006616</v>
      </c>
      <c r="AK35" s="12">
        <f ca="1">SUM($T35:U35)</f>
        <v>10.8422834843657</v>
      </c>
      <c r="AL35" s="12">
        <f ca="1">SUM($T35:V35)</f>
        <v>15.6881123811761</v>
      </c>
      <c r="AM35" s="12">
        <f ca="1">SUM($T35:W35)</f>
        <v>20.5339478462322</v>
      </c>
      <c r="AN35" s="12">
        <f ca="1">SUM($T35:X35)</f>
        <v>25.4851053923283</v>
      </c>
      <c r="AO35" s="12">
        <f ca="1">SUM($T35:Y35)</f>
        <v>29.6014758084263</v>
      </c>
      <c r="AP35" s="12">
        <f ca="1">SUM($T35:Z35)</f>
        <v>35.3454129810106</v>
      </c>
      <c r="AQ35" s="12">
        <f ca="1">SUM($T35:AA35)</f>
        <v>40.2486127053801</v>
      </c>
      <c r="AR35" s="12">
        <f ca="1">SUM($T35:AB35)</f>
        <v>45.6273967956648</v>
      </c>
      <c r="AS35" s="12">
        <f ca="1">SUM($T35:AC35)</f>
        <v>50.7366584190027</v>
      </c>
      <c r="AT35" s="12">
        <f ca="1">SUM($T35:AD35)</f>
        <v>55.712464483447</v>
      </c>
      <c r="AU35" s="12">
        <f ca="1">SUM($T35:AE35)</f>
        <v>60.6636428193915</v>
      </c>
      <c r="AV35" s="12">
        <f ca="1">SUM($T35:AF35)</f>
        <v>64.8879206292901</v>
      </c>
      <c r="AW35" s="12">
        <f ca="1">SUM($T35:AG35)</f>
        <v>70.5726360874069</v>
      </c>
      <c r="AX35" s="12">
        <f ca="1">SUM($T35:AH35)</f>
        <v>74.645621768149</v>
      </c>
      <c r="AY35" s="12">
        <f ca="1">SUM($T35:AI35)</f>
        <v>78.6898904339399</v>
      </c>
      <c r="AZ35" s="12">
        <f ca="1" t="shared" si="20"/>
        <v>57.9236716093145</v>
      </c>
      <c r="BA35" s="12">
        <f ca="1" t="shared" si="21"/>
        <v>52.5725680750149</v>
      </c>
      <c r="BB35" s="12">
        <f ca="1" t="shared" si="22"/>
        <v>47.7267391782045</v>
      </c>
      <c r="BC35" s="12">
        <f ca="1" t="shared" si="23"/>
        <v>42.8809037131484</v>
      </c>
      <c r="BD35" s="12">
        <f ca="1" t="shared" si="24"/>
        <v>37.9297461670523</v>
      </c>
      <c r="BE35" s="12">
        <f ca="1" t="shared" si="25"/>
        <v>33.8133757509543</v>
      </c>
      <c r="BF35" s="12">
        <f ca="1" t="shared" si="26"/>
        <v>28.06943857837</v>
      </c>
      <c r="BG35" s="12">
        <f ca="1" t="shared" si="27"/>
        <v>23.1662388540005</v>
      </c>
      <c r="BH35" s="12">
        <f ca="1" t="shared" si="28"/>
        <v>17.7874547637158</v>
      </c>
      <c r="BI35" s="12">
        <f ca="1" t="shared" si="29"/>
        <v>12.6781931403779</v>
      </c>
      <c r="BJ35" s="12">
        <f ca="1" t="shared" si="30"/>
        <v>7.7023870759336</v>
      </c>
      <c r="BK35" s="12">
        <f ca="1" t="shared" si="31"/>
        <v>2.75120873998913</v>
      </c>
      <c r="BL35" s="12">
        <f ca="1" t="shared" si="32"/>
        <v>0</v>
      </c>
      <c r="BM35" s="12">
        <f ca="1" t="shared" si="33"/>
        <v>0</v>
      </c>
      <c r="BN35" s="12">
        <f ca="1" t="shared" si="34"/>
        <v>0</v>
      </c>
      <c r="BO35" s="12">
        <f ca="1" t="shared" si="35"/>
        <v>0</v>
      </c>
    </row>
    <row r="36" spans="1:67">
      <c r="A36" s="3">
        <v>6</v>
      </c>
      <c r="B36" s="11">
        <f ca="1" t="shared" si="1"/>
        <v>0.565931068933984</v>
      </c>
      <c r="C36" s="12">
        <f ca="1" t="shared" si="2"/>
        <v>65.2275866990569</v>
      </c>
      <c r="D36" s="11">
        <f ca="1" t="shared" ref="D36:S36" si="40">RAND()</f>
        <v>0.319912215207131</v>
      </c>
      <c r="E36" s="11">
        <f ca="1" t="shared" si="40"/>
        <v>0.0698092933592778</v>
      </c>
      <c r="F36" s="11">
        <f ca="1" t="shared" si="40"/>
        <v>0.443653675793451</v>
      </c>
      <c r="G36" s="11">
        <f ca="1" t="shared" si="40"/>
        <v>0.728981576926271</v>
      </c>
      <c r="H36" s="11">
        <f ca="1" t="shared" si="40"/>
        <v>0.851531773348154</v>
      </c>
      <c r="I36" s="11">
        <f ca="1" t="shared" si="40"/>
        <v>0.193844665914552</v>
      </c>
      <c r="J36" s="11">
        <f ca="1" t="shared" si="40"/>
        <v>0.537409357562216</v>
      </c>
      <c r="K36" s="11">
        <f ca="1" t="shared" si="40"/>
        <v>0.576678328881793</v>
      </c>
      <c r="L36" s="11">
        <f ca="1" t="shared" si="40"/>
        <v>0.680653469516118</v>
      </c>
      <c r="M36" s="11">
        <f ca="1" t="shared" si="40"/>
        <v>0.550984305240102</v>
      </c>
      <c r="N36" s="11">
        <f ca="1" t="shared" si="40"/>
        <v>0.660926411403177</v>
      </c>
      <c r="O36" s="11">
        <f ca="1" t="shared" si="40"/>
        <v>0.998581168067549</v>
      </c>
      <c r="P36" s="11">
        <f ca="1" t="shared" si="40"/>
        <v>0.134575094783385</v>
      </c>
      <c r="Q36" s="11">
        <f ca="1" t="shared" si="40"/>
        <v>0.855497113011749</v>
      </c>
      <c r="R36" s="11">
        <f ca="1" t="shared" si="40"/>
        <v>0.0437623724048433</v>
      </c>
      <c r="S36" s="11">
        <f ca="1" t="shared" si="40"/>
        <v>0.697399492426923</v>
      </c>
      <c r="T36" s="12">
        <f ca="1" t="shared" si="4"/>
        <v>4.52489026900891</v>
      </c>
      <c r="U36" s="12">
        <f ca="1" t="shared" si="5"/>
        <v>4.11634882226546</v>
      </c>
      <c r="V36" s="12">
        <f ca="1" t="shared" si="6"/>
        <v>4.67956709474181</v>
      </c>
      <c r="W36" s="12">
        <f ca="1" t="shared" si="7"/>
        <v>5.07245394231568</v>
      </c>
      <c r="X36" s="12">
        <f ca="1" t="shared" si="8"/>
        <v>5.37882943337039</v>
      </c>
      <c r="Y36" s="12">
        <f ca="1" t="shared" si="9"/>
        <v>4.32307444319092</v>
      </c>
      <c r="Z36" s="12">
        <f ca="1" t="shared" si="10"/>
        <v>4.79676169695277</v>
      </c>
      <c r="AA36" s="12">
        <f ca="1" t="shared" si="11"/>
        <v>4.84584791110224</v>
      </c>
      <c r="AB36" s="12">
        <f ca="1" t="shared" si="12"/>
        <v>4.97581683689515</v>
      </c>
      <c r="AC36" s="12">
        <f ca="1" t="shared" si="13"/>
        <v>4.81373038155013</v>
      </c>
      <c r="AD36" s="12">
        <f ca="1" t="shared" si="14"/>
        <v>4.95115801425397</v>
      </c>
      <c r="AE36" s="12">
        <f ca="1" t="shared" si="15"/>
        <v>5.99290584033775</v>
      </c>
      <c r="AF36" s="12">
        <f ca="1" t="shared" si="16"/>
        <v>4.22429182463897</v>
      </c>
      <c r="AG36" s="12">
        <f ca="1" t="shared" si="17"/>
        <v>5.38874278252937</v>
      </c>
      <c r="AH36" s="12">
        <f ca="1" t="shared" si="18"/>
        <v>4.07293728734141</v>
      </c>
      <c r="AI36" s="12">
        <f ca="1" t="shared" si="19"/>
        <v>4.99674936553365</v>
      </c>
      <c r="AJ36" s="12">
        <f ca="1">SUM($T36:T36)</f>
        <v>4.52489026900891</v>
      </c>
      <c r="AK36" s="12">
        <f ca="1">SUM($T36:U36)</f>
        <v>8.64123909127438</v>
      </c>
      <c r="AL36" s="12">
        <f ca="1">SUM($T36:V36)</f>
        <v>13.3208061860162</v>
      </c>
      <c r="AM36" s="12">
        <f ca="1">SUM($T36:W36)</f>
        <v>18.3932601283319</v>
      </c>
      <c r="AN36" s="12">
        <f ca="1">SUM($T36:X36)</f>
        <v>23.7720895617023</v>
      </c>
      <c r="AO36" s="12">
        <f ca="1">SUM($T36:Y36)</f>
        <v>28.0951640048932</v>
      </c>
      <c r="AP36" s="12">
        <f ca="1">SUM($T36:Z36)</f>
        <v>32.8919257018459</v>
      </c>
      <c r="AQ36" s="12">
        <f ca="1">SUM($T36:AA36)</f>
        <v>37.7377736129482</v>
      </c>
      <c r="AR36" s="12">
        <f ca="1">SUM($T36:AB36)</f>
        <v>42.7135904498433</v>
      </c>
      <c r="AS36" s="12">
        <f ca="1">SUM($T36:AC36)</f>
        <v>47.5273208313935</v>
      </c>
      <c r="AT36" s="12">
        <f ca="1">SUM($T36:AD36)</f>
        <v>52.4784788456474</v>
      </c>
      <c r="AU36" s="12">
        <f ca="1">SUM($T36:AE36)</f>
        <v>58.4713846859852</v>
      </c>
      <c r="AV36" s="12">
        <f ca="1">SUM($T36:AF36)</f>
        <v>62.6956765106242</v>
      </c>
      <c r="AW36" s="12">
        <f ca="1">SUM($T36:AG36)</f>
        <v>68.0844192931535</v>
      </c>
      <c r="AX36" s="12">
        <f ca="1">SUM($T36:AH36)</f>
        <v>72.1573565804949</v>
      </c>
      <c r="AY36" s="12">
        <f ca="1">SUM($T36:AI36)</f>
        <v>77.1541059460286</v>
      </c>
      <c r="AZ36" s="12">
        <f ca="1" t="shared" si="20"/>
        <v>60.702696430048</v>
      </c>
      <c r="BA36" s="12">
        <f ca="1" t="shared" si="21"/>
        <v>56.5863476077825</v>
      </c>
      <c r="BB36" s="12">
        <f ca="1" t="shared" si="22"/>
        <v>51.9067805130407</v>
      </c>
      <c r="BC36" s="12">
        <f ca="1" t="shared" si="23"/>
        <v>46.834326570725</v>
      </c>
      <c r="BD36" s="12">
        <f ca="1" t="shared" si="24"/>
        <v>41.4554971373547</v>
      </c>
      <c r="BE36" s="12">
        <f ca="1" t="shared" si="25"/>
        <v>37.1324226941637</v>
      </c>
      <c r="BF36" s="12">
        <f ca="1" t="shared" si="26"/>
        <v>32.335660997211</v>
      </c>
      <c r="BG36" s="12">
        <f ca="1" t="shared" si="27"/>
        <v>27.4898130861087</v>
      </c>
      <c r="BH36" s="12">
        <f ca="1" t="shared" si="28"/>
        <v>22.5139962492136</v>
      </c>
      <c r="BI36" s="12">
        <f ca="1" t="shared" si="29"/>
        <v>17.7002658676635</v>
      </c>
      <c r="BJ36" s="12">
        <f ca="1" t="shared" si="30"/>
        <v>12.7491078534095</v>
      </c>
      <c r="BK36" s="12">
        <f ca="1" t="shared" si="31"/>
        <v>6.75620201307174</v>
      </c>
      <c r="BL36" s="12">
        <f ca="1" t="shared" si="32"/>
        <v>2.53191018843276</v>
      </c>
      <c r="BM36" s="12">
        <f ca="1" t="shared" si="33"/>
        <v>0</v>
      </c>
      <c r="BN36" s="12">
        <f ca="1" t="shared" si="34"/>
        <v>0</v>
      </c>
      <c r="BO36" s="12">
        <f ca="1" t="shared" si="35"/>
        <v>0</v>
      </c>
    </row>
    <row r="37" spans="1:67">
      <c r="A37" s="3">
        <v>7</v>
      </c>
      <c r="B37" s="11">
        <f ca="1" t="shared" si="1"/>
        <v>0.854818095945888</v>
      </c>
      <c r="C37" s="12">
        <f ca="1" t="shared" si="2"/>
        <v>69.3545442277984</v>
      </c>
      <c r="D37" s="11">
        <f ca="1" t="shared" ref="D37:S37" si="41">RAND()</f>
        <v>0.82663044443816</v>
      </c>
      <c r="E37" s="11">
        <f ca="1" t="shared" si="41"/>
        <v>0.0697984151496274</v>
      </c>
      <c r="F37" s="11">
        <f ca="1" t="shared" si="41"/>
        <v>0.443648593427918</v>
      </c>
      <c r="G37" s="11">
        <f ca="1" t="shared" si="41"/>
        <v>0.391023092503766</v>
      </c>
      <c r="H37" s="11">
        <f ca="1" t="shared" si="41"/>
        <v>0.859732024630022</v>
      </c>
      <c r="I37" s="11">
        <f ca="1" t="shared" si="41"/>
        <v>0.768119260362362</v>
      </c>
      <c r="J37" s="11">
        <f ca="1" t="shared" si="41"/>
        <v>0.607440383489784</v>
      </c>
      <c r="K37" s="11">
        <f ca="1" t="shared" si="41"/>
        <v>0.851529313021286</v>
      </c>
      <c r="L37" s="11">
        <f ca="1" t="shared" si="41"/>
        <v>0.537410790003638</v>
      </c>
      <c r="M37" s="11">
        <f ca="1" t="shared" si="41"/>
        <v>0.33244248958994</v>
      </c>
      <c r="N37" s="11">
        <f ca="1" t="shared" si="41"/>
        <v>0.803947444655359</v>
      </c>
      <c r="O37" s="11">
        <f ca="1" t="shared" si="41"/>
        <v>0.998594134706228</v>
      </c>
      <c r="P37" s="11">
        <f ca="1" t="shared" si="41"/>
        <v>0.456538090246488</v>
      </c>
      <c r="Q37" s="11">
        <f ca="1" t="shared" si="41"/>
        <v>0.777904061152433</v>
      </c>
      <c r="R37" s="11">
        <f ca="1" t="shared" si="41"/>
        <v>0.869153816545105</v>
      </c>
      <c r="S37" s="11">
        <f ca="1" t="shared" si="41"/>
        <v>0.0841943273824204</v>
      </c>
      <c r="T37" s="12">
        <f ca="1" t="shared" si="4"/>
        <v>5.3165761110954</v>
      </c>
      <c r="U37" s="12">
        <f ca="1" t="shared" si="5"/>
        <v>4.11633069191605</v>
      </c>
      <c r="V37" s="12">
        <f ca="1" t="shared" si="6"/>
        <v>4.6795607417849</v>
      </c>
      <c r="W37" s="12">
        <f ca="1" t="shared" si="7"/>
        <v>4.61377886562971</v>
      </c>
      <c r="X37" s="12">
        <f ca="1" t="shared" si="8"/>
        <v>5.39933006157505</v>
      </c>
      <c r="Y37" s="12">
        <f ca="1" t="shared" si="9"/>
        <v>5.1702981509059</v>
      </c>
      <c r="Z37" s="12">
        <f ca="1" t="shared" si="10"/>
        <v>4.88430047936223</v>
      </c>
      <c r="AA37" s="12">
        <f ca="1" t="shared" si="11"/>
        <v>5.37882328255321</v>
      </c>
      <c r="AB37" s="12">
        <f ca="1" t="shared" si="12"/>
        <v>4.79676348750455</v>
      </c>
      <c r="AC37" s="12">
        <f ca="1" t="shared" si="13"/>
        <v>4.54055311198742</v>
      </c>
      <c r="AD37" s="12">
        <f ca="1" t="shared" si="14"/>
        <v>5.2598686116384</v>
      </c>
      <c r="AE37" s="12">
        <f ca="1" t="shared" si="15"/>
        <v>5.99297067353114</v>
      </c>
      <c r="AF37" s="12">
        <f ca="1" t="shared" si="16"/>
        <v>4.69567261280811</v>
      </c>
      <c r="AG37" s="12">
        <f ca="1" t="shared" si="17"/>
        <v>5.19476015288108</v>
      </c>
      <c r="AH37" s="12">
        <f ca="1" t="shared" si="18"/>
        <v>5.42288454136276</v>
      </c>
      <c r="AI37" s="12">
        <f ca="1" t="shared" si="19"/>
        <v>4.1403238789707</v>
      </c>
      <c r="AJ37" s="12">
        <f ca="1">SUM($T37:T37)</f>
        <v>5.3165761110954</v>
      </c>
      <c r="AK37" s="12">
        <f ca="1">SUM($T37:U37)</f>
        <v>9.43290680301145</v>
      </c>
      <c r="AL37" s="12">
        <f ca="1">SUM($T37:V37)</f>
        <v>14.1124675447963</v>
      </c>
      <c r="AM37" s="12">
        <f ca="1">SUM($T37:W37)</f>
        <v>18.7262464104261</v>
      </c>
      <c r="AN37" s="12">
        <f ca="1">SUM($T37:X37)</f>
        <v>24.1255764720011</v>
      </c>
      <c r="AO37" s="12">
        <f ca="1">SUM($T37:Y37)</f>
        <v>29.295874622907</v>
      </c>
      <c r="AP37" s="12">
        <f ca="1">SUM($T37:Z37)</f>
        <v>34.1801751022692</v>
      </c>
      <c r="AQ37" s="12">
        <f ca="1">SUM($T37:AA37)</f>
        <v>39.5589983848225</v>
      </c>
      <c r="AR37" s="12">
        <f ca="1">SUM($T37:AB37)</f>
        <v>44.355761872327</v>
      </c>
      <c r="AS37" s="12">
        <f ca="1">SUM($T37:AC37)</f>
        <v>48.8963149843144</v>
      </c>
      <c r="AT37" s="12">
        <f ca="1">SUM($T37:AD37)</f>
        <v>54.1561835959528</v>
      </c>
      <c r="AU37" s="12">
        <f ca="1">SUM($T37:AE37)</f>
        <v>60.149154269484</v>
      </c>
      <c r="AV37" s="12">
        <f ca="1">SUM($T37:AF37)</f>
        <v>64.8448268822921</v>
      </c>
      <c r="AW37" s="12">
        <f ca="1">SUM($T37:AG37)</f>
        <v>70.0395870351732</v>
      </c>
      <c r="AX37" s="12">
        <f ca="1">SUM($T37:AH37)</f>
        <v>75.4624715765359</v>
      </c>
      <c r="AY37" s="12">
        <f ca="1">SUM($T37:AI37)</f>
        <v>79.6027954555066</v>
      </c>
      <c r="AZ37" s="12">
        <f ca="1" t="shared" si="20"/>
        <v>64.037968116703</v>
      </c>
      <c r="BA37" s="12">
        <f ca="1" t="shared" si="21"/>
        <v>59.921637424787</v>
      </c>
      <c r="BB37" s="12">
        <f ca="1" t="shared" si="22"/>
        <v>55.2420766830021</v>
      </c>
      <c r="BC37" s="12">
        <f ca="1" t="shared" si="23"/>
        <v>50.6282978173723</v>
      </c>
      <c r="BD37" s="12">
        <f ca="1" t="shared" si="24"/>
        <v>45.2289677557973</v>
      </c>
      <c r="BE37" s="12">
        <f ca="1" t="shared" si="25"/>
        <v>40.0586696048914</v>
      </c>
      <c r="BF37" s="12">
        <f ca="1" t="shared" si="26"/>
        <v>35.1743691255292</v>
      </c>
      <c r="BG37" s="12">
        <f ca="1" t="shared" si="27"/>
        <v>29.7955458429759</v>
      </c>
      <c r="BH37" s="12">
        <f ca="1" t="shared" si="28"/>
        <v>24.9987823554714</v>
      </c>
      <c r="BI37" s="12">
        <f ca="1" t="shared" si="29"/>
        <v>20.458229243484</v>
      </c>
      <c r="BJ37" s="12">
        <f ca="1" t="shared" si="30"/>
        <v>15.1983606318456</v>
      </c>
      <c r="BK37" s="12">
        <f ca="1" t="shared" si="31"/>
        <v>9.20538995831443</v>
      </c>
      <c r="BL37" s="12">
        <f ca="1" t="shared" si="32"/>
        <v>4.50971734550633</v>
      </c>
      <c r="BM37" s="12">
        <f ca="1" t="shared" si="33"/>
        <v>0</v>
      </c>
      <c r="BN37" s="12">
        <f ca="1" t="shared" si="34"/>
        <v>0</v>
      </c>
      <c r="BO37" s="12">
        <f ca="1" t="shared" si="35"/>
        <v>0</v>
      </c>
    </row>
    <row r="38" spans="1:67">
      <c r="A38" s="3">
        <v>8</v>
      </c>
      <c r="B38" s="11">
        <f ca="1" t="shared" si="1"/>
        <v>0.648191305240241</v>
      </c>
      <c r="C38" s="12">
        <f ca="1" t="shared" si="2"/>
        <v>66.4027329320034</v>
      </c>
      <c r="D38" s="11">
        <f ca="1" t="shared" ref="D38:S38" si="42">RAND()</f>
        <v>0.33004900352414</v>
      </c>
      <c r="E38" s="11">
        <f ca="1" t="shared" si="42"/>
        <v>0.391025004805507</v>
      </c>
      <c r="F38" s="11">
        <f ca="1" t="shared" si="42"/>
        <v>0.958519584258973</v>
      </c>
      <c r="G38" s="11">
        <f ca="1" t="shared" si="42"/>
        <v>0.768104486779628</v>
      </c>
      <c r="H38" s="11">
        <f ca="1" t="shared" si="42"/>
        <v>0.442066494423401</v>
      </c>
      <c r="I38" s="11">
        <f ca="1" t="shared" si="42"/>
        <v>0.962855937634903</v>
      </c>
      <c r="J38" s="11">
        <f ca="1" t="shared" si="42"/>
        <v>0.957002154093561</v>
      </c>
      <c r="K38" s="11">
        <f ca="1" t="shared" si="42"/>
        <v>0.284598639759934</v>
      </c>
      <c r="L38" s="11">
        <f ca="1" t="shared" si="42"/>
        <v>0.332454450867718</v>
      </c>
      <c r="M38" s="11">
        <f ca="1" t="shared" si="42"/>
        <v>0.175423755837401</v>
      </c>
      <c r="N38" s="11">
        <f ca="1" t="shared" si="42"/>
        <v>0.315601127137754</v>
      </c>
      <c r="O38" s="11">
        <f ca="1" t="shared" si="42"/>
        <v>0.456534670890198</v>
      </c>
      <c r="P38" s="11">
        <f ca="1" t="shared" si="42"/>
        <v>0.425128249565521</v>
      </c>
      <c r="Q38" s="11">
        <f ca="1" t="shared" si="42"/>
        <v>0.68209514367069</v>
      </c>
      <c r="R38" s="11">
        <f ca="1" t="shared" si="42"/>
        <v>0.145977435375717</v>
      </c>
      <c r="S38" s="11">
        <f ca="1" t="shared" si="42"/>
        <v>0.66374951000825</v>
      </c>
      <c r="T38" s="12">
        <f ca="1" t="shared" si="4"/>
        <v>4.53756125440518</v>
      </c>
      <c r="U38" s="12">
        <f ca="1" t="shared" si="5"/>
        <v>4.61378125600688</v>
      </c>
      <c r="V38" s="12">
        <f ca="1" t="shared" si="6"/>
        <v>5.79259792129487</v>
      </c>
      <c r="W38" s="12">
        <f ca="1" t="shared" si="7"/>
        <v>5.17026121694907</v>
      </c>
      <c r="X38" s="12">
        <f ca="1" t="shared" si="8"/>
        <v>4.67758311802925</v>
      </c>
      <c r="Y38" s="12">
        <f ca="1" t="shared" si="9"/>
        <v>5.81427968817451</v>
      </c>
      <c r="Z38" s="12">
        <f ca="1" t="shared" si="10"/>
        <v>5.7850107704678</v>
      </c>
      <c r="AA38" s="12">
        <f ca="1" t="shared" si="11"/>
        <v>4.47433106626656</v>
      </c>
      <c r="AB38" s="12">
        <f ca="1" t="shared" si="12"/>
        <v>4.54056806358465</v>
      </c>
      <c r="AC38" s="12">
        <f ca="1" t="shared" si="13"/>
        <v>4.29237292639567</v>
      </c>
      <c r="AD38" s="12">
        <f ca="1" t="shared" si="14"/>
        <v>4.51950140892219</v>
      </c>
      <c r="AE38" s="12">
        <f ca="1" t="shared" si="15"/>
        <v>4.69566833861275</v>
      </c>
      <c r="AF38" s="12">
        <f ca="1" t="shared" si="16"/>
        <v>4.6564103119569</v>
      </c>
      <c r="AG38" s="12">
        <f ca="1" t="shared" si="17"/>
        <v>4.97761892958836</v>
      </c>
      <c r="AH38" s="12">
        <f ca="1" t="shared" si="18"/>
        <v>4.2432957256262</v>
      </c>
      <c r="AI38" s="12">
        <f ca="1" t="shared" si="19"/>
        <v>4.95468688751031</v>
      </c>
      <c r="AJ38" s="12">
        <f ca="1">SUM($T38:T38)</f>
        <v>4.53756125440518</v>
      </c>
      <c r="AK38" s="12">
        <f ca="1">SUM($T38:U38)</f>
        <v>9.15134251041206</v>
      </c>
      <c r="AL38" s="12">
        <f ca="1">SUM($T38:V38)</f>
        <v>14.9439404317069</v>
      </c>
      <c r="AM38" s="12">
        <f ca="1">SUM($T38:W38)</f>
        <v>20.114201648656</v>
      </c>
      <c r="AN38" s="12">
        <f ca="1">SUM($T38:X38)</f>
        <v>24.7917847666852</v>
      </c>
      <c r="AO38" s="12">
        <f ca="1">SUM($T38:Y38)</f>
        <v>30.6060644548598</v>
      </c>
      <c r="AP38" s="12">
        <f ca="1">SUM($T38:Z38)</f>
        <v>36.3910752253276</v>
      </c>
      <c r="AQ38" s="12">
        <f ca="1">SUM($T38:AA38)</f>
        <v>40.8654062915941</v>
      </c>
      <c r="AR38" s="12">
        <f ca="1">SUM($T38:AB38)</f>
        <v>45.4059743551788</v>
      </c>
      <c r="AS38" s="12">
        <f ca="1">SUM($T38:AC38)</f>
        <v>49.6983472815744</v>
      </c>
      <c r="AT38" s="12">
        <f ca="1">SUM($T38:AD38)</f>
        <v>54.2178486904966</v>
      </c>
      <c r="AU38" s="12">
        <f ca="1">SUM($T38:AE38)</f>
        <v>58.9135170291094</v>
      </c>
      <c r="AV38" s="12">
        <f ca="1">SUM($T38:AF38)</f>
        <v>63.5699273410663</v>
      </c>
      <c r="AW38" s="12">
        <f ca="1">SUM($T38:AG38)</f>
        <v>68.5475462706546</v>
      </c>
      <c r="AX38" s="12">
        <f ca="1">SUM($T38:AH38)</f>
        <v>72.7908419962808</v>
      </c>
      <c r="AY38" s="12">
        <f ca="1">SUM($T38:AI38)</f>
        <v>77.7455288837912</v>
      </c>
      <c r="AZ38" s="12">
        <f ca="1" t="shared" si="20"/>
        <v>61.8651716775983</v>
      </c>
      <c r="BA38" s="12">
        <f ca="1" t="shared" si="21"/>
        <v>57.2513904215914</v>
      </c>
      <c r="BB38" s="12">
        <f ca="1" t="shared" si="22"/>
        <v>51.4587925002965</v>
      </c>
      <c r="BC38" s="12">
        <f ca="1" t="shared" si="23"/>
        <v>46.2885312833475</v>
      </c>
      <c r="BD38" s="12">
        <f ca="1" t="shared" si="24"/>
        <v>41.6109481653182</v>
      </c>
      <c r="BE38" s="12">
        <f ca="1" t="shared" si="25"/>
        <v>35.7966684771437</v>
      </c>
      <c r="BF38" s="12">
        <f ca="1" t="shared" si="26"/>
        <v>30.0116577066759</v>
      </c>
      <c r="BG38" s="12">
        <f ca="1" t="shared" si="27"/>
        <v>25.5373266404093</v>
      </c>
      <c r="BH38" s="12">
        <f ca="1" t="shared" si="28"/>
        <v>20.9967585768247</v>
      </c>
      <c r="BI38" s="12">
        <f ca="1" t="shared" si="29"/>
        <v>16.704385650429</v>
      </c>
      <c r="BJ38" s="12">
        <f ca="1" t="shared" si="30"/>
        <v>12.1848842415068</v>
      </c>
      <c r="BK38" s="12">
        <f ca="1" t="shared" si="31"/>
        <v>7.48921590289406</v>
      </c>
      <c r="BL38" s="12">
        <f ca="1" t="shared" si="32"/>
        <v>2.83280559093716</v>
      </c>
      <c r="BM38" s="12">
        <f ca="1" t="shared" si="33"/>
        <v>0</v>
      </c>
      <c r="BN38" s="12">
        <f ca="1" t="shared" si="34"/>
        <v>0</v>
      </c>
      <c r="BO38" s="12">
        <f ca="1" t="shared" si="35"/>
        <v>0</v>
      </c>
    </row>
    <row r="39" spans="1:67">
      <c r="A39" s="3">
        <v>9</v>
      </c>
      <c r="B39" s="11">
        <f ca="1" t="shared" si="1"/>
        <v>0.997659274439343</v>
      </c>
      <c r="C39" s="12">
        <f ca="1" t="shared" si="2"/>
        <v>84.4148186098358</v>
      </c>
      <c r="D39" s="11">
        <f ca="1" t="shared" ref="D39:S39" si="43">RAND()</f>
        <v>0.680645488749223</v>
      </c>
      <c r="E39" s="11">
        <f ca="1" t="shared" si="43"/>
        <v>0.768804725137209</v>
      </c>
      <c r="F39" s="11">
        <f ca="1" t="shared" si="43"/>
        <v>0.134574181719826</v>
      </c>
      <c r="G39" s="11">
        <f ca="1" t="shared" si="43"/>
        <v>0.57758133377646</v>
      </c>
      <c r="H39" s="11">
        <f ca="1" t="shared" si="43"/>
        <v>0.245234484904435</v>
      </c>
      <c r="I39" s="11">
        <f ca="1" t="shared" si="43"/>
        <v>0.151455837293518</v>
      </c>
      <c r="J39" s="11">
        <f ca="1" t="shared" si="43"/>
        <v>0.0969426469816628</v>
      </c>
      <c r="K39" s="11">
        <f ca="1" t="shared" si="43"/>
        <v>0.661536630422154</v>
      </c>
      <c r="L39" s="11">
        <f ca="1" t="shared" si="43"/>
        <v>0.498044002270921</v>
      </c>
      <c r="M39" s="11">
        <f ca="1" t="shared" si="43"/>
        <v>0.0437628378751367</v>
      </c>
      <c r="N39" s="11">
        <f ca="1" t="shared" si="43"/>
        <v>0.289793440729145</v>
      </c>
      <c r="O39" s="11">
        <f ca="1" t="shared" si="43"/>
        <v>0.443656611653263</v>
      </c>
      <c r="P39" s="11">
        <f ca="1" t="shared" si="43"/>
        <v>0.530411796698461</v>
      </c>
      <c r="Q39" s="11">
        <f ca="1" t="shared" si="43"/>
        <v>0.0683757731054799</v>
      </c>
      <c r="R39" s="11">
        <f ca="1" t="shared" si="43"/>
        <v>0.49710374320328</v>
      </c>
      <c r="S39" s="11">
        <f ca="1" t="shared" si="43"/>
        <v>0.537413630530215</v>
      </c>
      <c r="T39" s="12">
        <f ca="1" t="shared" si="4"/>
        <v>4.97580686093653</v>
      </c>
      <c r="U39" s="12">
        <f ca="1" t="shared" si="5"/>
        <v>5.17201181284302</v>
      </c>
      <c r="V39" s="12">
        <f ca="1" t="shared" si="6"/>
        <v>4.22429030286638</v>
      </c>
      <c r="W39" s="12">
        <f ca="1" t="shared" si="7"/>
        <v>4.84697666722058</v>
      </c>
      <c r="X39" s="12">
        <f ca="1" t="shared" si="8"/>
        <v>4.40872414150739</v>
      </c>
      <c r="Y39" s="12">
        <f ca="1" t="shared" si="9"/>
        <v>4.2524263954892</v>
      </c>
      <c r="Z39" s="12">
        <f ca="1" t="shared" si="10"/>
        <v>4.16157107830277</v>
      </c>
      <c r="AA39" s="12">
        <f ca="1" t="shared" si="11"/>
        <v>4.95192078802769</v>
      </c>
      <c r="AB39" s="12">
        <f ca="1" t="shared" si="12"/>
        <v>4.74755500283865</v>
      </c>
      <c r="AC39" s="12">
        <f ca="1" t="shared" si="13"/>
        <v>4.07293806312523</v>
      </c>
      <c r="AD39" s="12">
        <f ca="1" t="shared" si="14"/>
        <v>4.48298906788191</v>
      </c>
      <c r="AE39" s="12">
        <f ca="1" t="shared" si="15"/>
        <v>4.67957076456658</v>
      </c>
      <c r="AF39" s="12">
        <f ca="1" t="shared" si="16"/>
        <v>4.78801474587308</v>
      </c>
      <c r="AG39" s="12">
        <f ca="1" t="shared" si="17"/>
        <v>4.11395962184247</v>
      </c>
      <c r="AH39" s="12">
        <f ca="1" t="shared" si="18"/>
        <v>4.7463796790041</v>
      </c>
      <c r="AI39" s="12">
        <f ca="1" t="shared" si="19"/>
        <v>4.79676703816277</v>
      </c>
      <c r="AJ39" s="12">
        <f ca="1">SUM($T39:T39)</f>
        <v>4.97580686093653</v>
      </c>
      <c r="AK39" s="12">
        <f ca="1">SUM($T39:U39)</f>
        <v>10.1478186737796</v>
      </c>
      <c r="AL39" s="12">
        <f ca="1">SUM($T39:V39)</f>
        <v>14.3721089766459</v>
      </c>
      <c r="AM39" s="12">
        <f ca="1">SUM($T39:W39)</f>
        <v>19.2190856438665</v>
      </c>
      <c r="AN39" s="12">
        <f ca="1">SUM($T39:X39)</f>
        <v>23.6278097853739</v>
      </c>
      <c r="AO39" s="12">
        <f ca="1">SUM($T39:Y39)</f>
        <v>27.8802361808631</v>
      </c>
      <c r="AP39" s="12">
        <f ca="1">SUM($T39:Z39)</f>
        <v>32.0418072591659</v>
      </c>
      <c r="AQ39" s="12">
        <f ca="1">SUM($T39:AA39)</f>
        <v>36.9937280471936</v>
      </c>
      <c r="AR39" s="12">
        <f ca="1">SUM($T39:AB39)</f>
        <v>41.7412830500322</v>
      </c>
      <c r="AS39" s="12">
        <f ca="1">SUM($T39:AC39)</f>
        <v>45.8142211131574</v>
      </c>
      <c r="AT39" s="12">
        <f ca="1">SUM($T39:AD39)</f>
        <v>50.2972101810393</v>
      </c>
      <c r="AU39" s="12">
        <f ca="1">SUM($T39:AE39)</f>
        <v>54.9767809456059</v>
      </c>
      <c r="AV39" s="12">
        <f ca="1">SUM($T39:AF39)</f>
        <v>59.764795691479</v>
      </c>
      <c r="AW39" s="12">
        <f ca="1">SUM($T39:AG39)</f>
        <v>63.8787553133215</v>
      </c>
      <c r="AX39" s="12">
        <f ca="1">SUM($T39:AH39)</f>
        <v>68.6251349923256</v>
      </c>
      <c r="AY39" s="12">
        <f ca="1">SUM($T39:AI39)</f>
        <v>73.4219020304883</v>
      </c>
      <c r="AZ39" s="12">
        <f ca="1" t="shared" si="20"/>
        <v>79.4390117488993</v>
      </c>
      <c r="BA39" s="12">
        <f ca="1" t="shared" si="21"/>
        <v>74.2669999360563</v>
      </c>
      <c r="BB39" s="12">
        <f ca="1" t="shared" si="22"/>
        <v>70.0427096331899</v>
      </c>
      <c r="BC39" s="12">
        <f ca="1" t="shared" si="23"/>
        <v>65.1957329659693</v>
      </c>
      <c r="BD39" s="12">
        <f ca="1" t="shared" si="24"/>
        <v>60.7870088244619</v>
      </c>
      <c r="BE39" s="12">
        <f ca="1" t="shared" si="25"/>
        <v>56.5345824289727</v>
      </c>
      <c r="BF39" s="12">
        <f ca="1" t="shared" si="26"/>
        <v>52.37301135067</v>
      </c>
      <c r="BG39" s="12">
        <f ca="1" t="shared" si="27"/>
        <v>47.4210905626423</v>
      </c>
      <c r="BH39" s="12">
        <f ca="1" t="shared" si="28"/>
        <v>42.6735355598036</v>
      </c>
      <c r="BI39" s="12">
        <f ca="1" t="shared" si="29"/>
        <v>38.6005974966784</v>
      </c>
      <c r="BJ39" s="12">
        <f ca="1" t="shared" si="30"/>
        <v>34.1176084287965</v>
      </c>
      <c r="BK39" s="12">
        <f ca="1" t="shared" si="31"/>
        <v>29.4380376642299</v>
      </c>
      <c r="BL39" s="12">
        <f ca="1" t="shared" si="32"/>
        <v>24.6500229183568</v>
      </c>
      <c r="BM39" s="12">
        <f ca="1" t="shared" si="33"/>
        <v>20.5360632965144</v>
      </c>
      <c r="BN39" s="12">
        <f ca="1" t="shared" si="34"/>
        <v>15.7896836175103</v>
      </c>
      <c r="BO39" s="12">
        <f ca="1" t="shared" si="35"/>
        <v>10.9929165793475</v>
      </c>
    </row>
    <row r="40" spans="1:67">
      <c r="A40" s="3">
        <v>10</v>
      </c>
      <c r="B40" s="11">
        <f ca="1" t="shared" si="1"/>
        <v>0.667874177654008</v>
      </c>
      <c r="C40" s="12">
        <f ca="1" t="shared" si="2"/>
        <v>66.6839168236287</v>
      </c>
      <c r="D40" s="11">
        <f ca="1" t="shared" ref="D40:S40" si="44">RAND()</f>
        <v>0.813488088545534</v>
      </c>
      <c r="E40" s="11">
        <f ca="1" t="shared" si="44"/>
        <v>0.77529568479766</v>
      </c>
      <c r="F40" s="11">
        <f ca="1" t="shared" si="44"/>
        <v>0.406908392592455</v>
      </c>
      <c r="G40" s="11">
        <f ca="1" t="shared" si="44"/>
        <v>0.858143826651123</v>
      </c>
      <c r="H40" s="11">
        <f ca="1" t="shared" si="44"/>
        <v>0.840444022727257</v>
      </c>
      <c r="I40" s="11">
        <f ca="1" t="shared" si="44"/>
        <v>0.231552609544075</v>
      </c>
      <c r="J40" s="11">
        <f ca="1" t="shared" si="44"/>
        <v>0.756244734916182</v>
      </c>
      <c r="K40" s="11">
        <f ca="1" t="shared" si="44"/>
        <v>0.622562293151642</v>
      </c>
      <c r="L40" s="11">
        <f ca="1" t="shared" si="44"/>
        <v>0.710373786302465</v>
      </c>
      <c r="M40" s="11">
        <f ca="1" t="shared" si="44"/>
        <v>0.936936456255621</v>
      </c>
      <c r="N40" s="11">
        <f ca="1" t="shared" si="44"/>
        <v>0.378963084367953</v>
      </c>
      <c r="O40" s="11">
        <f ca="1" t="shared" si="44"/>
        <v>0.99857071514126</v>
      </c>
      <c r="P40" s="11">
        <f ca="1" t="shared" si="44"/>
        <v>0.0536004381988873</v>
      </c>
      <c r="Q40" s="11">
        <f ca="1" t="shared" si="44"/>
        <v>0.119944228695708</v>
      </c>
      <c r="R40" s="11">
        <f ca="1" t="shared" si="44"/>
        <v>0.873890001872576</v>
      </c>
      <c r="S40" s="11">
        <f ca="1" t="shared" si="44"/>
        <v>0.285731055285607</v>
      </c>
      <c r="T40" s="12">
        <f ca="1" t="shared" si="4"/>
        <v>5.28372022136384</v>
      </c>
      <c r="U40" s="12">
        <f ca="1" t="shared" si="5"/>
        <v>5.18823921199415</v>
      </c>
      <c r="V40" s="12">
        <f ca="1" t="shared" si="6"/>
        <v>4.63363549074057</v>
      </c>
      <c r="W40" s="12">
        <f ca="1" t="shared" si="7"/>
        <v>5.39535956662781</v>
      </c>
      <c r="X40" s="12">
        <f ca="1" t="shared" si="8"/>
        <v>5.35111005681814</v>
      </c>
      <c r="Y40" s="12">
        <f ca="1" t="shared" si="9"/>
        <v>4.38592101590679</v>
      </c>
      <c r="Z40" s="12">
        <f ca="1" t="shared" si="10"/>
        <v>5.14061183729045</v>
      </c>
      <c r="AA40" s="12">
        <f ca="1" t="shared" si="11"/>
        <v>4.90320286643955</v>
      </c>
      <c r="AB40" s="12">
        <f ca="1" t="shared" si="12"/>
        <v>5.02593446575616</v>
      </c>
      <c r="AC40" s="12">
        <f ca="1" t="shared" si="13"/>
        <v>5.68468228127811</v>
      </c>
      <c r="AD40" s="12">
        <f ca="1" t="shared" si="14"/>
        <v>4.59870385545994</v>
      </c>
      <c r="AE40" s="12">
        <f ca="1" t="shared" si="15"/>
        <v>5.9928535757063</v>
      </c>
      <c r="AF40" s="12">
        <f ca="1" t="shared" si="16"/>
        <v>4.08933406366481</v>
      </c>
      <c r="AG40" s="12">
        <f ca="1" t="shared" si="17"/>
        <v>4.19990704782618</v>
      </c>
      <c r="AH40" s="12">
        <f ca="1" t="shared" si="18"/>
        <v>5.43472500468144</v>
      </c>
      <c r="AI40" s="12">
        <f ca="1" t="shared" si="19"/>
        <v>4.47621842547601</v>
      </c>
      <c r="AJ40" s="12">
        <f ca="1">SUM($T40:T40)</f>
        <v>5.28372022136384</v>
      </c>
      <c r="AK40" s="12">
        <f ca="1">SUM($T40:U40)</f>
        <v>10.471959433358</v>
      </c>
      <c r="AL40" s="12">
        <f ca="1">SUM($T40:V40)</f>
        <v>15.1055949240986</v>
      </c>
      <c r="AM40" s="12">
        <f ca="1">SUM($T40:W40)</f>
        <v>20.5009544907264</v>
      </c>
      <c r="AN40" s="12">
        <f ca="1">SUM($T40:X40)</f>
        <v>25.8520645475445</v>
      </c>
      <c r="AO40" s="12">
        <f ca="1">SUM($T40:Y40)</f>
        <v>30.2379855634513</v>
      </c>
      <c r="AP40" s="12">
        <f ca="1">SUM($T40:Z40)</f>
        <v>35.3785974007418</v>
      </c>
      <c r="AQ40" s="12">
        <f ca="1">SUM($T40:AA40)</f>
        <v>40.2818002671813</v>
      </c>
      <c r="AR40" s="12">
        <f ca="1">SUM($T40:AB40)</f>
        <v>45.3077347329375</v>
      </c>
      <c r="AS40" s="12">
        <f ca="1">SUM($T40:AC40)</f>
        <v>50.9924170142156</v>
      </c>
      <c r="AT40" s="12">
        <f ca="1">SUM($T40:AD40)</f>
        <v>55.5911208696755</v>
      </c>
      <c r="AU40" s="12">
        <f ca="1">SUM($T40:AE40)</f>
        <v>61.5839744453818</v>
      </c>
      <c r="AV40" s="12">
        <f ca="1">SUM($T40:AF40)</f>
        <v>65.6733085090466</v>
      </c>
      <c r="AW40" s="12">
        <f ca="1">SUM($T40:AG40)</f>
        <v>69.8732155568728</v>
      </c>
      <c r="AX40" s="12">
        <f ca="1">SUM($T40:AH40)</f>
        <v>75.3079405615543</v>
      </c>
      <c r="AY40" s="12">
        <f ca="1">SUM($T40:AI40)</f>
        <v>79.7841589870303</v>
      </c>
      <c r="AZ40" s="12">
        <f ca="1" t="shared" si="20"/>
        <v>61.4001966022648</v>
      </c>
      <c r="BA40" s="12">
        <f ca="1" t="shared" si="21"/>
        <v>56.2119573902707</v>
      </c>
      <c r="BB40" s="12">
        <f ca="1" t="shared" si="22"/>
        <v>51.5783218995301</v>
      </c>
      <c r="BC40" s="12">
        <f ca="1" t="shared" si="23"/>
        <v>46.1829623329023</v>
      </c>
      <c r="BD40" s="12">
        <f ca="1" t="shared" si="24"/>
        <v>40.8318522760842</v>
      </c>
      <c r="BE40" s="12">
        <f ca="1" t="shared" si="25"/>
        <v>36.4459312601774</v>
      </c>
      <c r="BF40" s="12">
        <f ca="1" t="shared" si="26"/>
        <v>31.3053194228869</v>
      </c>
      <c r="BG40" s="12">
        <f ca="1" t="shared" si="27"/>
        <v>26.4021165564474</v>
      </c>
      <c r="BH40" s="12">
        <f ca="1" t="shared" si="28"/>
        <v>21.3761820906912</v>
      </c>
      <c r="BI40" s="12">
        <f ca="1" t="shared" si="29"/>
        <v>15.6914998094131</v>
      </c>
      <c r="BJ40" s="12">
        <f ca="1" t="shared" si="30"/>
        <v>11.0927959539532</v>
      </c>
      <c r="BK40" s="12">
        <f ca="1" t="shared" si="31"/>
        <v>5.09994237824686</v>
      </c>
      <c r="BL40" s="12">
        <f ca="1" t="shared" si="32"/>
        <v>1.01060831458204</v>
      </c>
      <c r="BM40" s="12">
        <f ca="1" t="shared" si="33"/>
        <v>0</v>
      </c>
      <c r="BN40" s="12">
        <f ca="1" t="shared" si="34"/>
        <v>0</v>
      </c>
      <c r="BO40" s="12">
        <f ca="1" t="shared" si="35"/>
        <v>0</v>
      </c>
    </row>
    <row r="41" spans="1:67">
      <c r="A41" s="3">
        <v>11</v>
      </c>
      <c r="B41" s="11">
        <f ca="1" t="shared" si="1"/>
        <v>0.759292009597866</v>
      </c>
      <c r="C41" s="12">
        <f ca="1" t="shared" si="2"/>
        <v>67.9898858513981</v>
      </c>
      <c r="D41" s="11">
        <f ca="1" t="shared" ref="D41:S41" si="45">RAND()</f>
        <v>0.329195300934359</v>
      </c>
      <c r="E41" s="11">
        <f ca="1" t="shared" si="45"/>
        <v>0.331722201280839</v>
      </c>
      <c r="F41" s="11">
        <f ca="1" t="shared" si="45"/>
        <v>0.416940903646307</v>
      </c>
      <c r="G41" s="11">
        <f ca="1" t="shared" si="45"/>
        <v>0.877728763265678</v>
      </c>
      <c r="H41" s="11">
        <f ca="1" t="shared" si="45"/>
        <v>0.147208370927744</v>
      </c>
      <c r="I41" s="11">
        <f ca="1" t="shared" si="45"/>
        <v>0.00878001901054604</v>
      </c>
      <c r="J41" s="11">
        <f ca="1" t="shared" si="45"/>
        <v>0.421948086180519</v>
      </c>
      <c r="K41" s="11">
        <f ca="1" t="shared" si="45"/>
        <v>0.703609918959116</v>
      </c>
      <c r="L41" s="11">
        <f ca="1" t="shared" si="45"/>
        <v>0.282265954116317</v>
      </c>
      <c r="M41" s="11">
        <f ca="1" t="shared" si="45"/>
        <v>0.135666815269688</v>
      </c>
      <c r="N41" s="11">
        <f ca="1" t="shared" si="45"/>
        <v>0.871330934289847</v>
      </c>
      <c r="O41" s="11">
        <f ca="1" t="shared" si="45"/>
        <v>0.703985321436305</v>
      </c>
      <c r="P41" s="11">
        <f ca="1" t="shared" si="45"/>
        <v>0.810933620030216</v>
      </c>
      <c r="Q41" s="11">
        <f ca="1" t="shared" si="45"/>
        <v>0.0265805342113963</v>
      </c>
      <c r="R41" s="11">
        <f ca="1" t="shared" si="45"/>
        <v>0.900416460254416</v>
      </c>
      <c r="S41" s="11">
        <f ca="1" t="shared" si="45"/>
        <v>0.909327807724057</v>
      </c>
      <c r="T41" s="12">
        <f ca="1" t="shared" si="4"/>
        <v>4.53649412616795</v>
      </c>
      <c r="U41" s="12">
        <f ca="1" t="shared" si="5"/>
        <v>4.53965275160105</v>
      </c>
      <c r="V41" s="12">
        <f ca="1" t="shared" si="6"/>
        <v>4.64617612955788</v>
      </c>
      <c r="W41" s="12">
        <f ca="1" t="shared" si="7"/>
        <v>5.44432190816419</v>
      </c>
      <c r="X41" s="12">
        <f ca="1" t="shared" si="8"/>
        <v>4.24534728487957</v>
      </c>
      <c r="Y41" s="12">
        <f ca="1" t="shared" si="9"/>
        <v>4.01463336501758</v>
      </c>
      <c r="Z41" s="12">
        <f ca="1" t="shared" si="10"/>
        <v>4.65243510772565</v>
      </c>
      <c r="AA41" s="12">
        <f ca="1" t="shared" si="11"/>
        <v>5.00902479739779</v>
      </c>
      <c r="AB41" s="12">
        <f ca="1" t="shared" si="12"/>
        <v>4.47044325686053</v>
      </c>
      <c r="AC41" s="12">
        <f ca="1" t="shared" si="13"/>
        <v>4.22611135878281</v>
      </c>
      <c r="AD41" s="12">
        <f ca="1" t="shared" si="14"/>
        <v>5.42832733572462</v>
      </c>
      <c r="AE41" s="12">
        <f ca="1" t="shared" si="15"/>
        <v>5.00996330359076</v>
      </c>
      <c r="AF41" s="12">
        <f ca="1" t="shared" si="16"/>
        <v>5.27733405007554</v>
      </c>
      <c r="AG41" s="12">
        <f ca="1" t="shared" si="17"/>
        <v>4.04430089035233</v>
      </c>
      <c r="AH41" s="12">
        <f ca="1" t="shared" si="18"/>
        <v>5.50208230127208</v>
      </c>
      <c r="AI41" s="12">
        <f ca="1" t="shared" si="19"/>
        <v>5.54663903862029</v>
      </c>
      <c r="AJ41" s="12">
        <f ca="1">SUM($T41:T41)</f>
        <v>4.53649412616795</v>
      </c>
      <c r="AK41" s="12">
        <f ca="1">SUM($T41:U41)</f>
        <v>9.076146877769</v>
      </c>
      <c r="AL41" s="12">
        <f ca="1">SUM($T41:V41)</f>
        <v>13.7223230073269</v>
      </c>
      <c r="AM41" s="12">
        <f ca="1">SUM($T41:W41)</f>
        <v>19.1666449154911</v>
      </c>
      <c r="AN41" s="12">
        <f ca="1">SUM($T41:X41)</f>
        <v>23.4119922003707</v>
      </c>
      <c r="AO41" s="12">
        <f ca="1">SUM($T41:Y41)</f>
        <v>27.4266255653882</v>
      </c>
      <c r="AP41" s="12">
        <f ca="1">SUM($T41:Z41)</f>
        <v>32.0790606731139</v>
      </c>
      <c r="AQ41" s="12">
        <f ca="1">SUM($T41:AA41)</f>
        <v>37.0880854705117</v>
      </c>
      <c r="AR41" s="12">
        <f ca="1">SUM($T41:AB41)</f>
        <v>41.5585287273722</v>
      </c>
      <c r="AS41" s="12">
        <f ca="1">SUM($T41:AC41)</f>
        <v>45.784640086155</v>
      </c>
      <c r="AT41" s="12">
        <f ca="1">SUM($T41:AD41)</f>
        <v>51.2129674218796</v>
      </c>
      <c r="AU41" s="12">
        <f ca="1">SUM($T41:AE41)</f>
        <v>56.2229307254704</v>
      </c>
      <c r="AV41" s="12">
        <f ca="1">SUM($T41:AF41)</f>
        <v>61.5002647755459</v>
      </c>
      <c r="AW41" s="12">
        <f ca="1">SUM($T41:AG41)</f>
        <v>65.5445656658983</v>
      </c>
      <c r="AX41" s="12">
        <f ca="1">SUM($T41:AH41)</f>
        <v>71.0466479671703</v>
      </c>
      <c r="AY41" s="12">
        <f ca="1">SUM($T41:AI41)</f>
        <v>76.5932870057906</v>
      </c>
      <c r="AZ41" s="12">
        <f ca="1" t="shared" si="20"/>
        <v>63.4533917252301</v>
      </c>
      <c r="BA41" s="12">
        <f ca="1" t="shared" si="21"/>
        <v>58.9137389736291</v>
      </c>
      <c r="BB41" s="12">
        <f ca="1" t="shared" si="22"/>
        <v>54.2675628440712</v>
      </c>
      <c r="BC41" s="12">
        <f ca="1" t="shared" si="23"/>
        <v>48.823240935907</v>
      </c>
      <c r="BD41" s="12">
        <f ca="1" t="shared" si="24"/>
        <v>44.5778936510274</v>
      </c>
      <c r="BE41" s="12">
        <f ca="1" t="shared" si="25"/>
        <v>40.5632602860099</v>
      </c>
      <c r="BF41" s="12">
        <f ca="1" t="shared" si="26"/>
        <v>35.9108251782842</v>
      </c>
      <c r="BG41" s="12">
        <f ca="1" t="shared" si="27"/>
        <v>30.9018003808864</v>
      </c>
      <c r="BH41" s="12">
        <f ca="1" t="shared" si="28"/>
        <v>26.4313571240259</v>
      </c>
      <c r="BI41" s="12">
        <f ca="1" t="shared" si="29"/>
        <v>22.2052457652431</v>
      </c>
      <c r="BJ41" s="12">
        <f ca="1" t="shared" si="30"/>
        <v>16.7769184295185</v>
      </c>
      <c r="BK41" s="12">
        <f ca="1" t="shared" si="31"/>
        <v>11.7669551259277</v>
      </c>
      <c r="BL41" s="12">
        <f ca="1" t="shared" si="32"/>
        <v>6.48962107585215</v>
      </c>
      <c r="BM41" s="12">
        <f ca="1" t="shared" si="33"/>
        <v>2.44532018549982</v>
      </c>
      <c r="BN41" s="12">
        <f ca="1" t="shared" si="34"/>
        <v>0</v>
      </c>
      <c r="BO41" s="12">
        <f ca="1" t="shared" si="35"/>
        <v>0</v>
      </c>
    </row>
    <row r="42" spans="1:67">
      <c r="A42" s="3">
        <v>12</v>
      </c>
      <c r="B42" s="11">
        <f ca="1" t="shared" si="1"/>
        <v>0.504186203709112</v>
      </c>
      <c r="C42" s="12">
        <f ca="1" t="shared" si="2"/>
        <v>64.2364367284852</v>
      </c>
      <c r="D42" s="11">
        <f ca="1" t="shared" ref="D42:S42" si="46">RAND()</f>
        <v>0.77792330786476</v>
      </c>
      <c r="E42" s="11">
        <f ca="1" t="shared" si="46"/>
        <v>0.762640073417227</v>
      </c>
      <c r="F42" s="11">
        <f ca="1" t="shared" si="46"/>
        <v>0.0841903588914197</v>
      </c>
      <c r="G42" s="11">
        <f ca="1" t="shared" si="46"/>
        <v>0.927140684927693</v>
      </c>
      <c r="H42" s="11">
        <f ca="1" t="shared" si="46"/>
        <v>0.243717247724853</v>
      </c>
      <c r="I42" s="11">
        <f ca="1" t="shared" si="46"/>
        <v>0.95850327586755</v>
      </c>
      <c r="J42" s="11">
        <f ca="1" t="shared" si="46"/>
        <v>0.795524071516002</v>
      </c>
      <c r="K42" s="11">
        <f ca="1" t="shared" si="46"/>
        <v>0.808551847859364</v>
      </c>
      <c r="L42" s="11">
        <f ca="1" t="shared" si="46"/>
        <v>0.371176159480878</v>
      </c>
      <c r="M42" s="11">
        <f ca="1" t="shared" si="46"/>
        <v>0.28460499406654</v>
      </c>
      <c r="N42" s="11">
        <f ca="1" t="shared" si="46"/>
        <v>0.29771562764377</v>
      </c>
      <c r="O42" s="11">
        <f ca="1" t="shared" si="46"/>
        <v>0.860024588282248</v>
      </c>
      <c r="P42" s="11">
        <f ca="1" t="shared" si="46"/>
        <v>0.0175111377839516</v>
      </c>
      <c r="Q42" s="11">
        <f ca="1" t="shared" si="46"/>
        <v>0.840432507085512</v>
      </c>
      <c r="R42" s="11">
        <f ca="1" t="shared" si="46"/>
        <v>0.512124619883557</v>
      </c>
      <c r="S42" s="11">
        <f ca="1" t="shared" si="46"/>
        <v>0.0300827372287824</v>
      </c>
      <c r="T42" s="12">
        <f ca="1" t="shared" si="4"/>
        <v>5.1948082696619</v>
      </c>
      <c r="U42" s="12">
        <f ca="1" t="shared" si="5"/>
        <v>5.15660018354307</v>
      </c>
      <c r="V42" s="12">
        <f ca="1" t="shared" si="6"/>
        <v>4.14031726481903</v>
      </c>
      <c r="W42" s="12">
        <f ca="1" t="shared" si="7"/>
        <v>5.63570342463846</v>
      </c>
      <c r="X42" s="12">
        <f ca="1" t="shared" si="8"/>
        <v>4.40619541287476</v>
      </c>
      <c r="Y42" s="12">
        <f ca="1" t="shared" si="9"/>
        <v>5.79251637933775</v>
      </c>
      <c r="Z42" s="12">
        <f ca="1" t="shared" si="10"/>
        <v>5.23881017879</v>
      </c>
      <c r="AA42" s="12">
        <f ca="1" t="shared" si="11"/>
        <v>5.27137961964841</v>
      </c>
      <c r="AB42" s="12">
        <f ca="1" t="shared" si="12"/>
        <v>4.5889701993511</v>
      </c>
      <c r="AC42" s="12">
        <f ca="1" t="shared" si="13"/>
        <v>4.47434165677757</v>
      </c>
      <c r="AD42" s="12">
        <f ca="1" t="shared" si="14"/>
        <v>4.49619271273962</v>
      </c>
      <c r="AE42" s="12">
        <f ca="1" t="shared" si="15"/>
        <v>5.40006147070562</v>
      </c>
      <c r="AF42" s="12">
        <f ca="1" t="shared" si="16"/>
        <v>4.02918522963992</v>
      </c>
      <c r="AG42" s="12">
        <f ca="1" t="shared" si="17"/>
        <v>5.35108126771378</v>
      </c>
      <c r="AH42" s="12">
        <f ca="1" t="shared" si="18"/>
        <v>4.76515577485445</v>
      </c>
      <c r="AI42" s="12">
        <f ca="1" t="shared" si="19"/>
        <v>4.0501378953813</v>
      </c>
      <c r="AJ42" s="12">
        <f ca="1">SUM($T42:T42)</f>
        <v>5.1948082696619</v>
      </c>
      <c r="AK42" s="12">
        <f ca="1">SUM($T42:U42)</f>
        <v>10.351408453205</v>
      </c>
      <c r="AL42" s="12">
        <f ca="1">SUM($T42:V42)</f>
        <v>14.491725718024</v>
      </c>
      <c r="AM42" s="12">
        <f ca="1">SUM($T42:W42)</f>
        <v>20.1274291426625</v>
      </c>
      <c r="AN42" s="12">
        <f ca="1">SUM($T42:X42)</f>
        <v>24.5336245555372</v>
      </c>
      <c r="AO42" s="12">
        <f ca="1">SUM($T42:Y42)</f>
        <v>30.326140934875</v>
      </c>
      <c r="AP42" s="12">
        <f ca="1">SUM($T42:Z42)</f>
        <v>35.564951113665</v>
      </c>
      <c r="AQ42" s="12">
        <f ca="1">SUM($T42:AA42)</f>
        <v>40.8363307333134</v>
      </c>
      <c r="AR42" s="12">
        <f ca="1">SUM($T42:AB42)</f>
        <v>45.4253009326645</v>
      </c>
      <c r="AS42" s="12">
        <f ca="1">SUM($T42:AC42)</f>
        <v>49.8996425894421</v>
      </c>
      <c r="AT42" s="12">
        <f ca="1">SUM($T42:AD42)</f>
        <v>54.3958353021817</v>
      </c>
      <c r="AU42" s="12">
        <f ca="1">SUM($T42:AE42)</f>
        <v>59.7958967728873</v>
      </c>
      <c r="AV42" s="12">
        <f ca="1">SUM($T42:AF42)</f>
        <v>63.8250820025272</v>
      </c>
      <c r="AW42" s="12">
        <f ca="1">SUM($T42:AG42)</f>
        <v>69.176163270241</v>
      </c>
      <c r="AX42" s="12">
        <f ca="1">SUM($T42:AH42)</f>
        <v>73.9413190450954</v>
      </c>
      <c r="AY42" s="12">
        <f ca="1">SUM($T42:AI42)</f>
        <v>77.9914569404767</v>
      </c>
      <c r="AZ42" s="12">
        <f ca="1" t="shared" si="20"/>
        <v>59.0416284588233</v>
      </c>
      <c r="BA42" s="12">
        <f ca="1" t="shared" si="21"/>
        <v>53.8850282752802</v>
      </c>
      <c r="BB42" s="12">
        <f ca="1" t="shared" si="22"/>
        <v>49.7447110104612</v>
      </c>
      <c r="BC42" s="12">
        <f ca="1" t="shared" si="23"/>
        <v>44.1090075858227</v>
      </c>
      <c r="BD42" s="12">
        <f ca="1" t="shared" si="24"/>
        <v>39.702812172948</v>
      </c>
      <c r="BE42" s="12">
        <f ca="1" t="shared" si="25"/>
        <v>33.9102957936102</v>
      </c>
      <c r="BF42" s="12">
        <f ca="1" t="shared" si="26"/>
        <v>28.6714856148202</v>
      </c>
      <c r="BG42" s="12">
        <f ca="1" t="shared" si="27"/>
        <v>23.4001059951718</v>
      </c>
      <c r="BH42" s="12">
        <f ca="1" t="shared" si="28"/>
        <v>18.8111357958207</v>
      </c>
      <c r="BI42" s="12">
        <f ca="1" t="shared" si="29"/>
        <v>14.3367941390431</v>
      </c>
      <c r="BJ42" s="12">
        <f ca="1" t="shared" si="30"/>
        <v>9.84060142630354</v>
      </c>
      <c r="BK42" s="12">
        <f ca="1" t="shared" si="31"/>
        <v>4.44053995559791</v>
      </c>
      <c r="BL42" s="12">
        <f ca="1" t="shared" si="32"/>
        <v>0.411354725957992</v>
      </c>
      <c r="BM42" s="12">
        <f ca="1" t="shared" si="33"/>
        <v>0</v>
      </c>
      <c r="BN42" s="12">
        <f ca="1" t="shared" si="34"/>
        <v>0</v>
      </c>
      <c r="BO42" s="12">
        <f ca="1" t="shared" si="35"/>
        <v>0</v>
      </c>
    </row>
    <row r="43" spans="1:67">
      <c r="A43" s="3">
        <v>13</v>
      </c>
      <c r="B43" s="11">
        <f ca="1" t="shared" si="1"/>
        <v>0.965693934441649</v>
      </c>
      <c r="C43" s="12">
        <f ca="1" t="shared" si="2"/>
        <v>79.1058709026031</v>
      </c>
      <c r="D43" s="11">
        <f ca="1" t="shared" ref="D43:S43" si="47">RAND()</f>
        <v>0.62256519463983</v>
      </c>
      <c r="E43" s="11">
        <f ca="1" t="shared" si="47"/>
        <v>0.611446572254868</v>
      </c>
      <c r="F43" s="11">
        <f ca="1" t="shared" si="47"/>
        <v>0.826490109963551</v>
      </c>
      <c r="G43" s="11">
        <f ca="1" t="shared" si="47"/>
        <v>0.231945540180026</v>
      </c>
      <c r="H43" s="11">
        <f ca="1" t="shared" si="47"/>
        <v>0.936934139392447</v>
      </c>
      <c r="I43" s="11">
        <f ca="1" t="shared" si="47"/>
        <v>0.117732733987954</v>
      </c>
      <c r="J43" s="11">
        <f ca="1" t="shared" si="47"/>
        <v>0.452706247118873</v>
      </c>
      <c r="K43" s="11">
        <f ca="1" t="shared" si="47"/>
        <v>0.02657029609866</v>
      </c>
      <c r="L43" s="11">
        <f ca="1" t="shared" si="47"/>
        <v>0.316828896668785</v>
      </c>
      <c r="M43" s="11">
        <f ca="1" t="shared" si="47"/>
        <v>0.0104952267430241</v>
      </c>
      <c r="N43" s="11">
        <f ca="1" t="shared" si="47"/>
        <v>0.193821481091985</v>
      </c>
      <c r="O43" s="11">
        <f ca="1" t="shared" si="47"/>
        <v>0.826653062745572</v>
      </c>
      <c r="P43" s="11">
        <f ca="1" t="shared" si="47"/>
        <v>0.751633190178815</v>
      </c>
      <c r="Q43" s="11">
        <f ca="1" t="shared" si="47"/>
        <v>0.550981337709866</v>
      </c>
      <c r="R43" s="11">
        <f ca="1" t="shared" si="47"/>
        <v>0.852454443258096</v>
      </c>
      <c r="S43" s="11">
        <f ca="1" t="shared" si="47"/>
        <v>0.193828288779881</v>
      </c>
      <c r="T43" s="12">
        <f ca="1" t="shared" si="4"/>
        <v>4.90320649329979</v>
      </c>
      <c r="U43" s="12">
        <f ca="1" t="shared" si="5"/>
        <v>4.88930821531859</v>
      </c>
      <c r="V43" s="12">
        <f ca="1" t="shared" si="6"/>
        <v>5.31622527490888</v>
      </c>
      <c r="W43" s="12">
        <f ca="1" t="shared" si="7"/>
        <v>4.38657590030004</v>
      </c>
      <c r="X43" s="12">
        <f ca="1" t="shared" si="8"/>
        <v>5.68467069696224</v>
      </c>
      <c r="Y43" s="12">
        <f ca="1" t="shared" si="9"/>
        <v>4.19622122331326</v>
      </c>
      <c r="Z43" s="12">
        <f ca="1" t="shared" si="10"/>
        <v>4.69088280889859</v>
      </c>
      <c r="AA43" s="12">
        <f ca="1" t="shared" si="11"/>
        <v>4.0442838268311</v>
      </c>
      <c r="AB43" s="12">
        <f ca="1" t="shared" si="12"/>
        <v>4.52103612083598</v>
      </c>
      <c r="AC43" s="12">
        <f ca="1" t="shared" si="13"/>
        <v>4.01749204457171</v>
      </c>
      <c r="AD43" s="12">
        <f ca="1" t="shared" si="14"/>
        <v>4.32303580181997</v>
      </c>
      <c r="AE43" s="12">
        <f ca="1" t="shared" si="15"/>
        <v>5.31663265686393</v>
      </c>
      <c r="AF43" s="12">
        <f ca="1" t="shared" si="16"/>
        <v>5.12908297544704</v>
      </c>
      <c r="AG43" s="12">
        <f ca="1" t="shared" si="17"/>
        <v>4.81372667213733</v>
      </c>
      <c r="AH43" s="12">
        <f ca="1" t="shared" si="18"/>
        <v>5.38113610814524</v>
      </c>
      <c r="AI43" s="12">
        <f ca="1" t="shared" si="19"/>
        <v>4.32304714796647</v>
      </c>
      <c r="AJ43" s="12">
        <f ca="1">SUM($T43:T43)</f>
        <v>4.90320649329979</v>
      </c>
      <c r="AK43" s="12">
        <f ca="1">SUM($T43:U43)</f>
        <v>9.79251470861837</v>
      </c>
      <c r="AL43" s="12">
        <f ca="1">SUM($T43:V43)</f>
        <v>15.1087399835273</v>
      </c>
      <c r="AM43" s="12">
        <f ca="1">SUM($T43:W43)</f>
        <v>19.4953158838273</v>
      </c>
      <c r="AN43" s="12">
        <f ca="1">SUM($T43:X43)</f>
        <v>25.1799865807895</v>
      </c>
      <c r="AO43" s="12">
        <f ca="1">SUM($T43:Y43)</f>
        <v>29.3762078041028</v>
      </c>
      <c r="AP43" s="12">
        <f ca="1">SUM($T43:Z43)</f>
        <v>34.0670906130014</v>
      </c>
      <c r="AQ43" s="12">
        <f ca="1">SUM($T43:AA43)</f>
        <v>38.1113744398325</v>
      </c>
      <c r="AR43" s="12">
        <f ca="1">SUM($T43:AB43)</f>
        <v>42.6324105606685</v>
      </c>
      <c r="AS43" s="12">
        <f ca="1">SUM($T43:AC43)</f>
        <v>46.6499026052402</v>
      </c>
      <c r="AT43" s="12">
        <f ca="1">SUM($T43:AD43)</f>
        <v>50.9729384070601</v>
      </c>
      <c r="AU43" s="12">
        <f ca="1">SUM($T43:AE43)</f>
        <v>56.2895710639241</v>
      </c>
      <c r="AV43" s="12">
        <f ca="1">SUM($T43:AF43)</f>
        <v>61.4186540393711</v>
      </c>
      <c r="AW43" s="12">
        <f ca="1">SUM($T43:AG43)</f>
        <v>66.2323807115084</v>
      </c>
      <c r="AX43" s="12">
        <f ca="1">SUM($T43:AH43)</f>
        <v>71.6135168196537</v>
      </c>
      <c r="AY43" s="12">
        <f ca="1">SUM($T43:AI43)</f>
        <v>75.9365639676201</v>
      </c>
      <c r="AZ43" s="12">
        <f ca="1" t="shared" si="20"/>
        <v>74.2026644093033</v>
      </c>
      <c r="BA43" s="12">
        <f ca="1" t="shared" si="21"/>
        <v>69.3133561939847</v>
      </c>
      <c r="BB43" s="12">
        <f ca="1" t="shared" si="22"/>
        <v>63.9971309190758</v>
      </c>
      <c r="BC43" s="12">
        <f ca="1" t="shared" si="23"/>
        <v>59.6105550187758</v>
      </c>
      <c r="BD43" s="12">
        <f ca="1" t="shared" si="24"/>
        <v>53.9258843218135</v>
      </c>
      <c r="BE43" s="12">
        <f ca="1" t="shared" si="25"/>
        <v>49.7296630985003</v>
      </c>
      <c r="BF43" s="12">
        <f ca="1" t="shared" si="26"/>
        <v>45.0387802896017</v>
      </c>
      <c r="BG43" s="12">
        <f ca="1" t="shared" si="27"/>
        <v>40.9944964627706</v>
      </c>
      <c r="BH43" s="12">
        <f ca="1" t="shared" si="28"/>
        <v>36.4734603419346</v>
      </c>
      <c r="BI43" s="12">
        <f ca="1" t="shared" si="29"/>
        <v>32.4559682973629</v>
      </c>
      <c r="BJ43" s="12">
        <f ca="1" t="shared" si="30"/>
        <v>28.1329324955429</v>
      </c>
      <c r="BK43" s="12">
        <f ca="1" t="shared" si="31"/>
        <v>22.816299838679</v>
      </c>
      <c r="BL43" s="12">
        <f ca="1" t="shared" si="32"/>
        <v>17.687216863232</v>
      </c>
      <c r="BM43" s="12">
        <f ca="1" t="shared" si="33"/>
        <v>12.8734901910946</v>
      </c>
      <c r="BN43" s="12">
        <f ca="1" t="shared" si="34"/>
        <v>7.49235408294939</v>
      </c>
      <c r="BO43" s="12">
        <f ca="1" t="shared" si="35"/>
        <v>3.16930693498293</v>
      </c>
    </row>
    <row r="44" spans="1:67">
      <c r="A44" s="3">
        <v>14</v>
      </c>
      <c r="B44" s="11">
        <f ca="1" t="shared" si="1"/>
        <v>0.828315141150575</v>
      </c>
      <c r="C44" s="12">
        <f ca="1" t="shared" si="2"/>
        <v>68.9759305878654</v>
      </c>
      <c r="D44" s="11">
        <f ca="1" t="shared" ref="D44:S44" si="48">RAND()</f>
        <v>0.667805442736438</v>
      </c>
      <c r="E44" s="11">
        <f ca="1" t="shared" si="48"/>
        <v>0.516810356384909</v>
      </c>
      <c r="F44" s="11">
        <f ca="1" t="shared" si="48"/>
        <v>0.855493064909039</v>
      </c>
      <c r="G44" s="11">
        <f ca="1" t="shared" si="48"/>
        <v>0.550969272011183</v>
      </c>
      <c r="H44" s="11">
        <f ca="1" t="shared" si="48"/>
        <v>0.697388419518103</v>
      </c>
      <c r="I44" s="11">
        <f ca="1" t="shared" si="48"/>
        <v>0.550184349237048</v>
      </c>
      <c r="J44" s="11">
        <f ca="1" t="shared" si="48"/>
        <v>0.301810378243875</v>
      </c>
      <c r="K44" s="11">
        <f ca="1" t="shared" si="48"/>
        <v>0.855476155010562</v>
      </c>
      <c r="L44" s="11">
        <f ca="1" t="shared" si="48"/>
        <v>0.859715217773656</v>
      </c>
      <c r="M44" s="11">
        <f ca="1" t="shared" si="48"/>
        <v>0.683816541366087</v>
      </c>
      <c r="N44" s="11">
        <f ca="1" t="shared" si="48"/>
        <v>0.69738863312021</v>
      </c>
      <c r="O44" s="11">
        <f ca="1" t="shared" si="48"/>
        <v>0.607424880439548</v>
      </c>
      <c r="P44" s="11">
        <f ca="1" t="shared" si="48"/>
        <v>0.0450173344326996</v>
      </c>
      <c r="Q44" s="11">
        <f ca="1" t="shared" si="48"/>
        <v>0.330053587130054</v>
      </c>
      <c r="R44" s="11">
        <f ca="1" t="shared" si="48"/>
        <v>0.0678327367046512</v>
      </c>
      <c r="S44" s="11">
        <f ca="1" t="shared" si="48"/>
        <v>0.391044555065329</v>
      </c>
      <c r="T44" s="12">
        <f ca="1" t="shared" si="4"/>
        <v>4.95975680342055</v>
      </c>
      <c r="U44" s="12">
        <f ca="1" t="shared" si="5"/>
        <v>4.77101294548114</v>
      </c>
      <c r="V44" s="12">
        <f ca="1" t="shared" si="6"/>
        <v>5.3887326622726</v>
      </c>
      <c r="W44" s="12">
        <f ca="1" t="shared" si="7"/>
        <v>4.81371159001398</v>
      </c>
      <c r="X44" s="12">
        <f ca="1" t="shared" si="8"/>
        <v>4.99673552439763</v>
      </c>
      <c r="Y44" s="12">
        <f ca="1" t="shared" si="9"/>
        <v>4.81273043654631</v>
      </c>
      <c r="Z44" s="12">
        <f ca="1" t="shared" si="10"/>
        <v>4.50226297280484</v>
      </c>
      <c r="AA44" s="12">
        <f ca="1" t="shared" si="11"/>
        <v>5.3886903875264</v>
      </c>
      <c r="AB44" s="12">
        <f ca="1" t="shared" si="12"/>
        <v>5.39928804443414</v>
      </c>
      <c r="AC44" s="12">
        <f ca="1" t="shared" si="13"/>
        <v>4.97977067670761</v>
      </c>
      <c r="AD44" s="12">
        <f ca="1" t="shared" si="14"/>
        <v>4.99673579140026</v>
      </c>
      <c r="AE44" s="12">
        <f ca="1" t="shared" si="15"/>
        <v>4.88428110054944</v>
      </c>
      <c r="AF44" s="12">
        <f ca="1" t="shared" si="16"/>
        <v>4.07502889072117</v>
      </c>
      <c r="AG44" s="12">
        <f ca="1" t="shared" si="17"/>
        <v>4.53756698391257</v>
      </c>
      <c r="AH44" s="12">
        <f ca="1" t="shared" si="18"/>
        <v>4.11305456117442</v>
      </c>
      <c r="AI44" s="12">
        <f ca="1" t="shared" si="19"/>
        <v>4.61380569383166</v>
      </c>
      <c r="AJ44" s="12">
        <f ca="1">SUM($T44:T44)</f>
        <v>4.95975680342055</v>
      </c>
      <c r="AK44" s="12">
        <f ca="1">SUM($T44:U44)</f>
        <v>9.73076974890168</v>
      </c>
      <c r="AL44" s="12">
        <f ca="1">SUM($T44:V44)</f>
        <v>15.1195024111743</v>
      </c>
      <c r="AM44" s="12">
        <f ca="1">SUM($T44:W44)</f>
        <v>19.9332140011883</v>
      </c>
      <c r="AN44" s="12">
        <f ca="1">SUM($T44:X44)</f>
        <v>24.9299495255859</v>
      </c>
      <c r="AO44" s="12">
        <f ca="1">SUM($T44:Y44)</f>
        <v>29.7426799621322</v>
      </c>
      <c r="AP44" s="12">
        <f ca="1">SUM($T44:Z44)</f>
        <v>34.244942934937</v>
      </c>
      <c r="AQ44" s="12">
        <f ca="1">SUM($T44:AA44)</f>
        <v>39.6336333224634</v>
      </c>
      <c r="AR44" s="12">
        <f ca="1">SUM($T44:AB44)</f>
        <v>45.0329213668976</v>
      </c>
      <c r="AS44" s="12">
        <f ca="1">SUM($T44:AC44)</f>
        <v>50.0126920436052</v>
      </c>
      <c r="AT44" s="12">
        <f ca="1">SUM($T44:AD44)</f>
        <v>55.0094278350055</v>
      </c>
      <c r="AU44" s="12">
        <f ca="1">SUM($T44:AE44)</f>
        <v>59.8937089355549</v>
      </c>
      <c r="AV44" s="12">
        <f ca="1">SUM($T44:AF44)</f>
        <v>63.9687378262761</v>
      </c>
      <c r="AW44" s="12">
        <f ca="1">SUM($T44:AG44)</f>
        <v>68.5063048101886</v>
      </c>
      <c r="AX44" s="12">
        <f ca="1">SUM($T44:AH44)</f>
        <v>72.619359371363</v>
      </c>
      <c r="AY44" s="12">
        <f ca="1">SUM($T44:AI44)</f>
        <v>77.2331650651947</v>
      </c>
      <c r="AZ44" s="12">
        <f ca="1" t="shared" si="20"/>
        <v>64.0161737844448</v>
      </c>
      <c r="BA44" s="12">
        <f ca="1" t="shared" si="21"/>
        <v>59.2451608389637</v>
      </c>
      <c r="BB44" s="12">
        <f ca="1" t="shared" si="22"/>
        <v>53.8564281766911</v>
      </c>
      <c r="BC44" s="12">
        <f ca="1" t="shared" si="23"/>
        <v>49.0427165866771</v>
      </c>
      <c r="BD44" s="12">
        <f ca="1" t="shared" si="24"/>
        <v>44.0459810622795</v>
      </c>
      <c r="BE44" s="12">
        <f ca="1" t="shared" si="25"/>
        <v>39.2332506257332</v>
      </c>
      <c r="BF44" s="12">
        <f ca="1" t="shared" si="26"/>
        <v>34.7309876529283</v>
      </c>
      <c r="BG44" s="12">
        <f ca="1" t="shared" si="27"/>
        <v>29.3422972654019</v>
      </c>
      <c r="BH44" s="12">
        <f ca="1" t="shared" si="28"/>
        <v>23.9430092209678</v>
      </c>
      <c r="BI44" s="12">
        <f ca="1" t="shared" si="29"/>
        <v>18.9632385442602</v>
      </c>
      <c r="BJ44" s="12">
        <f ca="1" t="shared" si="30"/>
        <v>13.9665027528599</v>
      </c>
      <c r="BK44" s="12">
        <f ca="1" t="shared" si="31"/>
        <v>9.08222165231047</v>
      </c>
      <c r="BL44" s="12">
        <f ca="1" t="shared" si="32"/>
        <v>5.0071927615893</v>
      </c>
      <c r="BM44" s="12">
        <f ca="1" t="shared" si="33"/>
        <v>0.46962577767674</v>
      </c>
      <c r="BN44" s="12">
        <f ca="1" t="shared" si="34"/>
        <v>0</v>
      </c>
      <c r="BO44" s="12">
        <f ca="1" t="shared" si="35"/>
        <v>0</v>
      </c>
    </row>
    <row r="45" spans="1:67">
      <c r="A45" s="3">
        <v>15</v>
      </c>
      <c r="B45" s="11">
        <f ca="1" t="shared" si="1"/>
        <v>0.209234048239791</v>
      </c>
      <c r="C45" s="12">
        <f ca="1" t="shared" si="2"/>
        <v>58.6411349413264</v>
      </c>
      <c r="D45" s="11">
        <f ca="1" t="shared" ref="D45:S45" si="49">RAND()</f>
        <v>0.859736566766616</v>
      </c>
      <c r="E45" s="11">
        <f ca="1" t="shared" si="49"/>
        <v>0.768117078673747</v>
      </c>
      <c r="F45" s="11">
        <f ca="1" t="shared" si="49"/>
        <v>0.962850972546893</v>
      </c>
      <c r="G45" s="11">
        <f ca="1" t="shared" si="49"/>
        <v>0.607451251398497</v>
      </c>
      <c r="H45" s="11">
        <f ca="1" t="shared" si="49"/>
        <v>0.332445294735354</v>
      </c>
      <c r="I45" s="11">
        <f ca="1" t="shared" si="49"/>
        <v>0.819179783773085</v>
      </c>
      <c r="J45" s="11">
        <f ca="1" t="shared" si="49"/>
        <v>0.717163266588183</v>
      </c>
      <c r="K45" s="11">
        <f ca="1" t="shared" si="49"/>
        <v>0.315584194054438</v>
      </c>
      <c r="L45" s="11">
        <f ca="1" t="shared" si="49"/>
        <v>0.00457346071760867</v>
      </c>
      <c r="M45" s="11">
        <f ca="1" t="shared" si="49"/>
        <v>0.866183607437326</v>
      </c>
      <c r="N45" s="11">
        <f ca="1" t="shared" si="49"/>
        <v>0.439404848244939</v>
      </c>
      <c r="O45" s="11">
        <f ca="1" t="shared" si="49"/>
        <v>0.456525108186417</v>
      </c>
      <c r="P45" s="11">
        <f ca="1" t="shared" si="49"/>
        <v>0.174266557750989</v>
      </c>
      <c r="Q45" s="11">
        <f ca="1" t="shared" si="49"/>
        <v>0.3300637691397</v>
      </c>
      <c r="R45" s="11">
        <f ca="1" t="shared" si="49"/>
        <v>0.962847154617283</v>
      </c>
      <c r="S45" s="11">
        <f ca="1" t="shared" si="49"/>
        <v>0.425124662422011</v>
      </c>
      <c r="T45" s="12">
        <f ca="1" t="shared" si="4"/>
        <v>5.39934141691654</v>
      </c>
      <c r="U45" s="12">
        <f ca="1" t="shared" si="5"/>
        <v>5.17029269668437</v>
      </c>
      <c r="V45" s="12">
        <f ca="1" t="shared" si="6"/>
        <v>5.81425486273446</v>
      </c>
      <c r="W45" s="12">
        <f ca="1" t="shared" si="7"/>
        <v>4.88431406424812</v>
      </c>
      <c r="X45" s="12">
        <f ca="1" t="shared" si="8"/>
        <v>4.54055661841919</v>
      </c>
      <c r="Y45" s="12">
        <f ca="1" t="shared" si="9"/>
        <v>5.29794945943271</v>
      </c>
      <c r="Z45" s="12">
        <f ca="1" t="shared" si="10"/>
        <v>5.04290816647046</v>
      </c>
      <c r="AA45" s="12">
        <f ca="1" t="shared" si="11"/>
        <v>4.51948024256805</v>
      </c>
      <c r="AB45" s="12">
        <f ca="1" t="shared" si="12"/>
        <v>4.00762243452935</v>
      </c>
      <c r="AC45" s="12">
        <f ca="1" t="shared" si="13"/>
        <v>5.41545901859332</v>
      </c>
      <c r="AD45" s="12">
        <f ca="1" t="shared" si="14"/>
        <v>4.67425606030617</v>
      </c>
      <c r="AE45" s="12">
        <f ca="1" t="shared" si="15"/>
        <v>4.69565638523302</v>
      </c>
      <c r="AF45" s="12">
        <f ca="1" t="shared" si="16"/>
        <v>4.29044426291831</v>
      </c>
      <c r="AG45" s="12">
        <f ca="1" t="shared" si="17"/>
        <v>4.53757971142463</v>
      </c>
      <c r="AH45" s="12">
        <f ca="1" t="shared" si="18"/>
        <v>5.81423577308642</v>
      </c>
      <c r="AI45" s="12">
        <f ca="1" t="shared" si="19"/>
        <v>4.65640582802751</v>
      </c>
      <c r="AJ45" s="12">
        <f ca="1">SUM($T45:T45)</f>
        <v>5.39934141691654</v>
      </c>
      <c r="AK45" s="12">
        <f ca="1">SUM($T45:U45)</f>
        <v>10.5696341136009</v>
      </c>
      <c r="AL45" s="12">
        <f ca="1">SUM($T45:V45)</f>
        <v>16.3838889763354</v>
      </c>
      <c r="AM45" s="12">
        <f ca="1">SUM($T45:W45)</f>
        <v>21.2682030405835</v>
      </c>
      <c r="AN45" s="12">
        <f ca="1">SUM($T45:X45)</f>
        <v>25.8087596590027</v>
      </c>
      <c r="AO45" s="12">
        <f ca="1">SUM($T45:Y45)</f>
        <v>31.1067091184354</v>
      </c>
      <c r="AP45" s="12">
        <f ca="1">SUM($T45:Z45)</f>
        <v>36.1496172849059</v>
      </c>
      <c r="AQ45" s="12">
        <f ca="1">SUM($T45:AA45)</f>
        <v>40.6690975274739</v>
      </c>
      <c r="AR45" s="12">
        <f ca="1">SUM($T45:AB45)</f>
        <v>44.6767199620032</v>
      </c>
      <c r="AS45" s="12">
        <f ca="1">SUM($T45:AC45)</f>
        <v>50.0921789805966</v>
      </c>
      <c r="AT45" s="12">
        <f ca="1">SUM($T45:AD45)</f>
        <v>54.7664350409027</v>
      </c>
      <c r="AU45" s="12">
        <f ca="1">SUM($T45:AE45)</f>
        <v>59.4620914261358</v>
      </c>
      <c r="AV45" s="12">
        <f ca="1">SUM($T45:AF45)</f>
        <v>63.7525356890541</v>
      </c>
      <c r="AW45" s="12">
        <f ca="1">SUM($T45:AG45)</f>
        <v>68.2901154004787</v>
      </c>
      <c r="AX45" s="12">
        <f ca="1">SUM($T45:AH45)</f>
        <v>74.1043511735651</v>
      </c>
      <c r="AY45" s="12">
        <f ca="1">SUM($T45:AI45)</f>
        <v>78.7607570015926</v>
      </c>
      <c r="AZ45" s="12">
        <f ca="1" t="shared" si="20"/>
        <v>53.2417935244098</v>
      </c>
      <c r="BA45" s="12">
        <f ca="1" t="shared" si="21"/>
        <v>48.0715008277255</v>
      </c>
      <c r="BB45" s="12">
        <f ca="1" t="shared" si="22"/>
        <v>42.257245964991</v>
      </c>
      <c r="BC45" s="12">
        <f ca="1" t="shared" si="23"/>
        <v>37.3729319007429</v>
      </c>
      <c r="BD45" s="12">
        <f ca="1" t="shared" si="24"/>
        <v>32.8323752823237</v>
      </c>
      <c r="BE45" s="12">
        <f ca="1" t="shared" si="25"/>
        <v>27.534425822891</v>
      </c>
      <c r="BF45" s="12">
        <f ca="1" t="shared" si="26"/>
        <v>22.4915176564205</v>
      </c>
      <c r="BG45" s="12">
        <f ca="1" t="shared" si="27"/>
        <v>17.9720374138525</v>
      </c>
      <c r="BH45" s="12">
        <f ca="1" t="shared" si="28"/>
        <v>13.9644149793231</v>
      </c>
      <c r="BI45" s="12">
        <f ca="1" t="shared" si="29"/>
        <v>8.54895596072981</v>
      </c>
      <c r="BJ45" s="12">
        <f ca="1" t="shared" si="30"/>
        <v>3.87469990042364</v>
      </c>
      <c r="BK45" s="12">
        <f ca="1" t="shared" si="31"/>
        <v>0</v>
      </c>
      <c r="BL45" s="12">
        <f ca="1" t="shared" si="32"/>
        <v>0</v>
      </c>
      <c r="BM45" s="12">
        <f ca="1" t="shared" si="33"/>
        <v>0</v>
      </c>
      <c r="BN45" s="12">
        <f ca="1" t="shared" si="34"/>
        <v>0</v>
      </c>
      <c r="BO45" s="12">
        <f ca="1" t="shared" si="35"/>
        <v>0</v>
      </c>
    </row>
    <row r="46" spans="1:67">
      <c r="A46" s="3">
        <v>16</v>
      </c>
      <c r="B46" s="11">
        <f ca="1" t="shared" si="1"/>
        <v>0.536303521550286</v>
      </c>
      <c r="C46" s="12">
        <f ca="1" t="shared" si="2"/>
        <v>64.7717253591714</v>
      </c>
      <c r="D46" s="11">
        <f ca="1" t="shared" ref="D46:S46" si="50">RAND()</f>
        <v>0.736971322253699</v>
      </c>
      <c r="E46" s="11">
        <f ca="1" t="shared" si="50"/>
        <v>0.682097044052593</v>
      </c>
      <c r="F46" s="11">
        <f ca="1" t="shared" si="50"/>
        <v>0.235044404787415</v>
      </c>
      <c r="G46" s="11">
        <f ca="1" t="shared" si="50"/>
        <v>0.663755988673705</v>
      </c>
      <c r="H46" s="11">
        <f ca="1" t="shared" si="50"/>
        <v>0.497107122196195</v>
      </c>
      <c r="I46" s="11">
        <f ca="1" t="shared" si="50"/>
        <v>0.635854972909598</v>
      </c>
      <c r="J46" s="11">
        <f ca="1" t="shared" si="50"/>
        <v>0.858135927369496</v>
      </c>
      <c r="K46" s="11">
        <f ca="1" t="shared" si="50"/>
        <v>0.0216827027491908</v>
      </c>
      <c r="L46" s="11">
        <f ca="1" t="shared" si="50"/>
        <v>0.756226949772755</v>
      </c>
      <c r="M46" s="11">
        <f ca="1" t="shared" si="50"/>
        <v>0.163134787851662</v>
      </c>
      <c r="N46" s="11">
        <f ca="1" t="shared" si="50"/>
        <v>0.0536165903100168</v>
      </c>
      <c r="O46" s="11">
        <f ca="1" t="shared" si="50"/>
        <v>0.816525681728681</v>
      </c>
      <c r="P46" s="11">
        <f ca="1" t="shared" si="50"/>
        <v>0.119938414108723</v>
      </c>
      <c r="Q46" s="11">
        <f ca="1" t="shared" si="50"/>
        <v>0.246642210582918</v>
      </c>
      <c r="R46" s="11">
        <f ca="1" t="shared" si="50"/>
        <v>0.803934710145195</v>
      </c>
      <c r="S46" s="11">
        <f ca="1" t="shared" si="50"/>
        <v>0.657982977348399</v>
      </c>
      <c r="T46" s="12">
        <f ca="1" t="shared" si="4"/>
        <v>5.09242830563425</v>
      </c>
      <c r="U46" s="12">
        <f ca="1" t="shared" si="5"/>
        <v>4.97762130506574</v>
      </c>
      <c r="V46" s="12">
        <f ca="1" t="shared" si="6"/>
        <v>4.39174067464569</v>
      </c>
      <c r="W46" s="12">
        <f ca="1" t="shared" si="7"/>
        <v>4.95469498584213</v>
      </c>
      <c r="X46" s="12">
        <f ca="1" t="shared" si="8"/>
        <v>4.74638390274524</v>
      </c>
      <c r="Y46" s="12">
        <f ca="1" t="shared" si="9"/>
        <v>4.919818716137</v>
      </c>
      <c r="Z46" s="12">
        <f ca="1" t="shared" si="10"/>
        <v>5.39533981842374</v>
      </c>
      <c r="AA46" s="12">
        <f ca="1" t="shared" si="11"/>
        <v>4.03613783791532</v>
      </c>
      <c r="AB46" s="12">
        <f ca="1" t="shared" si="12"/>
        <v>5.14056737443189</v>
      </c>
      <c r="AC46" s="12">
        <f ca="1" t="shared" si="13"/>
        <v>4.2718913130861</v>
      </c>
      <c r="AD46" s="12">
        <f ca="1" t="shared" si="14"/>
        <v>4.08936098385003</v>
      </c>
      <c r="AE46" s="12">
        <f ca="1" t="shared" si="15"/>
        <v>5.2913142043217</v>
      </c>
      <c r="AF46" s="12">
        <f ca="1" t="shared" si="16"/>
        <v>4.19989735684787</v>
      </c>
      <c r="AG46" s="12">
        <f ca="1" t="shared" si="17"/>
        <v>4.41107035097153</v>
      </c>
      <c r="AH46" s="12">
        <f ca="1" t="shared" si="18"/>
        <v>5.25983677536299</v>
      </c>
      <c r="AI46" s="12">
        <f ca="1" t="shared" si="19"/>
        <v>4.9474787216855</v>
      </c>
      <c r="AJ46" s="12">
        <f ca="1">SUM($T46:T46)</f>
        <v>5.09242830563425</v>
      </c>
      <c r="AK46" s="12">
        <f ca="1">SUM($T46:U46)</f>
        <v>10.0700496107</v>
      </c>
      <c r="AL46" s="12">
        <f ca="1">SUM($T46:V46)</f>
        <v>14.4617902853457</v>
      </c>
      <c r="AM46" s="12">
        <f ca="1">SUM($T46:W46)</f>
        <v>19.4164852711878</v>
      </c>
      <c r="AN46" s="12">
        <f ca="1">SUM($T46:X46)</f>
        <v>24.1628691739331</v>
      </c>
      <c r="AO46" s="12">
        <f ca="1">SUM($T46:Y46)</f>
        <v>29.0826878900701</v>
      </c>
      <c r="AP46" s="12">
        <f ca="1">SUM($T46:Z46)</f>
        <v>34.4780277084938</v>
      </c>
      <c r="AQ46" s="12">
        <f ca="1">SUM($T46:AA46)</f>
        <v>38.5141655464091</v>
      </c>
      <c r="AR46" s="12">
        <f ca="1">SUM($T46:AB46)</f>
        <v>43.654732920841</v>
      </c>
      <c r="AS46" s="12">
        <f ca="1">SUM($T46:AC46)</f>
        <v>47.9266242339271</v>
      </c>
      <c r="AT46" s="12">
        <f ca="1">SUM($T46:AD46)</f>
        <v>52.0159852177771</v>
      </c>
      <c r="AU46" s="12">
        <f ca="1">SUM($T46:AE46)</f>
        <v>57.3072994220988</v>
      </c>
      <c r="AV46" s="12">
        <f ca="1">SUM($T46:AF46)</f>
        <v>61.5071967789467</v>
      </c>
      <c r="AW46" s="12">
        <f ca="1">SUM($T46:AG46)</f>
        <v>65.9182671299182</v>
      </c>
      <c r="AX46" s="12">
        <f ca="1">SUM($T46:AH46)</f>
        <v>71.1781039052812</v>
      </c>
      <c r="AY46" s="12">
        <f ca="1">SUM($T46:AI46)</f>
        <v>76.1255826269667</v>
      </c>
      <c r="AZ46" s="12">
        <f ca="1" t="shared" si="20"/>
        <v>59.6792970535372</v>
      </c>
      <c r="BA46" s="12">
        <f ca="1" t="shared" si="21"/>
        <v>54.7016757484714</v>
      </c>
      <c r="BB46" s="12">
        <f ca="1" t="shared" si="22"/>
        <v>50.3099350738257</v>
      </c>
      <c r="BC46" s="12">
        <f ca="1" t="shared" si="23"/>
        <v>45.3552400879836</v>
      </c>
      <c r="BD46" s="12">
        <f ca="1" t="shared" si="24"/>
        <v>40.6088561852384</v>
      </c>
      <c r="BE46" s="12">
        <f ca="1" t="shared" si="25"/>
        <v>35.6890374691014</v>
      </c>
      <c r="BF46" s="12">
        <f ca="1" t="shared" si="26"/>
        <v>30.2936976506776</v>
      </c>
      <c r="BG46" s="12">
        <f ca="1" t="shared" si="27"/>
        <v>26.2575598127623</v>
      </c>
      <c r="BH46" s="12">
        <f ca="1" t="shared" si="28"/>
        <v>21.1169924383304</v>
      </c>
      <c r="BI46" s="12">
        <f ca="1" t="shared" si="29"/>
        <v>16.8451011252443</v>
      </c>
      <c r="BJ46" s="12">
        <f ca="1" t="shared" si="30"/>
        <v>12.7557401413943</v>
      </c>
      <c r="BK46" s="12">
        <f ca="1" t="shared" si="31"/>
        <v>7.4644259370726</v>
      </c>
      <c r="BL46" s="12">
        <f ca="1" t="shared" si="32"/>
        <v>3.26452858022473</v>
      </c>
      <c r="BM46" s="12">
        <f ca="1" t="shared" si="33"/>
        <v>0</v>
      </c>
      <c r="BN46" s="12">
        <f ca="1" t="shared" si="34"/>
        <v>0</v>
      </c>
      <c r="BO46" s="12">
        <f ca="1" t="shared" si="35"/>
        <v>0</v>
      </c>
    </row>
    <row r="47" spans="1:67">
      <c r="A47" s="3">
        <v>17</v>
      </c>
      <c r="B47" s="11">
        <f ca="1" t="shared" si="1"/>
        <v>0.934229330174168</v>
      </c>
      <c r="C47" s="12">
        <f ca="1" t="shared" si="2"/>
        <v>77.1393331358855</v>
      </c>
      <c r="D47" s="11">
        <f ca="1" t="shared" ref="D47:S47" si="51">RAND()</f>
        <v>0.465345548194859</v>
      </c>
      <c r="E47" s="11">
        <f ca="1" t="shared" si="51"/>
        <v>0.777907437762472</v>
      </c>
      <c r="F47" s="11">
        <f ca="1" t="shared" si="51"/>
        <v>0.331719892397572</v>
      </c>
      <c r="G47" s="11">
        <f ca="1" t="shared" si="51"/>
        <v>0.607031194082373</v>
      </c>
      <c r="H47" s="11">
        <f ca="1" t="shared" si="51"/>
        <v>0.858286528852183</v>
      </c>
      <c r="I47" s="11">
        <f ca="1" t="shared" si="51"/>
        <v>0.31559385173857</v>
      </c>
      <c r="J47" s="11">
        <f ca="1" t="shared" si="51"/>
        <v>0.0841901861092542</v>
      </c>
      <c r="K47" s="11">
        <f ca="1" t="shared" si="51"/>
        <v>0.505983832671797</v>
      </c>
      <c r="L47" s="11">
        <f ca="1" t="shared" si="51"/>
        <v>0.425115005430914</v>
      </c>
      <c r="M47" s="11">
        <f ca="1" t="shared" si="51"/>
        <v>0.958511832637449</v>
      </c>
      <c r="N47" s="11">
        <f ca="1" t="shared" si="51"/>
        <v>0.284590492782882</v>
      </c>
      <c r="O47" s="11">
        <f ca="1" t="shared" si="51"/>
        <v>0.682092196162071</v>
      </c>
      <c r="P47" s="11">
        <f ca="1" t="shared" si="51"/>
        <v>0.663742525640094</v>
      </c>
      <c r="Q47" s="11">
        <f ca="1" t="shared" si="51"/>
        <v>0.840425517671479</v>
      </c>
      <c r="R47" s="11">
        <f ca="1" t="shared" si="51"/>
        <v>0.622577680395918</v>
      </c>
      <c r="S47" s="11">
        <f ca="1" t="shared" si="51"/>
        <v>0.497128391904863</v>
      </c>
      <c r="T47" s="12">
        <f ca="1" t="shared" si="4"/>
        <v>4.70668193524357</v>
      </c>
      <c r="U47" s="12">
        <f ca="1" t="shared" si="5"/>
        <v>5.19476859440618</v>
      </c>
      <c r="V47" s="12">
        <f ca="1" t="shared" si="6"/>
        <v>4.53964986549696</v>
      </c>
      <c r="W47" s="12">
        <f ca="1" t="shared" si="7"/>
        <v>4.88378899260297</v>
      </c>
      <c r="X47" s="12">
        <f ca="1" t="shared" si="8"/>
        <v>5.39571632213046</v>
      </c>
      <c r="Y47" s="12">
        <f ca="1" t="shared" si="9"/>
        <v>4.51949231467321</v>
      </c>
      <c r="Z47" s="12">
        <f ca="1" t="shared" si="10"/>
        <v>4.14031697684876</v>
      </c>
      <c r="AA47" s="12">
        <f ca="1" t="shared" si="11"/>
        <v>4.75747979083975</v>
      </c>
      <c r="AB47" s="12">
        <f ca="1" t="shared" si="12"/>
        <v>4.65639375678864</v>
      </c>
      <c r="AC47" s="12">
        <f ca="1" t="shared" si="13"/>
        <v>5.79255916318724</v>
      </c>
      <c r="AD47" s="12">
        <f ca="1" t="shared" si="14"/>
        <v>4.47431748797147</v>
      </c>
      <c r="AE47" s="12">
        <f ca="1" t="shared" si="15"/>
        <v>4.97761524520259</v>
      </c>
      <c r="AF47" s="12">
        <f ca="1" t="shared" si="16"/>
        <v>4.95467815705012</v>
      </c>
      <c r="AG47" s="12">
        <f ca="1" t="shared" si="17"/>
        <v>5.3510637941787</v>
      </c>
      <c r="AH47" s="12">
        <f ca="1" t="shared" si="18"/>
        <v>4.9032221004949</v>
      </c>
      <c r="AI47" s="12">
        <f ca="1" t="shared" si="19"/>
        <v>4.74641048988108</v>
      </c>
      <c r="AJ47" s="12">
        <f ca="1">SUM($T47:T47)</f>
        <v>4.70668193524357</v>
      </c>
      <c r="AK47" s="12">
        <f ca="1">SUM($T47:U47)</f>
        <v>9.90145052964975</v>
      </c>
      <c r="AL47" s="12">
        <f ca="1">SUM($T47:V47)</f>
        <v>14.4411003951467</v>
      </c>
      <c r="AM47" s="12">
        <f ca="1">SUM($T47:W47)</f>
        <v>19.3248893877497</v>
      </c>
      <c r="AN47" s="12">
        <f ca="1">SUM($T47:X47)</f>
        <v>24.7206057098801</v>
      </c>
      <c r="AO47" s="12">
        <f ca="1">SUM($T47:Y47)</f>
        <v>29.2400980245534</v>
      </c>
      <c r="AP47" s="12">
        <f ca="1">SUM($T47:Z47)</f>
        <v>33.3804150014021</v>
      </c>
      <c r="AQ47" s="12">
        <f ca="1">SUM($T47:AA47)</f>
        <v>38.1378947922419</v>
      </c>
      <c r="AR47" s="12">
        <f ca="1">SUM($T47:AB47)</f>
        <v>42.7942885490305</v>
      </c>
      <c r="AS47" s="12">
        <f ca="1">SUM($T47:AC47)</f>
        <v>48.5868477122177</v>
      </c>
      <c r="AT47" s="12">
        <f ca="1">SUM($T47:AD47)</f>
        <v>53.0611652001892</v>
      </c>
      <c r="AU47" s="12">
        <f ca="1">SUM($T47:AE47)</f>
        <v>58.0387804453918</v>
      </c>
      <c r="AV47" s="12">
        <f ca="1">SUM($T47:AF47)</f>
        <v>62.9934586024419</v>
      </c>
      <c r="AW47" s="12">
        <f ca="1">SUM($T47:AG47)</f>
        <v>68.3445223966206</v>
      </c>
      <c r="AX47" s="12">
        <f ca="1">SUM($T47:AH47)</f>
        <v>73.2477444971155</v>
      </c>
      <c r="AY47" s="12">
        <f ca="1">SUM($T47:AI47)</f>
        <v>77.9941549869966</v>
      </c>
      <c r="AZ47" s="12">
        <f ca="1" t="shared" si="20"/>
        <v>72.4326512006419</v>
      </c>
      <c r="BA47" s="12">
        <f ca="1" t="shared" si="21"/>
        <v>67.2378826062357</v>
      </c>
      <c r="BB47" s="12">
        <f ca="1" t="shared" si="22"/>
        <v>62.6982327407388</v>
      </c>
      <c r="BC47" s="12">
        <f ca="1" t="shared" si="23"/>
        <v>57.8144437481358</v>
      </c>
      <c r="BD47" s="12">
        <f ca="1" t="shared" si="24"/>
        <v>52.4187274260053</v>
      </c>
      <c r="BE47" s="12">
        <f ca="1" t="shared" si="25"/>
        <v>47.8992351113321</v>
      </c>
      <c r="BF47" s="12">
        <f ca="1" t="shared" si="26"/>
        <v>43.7589181344834</v>
      </c>
      <c r="BG47" s="12">
        <f ca="1" t="shared" si="27"/>
        <v>39.0014383436436</v>
      </c>
      <c r="BH47" s="12">
        <f ca="1" t="shared" si="28"/>
        <v>34.345044586855</v>
      </c>
      <c r="BI47" s="12">
        <f ca="1" t="shared" si="29"/>
        <v>28.5524854236677</v>
      </c>
      <c r="BJ47" s="12">
        <f ca="1" t="shared" si="30"/>
        <v>24.0781679356963</v>
      </c>
      <c r="BK47" s="12">
        <f ca="1" t="shared" si="31"/>
        <v>19.1005526904937</v>
      </c>
      <c r="BL47" s="12">
        <f ca="1" t="shared" si="32"/>
        <v>14.1458745334436</v>
      </c>
      <c r="BM47" s="12">
        <f ca="1" t="shared" si="33"/>
        <v>8.79481073926488</v>
      </c>
      <c r="BN47" s="12">
        <f ca="1" t="shared" si="34"/>
        <v>3.89158863876997</v>
      </c>
      <c r="BO47" s="12">
        <f ca="1" t="shared" si="35"/>
        <v>0</v>
      </c>
    </row>
    <row r="48" spans="1:67">
      <c r="A48" s="3">
        <v>18</v>
      </c>
      <c r="B48" s="11">
        <f ca="1" t="shared" si="1"/>
        <v>0.591188618036983</v>
      </c>
      <c r="C48" s="12">
        <f ca="1" t="shared" si="2"/>
        <v>65.5884088290997</v>
      </c>
      <c r="D48" s="11">
        <f ca="1" t="shared" ref="D48:S48" si="52">RAND()</f>
        <v>0.279986765822684</v>
      </c>
      <c r="E48" s="11">
        <f ca="1" t="shared" si="52"/>
        <v>0.936944724575637</v>
      </c>
      <c r="F48" s="11">
        <f ca="1" t="shared" si="52"/>
        <v>0.300607020376108</v>
      </c>
      <c r="G48" s="11">
        <f ca="1" t="shared" si="52"/>
        <v>0.435656314274294</v>
      </c>
      <c r="H48" s="11">
        <f ca="1" t="shared" si="52"/>
        <v>0.421939112614664</v>
      </c>
      <c r="I48" s="11">
        <f ca="1" t="shared" si="52"/>
        <v>0.858134987832365</v>
      </c>
      <c r="J48" s="11">
        <f ca="1" t="shared" si="52"/>
        <v>0.0265702787545961</v>
      </c>
      <c r="K48" s="11">
        <f ca="1" t="shared" si="52"/>
        <v>0.193836005580491</v>
      </c>
      <c r="L48" s="11">
        <f ca="1" t="shared" si="52"/>
        <v>0.550969176121337</v>
      </c>
      <c r="M48" s="11">
        <f ca="1" t="shared" si="52"/>
        <v>0.855486790967203</v>
      </c>
      <c r="N48" s="11">
        <f ca="1" t="shared" si="52"/>
        <v>0.75624445731839</v>
      </c>
      <c r="O48" s="11">
        <f ca="1" t="shared" si="52"/>
        <v>0.0666930721942727</v>
      </c>
      <c r="P48" s="11">
        <f ca="1" t="shared" si="52"/>
        <v>0.282277913020314</v>
      </c>
      <c r="Q48" s="11">
        <f ca="1" t="shared" si="52"/>
        <v>0.697414972594272</v>
      </c>
      <c r="R48" s="11">
        <f ca="1" t="shared" si="52"/>
        <v>0.0536123587822344</v>
      </c>
      <c r="S48" s="11">
        <f ca="1" t="shared" si="52"/>
        <v>0.859710865019325</v>
      </c>
      <c r="T48" s="12">
        <f ca="1" t="shared" si="4"/>
        <v>4.46664460970447</v>
      </c>
      <c r="U48" s="12">
        <f ca="1" t="shared" si="5"/>
        <v>5.68472362287819</v>
      </c>
      <c r="V48" s="12">
        <f ca="1" t="shared" si="6"/>
        <v>4.50075877547013</v>
      </c>
      <c r="W48" s="12">
        <f ca="1" t="shared" si="7"/>
        <v>4.66957039284287</v>
      </c>
      <c r="X48" s="12">
        <f ca="1" t="shared" si="8"/>
        <v>4.65242389076833</v>
      </c>
      <c r="Y48" s="12">
        <f ca="1" t="shared" si="9"/>
        <v>5.39533746958091</v>
      </c>
      <c r="Z48" s="12">
        <f ca="1" t="shared" si="10"/>
        <v>4.04428379792433</v>
      </c>
      <c r="AA48" s="12">
        <f ca="1" t="shared" si="11"/>
        <v>4.32306000930082</v>
      </c>
      <c r="AB48" s="12">
        <f ca="1" t="shared" si="12"/>
        <v>4.81371147015167</v>
      </c>
      <c r="AC48" s="12">
        <f ca="1" t="shared" si="13"/>
        <v>5.38871697741801</v>
      </c>
      <c r="AD48" s="12">
        <f ca="1" t="shared" si="14"/>
        <v>5.14061114329597</v>
      </c>
      <c r="AE48" s="12">
        <f ca="1" t="shared" si="15"/>
        <v>4.11115512032379</v>
      </c>
      <c r="AF48" s="12">
        <f ca="1" t="shared" si="16"/>
        <v>4.47046318836719</v>
      </c>
      <c r="AG48" s="12">
        <f ca="1" t="shared" si="17"/>
        <v>4.99676871574284</v>
      </c>
      <c r="AH48" s="12">
        <f ca="1" t="shared" si="18"/>
        <v>4.08935393130372</v>
      </c>
      <c r="AI48" s="12">
        <f ca="1" t="shared" si="19"/>
        <v>5.39927716254831</v>
      </c>
      <c r="AJ48" s="12">
        <f ca="1">SUM($T48:T48)</f>
        <v>4.46664460970447</v>
      </c>
      <c r="AK48" s="12">
        <f ca="1">SUM($T48:U48)</f>
        <v>10.1513682325827</v>
      </c>
      <c r="AL48" s="12">
        <f ca="1">SUM($T48:V48)</f>
        <v>14.6521270080528</v>
      </c>
      <c r="AM48" s="12">
        <f ca="1">SUM($T48:W48)</f>
        <v>19.3216974008957</v>
      </c>
      <c r="AN48" s="12">
        <f ca="1">SUM($T48:X48)</f>
        <v>23.974121291664</v>
      </c>
      <c r="AO48" s="12">
        <f ca="1">SUM($T48:Y48)</f>
        <v>29.3694587612449</v>
      </c>
      <c r="AP48" s="12">
        <f ca="1">SUM($T48:Z48)</f>
        <v>33.4137425591692</v>
      </c>
      <c r="AQ48" s="12">
        <f ca="1">SUM($T48:AA48)</f>
        <v>37.7368025684701</v>
      </c>
      <c r="AR48" s="12">
        <f ca="1">SUM($T48:AB48)</f>
        <v>42.5505140386217</v>
      </c>
      <c r="AS48" s="12">
        <f ca="1">SUM($T48:AC48)</f>
        <v>47.9392310160397</v>
      </c>
      <c r="AT48" s="12">
        <f ca="1">SUM($T48:AD48)</f>
        <v>53.0798421593357</v>
      </c>
      <c r="AU48" s="12">
        <f ca="1">SUM($T48:AE48)</f>
        <v>57.1909972796595</v>
      </c>
      <c r="AV48" s="12">
        <f ca="1">SUM($T48:AF48)</f>
        <v>61.6614604680267</v>
      </c>
      <c r="AW48" s="12">
        <f ca="1">SUM($T48:AG48)</f>
        <v>66.6582291837695</v>
      </c>
      <c r="AX48" s="12">
        <f ca="1">SUM($T48:AH48)</f>
        <v>70.7475831150733</v>
      </c>
      <c r="AY48" s="12">
        <f ca="1">SUM($T48:AI48)</f>
        <v>76.1468602776216</v>
      </c>
      <c r="AZ48" s="12">
        <f ca="1" t="shared" si="20"/>
        <v>61.1217642193953</v>
      </c>
      <c r="BA48" s="12">
        <f ca="1" t="shared" si="21"/>
        <v>55.4370405965171</v>
      </c>
      <c r="BB48" s="12">
        <f ca="1" t="shared" si="22"/>
        <v>50.9362818210469</v>
      </c>
      <c r="BC48" s="12">
        <f ca="1" t="shared" si="23"/>
        <v>46.2667114282041</v>
      </c>
      <c r="BD48" s="12">
        <f ca="1" t="shared" si="24"/>
        <v>41.6142875374358</v>
      </c>
      <c r="BE48" s="12">
        <f ca="1" t="shared" si="25"/>
        <v>36.2189500678548</v>
      </c>
      <c r="BF48" s="12">
        <f ca="1" t="shared" si="26"/>
        <v>32.1746662699305</v>
      </c>
      <c r="BG48" s="12">
        <f ca="1" t="shared" si="27"/>
        <v>27.8516062606297</v>
      </c>
      <c r="BH48" s="12">
        <f ca="1" t="shared" si="28"/>
        <v>23.037894790478</v>
      </c>
      <c r="BI48" s="12">
        <f ca="1" t="shared" si="29"/>
        <v>17.64917781306</v>
      </c>
      <c r="BJ48" s="12">
        <f ca="1" t="shared" si="30"/>
        <v>12.508566669764</v>
      </c>
      <c r="BK48" s="12">
        <f ca="1" t="shared" si="31"/>
        <v>8.39741154944025</v>
      </c>
      <c r="BL48" s="12">
        <f ca="1" t="shared" si="32"/>
        <v>3.92694836107306</v>
      </c>
      <c r="BM48" s="12">
        <f ca="1" t="shared" si="33"/>
        <v>0</v>
      </c>
      <c r="BN48" s="12">
        <f ca="1" t="shared" si="34"/>
        <v>0</v>
      </c>
      <c r="BO48" s="12">
        <f ca="1" t="shared" si="35"/>
        <v>0</v>
      </c>
    </row>
    <row r="49" spans="1:67">
      <c r="A49" s="3">
        <v>19</v>
      </c>
      <c r="B49" s="11">
        <f ca="1" t="shared" si="1"/>
        <v>0.765988845131009</v>
      </c>
      <c r="C49" s="12">
        <f ca="1" t="shared" si="2"/>
        <v>68.085554930443</v>
      </c>
      <c r="D49" s="11">
        <f ca="1" t="shared" ref="D49:S49" si="53">RAND()</f>
        <v>0.119940934243963</v>
      </c>
      <c r="E49" s="11">
        <f ca="1" t="shared" si="53"/>
        <v>0.70399098976199</v>
      </c>
      <c r="F49" s="11">
        <f ca="1" t="shared" si="53"/>
        <v>0.607440345538389</v>
      </c>
      <c r="G49" s="11">
        <f ca="1" t="shared" si="53"/>
        <v>0.331696061022497</v>
      </c>
      <c r="H49" s="11">
        <f ca="1" t="shared" si="53"/>
        <v>0.33006636228008</v>
      </c>
      <c r="I49" s="11">
        <f ca="1" t="shared" si="53"/>
        <v>0.743581233639777</v>
      </c>
      <c r="J49" s="11">
        <f ca="1" t="shared" si="53"/>
        <v>0.900406201772636</v>
      </c>
      <c r="K49" s="11">
        <f ca="1" t="shared" si="53"/>
        <v>0.490720162866876</v>
      </c>
      <c r="L49" s="11">
        <f ca="1" t="shared" si="53"/>
        <v>0.174232473342105</v>
      </c>
      <c r="M49" s="11">
        <f ca="1" t="shared" si="53"/>
        <v>0.848191794513904</v>
      </c>
      <c r="N49" s="11">
        <f ca="1" t="shared" si="53"/>
        <v>0.421949103626785</v>
      </c>
      <c r="O49" s="11">
        <f ca="1" t="shared" si="53"/>
        <v>0.962838276466517</v>
      </c>
      <c r="P49" s="11">
        <f ca="1" t="shared" si="53"/>
        <v>0.3301771447527</v>
      </c>
      <c r="Q49" s="11">
        <f ca="1" t="shared" si="53"/>
        <v>0.0198423311008</v>
      </c>
      <c r="R49" s="11">
        <f ca="1" t="shared" si="53"/>
        <v>0.864500714813482</v>
      </c>
      <c r="S49" s="11">
        <f ca="1" t="shared" si="53"/>
        <v>0.691774418956006</v>
      </c>
      <c r="T49" s="12">
        <f ca="1" t="shared" si="4"/>
        <v>4.19990155707327</v>
      </c>
      <c r="U49" s="12">
        <f ca="1" t="shared" si="5"/>
        <v>5.00997747440497</v>
      </c>
      <c r="V49" s="12">
        <f ca="1" t="shared" si="6"/>
        <v>4.88430043192299</v>
      </c>
      <c r="W49" s="12">
        <f ca="1" t="shared" si="7"/>
        <v>4.53962007627812</v>
      </c>
      <c r="X49" s="12">
        <f ca="1" t="shared" si="8"/>
        <v>4.5375829528501</v>
      </c>
      <c r="Y49" s="12">
        <f ca="1" t="shared" si="9"/>
        <v>5.10895308409944</v>
      </c>
      <c r="Z49" s="12">
        <f ca="1" t="shared" si="10"/>
        <v>5.50203100886318</v>
      </c>
      <c r="AA49" s="12">
        <f ca="1" t="shared" si="11"/>
        <v>4.7384002035836</v>
      </c>
      <c r="AB49" s="12">
        <f ca="1" t="shared" si="12"/>
        <v>4.29038745557018</v>
      </c>
      <c r="AC49" s="12">
        <f ca="1" t="shared" si="13"/>
        <v>5.37047948628476</v>
      </c>
      <c r="AD49" s="12">
        <f ca="1" t="shared" si="14"/>
        <v>4.65243637953348</v>
      </c>
      <c r="AE49" s="12">
        <f ca="1" t="shared" si="15"/>
        <v>5.81419138233259</v>
      </c>
      <c r="AF49" s="12">
        <f ca="1" t="shared" si="16"/>
        <v>4.53772143094088</v>
      </c>
      <c r="AG49" s="12">
        <f ca="1" t="shared" si="17"/>
        <v>4.03307055183467</v>
      </c>
      <c r="AH49" s="12">
        <f ca="1" t="shared" si="18"/>
        <v>5.4112517870337</v>
      </c>
      <c r="AI49" s="12">
        <f ca="1" t="shared" si="19"/>
        <v>4.98971802369501</v>
      </c>
      <c r="AJ49" s="12">
        <f ca="1">SUM($T49:T49)</f>
        <v>4.19990155707327</v>
      </c>
      <c r="AK49" s="12">
        <f ca="1">SUM($T49:U49)</f>
        <v>9.20987903147825</v>
      </c>
      <c r="AL49" s="12">
        <f ca="1">SUM($T49:V49)</f>
        <v>14.0941794634012</v>
      </c>
      <c r="AM49" s="12">
        <f ca="1">SUM($T49:W49)</f>
        <v>18.6337995396794</v>
      </c>
      <c r="AN49" s="12">
        <f ca="1">SUM($T49:X49)</f>
        <v>23.1713824925295</v>
      </c>
      <c r="AO49" s="12">
        <f ca="1">SUM($T49:Y49)</f>
        <v>28.2803355766289</v>
      </c>
      <c r="AP49" s="12">
        <f ca="1">SUM($T49:Z49)</f>
        <v>33.7823665854921</v>
      </c>
      <c r="AQ49" s="12">
        <f ca="1">SUM($T49:AA49)</f>
        <v>38.5207667890757</v>
      </c>
      <c r="AR49" s="12">
        <f ca="1">SUM($T49:AB49)</f>
        <v>42.8111542446459</v>
      </c>
      <c r="AS49" s="12">
        <f ca="1">SUM($T49:AC49)</f>
        <v>48.1816337309306</v>
      </c>
      <c r="AT49" s="12">
        <f ca="1">SUM($T49:AD49)</f>
        <v>52.8340701104641</v>
      </c>
      <c r="AU49" s="12">
        <f ca="1">SUM($T49:AE49)</f>
        <v>58.6482614927967</v>
      </c>
      <c r="AV49" s="12">
        <f ca="1">SUM($T49:AF49)</f>
        <v>63.1859829237376</v>
      </c>
      <c r="AW49" s="12">
        <f ca="1">SUM($T49:AG49)</f>
        <v>67.2190534755722</v>
      </c>
      <c r="AX49" s="12">
        <f ca="1">SUM($T49:AH49)</f>
        <v>72.6303052626059</v>
      </c>
      <c r="AY49" s="12">
        <f ca="1">SUM($T49:AI49)</f>
        <v>77.6200232863009</v>
      </c>
      <c r="AZ49" s="12">
        <f ca="1" t="shared" si="20"/>
        <v>63.8856533733697</v>
      </c>
      <c r="BA49" s="12">
        <f ca="1" t="shared" si="21"/>
        <v>58.8756758989648</v>
      </c>
      <c r="BB49" s="12">
        <f ca="1" t="shared" si="22"/>
        <v>53.9913754670418</v>
      </c>
      <c r="BC49" s="12">
        <f ca="1" t="shared" si="23"/>
        <v>49.4517553907636</v>
      </c>
      <c r="BD49" s="12">
        <f ca="1" t="shared" si="24"/>
        <v>44.9141724379135</v>
      </c>
      <c r="BE49" s="12">
        <f ca="1" t="shared" si="25"/>
        <v>39.8052193538141</v>
      </c>
      <c r="BF49" s="12">
        <f ca="1" t="shared" si="26"/>
        <v>34.3031883449509</v>
      </c>
      <c r="BG49" s="12">
        <f ca="1" t="shared" si="27"/>
        <v>29.5647881413673</v>
      </c>
      <c r="BH49" s="12">
        <f ca="1" t="shared" si="28"/>
        <v>25.2744006857971</v>
      </c>
      <c r="BI49" s="12">
        <f ca="1" t="shared" si="29"/>
        <v>19.9039211995124</v>
      </c>
      <c r="BJ49" s="12">
        <f ca="1" t="shared" si="30"/>
        <v>15.2514848199789</v>
      </c>
      <c r="BK49" s="12">
        <f ca="1" t="shared" si="31"/>
        <v>9.43729343764631</v>
      </c>
      <c r="BL49" s="12">
        <f ca="1" t="shared" si="32"/>
        <v>4.89957200670543</v>
      </c>
      <c r="BM49" s="12">
        <f ca="1" t="shared" si="33"/>
        <v>0.866501454870772</v>
      </c>
      <c r="BN49" s="12">
        <f ca="1" t="shared" si="34"/>
        <v>0</v>
      </c>
      <c r="BO49" s="12">
        <f ca="1" t="shared" si="35"/>
        <v>0</v>
      </c>
    </row>
    <row r="50" spans="1:67">
      <c r="A50" s="3">
        <v>20</v>
      </c>
      <c r="B50" s="11">
        <f ca="1" t="shared" si="1"/>
        <v>0.436180663918214</v>
      </c>
      <c r="C50" s="12">
        <f ca="1" t="shared" si="2"/>
        <v>63.1030110653036</v>
      </c>
      <c r="D50" s="11">
        <f ca="1" t="shared" ref="D50:S50" si="54">RAND()</f>
        <v>0.340210195468362</v>
      </c>
      <c r="E50" s="11">
        <f ca="1" t="shared" si="54"/>
        <v>0.510405986588017</v>
      </c>
      <c r="F50" s="11">
        <f ca="1" t="shared" si="54"/>
        <v>0.977802108952263</v>
      </c>
      <c r="G50" s="11">
        <f ca="1" t="shared" si="54"/>
        <v>0.282260930851569</v>
      </c>
      <c r="H50" s="11">
        <f ca="1" t="shared" si="54"/>
        <v>0.454043270836749</v>
      </c>
      <c r="I50" s="11">
        <f ca="1" t="shared" si="54"/>
        <v>0.70399139236619</v>
      </c>
      <c r="J50" s="11">
        <f ca="1" t="shared" si="54"/>
        <v>0.151420090041109</v>
      </c>
      <c r="K50" s="11">
        <f ca="1" t="shared" si="54"/>
        <v>0.310706786009956</v>
      </c>
      <c r="L50" s="11">
        <f ca="1" t="shared" si="54"/>
        <v>0.391005757740021</v>
      </c>
      <c r="M50" s="11">
        <f ca="1" t="shared" si="54"/>
        <v>0.0132565308380923</v>
      </c>
      <c r="N50" s="11">
        <f ca="1" t="shared" si="54"/>
        <v>0.900404159937022</v>
      </c>
      <c r="O50" s="11">
        <f ca="1" t="shared" si="54"/>
        <v>0.0941000136750179</v>
      </c>
      <c r="P50" s="11">
        <f ca="1" t="shared" si="54"/>
        <v>0.512139656463055</v>
      </c>
      <c r="Q50" s="11">
        <f ca="1" t="shared" si="54"/>
        <v>0.135400313755424</v>
      </c>
      <c r="R50" s="11">
        <f ca="1" t="shared" si="54"/>
        <v>0.512139918344779</v>
      </c>
      <c r="S50" s="11">
        <f ca="1" t="shared" si="54"/>
        <v>0.437556818403068</v>
      </c>
      <c r="T50" s="12">
        <f ca="1" t="shared" si="4"/>
        <v>4.55026274433545</v>
      </c>
      <c r="U50" s="12">
        <f ca="1" t="shared" si="5"/>
        <v>4.76300748323502</v>
      </c>
      <c r="V50" s="12">
        <f ca="1" t="shared" si="6"/>
        <v>5.88901054476131</v>
      </c>
      <c r="W50" s="12">
        <f ca="1" t="shared" si="7"/>
        <v>4.47043488475262</v>
      </c>
      <c r="X50" s="12">
        <f ca="1" t="shared" si="8"/>
        <v>4.69255408854594</v>
      </c>
      <c r="Y50" s="12">
        <f ca="1" t="shared" si="9"/>
        <v>5.00997848091548</v>
      </c>
      <c r="Z50" s="12">
        <f ca="1" t="shared" si="10"/>
        <v>4.25236681673518</v>
      </c>
      <c r="AA50" s="12">
        <f ca="1" t="shared" si="11"/>
        <v>4.51338348251245</v>
      </c>
      <c r="AB50" s="12">
        <f ca="1" t="shared" si="12"/>
        <v>4.61375719717503</v>
      </c>
      <c r="AC50" s="12">
        <f ca="1" t="shared" si="13"/>
        <v>4.02209421806349</v>
      </c>
      <c r="AD50" s="12">
        <f ca="1" t="shared" si="14"/>
        <v>5.50202079968511</v>
      </c>
      <c r="AE50" s="12">
        <f ca="1" t="shared" si="15"/>
        <v>4.15683335612503</v>
      </c>
      <c r="AF50" s="12">
        <f ca="1" t="shared" si="16"/>
        <v>4.76517457057882</v>
      </c>
      <c r="AG50" s="12">
        <f ca="1" t="shared" si="17"/>
        <v>4.22566718959237</v>
      </c>
      <c r="AH50" s="12">
        <f ca="1" t="shared" si="18"/>
        <v>4.76517489793097</v>
      </c>
      <c r="AI50" s="12">
        <f ca="1" t="shared" si="19"/>
        <v>4.67194602300383</v>
      </c>
      <c r="AJ50" s="12">
        <f ca="1">SUM($T50:T50)</f>
        <v>4.55026274433545</v>
      </c>
      <c r="AK50" s="12">
        <f ca="1">SUM($T50:U50)</f>
        <v>9.31327022757047</v>
      </c>
      <c r="AL50" s="12">
        <f ca="1">SUM($T50:V50)</f>
        <v>15.2022807723318</v>
      </c>
      <c r="AM50" s="12">
        <f ca="1">SUM($T50:W50)</f>
        <v>19.6727156570844</v>
      </c>
      <c r="AN50" s="12">
        <f ca="1">SUM($T50:X50)</f>
        <v>24.3652697456303</v>
      </c>
      <c r="AO50" s="12">
        <f ca="1">SUM($T50:Y50)</f>
        <v>29.3752482265458</v>
      </c>
      <c r="AP50" s="12">
        <f ca="1">SUM($T50:Z50)</f>
        <v>33.627615043281</v>
      </c>
      <c r="AQ50" s="12">
        <f ca="1">SUM($T50:AA50)</f>
        <v>38.1409985257934</v>
      </c>
      <c r="AR50" s="12">
        <f ca="1">SUM($T50:AB50)</f>
        <v>42.7547557229685</v>
      </c>
      <c r="AS50" s="12">
        <f ca="1">SUM($T50:AC50)</f>
        <v>46.776849941032</v>
      </c>
      <c r="AT50" s="12">
        <f ca="1">SUM($T50:AD50)</f>
        <v>52.2788707407171</v>
      </c>
      <c r="AU50" s="12">
        <f ca="1">SUM($T50:AE50)</f>
        <v>56.4357040968421</v>
      </c>
      <c r="AV50" s="12">
        <f ca="1">SUM($T50:AF50)</f>
        <v>61.2008786674209</v>
      </c>
      <c r="AW50" s="12">
        <f ca="1">SUM($T50:AG50)</f>
        <v>65.4265458570133</v>
      </c>
      <c r="AX50" s="12">
        <f ca="1">SUM($T50:AH50)</f>
        <v>70.1917207549443</v>
      </c>
      <c r="AY50" s="12">
        <f ca="1">SUM($T50:AI50)</f>
        <v>74.8636667779481</v>
      </c>
      <c r="AZ50" s="12">
        <f ca="1" t="shared" si="20"/>
        <v>58.5527483209681</v>
      </c>
      <c r="BA50" s="12">
        <f ca="1" t="shared" si="21"/>
        <v>53.7897408377331</v>
      </c>
      <c r="BB50" s="12">
        <f ca="1" t="shared" si="22"/>
        <v>47.9007302929718</v>
      </c>
      <c r="BC50" s="12">
        <f ca="1" t="shared" si="23"/>
        <v>43.4302954082192</v>
      </c>
      <c r="BD50" s="12">
        <f ca="1" t="shared" si="24"/>
        <v>38.7377413196732</v>
      </c>
      <c r="BE50" s="12">
        <f ca="1" t="shared" si="25"/>
        <v>33.7277628387578</v>
      </c>
      <c r="BF50" s="12">
        <f ca="1" t="shared" si="26"/>
        <v>29.4753960220226</v>
      </c>
      <c r="BG50" s="12">
        <f ca="1" t="shared" si="27"/>
        <v>24.9620125395101</v>
      </c>
      <c r="BH50" s="12">
        <f ca="1" t="shared" si="28"/>
        <v>20.3482553423351</v>
      </c>
      <c r="BI50" s="12">
        <f ca="1" t="shared" si="29"/>
        <v>16.3261611242716</v>
      </c>
      <c r="BJ50" s="12">
        <f ca="1" t="shared" si="30"/>
        <v>10.8241403245865</v>
      </c>
      <c r="BK50" s="12">
        <f ca="1" t="shared" si="31"/>
        <v>6.66730696846147</v>
      </c>
      <c r="BL50" s="12">
        <f ca="1" t="shared" si="32"/>
        <v>1.90213239788265</v>
      </c>
      <c r="BM50" s="12">
        <f ca="1" t="shared" si="33"/>
        <v>0</v>
      </c>
      <c r="BN50" s="12">
        <f ca="1" t="shared" si="34"/>
        <v>0</v>
      </c>
      <c r="BO50" s="12">
        <f ca="1" t="shared" si="35"/>
        <v>0</v>
      </c>
    </row>
    <row r="51" spans="1:67">
      <c r="A51" s="3">
        <v>21</v>
      </c>
      <c r="B51" s="11">
        <f ca="1" t="shared" si="1"/>
        <v>0.152584855585398</v>
      </c>
      <c r="C51" s="12">
        <f ca="1" t="shared" si="2"/>
        <v>56.7528285195133</v>
      </c>
      <c r="D51" s="11">
        <f ca="1" t="shared" ref="D51:S51" si="55">RAND()</f>
        <v>0.364849194478416</v>
      </c>
      <c r="E51" s="11">
        <f ca="1" t="shared" si="55"/>
        <v>0.611440789456543</v>
      </c>
      <c r="F51" s="11">
        <f ca="1" t="shared" si="55"/>
        <v>0.611440244138072</v>
      </c>
      <c r="G51" s="11">
        <f ca="1" t="shared" si="55"/>
        <v>0.523319440194757</v>
      </c>
      <c r="H51" s="11">
        <f ca="1" t="shared" si="55"/>
        <v>0.269662285185972</v>
      </c>
      <c r="I51" s="11">
        <f ca="1" t="shared" si="55"/>
        <v>0.0414023408498907</v>
      </c>
      <c r="J51" s="11">
        <f ca="1" t="shared" si="55"/>
        <v>0.720442910328467</v>
      </c>
      <c r="K51" s="11">
        <f ca="1" t="shared" si="55"/>
        <v>0.566978412509746</v>
      </c>
      <c r="L51" s="11">
        <f ca="1" t="shared" si="55"/>
        <v>0.231957966244158</v>
      </c>
      <c r="M51" s="11">
        <f ca="1" t="shared" si="55"/>
        <v>0.478491302282214</v>
      </c>
      <c r="N51" s="11">
        <f ca="1" t="shared" si="55"/>
        <v>0.231956711365205</v>
      </c>
      <c r="O51" s="11">
        <f ca="1" t="shared" si="55"/>
        <v>0.883119725607516</v>
      </c>
      <c r="P51" s="11">
        <f ca="1" t="shared" si="55"/>
        <v>0.452719340301006</v>
      </c>
      <c r="Q51" s="11">
        <f ca="1" t="shared" si="55"/>
        <v>0.452723850416111</v>
      </c>
      <c r="R51" s="11">
        <f ca="1" t="shared" si="55"/>
        <v>0.637947010472864</v>
      </c>
      <c r="S51" s="11">
        <f ca="1" t="shared" si="55"/>
        <v>0.0104791749655311</v>
      </c>
      <c r="T51" s="12">
        <f ca="1" t="shared" si="4"/>
        <v>4.58106149309802</v>
      </c>
      <c r="U51" s="12">
        <f ca="1" t="shared" si="5"/>
        <v>4.88930098682068</v>
      </c>
      <c r="V51" s="12">
        <f ca="1" t="shared" si="6"/>
        <v>4.88930030517259</v>
      </c>
      <c r="W51" s="12">
        <f ca="1" t="shared" si="7"/>
        <v>4.77914930024345</v>
      </c>
      <c r="X51" s="12">
        <f ca="1" t="shared" si="8"/>
        <v>4.44943714197662</v>
      </c>
      <c r="Y51" s="12">
        <f ca="1" t="shared" si="9"/>
        <v>4.06900390141648</v>
      </c>
      <c r="Z51" s="12">
        <f ca="1" t="shared" si="10"/>
        <v>5.05110727582117</v>
      </c>
      <c r="AA51" s="12">
        <f ca="1" t="shared" si="11"/>
        <v>4.83372301563718</v>
      </c>
      <c r="AB51" s="12">
        <f ca="1" t="shared" si="12"/>
        <v>4.38659661040693</v>
      </c>
      <c r="AC51" s="12">
        <f ca="1" t="shared" si="13"/>
        <v>4.72311412785277</v>
      </c>
      <c r="AD51" s="12">
        <f ca="1" t="shared" si="14"/>
        <v>4.38659451894201</v>
      </c>
      <c r="AE51" s="12">
        <f ca="1" t="shared" si="15"/>
        <v>5.45779931401879</v>
      </c>
      <c r="AF51" s="12">
        <f ca="1" t="shared" si="16"/>
        <v>4.69089917537626</v>
      </c>
      <c r="AG51" s="12">
        <f ca="1" t="shared" si="17"/>
        <v>4.69090481302014</v>
      </c>
      <c r="AH51" s="12">
        <f ca="1" t="shared" si="18"/>
        <v>4.92243376309108</v>
      </c>
      <c r="AI51" s="12">
        <f ca="1" t="shared" si="19"/>
        <v>4.01746529160922</v>
      </c>
      <c r="AJ51" s="12">
        <f ca="1">SUM($T51:T51)</f>
        <v>4.58106149309802</v>
      </c>
      <c r="AK51" s="12">
        <f ca="1">SUM($T51:U51)</f>
        <v>9.4703624799187</v>
      </c>
      <c r="AL51" s="12">
        <f ca="1">SUM($T51:V51)</f>
        <v>14.3596627850913</v>
      </c>
      <c r="AM51" s="12">
        <f ca="1">SUM($T51:W51)</f>
        <v>19.1388120853347</v>
      </c>
      <c r="AN51" s="12">
        <f ca="1">SUM($T51:X51)</f>
        <v>23.5882492273114</v>
      </c>
      <c r="AO51" s="12">
        <f ca="1">SUM($T51:Y51)</f>
        <v>27.6572531287278</v>
      </c>
      <c r="AP51" s="12">
        <f ca="1">SUM($T51:Z51)</f>
        <v>32.708360404549</v>
      </c>
      <c r="AQ51" s="12">
        <f ca="1">SUM($T51:AA51)</f>
        <v>37.5420834201862</v>
      </c>
      <c r="AR51" s="12">
        <f ca="1">SUM($T51:AB51)</f>
        <v>41.9286800305931</v>
      </c>
      <c r="AS51" s="12">
        <f ca="1">SUM($T51:AC51)</f>
        <v>46.6517941584459</v>
      </c>
      <c r="AT51" s="12">
        <f ca="1">SUM($T51:AD51)</f>
        <v>51.0383886773879</v>
      </c>
      <c r="AU51" s="12">
        <f ca="1">SUM($T51:AE51)</f>
        <v>56.4961879914067</v>
      </c>
      <c r="AV51" s="12">
        <f ca="1">SUM($T51:AF51)</f>
        <v>61.1870871667829</v>
      </c>
      <c r="AW51" s="12">
        <f ca="1">SUM($T51:AG51)</f>
        <v>65.8779919798031</v>
      </c>
      <c r="AX51" s="12">
        <f ca="1">SUM($T51:AH51)</f>
        <v>70.8004257428941</v>
      </c>
      <c r="AY51" s="12">
        <f ca="1">SUM($T51:AI51)</f>
        <v>74.8178910345034</v>
      </c>
      <c r="AZ51" s="12">
        <f ca="1" t="shared" si="20"/>
        <v>52.1717670264152</v>
      </c>
      <c r="BA51" s="12">
        <f ca="1" t="shared" si="21"/>
        <v>47.2824660395946</v>
      </c>
      <c r="BB51" s="12">
        <f ca="1" t="shared" si="22"/>
        <v>42.393165734422</v>
      </c>
      <c r="BC51" s="12">
        <f ca="1" t="shared" si="23"/>
        <v>37.6140164341785</v>
      </c>
      <c r="BD51" s="12">
        <f ca="1" t="shared" si="24"/>
        <v>33.1645792922019</v>
      </c>
      <c r="BE51" s="12">
        <f ca="1" t="shared" si="25"/>
        <v>29.0955753907854</v>
      </c>
      <c r="BF51" s="12">
        <f ca="1" t="shared" si="26"/>
        <v>24.0444681149643</v>
      </c>
      <c r="BG51" s="12">
        <f ca="1" t="shared" si="27"/>
        <v>19.2107450993271</v>
      </c>
      <c r="BH51" s="12">
        <f ca="1" t="shared" si="28"/>
        <v>14.8241484889201</v>
      </c>
      <c r="BI51" s="12">
        <f ca="1" t="shared" si="29"/>
        <v>10.1010343610674</v>
      </c>
      <c r="BJ51" s="12">
        <f ca="1" t="shared" si="30"/>
        <v>5.71443984212537</v>
      </c>
      <c r="BK51" s="12">
        <f ca="1" t="shared" si="31"/>
        <v>0.25664052810658</v>
      </c>
      <c r="BL51" s="12">
        <f ca="1" t="shared" si="32"/>
        <v>0</v>
      </c>
      <c r="BM51" s="12">
        <f ca="1" t="shared" si="33"/>
        <v>0</v>
      </c>
      <c r="BN51" s="12">
        <f ca="1" t="shared" si="34"/>
        <v>0</v>
      </c>
      <c r="BO51" s="12">
        <f ca="1" t="shared" si="35"/>
        <v>0</v>
      </c>
    </row>
    <row r="52" spans="1:67">
      <c r="A52" s="3">
        <v>22</v>
      </c>
      <c r="B52" s="11">
        <f ca="1" t="shared" si="1"/>
        <v>0.537110717540788</v>
      </c>
      <c r="C52" s="12">
        <f ca="1" t="shared" si="2"/>
        <v>64.7851786256798</v>
      </c>
      <c r="D52" s="11">
        <f ca="1" t="shared" ref="D52:S52" si="56">RAND()</f>
        <v>0.902657914730366</v>
      </c>
      <c r="E52" s="11">
        <f ca="1" t="shared" si="56"/>
        <v>0.667797209604772</v>
      </c>
      <c r="F52" s="11">
        <f ca="1" t="shared" si="56"/>
        <v>0.315603372398229</v>
      </c>
      <c r="G52" s="11">
        <f ca="1" t="shared" si="56"/>
        <v>0.550176056200604</v>
      </c>
      <c r="H52" s="11">
        <f ca="1" t="shared" si="56"/>
        <v>0.425120494546124</v>
      </c>
      <c r="I52" s="11">
        <f ca="1" t="shared" si="56"/>
        <v>0.0450210953551815</v>
      </c>
      <c r="J52" s="11">
        <f ca="1" t="shared" si="56"/>
        <v>0.682094531469797</v>
      </c>
      <c r="K52" s="11">
        <f ca="1" t="shared" si="56"/>
        <v>0.028596124601471</v>
      </c>
      <c r="L52" s="11">
        <f ca="1" t="shared" si="56"/>
        <v>0.0678292154085574</v>
      </c>
      <c r="M52" s="11">
        <f ca="1" t="shared" si="56"/>
        <v>0.66372736259172</v>
      </c>
      <c r="N52" s="11">
        <f ca="1" t="shared" si="56"/>
        <v>0.497129024025509</v>
      </c>
      <c r="O52" s="11">
        <f ca="1" t="shared" si="56"/>
        <v>0.819164652176857</v>
      </c>
      <c r="P52" s="11">
        <f ca="1" t="shared" si="56"/>
        <v>0.953382859680054</v>
      </c>
      <c r="Q52" s="11">
        <f ca="1" t="shared" si="56"/>
        <v>0.00456918256548988</v>
      </c>
      <c r="R52" s="11">
        <f ca="1" t="shared" si="56"/>
        <v>0.533207902654303</v>
      </c>
      <c r="S52" s="11">
        <f ca="1" t="shared" si="56"/>
        <v>0.174265984560143</v>
      </c>
      <c r="T52" s="12">
        <f ca="1" t="shared" si="4"/>
        <v>5.51328957365183</v>
      </c>
      <c r="U52" s="12">
        <f ca="1" t="shared" si="5"/>
        <v>4.95974651200596</v>
      </c>
      <c r="V52" s="12">
        <f ca="1" t="shared" si="6"/>
        <v>4.51950421549779</v>
      </c>
      <c r="W52" s="12">
        <f ca="1" t="shared" si="7"/>
        <v>4.81272007025076</v>
      </c>
      <c r="X52" s="12">
        <f ca="1" t="shared" si="8"/>
        <v>4.65640061818266</v>
      </c>
      <c r="Y52" s="12">
        <f ca="1" t="shared" si="9"/>
        <v>4.0750351589253</v>
      </c>
      <c r="Z52" s="12">
        <f ca="1" t="shared" si="10"/>
        <v>4.97761816433725</v>
      </c>
      <c r="AA52" s="12">
        <f ca="1" t="shared" si="11"/>
        <v>4.04766020766912</v>
      </c>
      <c r="AB52" s="12">
        <f ca="1" t="shared" si="12"/>
        <v>4.1130486923476</v>
      </c>
      <c r="AC52" s="12">
        <f ca="1" t="shared" si="13"/>
        <v>4.95465920323965</v>
      </c>
      <c r="AD52" s="12">
        <f ca="1" t="shared" si="14"/>
        <v>4.74641128003189</v>
      </c>
      <c r="AE52" s="12">
        <f ca="1" t="shared" si="15"/>
        <v>5.29791163044214</v>
      </c>
      <c r="AF52" s="12">
        <f ca="1" t="shared" si="16"/>
        <v>5.76691429840027</v>
      </c>
      <c r="AG52" s="12">
        <f ca="1" t="shared" si="17"/>
        <v>4.00761530427582</v>
      </c>
      <c r="AH52" s="12">
        <f ca="1" t="shared" si="18"/>
        <v>4.79150987831788</v>
      </c>
      <c r="AI52" s="12">
        <f ca="1" t="shared" si="19"/>
        <v>4.29044330760024</v>
      </c>
      <c r="AJ52" s="12">
        <f ca="1">SUM($T52:T52)</f>
        <v>5.51328957365183</v>
      </c>
      <c r="AK52" s="12">
        <f ca="1">SUM($T52:U52)</f>
        <v>10.4730360856578</v>
      </c>
      <c r="AL52" s="12">
        <f ca="1">SUM($T52:V52)</f>
        <v>14.9925403011556</v>
      </c>
      <c r="AM52" s="12">
        <f ca="1">SUM($T52:W52)</f>
        <v>19.8052603714063</v>
      </c>
      <c r="AN52" s="12">
        <f ca="1">SUM($T52:X52)</f>
        <v>24.461660989589</v>
      </c>
      <c r="AO52" s="12">
        <f ca="1">SUM($T52:Y52)</f>
        <v>28.5366961485143</v>
      </c>
      <c r="AP52" s="12">
        <f ca="1">SUM($T52:Z52)</f>
        <v>33.5143143128515</v>
      </c>
      <c r="AQ52" s="12">
        <f ca="1">SUM($T52:AA52)</f>
        <v>37.5619745205207</v>
      </c>
      <c r="AR52" s="12">
        <f ca="1">SUM($T52:AB52)</f>
        <v>41.6750232128683</v>
      </c>
      <c r="AS52" s="12">
        <f ca="1">SUM($T52:AC52)</f>
        <v>46.6296824161079</v>
      </c>
      <c r="AT52" s="12">
        <f ca="1">SUM($T52:AD52)</f>
        <v>51.3760936961398</v>
      </c>
      <c r="AU52" s="12">
        <f ca="1">SUM($T52:AE52)</f>
        <v>56.6740053265819</v>
      </c>
      <c r="AV52" s="12">
        <f ca="1">SUM($T52:AF52)</f>
        <v>62.4409196249822</v>
      </c>
      <c r="AW52" s="12">
        <f ca="1">SUM($T52:AG52)</f>
        <v>66.448534929258</v>
      </c>
      <c r="AX52" s="12">
        <f ca="1">SUM($T52:AH52)</f>
        <v>71.2400448075759</v>
      </c>
      <c r="AY52" s="12">
        <f ca="1">SUM($T52:AI52)</f>
        <v>75.5304881151761</v>
      </c>
      <c r="AZ52" s="12">
        <f ca="1" t="shared" si="20"/>
        <v>59.271889052028</v>
      </c>
      <c r="BA52" s="12">
        <f ca="1" t="shared" si="21"/>
        <v>54.312142540022</v>
      </c>
      <c r="BB52" s="12">
        <f ca="1" t="shared" si="22"/>
        <v>49.7926383245242</v>
      </c>
      <c r="BC52" s="12">
        <f ca="1" t="shared" si="23"/>
        <v>44.9799182542735</v>
      </c>
      <c r="BD52" s="12">
        <f ca="1" t="shared" si="24"/>
        <v>40.3235176360908</v>
      </c>
      <c r="BE52" s="12">
        <f ca="1" t="shared" si="25"/>
        <v>36.2484824771655</v>
      </c>
      <c r="BF52" s="12">
        <f ca="1" t="shared" si="26"/>
        <v>31.2708643128283</v>
      </c>
      <c r="BG52" s="12">
        <f ca="1" t="shared" si="27"/>
        <v>27.2232041051591</v>
      </c>
      <c r="BH52" s="12">
        <f ca="1" t="shared" si="28"/>
        <v>23.1101554128116</v>
      </c>
      <c r="BI52" s="12">
        <f ca="1" t="shared" si="29"/>
        <v>18.1554962095719</v>
      </c>
      <c r="BJ52" s="12">
        <f ca="1" t="shared" si="30"/>
        <v>13.40908492954</v>
      </c>
      <c r="BK52" s="12">
        <f ca="1" t="shared" si="31"/>
        <v>8.11117329909787</v>
      </c>
      <c r="BL52" s="12">
        <f ca="1" t="shared" si="32"/>
        <v>2.3442590006976</v>
      </c>
      <c r="BM52" s="12">
        <f ca="1" t="shared" si="33"/>
        <v>0</v>
      </c>
      <c r="BN52" s="12">
        <f ca="1" t="shared" si="34"/>
        <v>0</v>
      </c>
      <c r="BO52" s="12">
        <f ca="1" t="shared" si="35"/>
        <v>0</v>
      </c>
    </row>
    <row r="53" spans="1:67">
      <c r="A53" s="3">
        <v>23</v>
      </c>
      <c r="B53" s="11">
        <f ca="1" t="shared" si="1"/>
        <v>0.461445483593358</v>
      </c>
      <c r="C53" s="12">
        <f ca="1" t="shared" si="2"/>
        <v>63.5240913932226</v>
      </c>
      <c r="D53" s="11">
        <f ca="1" t="shared" ref="D53:S53" si="57">RAND()</f>
        <v>0.325176210903764</v>
      </c>
      <c r="E53" s="11">
        <f ca="1" t="shared" si="57"/>
        <v>0.0666880989608281</v>
      </c>
      <c r="F53" s="11">
        <f ca="1" t="shared" si="57"/>
        <v>0.896123678815167</v>
      </c>
      <c r="G53" s="11">
        <f ca="1" t="shared" si="57"/>
        <v>0.781684525481769</v>
      </c>
      <c r="H53" s="11">
        <f ca="1" t="shared" si="57"/>
        <v>0.743567504440723</v>
      </c>
      <c r="I53" s="11">
        <f ca="1" t="shared" si="57"/>
        <v>0.186081542796246</v>
      </c>
      <c r="J53" s="11">
        <f ca="1" t="shared" si="57"/>
        <v>0.0239125953236237</v>
      </c>
      <c r="K53" s="11">
        <f ca="1" t="shared" si="57"/>
        <v>0.848192137866344</v>
      </c>
      <c r="L53" s="11">
        <f ca="1" t="shared" si="57"/>
        <v>0.234579450951393</v>
      </c>
      <c r="M53" s="11">
        <f ca="1" t="shared" si="57"/>
        <v>0.182678246089866</v>
      </c>
      <c r="N53" s="11">
        <f ca="1" t="shared" si="57"/>
        <v>0.33018228374883</v>
      </c>
      <c r="O53" s="11">
        <f ca="1" t="shared" si="57"/>
        <v>0.254109744177601</v>
      </c>
      <c r="P53" s="11">
        <f ca="1" t="shared" si="57"/>
        <v>0.340234203943882</v>
      </c>
      <c r="Q53" s="11">
        <f ca="1" t="shared" si="57"/>
        <v>0.010469296456086</v>
      </c>
      <c r="R53" s="11">
        <f ca="1" t="shared" si="57"/>
        <v>0.151418440023088</v>
      </c>
      <c r="S53" s="11">
        <f ca="1" t="shared" si="57"/>
        <v>0.62062610859752</v>
      </c>
      <c r="T53" s="12">
        <f ca="1" t="shared" si="4"/>
        <v>4.53147026362971</v>
      </c>
      <c r="U53" s="12">
        <f ca="1" t="shared" si="5"/>
        <v>4.11114683160138</v>
      </c>
      <c r="V53" s="12">
        <f ca="1" t="shared" si="6"/>
        <v>5.49030919703792</v>
      </c>
      <c r="W53" s="12">
        <f ca="1" t="shared" si="7"/>
        <v>5.20421131370442</v>
      </c>
      <c r="X53" s="12">
        <f ca="1" t="shared" si="8"/>
        <v>5.10891876110181</v>
      </c>
      <c r="Y53" s="12">
        <f ca="1" t="shared" si="9"/>
        <v>4.31013590466041</v>
      </c>
      <c r="Z53" s="12">
        <f ca="1" t="shared" si="10"/>
        <v>4.03985432553937</v>
      </c>
      <c r="AA53" s="12">
        <f ca="1" t="shared" si="11"/>
        <v>5.37048034466586</v>
      </c>
      <c r="AB53" s="12">
        <f ca="1" t="shared" si="12"/>
        <v>4.39096575158566</v>
      </c>
      <c r="AC53" s="12">
        <f ca="1" t="shared" si="13"/>
        <v>4.30446374348311</v>
      </c>
      <c r="AD53" s="12">
        <f ca="1" t="shared" si="14"/>
        <v>4.53772785468604</v>
      </c>
      <c r="AE53" s="12">
        <f ca="1" t="shared" si="15"/>
        <v>4.423516240296</v>
      </c>
      <c r="AF53" s="12">
        <f ca="1" t="shared" si="16"/>
        <v>4.55029275492985</v>
      </c>
      <c r="AG53" s="12">
        <f ca="1" t="shared" si="17"/>
        <v>4.01744882742681</v>
      </c>
      <c r="AH53" s="12">
        <f ca="1" t="shared" si="18"/>
        <v>4.25236406670515</v>
      </c>
      <c r="AI53" s="12">
        <f ca="1" t="shared" si="19"/>
        <v>4.9007826357469</v>
      </c>
      <c r="AJ53" s="12">
        <f ca="1">SUM($T53:T53)</f>
        <v>4.53147026362971</v>
      </c>
      <c r="AK53" s="12">
        <f ca="1">SUM($T53:U53)</f>
        <v>8.64261709523108</v>
      </c>
      <c r="AL53" s="12">
        <f ca="1">SUM($T53:V53)</f>
        <v>14.132926292269</v>
      </c>
      <c r="AM53" s="12">
        <f ca="1">SUM($T53:W53)</f>
        <v>19.3371376059734</v>
      </c>
      <c r="AN53" s="12">
        <f ca="1">SUM($T53:X53)</f>
        <v>24.4460563670752</v>
      </c>
      <c r="AO53" s="12">
        <f ca="1">SUM($T53:Y53)</f>
        <v>28.7561922717356</v>
      </c>
      <c r="AP53" s="12">
        <f ca="1">SUM($T53:Z53)</f>
        <v>32.796046597275</v>
      </c>
      <c r="AQ53" s="12">
        <f ca="1">SUM($T53:AA53)</f>
        <v>38.1665269419409</v>
      </c>
      <c r="AR53" s="12">
        <f ca="1">SUM($T53:AB53)</f>
        <v>42.5574926935265</v>
      </c>
      <c r="AS53" s="12">
        <f ca="1">SUM($T53:AC53)</f>
        <v>46.8619564370096</v>
      </c>
      <c r="AT53" s="12">
        <f ca="1">SUM($T53:AD53)</f>
        <v>51.3996842916957</v>
      </c>
      <c r="AU53" s="12">
        <f ca="1">SUM($T53:AE53)</f>
        <v>55.8232005319917</v>
      </c>
      <c r="AV53" s="12">
        <f ca="1">SUM($T53:AF53)</f>
        <v>60.3734932869215</v>
      </c>
      <c r="AW53" s="12">
        <f ca="1">SUM($T53:AG53)</f>
        <v>64.3909421143483</v>
      </c>
      <c r="AX53" s="12">
        <f ca="1">SUM($T53:AH53)</f>
        <v>68.6433061810535</v>
      </c>
      <c r="AY53" s="12">
        <f ca="1">SUM($T53:AI53)</f>
        <v>73.5440888168004</v>
      </c>
      <c r="AZ53" s="12">
        <f ca="1" t="shared" si="20"/>
        <v>58.9926211295929</v>
      </c>
      <c r="BA53" s="12">
        <f ca="1" t="shared" si="21"/>
        <v>54.8814742979915</v>
      </c>
      <c r="BB53" s="12">
        <f ca="1" t="shared" si="22"/>
        <v>49.3911651009536</v>
      </c>
      <c r="BC53" s="12">
        <f ca="1" t="shared" si="23"/>
        <v>44.1869537872492</v>
      </c>
      <c r="BD53" s="12">
        <f ca="1" t="shared" si="24"/>
        <v>39.0780350261474</v>
      </c>
      <c r="BE53" s="12">
        <f ca="1" t="shared" si="25"/>
        <v>34.767899121487</v>
      </c>
      <c r="BF53" s="12">
        <f ca="1" t="shared" si="26"/>
        <v>30.7280447959476</v>
      </c>
      <c r="BG53" s="12">
        <f ca="1" t="shared" si="27"/>
        <v>25.3575644512818</v>
      </c>
      <c r="BH53" s="12">
        <f ca="1" t="shared" si="28"/>
        <v>20.9665986996961</v>
      </c>
      <c r="BI53" s="12">
        <f ca="1" t="shared" si="29"/>
        <v>16.662134956213</v>
      </c>
      <c r="BJ53" s="12">
        <f ca="1" t="shared" si="30"/>
        <v>12.124407101527</v>
      </c>
      <c r="BK53" s="12">
        <f ca="1" t="shared" si="31"/>
        <v>7.70089086123095</v>
      </c>
      <c r="BL53" s="12">
        <f ca="1" t="shared" si="32"/>
        <v>3.1505981063011</v>
      </c>
      <c r="BM53" s="12">
        <f ca="1" t="shared" si="33"/>
        <v>0</v>
      </c>
      <c r="BN53" s="12">
        <f ca="1" t="shared" si="34"/>
        <v>0</v>
      </c>
      <c r="BO53" s="12">
        <f ca="1" t="shared" si="35"/>
        <v>0</v>
      </c>
    </row>
    <row r="54" spans="1:67">
      <c r="A54" s="3">
        <v>24</v>
      </c>
      <c r="B54" s="11">
        <f ca="1" t="shared" si="1"/>
        <v>0.967537325637897</v>
      </c>
      <c r="C54" s="12">
        <f ca="1" t="shared" si="2"/>
        <v>79.2210828523686</v>
      </c>
      <c r="D54" s="11">
        <f ca="1" t="shared" ref="D54:S54" si="58">RAND()</f>
        <v>0.391019153923952</v>
      </c>
      <c r="E54" s="11">
        <f ca="1" t="shared" si="58"/>
        <v>0.289041083394819</v>
      </c>
      <c r="F54" s="11">
        <f ca="1" t="shared" si="58"/>
        <v>0.66778599234641</v>
      </c>
      <c r="G54" s="11">
        <f ca="1" t="shared" si="58"/>
        <v>0.0940931621312873</v>
      </c>
      <c r="H54" s="11">
        <f ca="1" t="shared" si="58"/>
        <v>0.772190590927195</v>
      </c>
      <c r="I54" s="11">
        <f ca="1" t="shared" si="58"/>
        <v>0.102703000666226</v>
      </c>
      <c r="J54" s="11">
        <f ca="1" t="shared" si="58"/>
        <v>0.437545815663584</v>
      </c>
      <c r="K54" s="11">
        <f ca="1" t="shared" si="58"/>
        <v>0.748684220116233</v>
      </c>
      <c r="L54" s="11">
        <f ca="1" t="shared" si="58"/>
        <v>0.550192425040683</v>
      </c>
      <c r="M54" s="11">
        <f ca="1" t="shared" si="58"/>
        <v>0.916683450180305</v>
      </c>
      <c r="N54" s="11">
        <f ca="1" t="shared" si="58"/>
        <v>0.523330891004082</v>
      </c>
      <c r="O54" s="11">
        <f ca="1" t="shared" si="58"/>
        <v>0.531032051888768</v>
      </c>
      <c r="P54" s="11">
        <f ca="1" t="shared" si="58"/>
        <v>0.0450218829594033</v>
      </c>
      <c r="Q54" s="11">
        <f ca="1" t="shared" si="58"/>
        <v>0.067819162190637</v>
      </c>
      <c r="R54" s="11">
        <f ca="1" t="shared" si="58"/>
        <v>0.0626132347578694</v>
      </c>
      <c r="S54" s="11">
        <f ca="1" t="shared" si="58"/>
        <v>0.0537440130347271</v>
      </c>
      <c r="T54" s="12">
        <f ca="1" t="shared" si="4"/>
        <v>4.61377394240494</v>
      </c>
      <c r="U54" s="12">
        <f ca="1" t="shared" si="5"/>
        <v>4.48173513899136</v>
      </c>
      <c r="V54" s="12">
        <f ca="1" t="shared" si="6"/>
        <v>4.95973249043301</v>
      </c>
      <c r="W54" s="12">
        <f ca="1" t="shared" si="7"/>
        <v>4.15682193688548</v>
      </c>
      <c r="X54" s="12">
        <f ca="1" t="shared" si="8"/>
        <v>5.18047647731799</v>
      </c>
      <c r="Y54" s="12">
        <f ca="1" t="shared" si="9"/>
        <v>4.17117166777704</v>
      </c>
      <c r="Z54" s="12">
        <f ca="1" t="shared" si="10"/>
        <v>4.67193226957948</v>
      </c>
      <c r="AA54" s="12">
        <f ca="1" t="shared" si="11"/>
        <v>5.12171055029058</v>
      </c>
      <c r="AB54" s="12">
        <f ca="1" t="shared" si="12"/>
        <v>4.81274053130085</v>
      </c>
      <c r="AC54" s="12">
        <f ca="1" t="shared" si="13"/>
        <v>5.58341725090153</v>
      </c>
      <c r="AD54" s="12">
        <f ca="1" t="shared" si="14"/>
        <v>4.7791636137551</v>
      </c>
      <c r="AE54" s="12">
        <f ca="1" t="shared" si="15"/>
        <v>4.78879006486096</v>
      </c>
      <c r="AF54" s="12">
        <f ca="1" t="shared" si="16"/>
        <v>4.07503647159901</v>
      </c>
      <c r="AG54" s="12">
        <f ca="1" t="shared" si="17"/>
        <v>4.1130319369844</v>
      </c>
      <c r="AH54" s="12">
        <f ca="1" t="shared" si="18"/>
        <v>4.10435539126312</v>
      </c>
      <c r="AI54" s="12">
        <f ca="1" t="shared" si="19"/>
        <v>4.08957335505788</v>
      </c>
      <c r="AJ54" s="12">
        <f ca="1">SUM($T54:T54)</f>
        <v>4.61377394240494</v>
      </c>
      <c r="AK54" s="12">
        <f ca="1">SUM($T54:U54)</f>
        <v>9.0955090813963</v>
      </c>
      <c r="AL54" s="12">
        <f ca="1">SUM($T54:V54)</f>
        <v>14.0552415718293</v>
      </c>
      <c r="AM54" s="12">
        <f ca="1">SUM($T54:W54)</f>
        <v>18.2120635087148</v>
      </c>
      <c r="AN54" s="12">
        <f ca="1">SUM($T54:X54)</f>
        <v>23.3925399860328</v>
      </c>
      <c r="AO54" s="12">
        <f ca="1">SUM($T54:Y54)</f>
        <v>27.5637116538098</v>
      </c>
      <c r="AP54" s="12">
        <f ca="1">SUM($T54:Z54)</f>
        <v>32.2356439233893</v>
      </c>
      <c r="AQ54" s="12">
        <f ca="1">SUM($T54:AA54)</f>
        <v>37.3573544736799</v>
      </c>
      <c r="AR54" s="12">
        <f ca="1">SUM($T54:AB54)</f>
        <v>42.1700950049807</v>
      </c>
      <c r="AS54" s="12">
        <f ca="1">SUM($T54:AC54)</f>
        <v>47.7535122558823</v>
      </c>
      <c r="AT54" s="12">
        <f ca="1">SUM($T54:AD54)</f>
        <v>52.5326758696374</v>
      </c>
      <c r="AU54" s="12">
        <f ca="1">SUM($T54:AE54)</f>
        <v>57.3214659344983</v>
      </c>
      <c r="AV54" s="12">
        <f ca="1">SUM($T54:AF54)</f>
        <v>61.3965024060973</v>
      </c>
      <c r="AW54" s="12">
        <f ca="1">SUM($T54:AG54)</f>
        <v>65.5095343430817</v>
      </c>
      <c r="AX54" s="12">
        <f ca="1">SUM($T54:AH54)</f>
        <v>69.6138897343449</v>
      </c>
      <c r="AY54" s="12">
        <f ca="1">SUM($T54:AI54)</f>
        <v>73.7034630894027</v>
      </c>
      <c r="AZ54" s="12">
        <f ca="1" t="shared" si="20"/>
        <v>74.6073089099636</v>
      </c>
      <c r="BA54" s="12">
        <f ca="1" t="shared" si="21"/>
        <v>70.1255737709723</v>
      </c>
      <c r="BB54" s="12">
        <f ca="1" t="shared" si="22"/>
        <v>65.1658412805393</v>
      </c>
      <c r="BC54" s="12">
        <f ca="1" t="shared" si="23"/>
        <v>61.0090193436538</v>
      </c>
      <c r="BD54" s="12">
        <f ca="1" t="shared" si="24"/>
        <v>55.8285428663358</v>
      </c>
      <c r="BE54" s="12">
        <f ca="1" t="shared" si="25"/>
        <v>51.6573711985588</v>
      </c>
      <c r="BF54" s="12">
        <f ca="1" t="shared" si="26"/>
        <v>46.9854389289793</v>
      </c>
      <c r="BG54" s="12">
        <f ca="1" t="shared" si="27"/>
        <v>41.8637283786887</v>
      </c>
      <c r="BH54" s="12">
        <f ca="1" t="shared" si="28"/>
        <v>37.0509878473878</v>
      </c>
      <c r="BI54" s="12">
        <f ca="1" t="shared" si="29"/>
        <v>31.4675705964863</v>
      </c>
      <c r="BJ54" s="12">
        <f ca="1" t="shared" si="30"/>
        <v>26.6884069827312</v>
      </c>
      <c r="BK54" s="12">
        <f ca="1" t="shared" si="31"/>
        <v>21.8996169178702</v>
      </c>
      <c r="BL54" s="12">
        <f ca="1" t="shared" si="32"/>
        <v>17.8245804462712</v>
      </c>
      <c r="BM54" s="12">
        <f ca="1" t="shared" si="33"/>
        <v>13.7115485092868</v>
      </c>
      <c r="BN54" s="12">
        <f ca="1" t="shared" si="34"/>
        <v>9.60719311802373</v>
      </c>
      <c r="BO54" s="12">
        <f ca="1" t="shared" si="35"/>
        <v>5.51761976296585</v>
      </c>
    </row>
    <row r="55" spans="1:67">
      <c r="A55" s="3">
        <v>25</v>
      </c>
      <c r="B55" s="11">
        <f ca="1" t="shared" si="1"/>
        <v>0.531072350860296</v>
      </c>
      <c r="C55" s="12">
        <f ca="1" t="shared" si="2"/>
        <v>64.6845391810049</v>
      </c>
      <c r="D55" s="11">
        <f ca="1" t="shared" ref="D55:S55" si="59">RAND()</f>
        <v>0.72045396886727</v>
      </c>
      <c r="E55" s="11">
        <f ca="1" t="shared" si="59"/>
        <v>0.819159764739685</v>
      </c>
      <c r="F55" s="11">
        <f ca="1" t="shared" si="59"/>
        <v>0.785062938649436</v>
      </c>
      <c r="G55" s="11">
        <f ca="1" t="shared" si="59"/>
        <v>0.693860034400831</v>
      </c>
      <c r="H55" s="11">
        <f ca="1" t="shared" si="59"/>
        <v>0.272884543068802</v>
      </c>
      <c r="I55" s="11">
        <f ca="1" t="shared" si="59"/>
        <v>0.883124029269142</v>
      </c>
      <c r="J55" s="11">
        <f ca="1" t="shared" si="59"/>
        <v>0.259695290504715</v>
      </c>
      <c r="K55" s="11">
        <f ca="1" t="shared" si="59"/>
        <v>0.0335888283235315</v>
      </c>
      <c r="L55" s="11">
        <f ca="1" t="shared" si="59"/>
        <v>0.00457416181251347</v>
      </c>
      <c r="M55" s="11">
        <f ca="1" t="shared" si="59"/>
        <v>0.637945755681222</v>
      </c>
      <c r="N55" s="11">
        <f ca="1" t="shared" si="59"/>
        <v>0.691518996996121</v>
      </c>
      <c r="O55" s="11">
        <f ca="1" t="shared" si="59"/>
        <v>0.440255058623615</v>
      </c>
      <c r="P55" s="11">
        <f ca="1" t="shared" si="59"/>
        <v>0.0673254210782344</v>
      </c>
      <c r="Q55" s="11">
        <f ca="1" t="shared" si="59"/>
        <v>0.174266743111466</v>
      </c>
      <c r="R55" s="11">
        <f ca="1" t="shared" si="59"/>
        <v>0.0285963726661509</v>
      </c>
      <c r="S55" s="11">
        <f ca="1" t="shared" si="59"/>
        <v>0.321379635456123</v>
      </c>
      <c r="T55" s="12">
        <f ca="1" t="shared" si="4"/>
        <v>5.05113492216817</v>
      </c>
      <c r="U55" s="12">
        <f ca="1" t="shared" si="5"/>
        <v>5.29789941184921</v>
      </c>
      <c r="V55" s="12">
        <f ca="1" t="shared" si="6"/>
        <v>5.21265734662359</v>
      </c>
      <c r="W55" s="12">
        <f ca="1" t="shared" si="7"/>
        <v>4.99232504300104</v>
      </c>
      <c r="X55" s="12">
        <f ca="1" t="shared" si="8"/>
        <v>4.45480757178134</v>
      </c>
      <c r="Y55" s="12">
        <f ca="1" t="shared" si="9"/>
        <v>5.45781007317286</v>
      </c>
      <c r="Z55" s="12">
        <f ca="1" t="shared" si="10"/>
        <v>4.43282548417452</v>
      </c>
      <c r="AA55" s="12">
        <f ca="1" t="shared" si="11"/>
        <v>4.05598138053922</v>
      </c>
      <c r="AB55" s="12">
        <f ca="1" t="shared" si="12"/>
        <v>4.00762360302086</v>
      </c>
      <c r="AC55" s="12">
        <f ca="1" t="shared" si="13"/>
        <v>4.92243219460153</v>
      </c>
      <c r="AD55" s="12">
        <f ca="1" t="shared" si="14"/>
        <v>4.98939874624515</v>
      </c>
      <c r="AE55" s="12">
        <f ca="1" t="shared" si="15"/>
        <v>4.67531882327952</v>
      </c>
      <c r="AF55" s="12">
        <f ca="1" t="shared" si="16"/>
        <v>4.11220903513039</v>
      </c>
      <c r="AG55" s="12">
        <f ca="1" t="shared" si="17"/>
        <v>4.29044457185244</v>
      </c>
      <c r="AH55" s="12">
        <f ca="1" t="shared" si="18"/>
        <v>4.04766062111025</v>
      </c>
      <c r="AI55" s="12">
        <f ca="1" t="shared" si="19"/>
        <v>4.52672454432015</v>
      </c>
      <c r="AJ55" s="12">
        <f ca="1">SUM($T55:T55)</f>
        <v>5.05113492216817</v>
      </c>
      <c r="AK55" s="12">
        <f ca="1">SUM($T55:U55)</f>
        <v>10.3490343340174</v>
      </c>
      <c r="AL55" s="12">
        <f ca="1">SUM($T55:V55)</f>
        <v>15.561691680641</v>
      </c>
      <c r="AM55" s="12">
        <f ca="1">SUM($T55:W55)</f>
        <v>20.554016723642</v>
      </c>
      <c r="AN55" s="12">
        <f ca="1">SUM($T55:X55)</f>
        <v>25.0088242954234</v>
      </c>
      <c r="AO55" s="12">
        <f ca="1">SUM($T55:Y55)</f>
        <v>30.4666343685962</v>
      </c>
      <c r="AP55" s="12">
        <f ca="1">SUM($T55:Z55)</f>
        <v>34.8994598527707</v>
      </c>
      <c r="AQ55" s="12">
        <f ca="1">SUM($T55:AA55)</f>
        <v>38.95544123331</v>
      </c>
      <c r="AR55" s="12">
        <f ca="1">SUM($T55:AB55)</f>
        <v>42.9630648363308</v>
      </c>
      <c r="AS55" s="12">
        <f ca="1">SUM($T55:AC55)</f>
        <v>47.8854970309323</v>
      </c>
      <c r="AT55" s="12">
        <f ca="1">SUM($T55:AD55)</f>
        <v>52.8748957771775</v>
      </c>
      <c r="AU55" s="12">
        <f ca="1">SUM($T55:AE55)</f>
        <v>57.550214600457</v>
      </c>
      <c r="AV55" s="12">
        <f ca="1">SUM($T55:AF55)</f>
        <v>61.6624236355874</v>
      </c>
      <c r="AW55" s="12">
        <f ca="1">SUM($T55:AG55)</f>
        <v>65.9528682074398</v>
      </c>
      <c r="AX55" s="12">
        <f ca="1">SUM($T55:AH55)</f>
        <v>70.0005288285501</v>
      </c>
      <c r="AY55" s="12">
        <f ca="1">SUM($T55:AI55)</f>
        <v>74.5272533728702</v>
      </c>
      <c r="AZ55" s="12">
        <f ca="1" t="shared" si="20"/>
        <v>59.6334042588368</v>
      </c>
      <c r="BA55" s="12">
        <f ca="1" t="shared" si="21"/>
        <v>54.3355048469875</v>
      </c>
      <c r="BB55" s="12">
        <f ca="1" t="shared" si="22"/>
        <v>49.122847500364</v>
      </c>
      <c r="BC55" s="12">
        <f ca="1" t="shared" si="23"/>
        <v>44.1305224573629</v>
      </c>
      <c r="BD55" s="12">
        <f ca="1" t="shared" si="24"/>
        <v>39.6757148855816</v>
      </c>
      <c r="BE55" s="12">
        <f ca="1" t="shared" si="25"/>
        <v>34.2179048124087</v>
      </c>
      <c r="BF55" s="12">
        <f ca="1" t="shared" si="26"/>
        <v>29.7850793282342</v>
      </c>
      <c r="BG55" s="12">
        <f ca="1" t="shared" si="27"/>
        <v>25.729097947695</v>
      </c>
      <c r="BH55" s="12">
        <f ca="1" t="shared" si="28"/>
        <v>21.7214743446741</v>
      </c>
      <c r="BI55" s="12">
        <f ca="1" t="shared" si="29"/>
        <v>16.7990421500726</v>
      </c>
      <c r="BJ55" s="12">
        <f ca="1" t="shared" si="30"/>
        <v>11.8096434038275</v>
      </c>
      <c r="BK55" s="12">
        <f ca="1" t="shared" si="31"/>
        <v>7.13432458054793</v>
      </c>
      <c r="BL55" s="12">
        <f ca="1" t="shared" si="32"/>
        <v>3.02211554541754</v>
      </c>
      <c r="BM55" s="12">
        <f ca="1" t="shared" si="33"/>
        <v>0</v>
      </c>
      <c r="BN55" s="12">
        <f ca="1" t="shared" si="34"/>
        <v>0</v>
      </c>
      <c r="BO55" s="12">
        <f ca="1" t="shared" si="35"/>
        <v>0</v>
      </c>
    </row>
    <row r="56" spans="1:67">
      <c r="A56" s="3">
        <v>26</v>
      </c>
      <c r="B56" s="11">
        <f ca="1" t="shared" si="1"/>
        <v>0.768137333298632</v>
      </c>
      <c r="C56" s="12">
        <f ca="1" t="shared" si="2"/>
        <v>68.1162476185519</v>
      </c>
      <c r="D56" s="11">
        <f ca="1" t="shared" ref="D56:S56" si="60">RAND()</f>
        <v>0.0667096022004507</v>
      </c>
      <c r="E56" s="11">
        <f ca="1" t="shared" si="60"/>
        <v>0.198372171068876</v>
      </c>
      <c r="F56" s="11">
        <f ca="1" t="shared" si="60"/>
        <v>0.624433032872967</v>
      </c>
      <c r="G56" s="11">
        <f ca="1" t="shared" si="60"/>
        <v>0.74358783094154</v>
      </c>
      <c r="H56" s="11">
        <f ca="1" t="shared" si="60"/>
        <v>0.909549069931643</v>
      </c>
      <c r="I56" s="11">
        <f ca="1" t="shared" si="60"/>
        <v>0.953376295523917</v>
      </c>
      <c r="J56" s="11">
        <f ca="1" t="shared" si="60"/>
        <v>0.730927363256191</v>
      </c>
      <c r="K56" s="11">
        <f ca="1" t="shared" si="60"/>
        <v>0.832756587498455</v>
      </c>
      <c r="L56" s="11">
        <f ca="1" t="shared" si="60"/>
        <v>0.577125108012202</v>
      </c>
      <c r="M56" s="11">
        <f ca="1" t="shared" si="60"/>
        <v>0.181274352242636</v>
      </c>
      <c r="N56" s="11">
        <f ca="1" t="shared" si="60"/>
        <v>0.848200020718859</v>
      </c>
      <c r="O56" s="11">
        <f ca="1" t="shared" si="60"/>
        <v>0.533204652942422</v>
      </c>
      <c r="P56" s="11">
        <f ca="1" t="shared" si="60"/>
        <v>0.000364453652370811</v>
      </c>
      <c r="Q56" s="11">
        <f ca="1" t="shared" si="60"/>
        <v>0.49389493937681</v>
      </c>
      <c r="R56" s="11">
        <f ca="1" t="shared" si="60"/>
        <v>0.0299439683622105</v>
      </c>
      <c r="S56" s="11">
        <f ca="1" t="shared" si="60"/>
        <v>0.717246698636887</v>
      </c>
      <c r="T56" s="12">
        <f ca="1" t="shared" si="4"/>
        <v>4.11118267033408</v>
      </c>
      <c r="U56" s="12">
        <f ca="1" t="shared" si="5"/>
        <v>4.33062028511479</v>
      </c>
      <c r="V56" s="12">
        <f ca="1" t="shared" si="6"/>
        <v>4.90554129109121</v>
      </c>
      <c r="W56" s="12">
        <f ca="1" t="shared" si="7"/>
        <v>5.10896957735385</v>
      </c>
      <c r="X56" s="12">
        <f ca="1" t="shared" si="8"/>
        <v>5.54774534965822</v>
      </c>
      <c r="Y56" s="12">
        <f ca="1" t="shared" si="9"/>
        <v>5.76688147761958</v>
      </c>
      <c r="Z56" s="12">
        <f ca="1" t="shared" si="10"/>
        <v>5.07731840814048</v>
      </c>
      <c r="AA56" s="12">
        <f ca="1" t="shared" si="11"/>
        <v>5.33189146874614</v>
      </c>
      <c r="AB56" s="12">
        <f ca="1" t="shared" si="12"/>
        <v>4.84640638501525</v>
      </c>
      <c r="AC56" s="12">
        <f ca="1" t="shared" si="13"/>
        <v>4.30212392040439</v>
      </c>
      <c r="AD56" s="12">
        <f ca="1" t="shared" si="14"/>
        <v>5.37050005179715</v>
      </c>
      <c r="AE56" s="12">
        <f ca="1" t="shared" si="15"/>
        <v>4.79150581617803</v>
      </c>
      <c r="AF56" s="12">
        <f ca="1" t="shared" si="16"/>
        <v>4.00060742275395</v>
      </c>
      <c r="AG56" s="12">
        <f ca="1" t="shared" si="17"/>
        <v>4.74236867422101</v>
      </c>
      <c r="AH56" s="12">
        <f ca="1" t="shared" si="18"/>
        <v>4.04990661393702</v>
      </c>
      <c r="AI56" s="12">
        <f ca="1" t="shared" si="19"/>
        <v>5.04311674659222</v>
      </c>
      <c r="AJ56" s="12">
        <f ca="1">SUM($T56:T56)</f>
        <v>4.11118267033408</v>
      </c>
      <c r="AK56" s="12">
        <f ca="1">SUM($T56:U56)</f>
        <v>8.44180295544888</v>
      </c>
      <c r="AL56" s="12">
        <f ca="1">SUM($T56:V56)</f>
        <v>13.3473442465401</v>
      </c>
      <c r="AM56" s="12">
        <f ca="1">SUM($T56:W56)</f>
        <v>18.4563138238939</v>
      </c>
      <c r="AN56" s="12">
        <f ca="1">SUM($T56:X56)</f>
        <v>24.0040591735522</v>
      </c>
      <c r="AO56" s="12">
        <f ca="1">SUM($T56:Y56)</f>
        <v>29.7709406511717</v>
      </c>
      <c r="AP56" s="12">
        <f ca="1">SUM($T56:Z56)</f>
        <v>34.8482590593122</v>
      </c>
      <c r="AQ56" s="12">
        <f ca="1">SUM($T56:AA56)</f>
        <v>40.1801505280584</v>
      </c>
      <c r="AR56" s="12">
        <f ca="1">SUM($T56:AB56)</f>
        <v>45.0265569130736</v>
      </c>
      <c r="AS56" s="12">
        <f ca="1">SUM($T56:AC56)</f>
        <v>49.328680833478</v>
      </c>
      <c r="AT56" s="12">
        <f ca="1">SUM($T56:AD56)</f>
        <v>54.6991808852751</v>
      </c>
      <c r="AU56" s="12">
        <f ca="1">SUM($T56:AE56)</f>
        <v>59.4906867014532</v>
      </c>
      <c r="AV56" s="12">
        <f ca="1">SUM($T56:AF56)</f>
        <v>63.4912941242071</v>
      </c>
      <c r="AW56" s="12">
        <f ca="1">SUM($T56:AG56)</f>
        <v>68.2336627984281</v>
      </c>
      <c r="AX56" s="12">
        <f ca="1">SUM($T56:AH56)</f>
        <v>72.2835694123651</v>
      </c>
      <c r="AY56" s="12">
        <f ca="1">SUM($T56:AI56)</f>
        <v>77.3266861589574</v>
      </c>
      <c r="AZ56" s="12">
        <f ca="1" t="shared" si="20"/>
        <v>64.0050649482178</v>
      </c>
      <c r="BA56" s="12">
        <f ca="1" t="shared" si="21"/>
        <v>59.674444663103</v>
      </c>
      <c r="BB56" s="12">
        <f ca="1" t="shared" si="22"/>
        <v>54.7689033720118</v>
      </c>
      <c r="BC56" s="12">
        <f ca="1" t="shared" si="23"/>
        <v>49.6599337946579</v>
      </c>
      <c r="BD56" s="12">
        <f ca="1" t="shared" si="24"/>
        <v>44.1121884449997</v>
      </c>
      <c r="BE56" s="12">
        <f ca="1" t="shared" si="25"/>
        <v>38.3453069673801</v>
      </c>
      <c r="BF56" s="12">
        <f ca="1" t="shared" si="26"/>
        <v>33.2679885592397</v>
      </c>
      <c r="BG56" s="12">
        <f ca="1" t="shared" si="27"/>
        <v>27.9360970904935</v>
      </c>
      <c r="BH56" s="12">
        <f ca="1" t="shared" si="28"/>
        <v>23.0896907054783</v>
      </c>
      <c r="BI56" s="12">
        <f ca="1" t="shared" si="29"/>
        <v>18.7875667850739</v>
      </c>
      <c r="BJ56" s="12">
        <f ca="1" t="shared" si="30"/>
        <v>13.4170667332767</v>
      </c>
      <c r="BK56" s="12">
        <f ca="1" t="shared" si="31"/>
        <v>8.62556091709871</v>
      </c>
      <c r="BL56" s="12">
        <f ca="1" t="shared" si="32"/>
        <v>4.62495349434476</v>
      </c>
      <c r="BM56" s="12">
        <f ca="1" t="shared" si="33"/>
        <v>0</v>
      </c>
      <c r="BN56" s="12">
        <f ca="1" t="shared" si="34"/>
        <v>0</v>
      </c>
      <c r="BO56" s="12">
        <f ca="1" t="shared" si="35"/>
        <v>0</v>
      </c>
    </row>
    <row r="57" spans="1:67">
      <c r="A57" s="3">
        <v>27</v>
      </c>
      <c r="B57" s="11">
        <f ca="1" t="shared" si="1"/>
        <v>0.397204209466284</v>
      </c>
      <c r="C57" s="12">
        <f ca="1" t="shared" si="2"/>
        <v>62.4534034911047</v>
      </c>
      <c r="D57" s="11">
        <f ca="1" t="shared" ref="D57:S57" si="61">RAND()</f>
        <v>0.330183470715814</v>
      </c>
      <c r="E57" s="11">
        <f ca="1" t="shared" si="61"/>
        <v>0.988874479459564</v>
      </c>
      <c r="F57" s="11">
        <f ca="1" t="shared" si="61"/>
        <v>0.361056887142652</v>
      </c>
      <c r="G57" s="11">
        <f ca="1" t="shared" si="61"/>
        <v>0.325169589815077</v>
      </c>
      <c r="H57" s="11">
        <f ca="1" t="shared" si="61"/>
        <v>0.781695851784907</v>
      </c>
      <c r="I57" s="11">
        <f ca="1" t="shared" si="61"/>
        <v>0.0765985916628669</v>
      </c>
      <c r="J57" s="11">
        <f ca="1" t="shared" si="61"/>
        <v>0.0239181556377173</v>
      </c>
      <c r="K57" s="11">
        <f ca="1" t="shared" si="61"/>
        <v>0.340224644845339</v>
      </c>
      <c r="L57" s="11">
        <f ca="1" t="shared" si="61"/>
        <v>0.807964643378027</v>
      </c>
      <c r="M57" s="11">
        <f ca="1" t="shared" si="61"/>
        <v>0.0129410561052692</v>
      </c>
      <c r="N57" s="11">
        <f ca="1" t="shared" si="61"/>
        <v>0.182724833349857</v>
      </c>
      <c r="O57" s="11">
        <f ca="1" t="shared" si="61"/>
        <v>0.493263452506891</v>
      </c>
      <c r="P57" s="11">
        <f ca="1" t="shared" si="61"/>
        <v>0.917574988261097</v>
      </c>
      <c r="Q57" s="11">
        <f ca="1" t="shared" si="61"/>
        <v>0.182688300904859</v>
      </c>
      <c r="R57" s="11">
        <f ca="1" t="shared" si="61"/>
        <v>0.618804932063846</v>
      </c>
      <c r="S57" s="11">
        <f ca="1" t="shared" si="61"/>
        <v>0.468084872429412</v>
      </c>
      <c r="T57" s="12">
        <f ca="1" t="shared" si="4"/>
        <v>4.53772933839477</v>
      </c>
      <c r="U57" s="12">
        <f ca="1" t="shared" si="5"/>
        <v>5.94437239729782</v>
      </c>
      <c r="V57" s="12">
        <f ca="1" t="shared" si="6"/>
        <v>4.57632110892831</v>
      </c>
      <c r="W57" s="12">
        <f ca="1" t="shared" si="7"/>
        <v>4.53146198726885</v>
      </c>
      <c r="X57" s="12">
        <f ca="1" t="shared" si="8"/>
        <v>5.20423962946227</v>
      </c>
      <c r="Y57" s="12">
        <f ca="1" t="shared" si="9"/>
        <v>4.12766431943811</v>
      </c>
      <c r="Z57" s="12">
        <f ca="1" t="shared" si="10"/>
        <v>4.03986359272953</v>
      </c>
      <c r="AA57" s="12">
        <f ca="1" t="shared" si="11"/>
        <v>4.55028080605667</v>
      </c>
      <c r="AB57" s="12">
        <f ca="1" t="shared" si="12"/>
        <v>5.26991160844507</v>
      </c>
      <c r="AC57" s="12">
        <f ca="1" t="shared" si="13"/>
        <v>4.02156842684212</v>
      </c>
      <c r="AD57" s="12">
        <f ca="1" t="shared" si="14"/>
        <v>4.30454138891643</v>
      </c>
      <c r="AE57" s="12">
        <f ca="1" t="shared" si="15"/>
        <v>4.74157931563361</v>
      </c>
      <c r="AF57" s="12">
        <f ca="1" t="shared" si="16"/>
        <v>5.58787494130548</v>
      </c>
      <c r="AG57" s="12">
        <f ca="1" t="shared" si="17"/>
        <v>4.3044805015081</v>
      </c>
      <c r="AH57" s="12">
        <f ca="1" t="shared" si="18"/>
        <v>4.89850616507981</v>
      </c>
      <c r="AI57" s="12">
        <f ca="1" t="shared" si="19"/>
        <v>4.71010609053677</v>
      </c>
      <c r="AJ57" s="12">
        <f ca="1">SUM($T57:T57)</f>
        <v>4.53772933839477</v>
      </c>
      <c r="AK57" s="12">
        <f ca="1">SUM($T57:U57)</f>
        <v>10.4821017356926</v>
      </c>
      <c r="AL57" s="12">
        <f ca="1">SUM($T57:V57)</f>
        <v>15.0584228446209</v>
      </c>
      <c r="AM57" s="12">
        <f ca="1">SUM($T57:W57)</f>
        <v>19.5898848318897</v>
      </c>
      <c r="AN57" s="12">
        <f ca="1">SUM($T57:X57)</f>
        <v>24.794124461352</v>
      </c>
      <c r="AO57" s="12">
        <f ca="1">SUM($T57:Y57)</f>
        <v>28.9217887807901</v>
      </c>
      <c r="AP57" s="12">
        <f ca="1">SUM($T57:Z57)</f>
        <v>32.9616523735197</v>
      </c>
      <c r="AQ57" s="12">
        <f ca="1">SUM($T57:AA57)</f>
        <v>37.5119331795763</v>
      </c>
      <c r="AR57" s="12">
        <f ca="1">SUM($T57:AB57)</f>
        <v>42.7818447880214</v>
      </c>
      <c r="AS57" s="12">
        <f ca="1">SUM($T57:AC57)</f>
        <v>46.8034132148635</v>
      </c>
      <c r="AT57" s="12">
        <f ca="1">SUM($T57:AD57)</f>
        <v>51.1079546037799</v>
      </c>
      <c r="AU57" s="12">
        <f ca="1">SUM($T57:AE57)</f>
        <v>55.8495339194136</v>
      </c>
      <c r="AV57" s="12">
        <f ca="1">SUM($T57:AF57)</f>
        <v>61.437408860719</v>
      </c>
      <c r="AW57" s="12">
        <f ca="1">SUM($T57:AG57)</f>
        <v>65.7418893622271</v>
      </c>
      <c r="AX57" s="12">
        <f ca="1">SUM($T57:AH57)</f>
        <v>70.6403955273069</v>
      </c>
      <c r="AY57" s="12">
        <f ca="1">SUM($T57:AI57)</f>
        <v>75.3505016178437</v>
      </c>
      <c r="AZ57" s="12">
        <f ca="1" t="shared" si="20"/>
        <v>57.91567415271</v>
      </c>
      <c r="BA57" s="12">
        <f ca="1" t="shared" si="21"/>
        <v>51.9713017554121</v>
      </c>
      <c r="BB57" s="12">
        <f ca="1" t="shared" si="22"/>
        <v>47.3949806464838</v>
      </c>
      <c r="BC57" s="12">
        <f ca="1" t="shared" si="23"/>
        <v>42.863518659215</v>
      </c>
      <c r="BD57" s="12">
        <f ca="1" t="shared" si="24"/>
        <v>37.6592790297527</v>
      </c>
      <c r="BE57" s="12">
        <f ca="1" t="shared" si="25"/>
        <v>33.5316147103146</v>
      </c>
      <c r="BF57" s="12">
        <f ca="1" t="shared" si="26"/>
        <v>29.4917511175851</v>
      </c>
      <c r="BG57" s="12">
        <f ca="1" t="shared" si="27"/>
        <v>24.9414703115284</v>
      </c>
      <c r="BH57" s="12">
        <f ca="1" t="shared" si="28"/>
        <v>19.6715587030833</v>
      </c>
      <c r="BI57" s="12">
        <f ca="1" t="shared" si="29"/>
        <v>15.6499902762412</v>
      </c>
      <c r="BJ57" s="12">
        <f ca="1" t="shared" si="30"/>
        <v>11.3454488873248</v>
      </c>
      <c r="BK57" s="12">
        <f ca="1" t="shared" si="31"/>
        <v>6.60386957169116</v>
      </c>
      <c r="BL57" s="12">
        <f ca="1" t="shared" si="32"/>
        <v>1.01599463038568</v>
      </c>
      <c r="BM57" s="12">
        <f ca="1" t="shared" si="33"/>
        <v>0</v>
      </c>
      <c r="BN57" s="12">
        <f ca="1" t="shared" si="34"/>
        <v>0</v>
      </c>
      <c r="BO57" s="12">
        <f ca="1" t="shared" si="35"/>
        <v>0</v>
      </c>
    </row>
    <row r="58" spans="1:67">
      <c r="A58" s="3">
        <v>28</v>
      </c>
      <c r="B58" s="11">
        <f ca="1" t="shared" si="1"/>
        <v>0.187229424374608</v>
      </c>
      <c r="C58" s="12">
        <f ca="1" t="shared" si="2"/>
        <v>57.9076474791536</v>
      </c>
      <c r="D58" s="11">
        <f ca="1" t="shared" ref="D58:S58" si="62">RAND()</f>
        <v>0.279273574275174</v>
      </c>
      <c r="E58" s="11">
        <f ca="1" t="shared" si="62"/>
        <v>0.899660629212306</v>
      </c>
      <c r="F58" s="11">
        <f ca="1" t="shared" si="62"/>
        <v>0.254089983236969</v>
      </c>
      <c r="G58" s="11">
        <f ca="1" t="shared" si="62"/>
        <v>0.151399556477452</v>
      </c>
      <c r="H58" s="11">
        <f ca="1" t="shared" si="62"/>
        <v>0.446086420635763</v>
      </c>
      <c r="I58" s="11">
        <f ca="1" t="shared" si="62"/>
        <v>0.00231744114626076</v>
      </c>
      <c r="J58" s="11">
        <f ca="1" t="shared" si="62"/>
        <v>0.391003825844126</v>
      </c>
      <c r="K58" s="11">
        <f ca="1" t="shared" si="62"/>
        <v>0.870892684298936</v>
      </c>
      <c r="L58" s="11">
        <f ca="1" t="shared" si="62"/>
        <v>0.174565984399748</v>
      </c>
      <c r="M58" s="11">
        <f ca="1" t="shared" si="62"/>
        <v>0.749600528572159</v>
      </c>
      <c r="N58" s="11">
        <f ca="1" t="shared" si="62"/>
        <v>0.858131391595727</v>
      </c>
      <c r="O58" s="11">
        <f ca="1" t="shared" si="62"/>
        <v>0.51998579047425</v>
      </c>
      <c r="P58" s="11">
        <f ca="1" t="shared" si="62"/>
        <v>0.756229909068425</v>
      </c>
      <c r="Q58" s="11">
        <f ca="1" t="shared" si="62"/>
        <v>0.930609481363845</v>
      </c>
      <c r="R58" s="11">
        <f ca="1" t="shared" si="62"/>
        <v>0.630589471503654</v>
      </c>
      <c r="S58" s="11">
        <f ca="1" t="shared" si="62"/>
        <v>0.745720404025826</v>
      </c>
      <c r="T58" s="12">
        <f ca="1" t="shared" si="4"/>
        <v>4.46545595712529</v>
      </c>
      <c r="U58" s="12">
        <f ca="1" t="shared" si="5"/>
        <v>5.49915157303077</v>
      </c>
      <c r="V58" s="12">
        <f ca="1" t="shared" si="6"/>
        <v>4.42348330539495</v>
      </c>
      <c r="W58" s="12">
        <f ca="1" t="shared" si="7"/>
        <v>4.25233259412909</v>
      </c>
      <c r="X58" s="12">
        <f ca="1" t="shared" si="8"/>
        <v>4.6826080257947</v>
      </c>
      <c r="Y58" s="12">
        <f ca="1" t="shared" si="9"/>
        <v>4.00386240191043</v>
      </c>
      <c r="Z58" s="12">
        <f ca="1" t="shared" si="10"/>
        <v>4.61375478230516</v>
      </c>
      <c r="AA58" s="12">
        <f ca="1" t="shared" si="11"/>
        <v>5.42723171074734</v>
      </c>
      <c r="AB58" s="12">
        <f ca="1" t="shared" si="12"/>
        <v>4.29094330733291</v>
      </c>
      <c r="AC58" s="12">
        <f ca="1" t="shared" si="13"/>
        <v>5.1240013214304</v>
      </c>
      <c r="AD58" s="12">
        <f ca="1" t="shared" si="14"/>
        <v>5.39532847898932</v>
      </c>
      <c r="AE58" s="12">
        <f ca="1" t="shared" si="15"/>
        <v>4.77498223809281</v>
      </c>
      <c r="AF58" s="12">
        <f ca="1" t="shared" si="16"/>
        <v>5.14057477267106</v>
      </c>
      <c r="AG58" s="12">
        <f ca="1" t="shared" si="17"/>
        <v>5.65304740681923</v>
      </c>
      <c r="AH58" s="12">
        <f ca="1" t="shared" si="18"/>
        <v>4.91323683937957</v>
      </c>
      <c r="AI58" s="12">
        <f ca="1" t="shared" si="19"/>
        <v>5.11430101006457</v>
      </c>
      <c r="AJ58" s="12">
        <f ca="1">SUM($T58:T58)</f>
        <v>4.46545595712529</v>
      </c>
      <c r="AK58" s="12">
        <f ca="1">SUM($T58:U58)</f>
        <v>9.96460753015606</v>
      </c>
      <c r="AL58" s="12">
        <f ca="1">SUM($T58:V58)</f>
        <v>14.388090835551</v>
      </c>
      <c r="AM58" s="12">
        <f ca="1">SUM($T58:W58)</f>
        <v>18.6404234296801</v>
      </c>
      <c r="AN58" s="12">
        <f ca="1">SUM($T58:X58)</f>
        <v>23.3230314554748</v>
      </c>
      <c r="AO58" s="12">
        <f ca="1">SUM($T58:Y58)</f>
        <v>27.3268938573852</v>
      </c>
      <c r="AP58" s="12">
        <f ca="1">SUM($T58:Z58)</f>
        <v>31.9406486396904</v>
      </c>
      <c r="AQ58" s="12">
        <f ca="1">SUM($T58:AA58)</f>
        <v>37.3678803504377</v>
      </c>
      <c r="AR58" s="12">
        <f ca="1">SUM($T58:AB58)</f>
        <v>41.6588236577706</v>
      </c>
      <c r="AS58" s="12">
        <f ca="1">SUM($T58:AC58)</f>
        <v>46.782824979201</v>
      </c>
      <c r="AT58" s="12">
        <f ca="1">SUM($T58:AD58)</f>
        <v>52.1781534581904</v>
      </c>
      <c r="AU58" s="12">
        <f ca="1">SUM($T58:AE58)</f>
        <v>56.9531356962832</v>
      </c>
      <c r="AV58" s="12">
        <f ca="1">SUM($T58:AF58)</f>
        <v>62.0937104689542</v>
      </c>
      <c r="AW58" s="12">
        <f ca="1">SUM($T58:AG58)</f>
        <v>67.7467578757735</v>
      </c>
      <c r="AX58" s="12">
        <f ca="1">SUM($T58:AH58)</f>
        <v>72.659994715153</v>
      </c>
      <c r="AY58" s="12">
        <f ca="1">SUM($T58:AI58)</f>
        <v>77.7742957252176</v>
      </c>
      <c r="AZ58" s="12">
        <f ca="1" t="shared" si="20"/>
        <v>53.4421915220283</v>
      </c>
      <c r="BA58" s="12">
        <f ca="1" t="shared" si="21"/>
        <v>47.9430399489976</v>
      </c>
      <c r="BB58" s="12">
        <f ca="1" t="shared" si="22"/>
        <v>43.5195566436026</v>
      </c>
      <c r="BC58" s="12">
        <f ca="1" t="shared" si="23"/>
        <v>39.2672240494735</v>
      </c>
      <c r="BD58" s="12">
        <f ca="1" t="shared" si="24"/>
        <v>34.5846160236788</v>
      </c>
      <c r="BE58" s="12">
        <f ca="1" t="shared" si="25"/>
        <v>30.5807536217684</v>
      </c>
      <c r="BF58" s="12">
        <f ca="1" t="shared" si="26"/>
        <v>25.9669988394632</v>
      </c>
      <c r="BG58" s="12">
        <f ca="1" t="shared" si="27"/>
        <v>20.5397671287159</v>
      </c>
      <c r="BH58" s="12">
        <f ca="1" t="shared" si="28"/>
        <v>16.248823821383</v>
      </c>
      <c r="BI58" s="12">
        <f ca="1" t="shared" si="29"/>
        <v>11.1248224999526</v>
      </c>
      <c r="BJ58" s="12">
        <f ca="1" t="shared" si="30"/>
        <v>5.72949402096325</v>
      </c>
      <c r="BK58" s="12">
        <f ca="1" t="shared" si="31"/>
        <v>0.954511782870441</v>
      </c>
      <c r="BL58" s="12">
        <f ca="1" t="shared" si="32"/>
        <v>0</v>
      </c>
      <c r="BM58" s="12">
        <f ca="1" t="shared" si="33"/>
        <v>0</v>
      </c>
      <c r="BN58" s="12">
        <f ca="1" t="shared" si="34"/>
        <v>0</v>
      </c>
      <c r="BO58" s="12">
        <f ca="1" t="shared" si="35"/>
        <v>0</v>
      </c>
    </row>
    <row r="59" spans="1:67">
      <c r="A59" s="3">
        <v>29</v>
      </c>
      <c r="B59" s="11">
        <f ca="1" t="shared" si="1"/>
        <v>0.438918087710017</v>
      </c>
      <c r="C59" s="12">
        <f ca="1" t="shared" si="2"/>
        <v>63.1486347951669</v>
      </c>
      <c r="D59" s="11">
        <f ca="1" t="shared" ref="D59:S59" si="63">RAND()</f>
        <v>0.0535905827869696</v>
      </c>
      <c r="E59" s="11">
        <f ca="1" t="shared" si="63"/>
        <v>0.620605518317774</v>
      </c>
      <c r="F59" s="11">
        <f ca="1" t="shared" si="63"/>
        <v>0.119946398446295</v>
      </c>
      <c r="G59" s="11">
        <f ca="1" t="shared" si="63"/>
        <v>0.624284821317119</v>
      </c>
      <c r="H59" s="11">
        <f ca="1" t="shared" si="63"/>
        <v>0.102693862350863</v>
      </c>
      <c r="I59" s="11">
        <f ca="1" t="shared" si="63"/>
        <v>0.331719816081871</v>
      </c>
      <c r="J59" s="11">
        <f ca="1" t="shared" si="63"/>
        <v>0.947531505708648</v>
      </c>
      <c r="K59" s="11">
        <f ca="1" t="shared" si="63"/>
        <v>0.094106467385757</v>
      </c>
      <c r="L59" s="11">
        <f ca="1" t="shared" si="63"/>
        <v>0.421950178864163</v>
      </c>
      <c r="M59" s="11">
        <f ca="1" t="shared" si="63"/>
        <v>0.816930975657805</v>
      </c>
      <c r="N59" s="11">
        <f ca="1" t="shared" si="63"/>
        <v>0.43754369097664</v>
      </c>
      <c r="O59" s="11">
        <f ca="1" t="shared" si="63"/>
        <v>0.282260162426772</v>
      </c>
      <c r="P59" s="11">
        <f ca="1" t="shared" si="63"/>
        <v>0.523332754684236</v>
      </c>
      <c r="Q59" s="11">
        <f ca="1" t="shared" si="63"/>
        <v>0.703979553404536</v>
      </c>
      <c r="R59" s="11">
        <f ca="1" t="shared" si="63"/>
        <v>0.531026075884664</v>
      </c>
      <c r="S59" s="11">
        <f ca="1" t="shared" si="63"/>
        <v>0.175491593548433</v>
      </c>
      <c r="T59" s="12">
        <f ca="1" t="shared" si="4"/>
        <v>4.08931763797828</v>
      </c>
      <c r="U59" s="12">
        <f ca="1" t="shared" si="5"/>
        <v>4.90075689789722</v>
      </c>
      <c r="V59" s="12">
        <f ca="1" t="shared" si="6"/>
        <v>4.19991066407716</v>
      </c>
      <c r="W59" s="12">
        <f ca="1" t="shared" si="7"/>
        <v>4.9053560266464</v>
      </c>
      <c r="X59" s="12">
        <f ca="1" t="shared" si="8"/>
        <v>4.17115643725144</v>
      </c>
      <c r="Y59" s="12">
        <f ca="1" t="shared" si="9"/>
        <v>4.53964977010234</v>
      </c>
      <c r="Z59" s="12">
        <f ca="1" t="shared" si="10"/>
        <v>5.73765752854324</v>
      </c>
      <c r="AA59" s="12">
        <f ca="1" t="shared" si="11"/>
        <v>4.15684411230959</v>
      </c>
      <c r="AB59" s="12">
        <f ca="1" t="shared" si="12"/>
        <v>4.6524377235802</v>
      </c>
      <c r="AC59" s="12">
        <f ca="1" t="shared" si="13"/>
        <v>5.29232743914451</v>
      </c>
      <c r="AD59" s="12">
        <f ca="1" t="shared" si="14"/>
        <v>4.6719296137208</v>
      </c>
      <c r="AE59" s="12">
        <f ca="1" t="shared" si="15"/>
        <v>4.47043360404462</v>
      </c>
      <c r="AF59" s="12">
        <f ca="1" t="shared" si="16"/>
        <v>4.7791659433553</v>
      </c>
      <c r="AG59" s="12">
        <f ca="1" t="shared" si="17"/>
        <v>5.00994888351134</v>
      </c>
      <c r="AH59" s="12">
        <f ca="1" t="shared" si="18"/>
        <v>4.78878259485583</v>
      </c>
      <c r="AI59" s="12">
        <f ca="1" t="shared" si="19"/>
        <v>4.29248598924739</v>
      </c>
      <c r="AJ59" s="12">
        <f ca="1">SUM($T59:T59)</f>
        <v>4.08931763797828</v>
      </c>
      <c r="AK59" s="12">
        <f ca="1">SUM($T59:U59)</f>
        <v>8.9900745358755</v>
      </c>
      <c r="AL59" s="12">
        <f ca="1">SUM($T59:V59)</f>
        <v>13.1899851999527</v>
      </c>
      <c r="AM59" s="12">
        <f ca="1">SUM($T59:W59)</f>
        <v>18.0953412265991</v>
      </c>
      <c r="AN59" s="12">
        <f ca="1">SUM($T59:X59)</f>
        <v>22.2664976638505</v>
      </c>
      <c r="AO59" s="12">
        <f ca="1">SUM($T59:Y59)</f>
        <v>26.8061474339528</v>
      </c>
      <c r="AP59" s="12">
        <f ca="1">SUM($T59:Z59)</f>
        <v>32.5438049624961</v>
      </c>
      <c r="AQ59" s="12">
        <f ca="1">SUM($T59:AA59)</f>
        <v>36.7006490748057</v>
      </c>
      <c r="AR59" s="12">
        <f ca="1">SUM($T59:AB59)</f>
        <v>41.3530867983859</v>
      </c>
      <c r="AS59" s="12">
        <f ca="1">SUM($T59:AC59)</f>
        <v>46.6454142375304</v>
      </c>
      <c r="AT59" s="12">
        <f ca="1">SUM($T59:AD59)</f>
        <v>51.3173438512512</v>
      </c>
      <c r="AU59" s="12">
        <f ca="1">SUM($T59:AE59)</f>
        <v>55.7877774552958</v>
      </c>
      <c r="AV59" s="12">
        <f ca="1">SUM($T59:AF59)</f>
        <v>60.5669433986511</v>
      </c>
      <c r="AW59" s="12">
        <f ca="1">SUM($T59:AG59)</f>
        <v>65.5768922821624</v>
      </c>
      <c r="AX59" s="12">
        <f ca="1">SUM($T59:AH59)</f>
        <v>70.3656748770183</v>
      </c>
      <c r="AY59" s="12">
        <f ca="1">SUM($T59:AI59)</f>
        <v>74.6581608662657</v>
      </c>
      <c r="AZ59" s="12">
        <f ca="1" t="shared" si="20"/>
        <v>59.0593171571887</v>
      </c>
      <c r="BA59" s="12">
        <f ca="1" t="shared" si="21"/>
        <v>54.1585602592914</v>
      </c>
      <c r="BB59" s="12">
        <f ca="1" t="shared" si="22"/>
        <v>49.9586495952143</v>
      </c>
      <c r="BC59" s="12">
        <f ca="1" t="shared" si="23"/>
        <v>45.0532935685679</v>
      </c>
      <c r="BD59" s="12">
        <f ca="1" t="shared" si="24"/>
        <v>40.8821371313165</v>
      </c>
      <c r="BE59" s="12">
        <f ca="1" t="shared" si="25"/>
        <v>36.3424873612141</v>
      </c>
      <c r="BF59" s="12">
        <f ca="1" t="shared" si="26"/>
        <v>30.6048298326709</v>
      </c>
      <c r="BG59" s="12">
        <f ca="1" t="shared" si="27"/>
        <v>26.4479857203613</v>
      </c>
      <c r="BH59" s="12">
        <f ca="1" t="shared" si="28"/>
        <v>21.7955479967811</v>
      </c>
      <c r="BI59" s="12">
        <f ca="1" t="shared" si="29"/>
        <v>16.5032205576366</v>
      </c>
      <c r="BJ59" s="12">
        <f ca="1" t="shared" si="30"/>
        <v>11.8312909439158</v>
      </c>
      <c r="BK59" s="12">
        <f ca="1" t="shared" si="31"/>
        <v>7.36085733987114</v>
      </c>
      <c r="BL59" s="12">
        <f ca="1" t="shared" si="32"/>
        <v>2.58169139651584</v>
      </c>
      <c r="BM59" s="12">
        <f ca="1" t="shared" si="33"/>
        <v>0</v>
      </c>
      <c r="BN59" s="12">
        <f ca="1" t="shared" si="34"/>
        <v>0</v>
      </c>
      <c r="BO59" s="12">
        <f ca="1" t="shared" si="35"/>
        <v>0</v>
      </c>
    </row>
    <row r="60" spans="1:67">
      <c r="A60" s="3">
        <v>30</v>
      </c>
      <c r="B60" s="11">
        <f ca="1" t="shared" si="1"/>
        <v>0.3449751017684</v>
      </c>
      <c r="C60" s="12">
        <f ca="1" t="shared" si="2"/>
        <v>61.5829183628067</v>
      </c>
      <c r="D60" s="11">
        <f ca="1" t="shared" ref="D60:S60" si="64">RAND()</f>
        <v>0.246005246472829</v>
      </c>
      <c r="E60" s="11">
        <f ca="1" t="shared" si="64"/>
        <v>0.900419822225228</v>
      </c>
      <c r="F60" s="11">
        <f ca="1" t="shared" si="64"/>
        <v>0.785056274905447</v>
      </c>
      <c r="G60" s="11">
        <f ca="1" t="shared" si="64"/>
        <v>0.399392339756845</v>
      </c>
      <c r="H60" s="11">
        <f ca="1" t="shared" si="64"/>
        <v>0.512138997083034</v>
      </c>
      <c r="I60" s="11">
        <f ca="1" t="shared" si="64"/>
        <v>0.0335964497436132</v>
      </c>
      <c r="J60" s="11">
        <f ca="1" t="shared" si="64"/>
        <v>0.245306594242171</v>
      </c>
      <c r="K60" s="11">
        <f ca="1" t="shared" si="64"/>
        <v>0.611448990748618</v>
      </c>
      <c r="L60" s="11">
        <f ca="1" t="shared" si="64"/>
        <v>0.440271983696101</v>
      </c>
      <c r="M60" s="11">
        <f ca="1" t="shared" si="64"/>
        <v>0.928551625576629</v>
      </c>
      <c r="N60" s="11">
        <f ca="1" t="shared" si="64"/>
        <v>0.231962504231637</v>
      </c>
      <c r="O60" s="11">
        <f ca="1" t="shared" si="64"/>
        <v>0.198374649627475</v>
      </c>
      <c r="P60" s="11">
        <f ca="1" t="shared" si="64"/>
        <v>0.896247118950203</v>
      </c>
      <c r="Q60" s="11">
        <f ca="1" t="shared" si="64"/>
        <v>0.516824481997605</v>
      </c>
      <c r="R60" s="11">
        <f ca="1" t="shared" si="64"/>
        <v>0.452706271304156</v>
      </c>
      <c r="S60" s="11">
        <f ca="1" t="shared" si="64"/>
        <v>0.909559608525058</v>
      </c>
      <c r="T60" s="12">
        <f ca="1" t="shared" si="4"/>
        <v>4.41000874412138</v>
      </c>
      <c r="U60" s="12">
        <f ca="1" t="shared" si="5"/>
        <v>5.50209911112614</v>
      </c>
      <c r="V60" s="12">
        <f ca="1" t="shared" si="6"/>
        <v>5.21264068726362</v>
      </c>
      <c r="W60" s="12">
        <f ca="1" t="shared" si="7"/>
        <v>4.62424042469606</v>
      </c>
      <c r="X60" s="12">
        <f ca="1" t="shared" si="8"/>
        <v>4.76517374635379</v>
      </c>
      <c r="Y60" s="12">
        <f ca="1" t="shared" si="9"/>
        <v>4.05599408290602</v>
      </c>
      <c r="Z60" s="12">
        <f ca="1" t="shared" si="10"/>
        <v>4.40884432373695</v>
      </c>
      <c r="AA60" s="12">
        <f ca="1" t="shared" si="11"/>
        <v>4.88931123843577</v>
      </c>
      <c r="AB60" s="12">
        <f ca="1" t="shared" si="12"/>
        <v>4.67533997962013</v>
      </c>
      <c r="AC60" s="12">
        <f ca="1" t="shared" si="13"/>
        <v>5.64275812788314</v>
      </c>
      <c r="AD60" s="12">
        <f ca="1" t="shared" si="14"/>
        <v>4.38660417371939</v>
      </c>
      <c r="AE60" s="12">
        <f ca="1" t="shared" si="15"/>
        <v>4.33062441604579</v>
      </c>
      <c r="AF60" s="12">
        <f ca="1" t="shared" si="16"/>
        <v>5.49061779737551</v>
      </c>
      <c r="AG60" s="12">
        <f ca="1" t="shared" si="17"/>
        <v>4.77103060249701</v>
      </c>
      <c r="AH60" s="12">
        <f ca="1" t="shared" si="18"/>
        <v>4.69088283913019</v>
      </c>
      <c r="AI60" s="12">
        <f ca="1" t="shared" si="19"/>
        <v>5.54779804262529</v>
      </c>
      <c r="AJ60" s="12">
        <f ca="1">SUM($T60:T60)</f>
        <v>4.41000874412138</v>
      </c>
      <c r="AK60" s="12">
        <f ca="1">SUM($T60:U60)</f>
        <v>9.91210785524752</v>
      </c>
      <c r="AL60" s="12">
        <f ca="1">SUM($T60:V60)</f>
        <v>15.1247485425111</v>
      </c>
      <c r="AM60" s="12">
        <f ca="1">SUM($T60:W60)</f>
        <v>19.7489889672072</v>
      </c>
      <c r="AN60" s="12">
        <f ca="1">SUM($T60:X60)</f>
        <v>24.514162713561</v>
      </c>
      <c r="AO60" s="12">
        <f ca="1">SUM($T60:Y60)</f>
        <v>28.570156796467</v>
      </c>
      <c r="AP60" s="12">
        <f ca="1">SUM($T60:Z60)</f>
        <v>32.979001120204</v>
      </c>
      <c r="AQ60" s="12">
        <f ca="1">SUM($T60:AA60)</f>
        <v>37.8683123586397</v>
      </c>
      <c r="AR60" s="12">
        <f ca="1">SUM($T60:AB60)</f>
        <v>42.5436523382599</v>
      </c>
      <c r="AS60" s="12">
        <f ca="1">SUM($T60:AC60)</f>
        <v>48.186410466143</v>
      </c>
      <c r="AT60" s="12">
        <f ca="1">SUM($T60:AD60)</f>
        <v>52.5730146398624</v>
      </c>
      <c r="AU60" s="12">
        <f ca="1">SUM($T60:AE60)</f>
        <v>56.9036390559082</v>
      </c>
      <c r="AV60" s="12">
        <f ca="1">SUM($T60:AF60)</f>
        <v>62.3942568532837</v>
      </c>
      <c r="AW60" s="12">
        <f ca="1">SUM($T60:AG60)</f>
        <v>67.1652874557807</v>
      </c>
      <c r="AX60" s="12">
        <f ca="1">SUM($T60:AH60)</f>
        <v>71.8561702949109</v>
      </c>
      <c r="AY60" s="12">
        <f ca="1">SUM($T60:AI60)</f>
        <v>77.4039683375362</v>
      </c>
      <c r="AZ60" s="12">
        <f ca="1" t="shared" si="20"/>
        <v>57.1729096186853</v>
      </c>
      <c r="BA60" s="12">
        <f ca="1" t="shared" si="21"/>
        <v>51.6708105075591</v>
      </c>
      <c r="BB60" s="12">
        <f ca="1" t="shared" si="22"/>
        <v>46.4581698202955</v>
      </c>
      <c r="BC60" s="12">
        <f ca="1" t="shared" si="23"/>
        <v>41.8339293955995</v>
      </c>
      <c r="BD60" s="12">
        <f ca="1" t="shared" si="24"/>
        <v>37.0687556492457</v>
      </c>
      <c r="BE60" s="12">
        <f ca="1" t="shared" si="25"/>
        <v>33.0127615663397</v>
      </c>
      <c r="BF60" s="12">
        <f ca="1" t="shared" si="26"/>
        <v>28.6039172426027</v>
      </c>
      <c r="BG60" s="12">
        <f ca="1" t="shared" si="27"/>
        <v>23.7146060041669</v>
      </c>
      <c r="BH60" s="12">
        <f ca="1" t="shared" si="28"/>
        <v>19.0392660245468</v>
      </c>
      <c r="BI60" s="12">
        <f ca="1" t="shared" si="29"/>
        <v>13.3965078966637</v>
      </c>
      <c r="BJ60" s="12">
        <f ca="1" t="shared" si="30"/>
        <v>9.00990372294427</v>
      </c>
      <c r="BK60" s="12">
        <f ca="1" t="shared" si="31"/>
        <v>4.67927930689848</v>
      </c>
      <c r="BL60" s="12">
        <f ca="1" t="shared" si="32"/>
        <v>0</v>
      </c>
      <c r="BM60" s="12">
        <f ca="1" t="shared" si="33"/>
        <v>0</v>
      </c>
      <c r="BN60" s="12">
        <f ca="1" t="shared" si="34"/>
        <v>0</v>
      </c>
      <c r="BO60" s="12">
        <f ca="1" t="shared" si="35"/>
        <v>0</v>
      </c>
    </row>
    <row r="61" spans="1:67">
      <c r="A61" s="3">
        <v>31</v>
      </c>
      <c r="B61" s="11">
        <f ca="1" t="shared" si="1"/>
        <v>0.502655164274529</v>
      </c>
      <c r="C61" s="12">
        <f ca="1" t="shared" si="2"/>
        <v>64.2109194045755</v>
      </c>
      <c r="D61" s="11">
        <f ca="1" t="shared" ref="D61:S61" si="65">RAND()</f>
        <v>0.818284619329613</v>
      </c>
      <c r="E61" s="11">
        <f ca="1" t="shared" si="65"/>
        <v>0.474178170675472</v>
      </c>
      <c r="F61" s="11">
        <f ca="1" t="shared" si="65"/>
        <v>0.730952781153823</v>
      </c>
      <c r="G61" s="11">
        <f ca="1" t="shared" si="65"/>
        <v>0.0104913109990781</v>
      </c>
      <c r="H61" s="11">
        <f ca="1" t="shared" si="65"/>
        <v>0.580681796892075</v>
      </c>
      <c r="I61" s="11">
        <f ca="1" t="shared" si="65"/>
        <v>0.667814305565856</v>
      </c>
      <c r="J61" s="11">
        <f ca="1" t="shared" si="65"/>
        <v>0.490710979753442</v>
      </c>
      <c r="K61" s="11">
        <f ca="1" t="shared" si="65"/>
        <v>0.731289601482431</v>
      </c>
      <c r="L61" s="11">
        <f ca="1" t="shared" si="65"/>
        <v>0.550181620769314</v>
      </c>
      <c r="M61" s="11">
        <f ca="1" t="shared" si="65"/>
        <v>0.174245029109276</v>
      </c>
      <c r="N61" s="11">
        <f ca="1" t="shared" si="65"/>
        <v>0.720447199820165</v>
      </c>
      <c r="O61" s="11">
        <f ca="1" t="shared" si="65"/>
        <v>0.045020048661385</v>
      </c>
      <c r="P61" s="11">
        <f ca="1" t="shared" si="65"/>
        <v>0.0198437029444094</v>
      </c>
      <c r="Q61" s="11">
        <f ca="1" t="shared" si="65"/>
        <v>0.896481726228076</v>
      </c>
      <c r="R61" s="11">
        <f ca="1" t="shared" si="65"/>
        <v>0.869148822134986</v>
      </c>
      <c r="S61" s="11">
        <f ca="1" t="shared" si="65"/>
        <v>0.883128137782309</v>
      </c>
      <c r="T61" s="12">
        <f ca="1" t="shared" si="4"/>
        <v>5.29571154832403</v>
      </c>
      <c r="U61" s="12">
        <f ca="1" t="shared" si="5"/>
        <v>4.71772271334434</v>
      </c>
      <c r="V61" s="12">
        <f ca="1" t="shared" si="6"/>
        <v>5.07738195288456</v>
      </c>
      <c r="W61" s="12">
        <f ca="1" t="shared" si="7"/>
        <v>4.0174855183318</v>
      </c>
      <c r="X61" s="12">
        <f ca="1" t="shared" si="8"/>
        <v>4.85085224611509</v>
      </c>
      <c r="Y61" s="12">
        <f ca="1" t="shared" si="9"/>
        <v>4.95976788195732</v>
      </c>
      <c r="Z61" s="12">
        <f ca="1" t="shared" si="10"/>
        <v>4.7383887246918</v>
      </c>
      <c r="AA61" s="12">
        <f ca="1" t="shared" si="11"/>
        <v>5.07822400370608</v>
      </c>
      <c r="AB61" s="12">
        <f ca="1" t="shared" si="12"/>
        <v>4.81272702596164</v>
      </c>
      <c r="AC61" s="12">
        <f ca="1" t="shared" si="13"/>
        <v>4.29040838184879</v>
      </c>
      <c r="AD61" s="12">
        <f ca="1" t="shared" si="14"/>
        <v>5.05111799955041</v>
      </c>
      <c r="AE61" s="12">
        <f ca="1" t="shared" si="15"/>
        <v>4.07503341443564</v>
      </c>
      <c r="AF61" s="12">
        <f ca="1" t="shared" si="16"/>
        <v>4.03307283824068</v>
      </c>
      <c r="AG61" s="12">
        <f ca="1" t="shared" si="17"/>
        <v>5.49120431557019</v>
      </c>
      <c r="AH61" s="12">
        <f ca="1" t="shared" si="18"/>
        <v>5.42287205533747</v>
      </c>
      <c r="AI61" s="12">
        <f ca="1" t="shared" si="19"/>
        <v>5.45782034445577</v>
      </c>
      <c r="AJ61" s="12">
        <f ca="1">SUM($T61:T61)</f>
        <v>5.29571154832403</v>
      </c>
      <c r="AK61" s="12">
        <f ca="1">SUM($T61:U61)</f>
        <v>10.0134342616684</v>
      </c>
      <c r="AL61" s="12">
        <f ca="1">SUM($T61:V61)</f>
        <v>15.0908162145529</v>
      </c>
      <c r="AM61" s="12">
        <f ca="1">SUM($T61:W61)</f>
        <v>19.1083017328847</v>
      </c>
      <c r="AN61" s="12">
        <f ca="1">SUM($T61:X61)</f>
        <v>23.9591539789998</v>
      </c>
      <c r="AO61" s="12">
        <f ca="1">SUM($T61:Y61)</f>
        <v>28.9189218609571</v>
      </c>
      <c r="AP61" s="12">
        <f ca="1">SUM($T61:Z61)</f>
        <v>33.6573105856489</v>
      </c>
      <c r="AQ61" s="12">
        <f ca="1">SUM($T61:AA61)</f>
        <v>38.735534589355</v>
      </c>
      <c r="AR61" s="12">
        <f ca="1">SUM($T61:AB61)</f>
        <v>43.5482616153167</v>
      </c>
      <c r="AS61" s="12">
        <f ca="1">SUM($T61:AC61)</f>
        <v>47.8386699971655</v>
      </c>
      <c r="AT61" s="12">
        <f ca="1">SUM($T61:AD61)</f>
        <v>52.8897879967159</v>
      </c>
      <c r="AU61" s="12">
        <f ca="1">SUM($T61:AE61)</f>
        <v>56.9648214111515</v>
      </c>
      <c r="AV61" s="12">
        <f ca="1">SUM($T61:AF61)</f>
        <v>60.9978942493922</v>
      </c>
      <c r="AW61" s="12">
        <f ca="1">SUM($T61:AG61)</f>
        <v>66.4890985649624</v>
      </c>
      <c r="AX61" s="12">
        <f ca="1">SUM($T61:AH61)</f>
        <v>71.9119706202999</v>
      </c>
      <c r="AY61" s="12">
        <f ca="1">SUM($T61:AI61)</f>
        <v>77.3697909647556</v>
      </c>
      <c r="AZ61" s="12">
        <f ca="1" t="shared" si="20"/>
        <v>58.9152078562515</v>
      </c>
      <c r="BA61" s="12">
        <f ca="1" t="shared" si="21"/>
        <v>54.1974851429071</v>
      </c>
      <c r="BB61" s="12">
        <f ca="1" t="shared" si="22"/>
        <v>49.1201031900226</v>
      </c>
      <c r="BC61" s="12">
        <f ca="1" t="shared" si="23"/>
        <v>45.1026176716908</v>
      </c>
      <c r="BD61" s="12">
        <f ca="1" t="shared" si="24"/>
        <v>40.2517654255757</v>
      </c>
      <c r="BE61" s="12">
        <f ca="1" t="shared" si="25"/>
        <v>35.2919975436184</v>
      </c>
      <c r="BF61" s="12">
        <f ca="1" t="shared" si="26"/>
        <v>30.5536088189265</v>
      </c>
      <c r="BG61" s="12">
        <f ca="1" t="shared" si="27"/>
        <v>25.4753848152205</v>
      </c>
      <c r="BH61" s="12">
        <f ca="1" t="shared" si="28"/>
        <v>20.6626577892588</v>
      </c>
      <c r="BI61" s="12">
        <f ca="1" t="shared" si="29"/>
        <v>16.37224940741</v>
      </c>
      <c r="BJ61" s="12">
        <f ca="1" t="shared" si="30"/>
        <v>11.3211314078596</v>
      </c>
      <c r="BK61" s="12">
        <f ca="1" t="shared" si="31"/>
        <v>7.24609799342398</v>
      </c>
      <c r="BL61" s="12">
        <f ca="1" t="shared" si="32"/>
        <v>3.2130251551833</v>
      </c>
      <c r="BM61" s="12">
        <f ca="1" t="shared" si="33"/>
        <v>0</v>
      </c>
      <c r="BN61" s="12">
        <f ca="1" t="shared" si="34"/>
        <v>0</v>
      </c>
      <c r="BO61" s="12">
        <f ca="1" t="shared" si="35"/>
        <v>0</v>
      </c>
    </row>
    <row r="62" spans="1:67">
      <c r="A62" s="3">
        <v>32</v>
      </c>
      <c r="B62" s="11">
        <f ca="1" t="shared" si="1"/>
        <v>0.390939085883118</v>
      </c>
      <c r="C62" s="12">
        <f ca="1" t="shared" si="2"/>
        <v>62.3489847647186</v>
      </c>
      <c r="D62" s="11">
        <f ca="1" t="shared" ref="D62:S62" si="66">RAND()</f>
        <v>0.0678181120043808</v>
      </c>
      <c r="E62" s="11">
        <f ca="1" t="shared" si="66"/>
        <v>0.637963200480818</v>
      </c>
      <c r="F62" s="11">
        <f ca="1" t="shared" si="66"/>
        <v>0.442049092195433</v>
      </c>
      <c r="G62" s="11">
        <f ca="1" t="shared" si="66"/>
        <v>0.691792733054276</v>
      </c>
      <c r="H62" s="11">
        <f ca="1" t="shared" si="66"/>
        <v>0.95701447034894</v>
      </c>
      <c r="I62" s="11">
        <f ca="1" t="shared" si="66"/>
        <v>0.768808559292204</v>
      </c>
      <c r="J62" s="11">
        <f ca="1" t="shared" si="66"/>
        <v>0.0285978903472357</v>
      </c>
      <c r="K62" s="11">
        <f ca="1" t="shared" si="66"/>
        <v>0.25308250458231</v>
      </c>
      <c r="L62" s="11">
        <f ca="1" t="shared" si="66"/>
        <v>0.819155333736068</v>
      </c>
      <c r="M62" s="11">
        <f ca="1" t="shared" si="66"/>
        <v>0.977789261079041</v>
      </c>
      <c r="N62" s="11">
        <f ca="1" t="shared" si="66"/>
        <v>0.425896164225374</v>
      </c>
      <c r="O62" s="11">
        <f ca="1" t="shared" si="66"/>
        <v>0.95337013098338</v>
      </c>
      <c r="P62" s="11">
        <f ca="1" t="shared" si="66"/>
        <v>0.151432319228455</v>
      </c>
      <c r="Q62" s="11">
        <f ca="1" t="shared" si="66"/>
        <v>0.00455592845736419</v>
      </c>
      <c r="R62" s="11">
        <f ca="1" t="shared" si="66"/>
        <v>0.850611173504765</v>
      </c>
      <c r="S62" s="11">
        <f ca="1" t="shared" si="66"/>
        <v>0.454065627337016</v>
      </c>
      <c r="T62" s="12">
        <f ca="1" t="shared" si="4"/>
        <v>4.11303018667397</v>
      </c>
      <c r="U62" s="12">
        <f ca="1" t="shared" si="5"/>
        <v>4.92245400060102</v>
      </c>
      <c r="V62" s="12">
        <f ca="1" t="shared" si="6"/>
        <v>4.67756136524429</v>
      </c>
      <c r="W62" s="12">
        <f ca="1" t="shared" si="7"/>
        <v>4.98974091631785</v>
      </c>
      <c r="X62" s="12">
        <f ca="1" t="shared" si="8"/>
        <v>5.7850723517447</v>
      </c>
      <c r="Y62" s="12">
        <f ca="1" t="shared" si="9"/>
        <v>5.17202139823051</v>
      </c>
      <c r="Z62" s="12">
        <f ca="1" t="shared" si="10"/>
        <v>4.04766315057873</v>
      </c>
      <c r="AA62" s="12">
        <f ca="1" t="shared" si="11"/>
        <v>4.42180417430385</v>
      </c>
      <c r="AB62" s="12">
        <f ca="1" t="shared" si="12"/>
        <v>5.29788833434017</v>
      </c>
      <c r="AC62" s="12">
        <f ca="1" t="shared" si="13"/>
        <v>5.8889463053952</v>
      </c>
      <c r="AD62" s="12">
        <f ca="1" t="shared" si="14"/>
        <v>4.65737020528172</v>
      </c>
      <c r="AE62" s="12">
        <f ca="1" t="shared" si="15"/>
        <v>5.7668506549169</v>
      </c>
      <c r="AF62" s="12">
        <f ca="1" t="shared" si="16"/>
        <v>4.25238719871409</v>
      </c>
      <c r="AG62" s="12">
        <f ca="1" t="shared" si="17"/>
        <v>4.00759321409561</v>
      </c>
      <c r="AH62" s="12">
        <f ca="1" t="shared" si="18"/>
        <v>5.37652793376191</v>
      </c>
      <c r="AI62" s="12">
        <f ca="1" t="shared" si="19"/>
        <v>4.69258203417127</v>
      </c>
      <c r="AJ62" s="12">
        <f ca="1">SUM($T62:T62)</f>
        <v>4.11303018667397</v>
      </c>
      <c r="AK62" s="12">
        <f ca="1">SUM($T62:U62)</f>
        <v>9.03548418727499</v>
      </c>
      <c r="AL62" s="12">
        <f ca="1">SUM($T62:V62)</f>
        <v>13.7130455525193</v>
      </c>
      <c r="AM62" s="12">
        <f ca="1">SUM($T62:W62)</f>
        <v>18.7027864688371</v>
      </c>
      <c r="AN62" s="12">
        <f ca="1">SUM($T62:X62)</f>
        <v>24.4878588205818</v>
      </c>
      <c r="AO62" s="12">
        <f ca="1">SUM($T62:Y62)</f>
        <v>29.6598802188123</v>
      </c>
      <c r="AP62" s="12">
        <f ca="1">SUM($T62:Z62)</f>
        <v>33.7075433693911</v>
      </c>
      <c r="AQ62" s="12">
        <f ca="1">SUM($T62:AA62)</f>
        <v>38.1293475436949</v>
      </c>
      <c r="AR62" s="12">
        <f ca="1">SUM($T62:AB62)</f>
        <v>43.4272358780351</v>
      </c>
      <c r="AS62" s="12">
        <f ca="1">SUM($T62:AC62)</f>
        <v>49.3161821834303</v>
      </c>
      <c r="AT62" s="12">
        <f ca="1">SUM($T62:AD62)</f>
        <v>53.973552388712</v>
      </c>
      <c r="AU62" s="12">
        <f ca="1">SUM($T62:AE62)</f>
        <v>59.7404030436289</v>
      </c>
      <c r="AV62" s="12">
        <f ca="1">SUM($T62:AF62)</f>
        <v>63.992790242343</v>
      </c>
      <c r="AW62" s="12">
        <f ca="1">SUM($T62:AG62)</f>
        <v>68.0003834564386</v>
      </c>
      <c r="AX62" s="12">
        <f ca="1">SUM($T62:AH62)</f>
        <v>73.3769113902005</v>
      </c>
      <c r="AY62" s="12">
        <f ca="1">SUM($T62:AI62)</f>
        <v>78.0694934243718</v>
      </c>
      <c r="AZ62" s="12">
        <f ca="1" t="shared" si="20"/>
        <v>58.2359545780447</v>
      </c>
      <c r="BA62" s="12">
        <f ca="1" t="shared" si="21"/>
        <v>53.3135005774436</v>
      </c>
      <c r="BB62" s="12">
        <f ca="1" t="shared" si="22"/>
        <v>48.6359392121994</v>
      </c>
      <c r="BC62" s="12">
        <f ca="1" t="shared" si="23"/>
        <v>43.6461982958815</v>
      </c>
      <c r="BD62" s="12">
        <f ca="1" t="shared" si="24"/>
        <v>37.8611259441368</v>
      </c>
      <c r="BE62" s="12">
        <f ca="1" t="shared" si="25"/>
        <v>32.6891045459063</v>
      </c>
      <c r="BF62" s="12">
        <f ca="1" t="shared" si="26"/>
        <v>28.6414413953276</v>
      </c>
      <c r="BG62" s="12">
        <f ca="1" t="shared" si="27"/>
        <v>24.2196372210237</v>
      </c>
      <c r="BH62" s="12">
        <f ca="1" t="shared" si="28"/>
        <v>18.9217488866836</v>
      </c>
      <c r="BI62" s="12">
        <f ca="1" t="shared" si="29"/>
        <v>13.0328025812884</v>
      </c>
      <c r="BJ62" s="12">
        <f ca="1" t="shared" si="30"/>
        <v>8.37543237600664</v>
      </c>
      <c r="BK62" s="12">
        <f ca="1" t="shared" si="31"/>
        <v>2.60858172108973</v>
      </c>
      <c r="BL62" s="12">
        <f ca="1" t="shared" si="32"/>
        <v>0</v>
      </c>
      <c r="BM62" s="12">
        <f ca="1" t="shared" si="33"/>
        <v>0</v>
      </c>
      <c r="BN62" s="12">
        <f ca="1" t="shared" si="34"/>
        <v>0</v>
      </c>
      <c r="BO62" s="12">
        <f ca="1" t="shared" si="35"/>
        <v>0</v>
      </c>
    </row>
    <row r="63" spans="1:67">
      <c r="A63" s="3">
        <v>33</v>
      </c>
      <c r="B63" s="11">
        <f ca="1" t="shared" si="1"/>
        <v>0.561821920063489</v>
      </c>
      <c r="C63" s="12">
        <f ca="1" t="shared" si="2"/>
        <v>65.1688845723356</v>
      </c>
      <c r="D63" s="11">
        <f ca="1" t="shared" ref="D63:S63" si="67">RAND()</f>
        <v>0.913908708047805</v>
      </c>
      <c r="E63" s="11">
        <f ca="1" t="shared" si="67"/>
        <v>0.53321260593153</v>
      </c>
      <c r="F63" s="11">
        <f ca="1" t="shared" si="67"/>
        <v>0.548104366878682</v>
      </c>
      <c r="G63" s="11">
        <f ca="1" t="shared" si="67"/>
        <v>0.283703218196147</v>
      </c>
      <c r="H63" s="11">
        <f ca="1" t="shared" si="67"/>
        <v>0.174258134569491</v>
      </c>
      <c r="I63" s="11">
        <f ca="1" t="shared" si="67"/>
        <v>0.0969299018777039</v>
      </c>
      <c r="J63" s="11">
        <f ca="1" t="shared" si="67"/>
        <v>0.325173644713531</v>
      </c>
      <c r="K63" s="11">
        <f ca="1" t="shared" si="67"/>
        <v>0.383350327108741</v>
      </c>
      <c r="L63" s="11">
        <f ca="1" t="shared" si="67"/>
        <v>0.180234543437318</v>
      </c>
      <c r="M63" s="11">
        <f ca="1" t="shared" si="67"/>
        <v>0.493869724256478</v>
      </c>
      <c r="N63" s="11">
        <f ca="1" t="shared" si="67"/>
        <v>0.0667094011602849</v>
      </c>
      <c r="O63" s="11">
        <f ca="1" t="shared" si="67"/>
        <v>0.402823360981164</v>
      </c>
      <c r="P63" s="11">
        <f ca="1" t="shared" si="67"/>
        <v>0.781698583732368</v>
      </c>
      <c r="Q63" s="11">
        <f ca="1" t="shared" si="67"/>
        <v>0.74356262256784</v>
      </c>
      <c r="R63" s="11">
        <f ca="1" t="shared" si="67"/>
        <v>0.661551034200704</v>
      </c>
      <c r="S63" s="11">
        <f ca="1" t="shared" si="67"/>
        <v>0.848202735509612</v>
      </c>
      <c r="T63" s="12">
        <f ca="1" t="shared" si="4"/>
        <v>5.56954354023903</v>
      </c>
      <c r="U63" s="12">
        <f ca="1" t="shared" si="5"/>
        <v>4.79151575741441</v>
      </c>
      <c r="V63" s="12">
        <f ca="1" t="shared" si="6"/>
        <v>4.81013045859835</v>
      </c>
      <c r="W63" s="12">
        <f ca="1" t="shared" si="7"/>
        <v>4.47283869699358</v>
      </c>
      <c r="X63" s="12">
        <f ca="1" t="shared" si="8"/>
        <v>4.29043022428248</v>
      </c>
      <c r="Y63" s="12">
        <f ca="1" t="shared" si="9"/>
        <v>4.16154983646284</v>
      </c>
      <c r="Z63" s="12">
        <f ca="1" t="shared" si="10"/>
        <v>4.53146705589191</v>
      </c>
      <c r="AA63" s="12">
        <f ca="1" t="shared" si="11"/>
        <v>4.60418790888593</v>
      </c>
      <c r="AB63" s="12">
        <f ca="1" t="shared" si="12"/>
        <v>4.30039090572886</v>
      </c>
      <c r="AC63" s="12">
        <f ca="1" t="shared" si="13"/>
        <v>4.7423371553206</v>
      </c>
      <c r="AD63" s="12">
        <f ca="1" t="shared" si="14"/>
        <v>4.11118233526714</v>
      </c>
      <c r="AE63" s="12">
        <f ca="1" t="shared" si="15"/>
        <v>4.62852920122646</v>
      </c>
      <c r="AF63" s="12">
        <f ca="1" t="shared" si="16"/>
        <v>5.20424645933092</v>
      </c>
      <c r="AG63" s="12">
        <f ca="1" t="shared" si="17"/>
        <v>5.1089065564196</v>
      </c>
      <c r="AH63" s="12">
        <f ca="1" t="shared" si="18"/>
        <v>4.95193879275088</v>
      </c>
      <c r="AI63" s="12">
        <f ca="1" t="shared" si="19"/>
        <v>5.37050683877403</v>
      </c>
      <c r="AJ63" s="12">
        <f ca="1">SUM($T63:T63)</f>
        <v>5.56954354023903</v>
      </c>
      <c r="AK63" s="12">
        <f ca="1">SUM($T63:U63)</f>
        <v>10.3610592976534</v>
      </c>
      <c r="AL63" s="12">
        <f ca="1">SUM($T63:V63)</f>
        <v>15.1711897562518</v>
      </c>
      <c r="AM63" s="12">
        <f ca="1">SUM($T63:W63)</f>
        <v>19.6440284532454</v>
      </c>
      <c r="AN63" s="12">
        <f ca="1">SUM($T63:X63)</f>
        <v>23.9344586775279</v>
      </c>
      <c r="AO63" s="12">
        <f ca="1">SUM($T63:Y63)</f>
        <v>28.0960085139907</v>
      </c>
      <c r="AP63" s="12">
        <f ca="1">SUM($T63:Z63)</f>
        <v>32.6274755698826</v>
      </c>
      <c r="AQ63" s="12">
        <f ca="1">SUM($T63:AA63)</f>
        <v>37.2316634787685</v>
      </c>
      <c r="AR63" s="12">
        <f ca="1">SUM($T63:AB63)</f>
        <v>41.5320543844974</v>
      </c>
      <c r="AS63" s="12">
        <f ca="1">SUM($T63:AC63)</f>
        <v>46.274391539818</v>
      </c>
      <c r="AT63" s="12">
        <f ca="1">SUM($T63:AD63)</f>
        <v>50.3855738750851</v>
      </c>
      <c r="AU63" s="12">
        <f ca="1">SUM($T63:AE63)</f>
        <v>55.0141030763116</v>
      </c>
      <c r="AV63" s="12">
        <f ca="1">SUM($T63:AF63)</f>
        <v>60.2183495356425</v>
      </c>
      <c r="AW63" s="12">
        <f ca="1">SUM($T63:AG63)</f>
        <v>65.3272560920621</v>
      </c>
      <c r="AX63" s="12">
        <f ca="1">SUM($T63:AH63)</f>
        <v>70.279194884813</v>
      </c>
      <c r="AY63" s="12">
        <f ca="1">SUM($T63:AI63)</f>
        <v>75.649701723587</v>
      </c>
      <c r="AZ63" s="12">
        <f ca="1" t="shared" si="20"/>
        <v>59.5993410320965</v>
      </c>
      <c r="BA63" s="12">
        <f ca="1" t="shared" si="21"/>
        <v>54.8078252746821</v>
      </c>
      <c r="BB63" s="12">
        <f ca="1" t="shared" si="22"/>
        <v>49.9976948160838</v>
      </c>
      <c r="BC63" s="12">
        <f ca="1" t="shared" si="23"/>
        <v>45.5248561190902</v>
      </c>
      <c r="BD63" s="12">
        <f ca="1" t="shared" si="24"/>
        <v>41.2344258948077</v>
      </c>
      <c r="BE63" s="12">
        <f ca="1" t="shared" si="25"/>
        <v>37.0728760583449</v>
      </c>
      <c r="BF63" s="12">
        <f ca="1" t="shared" si="26"/>
        <v>32.541409002453</v>
      </c>
      <c r="BG63" s="12">
        <f ca="1" t="shared" si="27"/>
        <v>27.937221093567</v>
      </c>
      <c r="BH63" s="12">
        <f ca="1" t="shared" si="28"/>
        <v>23.6368301878382</v>
      </c>
      <c r="BI63" s="12">
        <f ca="1" t="shared" si="29"/>
        <v>18.8944930325176</v>
      </c>
      <c r="BJ63" s="12">
        <f ca="1" t="shared" si="30"/>
        <v>14.7833106972504</v>
      </c>
      <c r="BK63" s="12">
        <f ca="1" t="shared" si="31"/>
        <v>10.154781496024</v>
      </c>
      <c r="BL63" s="12">
        <f ca="1" t="shared" si="32"/>
        <v>4.95053503669304</v>
      </c>
      <c r="BM63" s="12">
        <f ca="1" t="shared" si="33"/>
        <v>0</v>
      </c>
      <c r="BN63" s="12">
        <f ca="1" t="shared" si="34"/>
        <v>0</v>
      </c>
      <c r="BO63" s="12">
        <f ca="1" t="shared" si="35"/>
        <v>0</v>
      </c>
    </row>
    <row r="64" spans="1:67">
      <c r="A64" s="3">
        <v>34</v>
      </c>
      <c r="B64" s="11">
        <f ca="1" t="shared" si="1"/>
        <v>0.788103931027395</v>
      </c>
      <c r="C64" s="12">
        <f ca="1" t="shared" si="2"/>
        <v>68.4014847289628</v>
      </c>
      <c r="D64" s="11">
        <f ca="1" t="shared" ref="D64:S64" si="68">RAND()</f>
        <v>0.289776307160455</v>
      </c>
      <c r="E64" s="11">
        <f ca="1" t="shared" si="68"/>
        <v>0.330179882842889</v>
      </c>
      <c r="F64" s="11">
        <f ca="1" t="shared" si="68"/>
        <v>0.99663664100631</v>
      </c>
      <c r="G64" s="11">
        <f ca="1" t="shared" si="68"/>
        <v>0.735668912501765</v>
      </c>
      <c r="H64" s="11">
        <f ca="1" t="shared" si="68"/>
        <v>0.340234349033753</v>
      </c>
      <c r="I64" s="11">
        <f ca="1" t="shared" si="68"/>
        <v>0.0239255933889819</v>
      </c>
      <c r="J64" s="11">
        <f ca="1" t="shared" si="68"/>
        <v>0.151404741041086</v>
      </c>
      <c r="K64" s="11">
        <f ca="1" t="shared" si="68"/>
        <v>0.530416141221865</v>
      </c>
      <c r="L64" s="11">
        <f ca="1" t="shared" si="68"/>
        <v>0.390995165613748</v>
      </c>
      <c r="M64" s="11">
        <f ca="1" t="shared" si="68"/>
        <v>0.182704631700775</v>
      </c>
      <c r="N64" s="11">
        <f ca="1" t="shared" si="68"/>
        <v>0.663159017473711</v>
      </c>
      <c r="O64" s="11">
        <f ca="1" t="shared" si="68"/>
        <v>0.0299618780191004</v>
      </c>
      <c r="P64" s="11">
        <f ca="1" t="shared" si="68"/>
        <v>0.90152757636443</v>
      </c>
      <c r="Q64" s="11">
        <f ca="1" t="shared" si="68"/>
        <v>0.509099186038649</v>
      </c>
      <c r="R64" s="11">
        <f ca="1" t="shared" si="68"/>
        <v>0.807973538316246</v>
      </c>
      <c r="S64" s="11">
        <f ca="1" t="shared" si="68"/>
        <v>0.171284120510734</v>
      </c>
      <c r="T64" s="12">
        <f ca="1" t="shared" si="4"/>
        <v>4.48296051193409</v>
      </c>
      <c r="U64" s="12">
        <f ca="1" t="shared" si="5"/>
        <v>4.53772485355361</v>
      </c>
      <c r="V64" s="12">
        <f ca="1" t="shared" si="6"/>
        <v>5.98318320503155</v>
      </c>
      <c r="W64" s="12">
        <f ca="1" t="shared" si="7"/>
        <v>5.08917228125441</v>
      </c>
      <c r="X64" s="12">
        <f ca="1" t="shared" si="8"/>
        <v>4.55029293629219</v>
      </c>
      <c r="Y64" s="12">
        <f ca="1" t="shared" si="9"/>
        <v>4.03987598898164</v>
      </c>
      <c r="Z64" s="12">
        <f ca="1" t="shared" si="10"/>
        <v>4.25234123506848</v>
      </c>
      <c r="AA64" s="12">
        <f ca="1" t="shared" si="11"/>
        <v>4.78802017652733</v>
      </c>
      <c r="AB64" s="12">
        <f ca="1" t="shared" si="12"/>
        <v>4.61374395701718</v>
      </c>
      <c r="AC64" s="12">
        <f ca="1" t="shared" si="13"/>
        <v>4.30450771950129</v>
      </c>
      <c r="AD64" s="12">
        <f ca="1" t="shared" si="14"/>
        <v>4.95394877184214</v>
      </c>
      <c r="AE64" s="12">
        <f ca="1" t="shared" si="15"/>
        <v>4.04993646336517</v>
      </c>
      <c r="AF64" s="12">
        <f ca="1" t="shared" si="16"/>
        <v>5.50763788182215</v>
      </c>
      <c r="AG64" s="12">
        <f ca="1" t="shared" si="17"/>
        <v>4.76137398254831</v>
      </c>
      <c r="AH64" s="12">
        <f ca="1" t="shared" si="18"/>
        <v>5.26993384579061</v>
      </c>
      <c r="AI64" s="12">
        <f ca="1" t="shared" si="19"/>
        <v>4.28547353418456</v>
      </c>
      <c r="AJ64" s="12">
        <f ca="1">SUM($T64:T64)</f>
        <v>4.48296051193409</v>
      </c>
      <c r="AK64" s="12">
        <f ca="1">SUM($T64:U64)</f>
        <v>9.0206853654877</v>
      </c>
      <c r="AL64" s="12">
        <f ca="1">SUM($T64:V64)</f>
        <v>15.0038685705193</v>
      </c>
      <c r="AM64" s="12">
        <f ca="1">SUM($T64:W64)</f>
        <v>20.0930408517737</v>
      </c>
      <c r="AN64" s="12">
        <f ca="1">SUM($T64:X64)</f>
        <v>24.6433337880659</v>
      </c>
      <c r="AO64" s="12">
        <f ca="1">SUM($T64:Y64)</f>
        <v>28.6832097770475</v>
      </c>
      <c r="AP64" s="12">
        <f ca="1">SUM($T64:Z64)</f>
        <v>32.935551012116</v>
      </c>
      <c r="AQ64" s="12">
        <f ca="1">SUM($T64:AA64)</f>
        <v>37.7235711886433</v>
      </c>
      <c r="AR64" s="12">
        <f ca="1">SUM($T64:AB64)</f>
        <v>42.3373151456605</v>
      </c>
      <c r="AS64" s="12">
        <f ca="1">SUM($T64:AC64)</f>
        <v>46.6418228651618</v>
      </c>
      <c r="AT64" s="12">
        <f ca="1">SUM($T64:AD64)</f>
        <v>51.5957716370039</v>
      </c>
      <c r="AU64" s="12">
        <f ca="1">SUM($T64:AE64)</f>
        <v>55.6457081003691</v>
      </c>
      <c r="AV64" s="12">
        <f ca="1">SUM($T64:AF64)</f>
        <v>61.1533459821912</v>
      </c>
      <c r="AW64" s="12">
        <f ca="1">SUM($T64:AG64)</f>
        <v>65.9147199647395</v>
      </c>
      <c r="AX64" s="12">
        <f ca="1">SUM($T64:AH64)</f>
        <v>71.1846538105302</v>
      </c>
      <c r="AY64" s="12">
        <f ca="1">SUM($T64:AI64)</f>
        <v>75.4701273447147</v>
      </c>
      <c r="AZ64" s="12">
        <f ca="1" t="shared" si="20"/>
        <v>63.9185242170287</v>
      </c>
      <c r="BA64" s="12">
        <f ca="1" t="shared" si="21"/>
        <v>59.3807993634751</v>
      </c>
      <c r="BB64" s="12">
        <f ca="1" t="shared" si="22"/>
        <v>53.3976161584435</v>
      </c>
      <c r="BC64" s="12">
        <f ca="1" t="shared" si="23"/>
        <v>48.3084438771891</v>
      </c>
      <c r="BD64" s="12">
        <f ca="1" t="shared" si="24"/>
        <v>43.7581509408969</v>
      </c>
      <c r="BE64" s="12">
        <f ca="1" t="shared" si="25"/>
        <v>39.7182749519153</v>
      </c>
      <c r="BF64" s="12">
        <f ca="1" t="shared" si="26"/>
        <v>35.4659337168468</v>
      </c>
      <c r="BG64" s="12">
        <f ca="1" t="shared" si="27"/>
        <v>30.6779135403195</v>
      </c>
      <c r="BH64" s="12">
        <f ca="1" t="shared" si="28"/>
        <v>26.0641695833023</v>
      </c>
      <c r="BI64" s="12">
        <f ca="1" t="shared" si="29"/>
        <v>21.759661863801</v>
      </c>
      <c r="BJ64" s="12">
        <f ca="1" t="shared" si="30"/>
        <v>16.8057130919589</v>
      </c>
      <c r="BK64" s="12">
        <f ca="1" t="shared" si="31"/>
        <v>12.7557766285937</v>
      </c>
      <c r="BL64" s="12">
        <f ca="1" t="shared" si="32"/>
        <v>7.24813874677153</v>
      </c>
      <c r="BM64" s="12">
        <f ca="1" t="shared" si="33"/>
        <v>2.48676476422322</v>
      </c>
      <c r="BN64" s="12">
        <f ca="1" t="shared" si="34"/>
        <v>0</v>
      </c>
      <c r="BO64" s="12">
        <f ca="1" t="shared" si="35"/>
        <v>0</v>
      </c>
    </row>
    <row r="65" spans="1:67">
      <c r="A65" s="3">
        <v>35</v>
      </c>
      <c r="B65" s="11">
        <f ca="1" t="shared" si="1"/>
        <v>0.682110215573352</v>
      </c>
      <c r="C65" s="12">
        <f ca="1" t="shared" si="2"/>
        <v>66.887288793905</v>
      </c>
      <c r="D65" s="11">
        <f ca="1" t="shared" ref="D65:S65" si="69">RAND()</f>
        <v>0.0940924070760618</v>
      </c>
      <c r="E65" s="11">
        <f ca="1" t="shared" si="69"/>
        <v>0.813485254676459</v>
      </c>
      <c r="F65" s="11">
        <f ca="1" t="shared" si="69"/>
        <v>0.254095658287458</v>
      </c>
      <c r="G65" s="11">
        <f ca="1" t="shared" si="69"/>
        <v>0.371216752477738</v>
      </c>
      <c r="H65" s="11">
        <f ca="1" t="shared" si="69"/>
        <v>0.012939948076969</v>
      </c>
      <c r="I65" s="11">
        <f ca="1" t="shared" si="69"/>
        <v>0.591461584298148</v>
      </c>
      <c r="J65" s="11">
        <f ca="1" t="shared" si="69"/>
        <v>0.437530651165475</v>
      </c>
      <c r="K65" s="11">
        <f ca="1" t="shared" si="69"/>
        <v>0.790323842372137</v>
      </c>
      <c r="L65" s="11">
        <f ca="1" t="shared" si="69"/>
        <v>0.231944385694775</v>
      </c>
      <c r="M65" s="11">
        <f ca="1" t="shared" si="69"/>
        <v>0.523334417688022</v>
      </c>
      <c r="N65" s="11">
        <f ca="1" t="shared" si="69"/>
        <v>0.620628046932638</v>
      </c>
      <c r="O65" s="11">
        <f ca="1" t="shared" si="69"/>
        <v>0.367077676403581</v>
      </c>
      <c r="P65" s="11">
        <f ca="1" t="shared" si="69"/>
        <v>0.456234854347562</v>
      </c>
      <c r="Q65" s="11">
        <f ca="1" t="shared" si="69"/>
        <v>0.665890797501028</v>
      </c>
      <c r="R65" s="11">
        <f ca="1" t="shared" si="69"/>
        <v>0.720441763259197</v>
      </c>
      <c r="S65" s="11">
        <f ca="1" t="shared" si="69"/>
        <v>0.102719573636934</v>
      </c>
      <c r="T65" s="12">
        <f ca="1" t="shared" si="4"/>
        <v>4.1568206784601</v>
      </c>
      <c r="U65" s="12">
        <f ca="1" t="shared" si="5"/>
        <v>5.28371313669115</v>
      </c>
      <c r="V65" s="12">
        <f ca="1" t="shared" si="6"/>
        <v>4.42349276381243</v>
      </c>
      <c r="W65" s="12">
        <f ca="1" t="shared" si="7"/>
        <v>4.58902094059717</v>
      </c>
      <c r="X65" s="12">
        <f ca="1" t="shared" si="8"/>
        <v>4.02156658012828</v>
      </c>
      <c r="Y65" s="12">
        <f ca="1" t="shared" si="9"/>
        <v>4.86432698037269</v>
      </c>
      <c r="Z65" s="12">
        <f ca="1" t="shared" si="10"/>
        <v>4.67191331395684</v>
      </c>
      <c r="AA65" s="12">
        <f ca="1" t="shared" si="11"/>
        <v>5.22580960593034</v>
      </c>
      <c r="AB65" s="12">
        <f ca="1" t="shared" si="12"/>
        <v>4.38657397615796</v>
      </c>
      <c r="AC65" s="12">
        <f ca="1" t="shared" si="13"/>
        <v>4.77916802211003</v>
      </c>
      <c r="AD65" s="12">
        <f ca="1" t="shared" si="14"/>
        <v>4.9007850586658</v>
      </c>
      <c r="AE65" s="12">
        <f ca="1" t="shared" si="15"/>
        <v>4.58384709550448</v>
      </c>
      <c r="AF65" s="12">
        <f ca="1" t="shared" si="16"/>
        <v>4.69529356793445</v>
      </c>
      <c r="AG65" s="12">
        <f ca="1" t="shared" si="17"/>
        <v>4.95736349687628</v>
      </c>
      <c r="AH65" s="12">
        <f ca="1" t="shared" si="18"/>
        <v>5.05110440814799</v>
      </c>
      <c r="AI65" s="12">
        <f ca="1" t="shared" si="19"/>
        <v>4.17119928939489</v>
      </c>
      <c r="AJ65" s="12">
        <f ca="1">SUM($T65:T65)</f>
        <v>4.1568206784601</v>
      </c>
      <c r="AK65" s="12">
        <f ca="1">SUM($T65:U65)</f>
        <v>9.44053381515125</v>
      </c>
      <c r="AL65" s="12">
        <f ca="1">SUM($T65:V65)</f>
        <v>13.8640265789637</v>
      </c>
      <c r="AM65" s="12">
        <f ca="1">SUM($T65:W65)</f>
        <v>18.4530475195609</v>
      </c>
      <c r="AN65" s="12">
        <f ca="1">SUM($T65:X65)</f>
        <v>22.4746140996891</v>
      </c>
      <c r="AO65" s="12">
        <f ca="1">SUM($T65:Y65)</f>
        <v>27.3389410800618</v>
      </c>
      <c r="AP65" s="12">
        <f ca="1">SUM($T65:Z65)</f>
        <v>32.0108543940187</v>
      </c>
      <c r="AQ65" s="12">
        <f ca="1">SUM($T65:AA65)</f>
        <v>37.236663999949</v>
      </c>
      <c r="AR65" s="12">
        <f ca="1">SUM($T65:AB65)</f>
        <v>41.623237976107</v>
      </c>
      <c r="AS65" s="12">
        <f ca="1">SUM($T65:AC65)</f>
        <v>46.402405998217</v>
      </c>
      <c r="AT65" s="12">
        <f ca="1">SUM($T65:AD65)</f>
        <v>51.3031910568828</v>
      </c>
      <c r="AU65" s="12">
        <f ca="1">SUM($T65:AE65)</f>
        <v>55.8870381523873</v>
      </c>
      <c r="AV65" s="12">
        <f ca="1">SUM($T65:AF65)</f>
        <v>60.5823317203217</v>
      </c>
      <c r="AW65" s="12">
        <f ca="1">SUM($T65:AG65)</f>
        <v>65.539695217198</v>
      </c>
      <c r="AX65" s="12">
        <f ca="1">SUM($T65:AH65)</f>
        <v>70.590799625346</v>
      </c>
      <c r="AY65" s="12">
        <f ca="1">SUM($T65:AI65)</f>
        <v>74.7619989147409</v>
      </c>
      <c r="AZ65" s="12">
        <f ca="1" t="shared" si="20"/>
        <v>62.7304681154449</v>
      </c>
      <c r="BA65" s="12">
        <f ca="1" t="shared" si="21"/>
        <v>57.4467549787538</v>
      </c>
      <c r="BB65" s="12">
        <f ca="1" t="shared" si="22"/>
        <v>53.0232622149413</v>
      </c>
      <c r="BC65" s="12">
        <f ca="1" t="shared" si="23"/>
        <v>48.4342412743442</v>
      </c>
      <c r="BD65" s="12">
        <f ca="1" t="shared" si="24"/>
        <v>44.4126746942159</v>
      </c>
      <c r="BE65" s="12">
        <f ca="1" t="shared" si="25"/>
        <v>39.5483477138432</v>
      </c>
      <c r="BF65" s="12">
        <f ca="1" t="shared" si="26"/>
        <v>34.8764343998864</v>
      </c>
      <c r="BG65" s="12">
        <f ca="1" t="shared" si="27"/>
        <v>29.650624793956</v>
      </c>
      <c r="BH65" s="12">
        <f ca="1" t="shared" si="28"/>
        <v>25.2640508177981</v>
      </c>
      <c r="BI65" s="12">
        <f ca="1" t="shared" si="29"/>
        <v>20.484882795688</v>
      </c>
      <c r="BJ65" s="12">
        <f ca="1" t="shared" si="30"/>
        <v>15.5840977370222</v>
      </c>
      <c r="BK65" s="12">
        <f ca="1" t="shared" si="31"/>
        <v>11.0002506415178</v>
      </c>
      <c r="BL65" s="12">
        <f ca="1" t="shared" si="32"/>
        <v>6.30495707358332</v>
      </c>
      <c r="BM65" s="12">
        <f ca="1" t="shared" si="33"/>
        <v>1.34759357670703</v>
      </c>
      <c r="BN65" s="12">
        <f ca="1" t="shared" si="34"/>
        <v>0</v>
      </c>
      <c r="BO65" s="12">
        <f ca="1" t="shared" si="35"/>
        <v>0</v>
      </c>
    </row>
    <row r="66" spans="1:67">
      <c r="A66" s="3">
        <v>36</v>
      </c>
      <c r="B66" s="11">
        <f ca="1" t="shared" si="1"/>
        <v>0.942631407784763</v>
      </c>
      <c r="C66" s="12">
        <f ca="1" t="shared" si="2"/>
        <v>77.6644629865477</v>
      </c>
      <c r="D66" s="11">
        <f ca="1" t="shared" ref="D66:S66" si="70">RAND()</f>
        <v>0.000624301907763636</v>
      </c>
      <c r="E66" s="11">
        <f ca="1" t="shared" si="70"/>
        <v>0.531010906222444</v>
      </c>
      <c r="F66" s="11">
        <f ca="1" t="shared" si="70"/>
        <v>0.0123880374424932</v>
      </c>
      <c r="G66" s="11">
        <f ca="1" t="shared" si="70"/>
        <v>0.936501976974165</v>
      </c>
      <c r="H66" s="11">
        <f ca="1" t="shared" si="70"/>
        <v>0.883119982925395</v>
      </c>
      <c r="I66" s="11">
        <f ca="1" t="shared" si="70"/>
        <v>0.948779290293747</v>
      </c>
      <c r="J66" s="11">
        <f ca="1" t="shared" si="70"/>
        <v>0.38608017233672</v>
      </c>
      <c r="K66" s="11">
        <f ca="1" t="shared" si="70"/>
        <v>0.743702932174629</v>
      </c>
      <c r="L66" s="11">
        <f ca="1" t="shared" si="70"/>
        <v>0.785059697346743</v>
      </c>
      <c r="M66" s="11">
        <f ca="1" t="shared" si="70"/>
        <v>0.0899722498674573</v>
      </c>
      <c r="N66" s="11">
        <f ca="1" t="shared" si="70"/>
        <v>0.40691840517779</v>
      </c>
      <c r="O66" s="11">
        <f ca="1" t="shared" si="70"/>
        <v>0.319913476407072</v>
      </c>
      <c r="P66" s="11">
        <f ca="1" t="shared" si="70"/>
        <v>0.637947917923021</v>
      </c>
      <c r="Q66" s="11">
        <f ca="1" t="shared" si="70"/>
        <v>0.0335848468340325</v>
      </c>
      <c r="R66" s="11">
        <f ca="1" t="shared" si="70"/>
        <v>0.728997967961658</v>
      </c>
      <c r="S66" s="11">
        <f ca="1" t="shared" si="70"/>
        <v>0.440275753682607</v>
      </c>
      <c r="T66" s="12">
        <f ca="1" t="shared" si="4"/>
        <v>4.00104050317961</v>
      </c>
      <c r="U66" s="12">
        <f ca="1" t="shared" si="5"/>
        <v>4.78876363277806</v>
      </c>
      <c r="V66" s="12">
        <f ca="1" t="shared" si="6"/>
        <v>4.02064672907082</v>
      </c>
      <c r="W66" s="12">
        <f ca="1" t="shared" si="7"/>
        <v>5.68250988487083</v>
      </c>
      <c r="X66" s="12">
        <f ca="1" t="shared" si="8"/>
        <v>5.45779995731349</v>
      </c>
      <c r="Y66" s="12">
        <f ca="1" t="shared" si="9"/>
        <v>5.74389645146874</v>
      </c>
      <c r="Z66" s="12">
        <f ca="1" t="shared" si="10"/>
        <v>4.6076002154209</v>
      </c>
      <c r="AA66" s="12">
        <f ca="1" t="shared" si="11"/>
        <v>5.10925733043657</v>
      </c>
      <c r="AB66" s="12">
        <f ca="1" t="shared" si="12"/>
        <v>5.21264924336686</v>
      </c>
      <c r="AC66" s="12">
        <f ca="1" t="shared" si="13"/>
        <v>4.1499537497791</v>
      </c>
      <c r="AD66" s="12">
        <f ca="1" t="shared" si="14"/>
        <v>4.63364800647224</v>
      </c>
      <c r="AE66" s="12">
        <f ca="1" t="shared" si="15"/>
        <v>4.52489184550884</v>
      </c>
      <c r="AF66" s="12">
        <f ca="1" t="shared" si="16"/>
        <v>4.92243489740378</v>
      </c>
      <c r="AG66" s="12">
        <f ca="1" t="shared" si="17"/>
        <v>4.05597474472339</v>
      </c>
      <c r="AH66" s="12">
        <f ca="1" t="shared" si="18"/>
        <v>5.07249491990415</v>
      </c>
      <c r="AI66" s="12">
        <f ca="1" t="shared" si="19"/>
        <v>4.67534469210326</v>
      </c>
      <c r="AJ66" s="12">
        <f ca="1">SUM($T66:T66)</f>
        <v>4.00104050317961</v>
      </c>
      <c r="AK66" s="12">
        <f ca="1">SUM($T66:U66)</f>
        <v>8.78980413595766</v>
      </c>
      <c r="AL66" s="12">
        <f ca="1">SUM($T66:V66)</f>
        <v>12.8104508650285</v>
      </c>
      <c r="AM66" s="12">
        <f ca="1">SUM($T66:W66)</f>
        <v>18.4929607498993</v>
      </c>
      <c r="AN66" s="12">
        <f ca="1">SUM($T66:X66)</f>
        <v>23.9507607072128</v>
      </c>
      <c r="AO66" s="12">
        <f ca="1">SUM($T66:Y66)</f>
        <v>29.6946571586815</v>
      </c>
      <c r="AP66" s="12">
        <f ca="1">SUM($T66:Z66)</f>
        <v>34.3022573741024</v>
      </c>
      <c r="AQ66" s="12">
        <f ca="1">SUM($T66:AA66)</f>
        <v>39.411514704539</v>
      </c>
      <c r="AR66" s="12">
        <f ca="1">SUM($T66:AB66)</f>
        <v>44.6241639479059</v>
      </c>
      <c r="AS66" s="12">
        <f ca="1">SUM($T66:AC66)</f>
        <v>48.774117697685</v>
      </c>
      <c r="AT66" s="12">
        <f ca="1">SUM($T66:AD66)</f>
        <v>53.4077657041572</v>
      </c>
      <c r="AU66" s="12">
        <f ca="1">SUM($T66:AE66)</f>
        <v>57.932657549666</v>
      </c>
      <c r="AV66" s="12">
        <f ca="1">SUM($T66:AF66)</f>
        <v>62.8550924470698</v>
      </c>
      <c r="AW66" s="12">
        <f ca="1">SUM($T66:AG66)</f>
        <v>66.9110671917932</v>
      </c>
      <c r="AX66" s="12">
        <f ca="1">SUM($T66:AH66)</f>
        <v>71.9835621116973</v>
      </c>
      <c r="AY66" s="12">
        <f ca="1">SUM($T66:AI66)</f>
        <v>76.6589068038006</v>
      </c>
      <c r="AZ66" s="12">
        <f ca="1" t="shared" si="20"/>
        <v>73.6634224833681</v>
      </c>
      <c r="BA66" s="12">
        <f ca="1" t="shared" si="21"/>
        <v>68.87465885059</v>
      </c>
      <c r="BB66" s="12">
        <f ca="1" t="shared" si="22"/>
        <v>64.8540121215192</v>
      </c>
      <c r="BC66" s="12">
        <f ca="1" t="shared" si="23"/>
        <v>59.1715022366484</v>
      </c>
      <c r="BD66" s="12">
        <f ca="1" t="shared" si="24"/>
        <v>53.7137022793349</v>
      </c>
      <c r="BE66" s="12">
        <f ca="1" t="shared" si="25"/>
        <v>47.9698058278662</v>
      </c>
      <c r="BF66" s="12">
        <f ca="1" t="shared" si="26"/>
        <v>43.3622056124453</v>
      </c>
      <c r="BG66" s="12">
        <f ca="1" t="shared" si="27"/>
        <v>38.2529482820087</v>
      </c>
      <c r="BH66" s="12">
        <f ca="1" t="shared" si="28"/>
        <v>33.0402990386418</v>
      </c>
      <c r="BI66" s="12">
        <f ca="1" t="shared" si="29"/>
        <v>28.8903452888627</v>
      </c>
      <c r="BJ66" s="12">
        <f ca="1" t="shared" si="30"/>
        <v>24.2566972823905</v>
      </c>
      <c r="BK66" s="12">
        <f ca="1" t="shared" si="31"/>
        <v>19.7318054368817</v>
      </c>
      <c r="BL66" s="12">
        <f ca="1" t="shared" si="32"/>
        <v>14.8093705394779</v>
      </c>
      <c r="BM66" s="12">
        <f ca="1" t="shared" si="33"/>
        <v>10.7533957947545</v>
      </c>
      <c r="BN66" s="12">
        <f ca="1" t="shared" si="34"/>
        <v>5.68090087485035</v>
      </c>
      <c r="BO66" s="12">
        <f ca="1" t="shared" si="35"/>
        <v>1.0055561827471</v>
      </c>
    </row>
    <row r="67" spans="1:67">
      <c r="A67" s="3">
        <v>37</v>
      </c>
      <c r="B67" s="11">
        <f ca="1" t="shared" si="1"/>
        <v>0.535557604185727</v>
      </c>
      <c r="C67" s="12">
        <f ca="1" t="shared" si="2"/>
        <v>64.7592934030954</v>
      </c>
      <c r="D67" s="11">
        <f ca="1" t="shared" ref="D67:S67" si="71">RAND()</f>
        <v>0.0483659243543668</v>
      </c>
      <c r="E67" s="11">
        <f ca="1" t="shared" si="71"/>
        <v>0.198367794824115</v>
      </c>
      <c r="F67" s="11">
        <f ca="1" t="shared" si="71"/>
        <v>0.231542972163504</v>
      </c>
      <c r="G67" s="11">
        <f ca="1" t="shared" si="71"/>
        <v>0.909575535781812</v>
      </c>
      <c r="H67" s="11">
        <f ca="1" t="shared" si="71"/>
        <v>0.576669464011469</v>
      </c>
      <c r="I67" s="11">
        <f ca="1" t="shared" si="71"/>
        <v>0.73093097520526</v>
      </c>
      <c r="J67" s="11">
        <f ca="1" t="shared" si="71"/>
        <v>0.660926211090607</v>
      </c>
      <c r="K67" s="11">
        <f ca="1" t="shared" si="71"/>
        <v>0.378963503539509</v>
      </c>
      <c r="L67" s="11">
        <f ca="1" t="shared" si="71"/>
        <v>0.182738712128048</v>
      </c>
      <c r="M67" s="11">
        <f ca="1" t="shared" si="71"/>
        <v>0.0698093685726706</v>
      </c>
      <c r="N67" s="11">
        <f ca="1" t="shared" si="71"/>
        <v>0.493886353457605</v>
      </c>
      <c r="O67" s="11">
        <f ca="1" t="shared" si="71"/>
        <v>0.873876566793194</v>
      </c>
      <c r="P67" s="11">
        <f ca="1" t="shared" si="71"/>
        <v>0.062725325600353</v>
      </c>
      <c r="Q67" s="11">
        <f ca="1" t="shared" si="71"/>
        <v>0.851519399143411</v>
      </c>
      <c r="R67" s="11">
        <f ca="1" t="shared" si="71"/>
        <v>0.156972522644611</v>
      </c>
      <c r="S67" s="11">
        <f ca="1" t="shared" si="71"/>
        <v>0.329196748409728</v>
      </c>
      <c r="T67" s="12">
        <f ca="1" t="shared" si="4"/>
        <v>4.08060987392394</v>
      </c>
      <c r="U67" s="12">
        <f ca="1" t="shared" si="5"/>
        <v>4.33061299137353</v>
      </c>
      <c r="V67" s="12">
        <f ca="1" t="shared" si="6"/>
        <v>4.38590495360584</v>
      </c>
      <c r="W67" s="12">
        <f ca="1" t="shared" si="7"/>
        <v>5.54787767890906</v>
      </c>
      <c r="X67" s="12">
        <f ca="1" t="shared" si="8"/>
        <v>4.84583683001434</v>
      </c>
      <c r="Y67" s="12">
        <f ca="1" t="shared" si="9"/>
        <v>5.07732743801315</v>
      </c>
      <c r="Z67" s="12">
        <f ca="1" t="shared" si="10"/>
        <v>4.95115776386326</v>
      </c>
      <c r="AA67" s="12">
        <f ca="1" t="shared" si="11"/>
        <v>4.59870437942439</v>
      </c>
      <c r="AB67" s="12">
        <f ca="1" t="shared" si="12"/>
        <v>4.30456452021341</v>
      </c>
      <c r="AC67" s="12">
        <f ca="1" t="shared" si="13"/>
        <v>4.11634894762112</v>
      </c>
      <c r="AD67" s="12">
        <f ca="1" t="shared" si="14"/>
        <v>4.74235794182201</v>
      </c>
      <c r="AE67" s="12">
        <f ca="1" t="shared" si="15"/>
        <v>5.43469141698299</v>
      </c>
      <c r="AF67" s="12">
        <f ca="1" t="shared" si="16"/>
        <v>4.10454220933392</v>
      </c>
      <c r="AG67" s="12">
        <f ca="1" t="shared" si="17"/>
        <v>5.37879849785853</v>
      </c>
      <c r="AH67" s="12">
        <f ca="1" t="shared" si="18"/>
        <v>4.26162087107435</v>
      </c>
      <c r="AI67" s="12">
        <f ca="1" t="shared" si="19"/>
        <v>4.53649593551216</v>
      </c>
      <c r="AJ67" s="12">
        <f ca="1">SUM($T67:T67)</f>
        <v>4.08060987392394</v>
      </c>
      <c r="AK67" s="12">
        <f ca="1">SUM($T67:U67)</f>
        <v>8.41122286529747</v>
      </c>
      <c r="AL67" s="12">
        <f ca="1">SUM($T67:V67)</f>
        <v>12.7971278189033</v>
      </c>
      <c r="AM67" s="12">
        <f ca="1">SUM($T67:W67)</f>
        <v>18.3450054978124</v>
      </c>
      <c r="AN67" s="12">
        <f ca="1">SUM($T67:X67)</f>
        <v>23.1908423278267</v>
      </c>
      <c r="AO67" s="12">
        <f ca="1">SUM($T67:Y67)</f>
        <v>28.2681697658399</v>
      </c>
      <c r="AP67" s="12">
        <f ca="1">SUM($T67:Z67)</f>
        <v>33.2193275297031</v>
      </c>
      <c r="AQ67" s="12">
        <f ca="1">SUM($T67:AA67)</f>
        <v>37.8180319091275</v>
      </c>
      <c r="AR67" s="12">
        <f ca="1">SUM($T67:AB67)</f>
        <v>42.1225964293409</v>
      </c>
      <c r="AS67" s="12">
        <f ca="1">SUM($T67:AC67)</f>
        <v>46.238945376962</v>
      </c>
      <c r="AT67" s="12">
        <f ca="1">SUM($T67:AD67)</f>
        <v>50.981303318784</v>
      </c>
      <c r="AU67" s="12">
        <f ca="1">SUM($T67:AE67)</f>
        <v>56.415994735767</v>
      </c>
      <c r="AV67" s="12">
        <f ca="1">SUM($T67:AF67)</f>
        <v>60.5205369451009</v>
      </c>
      <c r="AW67" s="12">
        <f ca="1">SUM($T67:AG67)</f>
        <v>65.8993354429595</v>
      </c>
      <c r="AX67" s="12">
        <f ca="1">SUM($T67:AH67)</f>
        <v>70.1609563140338</v>
      </c>
      <c r="AY67" s="12">
        <f ca="1">SUM($T67:AI67)</f>
        <v>74.697452249546</v>
      </c>
      <c r="AZ67" s="12">
        <f ca="1" t="shared" si="20"/>
        <v>60.6786835291715</v>
      </c>
      <c r="BA67" s="12">
        <f ca="1" t="shared" si="21"/>
        <v>56.348070537798</v>
      </c>
      <c r="BB67" s="12">
        <f ca="1" t="shared" si="22"/>
        <v>51.9621655841921</v>
      </c>
      <c r="BC67" s="12">
        <f ca="1" t="shared" si="23"/>
        <v>46.4142879052831</v>
      </c>
      <c r="BD67" s="12">
        <f ca="1" t="shared" si="24"/>
        <v>41.5684510752687</v>
      </c>
      <c r="BE67" s="12">
        <f ca="1" t="shared" si="25"/>
        <v>36.4911236372556</v>
      </c>
      <c r="BF67" s="12">
        <f ca="1" t="shared" si="26"/>
        <v>31.5399658733923</v>
      </c>
      <c r="BG67" s="12">
        <f ca="1" t="shared" si="27"/>
        <v>26.9412614939679</v>
      </c>
      <c r="BH67" s="12">
        <f ca="1" t="shared" si="28"/>
        <v>22.6366969737545</v>
      </c>
      <c r="BI67" s="12">
        <f ca="1" t="shared" si="29"/>
        <v>18.5203480261334</v>
      </c>
      <c r="BJ67" s="12">
        <f ca="1" t="shared" si="30"/>
        <v>13.7779900843114</v>
      </c>
      <c r="BK67" s="12">
        <f ca="1" t="shared" si="31"/>
        <v>8.34329866732842</v>
      </c>
      <c r="BL67" s="12">
        <f ca="1" t="shared" si="32"/>
        <v>4.2387564579945</v>
      </c>
      <c r="BM67" s="12">
        <f ca="1" t="shared" si="33"/>
        <v>0</v>
      </c>
      <c r="BN67" s="12">
        <f ca="1" t="shared" si="34"/>
        <v>0</v>
      </c>
      <c r="BO67" s="12">
        <f ca="1" t="shared" si="35"/>
        <v>0</v>
      </c>
    </row>
    <row r="68" spans="1:67">
      <c r="A68" s="3">
        <v>38</v>
      </c>
      <c r="B68" s="11">
        <f ca="1" t="shared" si="1"/>
        <v>0.122337155772806</v>
      </c>
      <c r="C68" s="12">
        <f ca="1" t="shared" si="2"/>
        <v>55.7445718590935</v>
      </c>
      <c r="D68" s="11">
        <f ca="1" t="shared" ref="D68:S68" si="72">RAND()</f>
        <v>0.963649983452533</v>
      </c>
      <c r="E68" s="11">
        <f ca="1" t="shared" si="72"/>
        <v>0.917587898056356</v>
      </c>
      <c r="F68" s="11">
        <f ca="1" t="shared" si="72"/>
        <v>0.680639172421296</v>
      </c>
      <c r="G68" s="11">
        <f ca="1" t="shared" si="72"/>
        <v>0.418245510573392</v>
      </c>
      <c r="H68" s="11">
        <f ca="1" t="shared" si="72"/>
        <v>0.134564448300252</v>
      </c>
      <c r="I68" s="11">
        <f ca="1" t="shared" si="72"/>
        <v>0.519351854521529</v>
      </c>
      <c r="J68" s="11">
        <f ca="1" t="shared" si="72"/>
        <v>0.14719064172006</v>
      </c>
      <c r="K68" s="11">
        <f ca="1" t="shared" si="72"/>
        <v>0.834770793285837</v>
      </c>
      <c r="L68" s="11">
        <f ca="1" t="shared" si="72"/>
        <v>0.0437726655874837</v>
      </c>
      <c r="M68" s="11">
        <f ca="1" t="shared" si="72"/>
        <v>0.0299378583931749</v>
      </c>
      <c r="N68" s="11">
        <f ca="1" t="shared" si="72"/>
        <v>0.446088260139729</v>
      </c>
      <c r="O68" s="11">
        <f ca="1" t="shared" si="72"/>
        <v>0.443655923804239</v>
      </c>
      <c r="P68" s="11">
        <f ca="1" t="shared" si="72"/>
        <v>0.80796898036172</v>
      </c>
      <c r="Q68" s="11">
        <f ca="1" t="shared" si="72"/>
        <v>0.634875085502888</v>
      </c>
      <c r="R68" s="11">
        <f ca="1" t="shared" si="72"/>
        <v>0.703605668517482</v>
      </c>
      <c r="S68" s="11">
        <f ca="1" t="shared" si="72"/>
        <v>0.870899093271631</v>
      </c>
      <c r="T68" s="12">
        <f ca="1" t="shared" si="4"/>
        <v>5.81824991726267</v>
      </c>
      <c r="U68" s="12">
        <f ca="1" t="shared" si="5"/>
        <v>5.58793949028178</v>
      </c>
      <c r="V68" s="12">
        <f ca="1" t="shared" si="6"/>
        <v>4.97579896552662</v>
      </c>
      <c r="W68" s="12">
        <f ca="1" t="shared" si="7"/>
        <v>4.64780688821674</v>
      </c>
      <c r="X68" s="12">
        <f ca="1" t="shared" si="8"/>
        <v>4.22427408050042</v>
      </c>
      <c r="Y68" s="12">
        <f ca="1" t="shared" si="9"/>
        <v>4.77418981815191</v>
      </c>
      <c r="Z68" s="12">
        <f ca="1" t="shared" si="10"/>
        <v>4.2453177362001</v>
      </c>
      <c r="AA68" s="12">
        <f ca="1" t="shared" si="11"/>
        <v>5.33692698321459</v>
      </c>
      <c r="AB68" s="12">
        <f ca="1" t="shared" si="12"/>
        <v>4.07295444264581</v>
      </c>
      <c r="AC68" s="12">
        <f ca="1" t="shared" si="13"/>
        <v>4.04989643065529</v>
      </c>
      <c r="AD68" s="12">
        <f ca="1" t="shared" si="14"/>
        <v>4.68261032517466</v>
      </c>
      <c r="AE68" s="12">
        <f ca="1" t="shared" si="15"/>
        <v>4.6795699047553</v>
      </c>
      <c r="AF68" s="12">
        <f ca="1" t="shared" si="16"/>
        <v>5.2699224509043</v>
      </c>
      <c r="AG68" s="12">
        <f ca="1" t="shared" si="17"/>
        <v>4.91859385687861</v>
      </c>
      <c r="AH68" s="12">
        <f ca="1" t="shared" si="18"/>
        <v>5.00901417129371</v>
      </c>
      <c r="AI68" s="12">
        <f ca="1" t="shared" si="19"/>
        <v>5.42724773317908</v>
      </c>
      <c r="AJ68" s="12">
        <f ca="1">SUM($T68:T68)</f>
        <v>5.81824991726267</v>
      </c>
      <c r="AK68" s="12">
        <f ca="1">SUM($T68:U68)</f>
        <v>11.4061894075444</v>
      </c>
      <c r="AL68" s="12">
        <f ca="1">SUM($T68:V68)</f>
        <v>16.3819883730711</v>
      </c>
      <c r="AM68" s="12">
        <f ca="1">SUM($T68:W68)</f>
        <v>21.0297952612878</v>
      </c>
      <c r="AN68" s="12">
        <f ca="1">SUM($T68:X68)</f>
        <v>25.2540693417882</v>
      </c>
      <c r="AO68" s="12">
        <f ca="1">SUM($T68:Y68)</f>
        <v>30.0282591599401</v>
      </c>
      <c r="AP68" s="12">
        <f ca="1">SUM($T68:Z68)</f>
        <v>34.2735768961402</v>
      </c>
      <c r="AQ68" s="12">
        <f ca="1">SUM($T68:AA68)</f>
        <v>39.6105038793548</v>
      </c>
      <c r="AR68" s="12">
        <f ca="1">SUM($T68:AB68)</f>
        <v>43.6834583220006</v>
      </c>
      <c r="AS68" s="12">
        <f ca="1">SUM($T68:AC68)</f>
        <v>47.7333547526559</v>
      </c>
      <c r="AT68" s="12">
        <f ca="1">SUM($T68:AD68)</f>
        <v>52.4159650778306</v>
      </c>
      <c r="AU68" s="12">
        <f ca="1">SUM($T68:AE68)</f>
        <v>57.0955349825859</v>
      </c>
      <c r="AV68" s="12">
        <f ca="1">SUM($T68:AF68)</f>
        <v>62.3654574334902</v>
      </c>
      <c r="AW68" s="12">
        <f ca="1">SUM($T68:AG68)</f>
        <v>67.2840512903688</v>
      </c>
      <c r="AX68" s="12">
        <f ca="1">SUM($T68:AH68)</f>
        <v>72.2930654616625</v>
      </c>
      <c r="AY68" s="12">
        <f ca="1">SUM($T68:AI68)</f>
        <v>77.7203131948416</v>
      </c>
      <c r="AZ68" s="12">
        <f ca="1" t="shared" si="20"/>
        <v>49.9263219418309</v>
      </c>
      <c r="BA68" s="12">
        <f ca="1" t="shared" si="21"/>
        <v>44.3383824515491</v>
      </c>
      <c r="BB68" s="12">
        <f ca="1" t="shared" si="22"/>
        <v>39.3625834860225</v>
      </c>
      <c r="BC68" s="12">
        <f ca="1" t="shared" si="23"/>
        <v>34.7147765978057</v>
      </c>
      <c r="BD68" s="12">
        <f ca="1" t="shared" si="24"/>
        <v>30.4905025173053</v>
      </c>
      <c r="BE68" s="12">
        <f ca="1" t="shared" si="25"/>
        <v>25.7163126991534</v>
      </c>
      <c r="BF68" s="12">
        <f ca="1" t="shared" si="26"/>
        <v>21.4709949629533</v>
      </c>
      <c r="BG68" s="12">
        <f ca="1" t="shared" si="27"/>
        <v>16.1340679797387</v>
      </c>
      <c r="BH68" s="12">
        <f ca="1" t="shared" si="28"/>
        <v>12.0611135370929</v>
      </c>
      <c r="BI68" s="12">
        <f ca="1" t="shared" si="29"/>
        <v>8.0112171064376</v>
      </c>
      <c r="BJ68" s="12">
        <f ca="1" t="shared" si="30"/>
        <v>3.32860678126293</v>
      </c>
      <c r="BK68" s="12">
        <f ca="1" t="shared" si="31"/>
        <v>0</v>
      </c>
      <c r="BL68" s="12">
        <f ca="1" t="shared" si="32"/>
        <v>0</v>
      </c>
      <c r="BM68" s="12">
        <f ca="1" t="shared" si="33"/>
        <v>0</v>
      </c>
      <c r="BN68" s="12">
        <f ca="1" t="shared" si="34"/>
        <v>0</v>
      </c>
      <c r="BO68" s="12">
        <f ca="1" t="shared" si="35"/>
        <v>0</v>
      </c>
    </row>
    <row r="69" spans="1:67">
      <c r="A69" s="3">
        <v>39</v>
      </c>
      <c r="B69" s="11">
        <f ca="1" t="shared" si="1"/>
        <v>0.705251138961843</v>
      </c>
      <c r="C69" s="12">
        <f ca="1" t="shared" si="2"/>
        <v>67.2178734137406</v>
      </c>
      <c r="D69" s="11">
        <f ca="1" t="shared" ref="D69:S69" si="73">RAND()</f>
        <v>0.537386354129272</v>
      </c>
      <c r="E69" s="11">
        <f ca="1" t="shared" si="73"/>
        <v>0.0129608888214034</v>
      </c>
      <c r="F69" s="11">
        <f ca="1" t="shared" si="73"/>
        <v>0.126203717368871</v>
      </c>
      <c r="G69" s="11">
        <f ca="1" t="shared" si="73"/>
        <v>0.580673982657297</v>
      </c>
      <c r="H69" s="11">
        <f ca="1" t="shared" si="73"/>
        <v>0.706609030682881</v>
      </c>
      <c r="I69" s="11">
        <f ca="1" t="shared" si="73"/>
        <v>0.460728979432222</v>
      </c>
      <c r="J69" s="11">
        <f ca="1" t="shared" si="73"/>
        <v>0.399384608298291</v>
      </c>
      <c r="K69" s="11">
        <f ca="1" t="shared" si="73"/>
        <v>0.578174949941238</v>
      </c>
      <c r="L69" s="11">
        <f ca="1" t="shared" si="73"/>
        <v>0.73126780281892</v>
      </c>
      <c r="M69" s="11">
        <f ca="1" t="shared" si="73"/>
        <v>0.0286068907922969</v>
      </c>
      <c r="N69" s="11">
        <f ca="1" t="shared" si="73"/>
        <v>0.953372588117922</v>
      </c>
      <c r="O69" s="11">
        <f ca="1" t="shared" si="73"/>
        <v>0.998588306833345</v>
      </c>
      <c r="P69" s="11">
        <f ca="1" t="shared" si="73"/>
        <v>0.905048366257673</v>
      </c>
      <c r="Q69" s="11">
        <f ca="1" t="shared" si="73"/>
        <v>0.871330589183901</v>
      </c>
      <c r="R69" s="11">
        <f ca="1" t="shared" si="73"/>
        <v>0.533226981106472</v>
      </c>
      <c r="S69" s="11">
        <f ca="1" t="shared" si="73"/>
        <v>0.391034994466118</v>
      </c>
      <c r="T69" s="12">
        <f ca="1" t="shared" si="4"/>
        <v>4.79673294266159</v>
      </c>
      <c r="U69" s="12">
        <f ca="1" t="shared" si="5"/>
        <v>4.02160148136901</v>
      </c>
      <c r="V69" s="12">
        <f ca="1" t="shared" si="6"/>
        <v>4.21033952894812</v>
      </c>
      <c r="W69" s="12">
        <f ca="1" t="shared" si="7"/>
        <v>4.85084247832162</v>
      </c>
      <c r="X69" s="12">
        <f ca="1" t="shared" si="8"/>
        <v>5.0165225767072</v>
      </c>
      <c r="Y69" s="12">
        <f ca="1" t="shared" si="9"/>
        <v>4.70091122429028</v>
      </c>
      <c r="Z69" s="12">
        <f ca="1" t="shared" si="10"/>
        <v>4.62423076037286</v>
      </c>
      <c r="AA69" s="12">
        <f ca="1" t="shared" si="11"/>
        <v>4.84771868742655</v>
      </c>
      <c r="AB69" s="12">
        <f ca="1" t="shared" si="12"/>
        <v>5.0781695070473</v>
      </c>
      <c r="AC69" s="12">
        <f ca="1" t="shared" si="13"/>
        <v>4.0476781513205</v>
      </c>
      <c r="AD69" s="12">
        <f ca="1" t="shared" si="14"/>
        <v>5.76686294058961</v>
      </c>
      <c r="AE69" s="12">
        <f ca="1" t="shared" si="15"/>
        <v>5.99294153416672</v>
      </c>
      <c r="AF69" s="12">
        <f ca="1" t="shared" si="16"/>
        <v>5.52524183128837</v>
      </c>
      <c r="AG69" s="12">
        <f ca="1" t="shared" si="17"/>
        <v>5.42832647295975</v>
      </c>
      <c r="AH69" s="12">
        <f ca="1" t="shared" si="18"/>
        <v>4.79153372638309</v>
      </c>
      <c r="AI69" s="12">
        <f ca="1" t="shared" si="19"/>
        <v>4.61379374308265</v>
      </c>
      <c r="AJ69" s="12">
        <f ca="1">SUM($T69:T69)</f>
        <v>4.79673294266159</v>
      </c>
      <c r="AK69" s="12">
        <f ca="1">SUM($T69:U69)</f>
        <v>8.8183344240306</v>
      </c>
      <c r="AL69" s="12">
        <f ca="1">SUM($T69:V69)</f>
        <v>13.0286739529787</v>
      </c>
      <c r="AM69" s="12">
        <f ca="1">SUM($T69:W69)</f>
        <v>17.8795164313003</v>
      </c>
      <c r="AN69" s="12">
        <f ca="1">SUM($T69:X69)</f>
        <v>22.8960390080075</v>
      </c>
      <c r="AO69" s="12">
        <f ca="1">SUM($T69:Y69)</f>
        <v>27.5969502322978</v>
      </c>
      <c r="AP69" s="12">
        <f ca="1">SUM($T69:Z69)</f>
        <v>32.2211809926707</v>
      </c>
      <c r="AQ69" s="12">
        <f ca="1">SUM($T69:AA69)</f>
        <v>37.0688996800972</v>
      </c>
      <c r="AR69" s="12">
        <f ca="1">SUM($T69:AB69)</f>
        <v>42.1470691871445</v>
      </c>
      <c r="AS69" s="12">
        <f ca="1">SUM($T69:AC69)</f>
        <v>46.194747338465</v>
      </c>
      <c r="AT69" s="12">
        <f ca="1">SUM($T69:AD69)</f>
        <v>51.9616102790546</v>
      </c>
      <c r="AU69" s="12">
        <f ca="1">SUM($T69:AE69)</f>
        <v>57.9545518132214</v>
      </c>
      <c r="AV69" s="12">
        <f ca="1">SUM($T69:AF69)</f>
        <v>63.4797936445097</v>
      </c>
      <c r="AW69" s="12">
        <f ca="1">SUM($T69:AG69)</f>
        <v>68.9081201174695</v>
      </c>
      <c r="AX69" s="12">
        <f ca="1">SUM($T69:AH69)</f>
        <v>73.6996538438526</v>
      </c>
      <c r="AY69" s="12">
        <f ca="1">SUM($T69:AI69)</f>
        <v>78.3134475869352</v>
      </c>
      <c r="AZ69" s="12">
        <f ca="1" t="shared" si="20"/>
        <v>62.421140471079</v>
      </c>
      <c r="BA69" s="12">
        <f ca="1" t="shared" si="21"/>
        <v>58.39953898971</v>
      </c>
      <c r="BB69" s="12">
        <f ca="1" t="shared" si="22"/>
        <v>54.1891994607619</v>
      </c>
      <c r="BC69" s="12">
        <f ca="1" t="shared" si="23"/>
        <v>49.3383569824403</v>
      </c>
      <c r="BD69" s="12">
        <f ca="1" t="shared" si="24"/>
        <v>44.3218344057331</v>
      </c>
      <c r="BE69" s="12">
        <f ca="1" t="shared" si="25"/>
        <v>39.6209231814428</v>
      </c>
      <c r="BF69" s="12">
        <f ca="1" t="shared" si="26"/>
        <v>34.9966924210699</v>
      </c>
      <c r="BG69" s="12">
        <f ca="1" t="shared" si="27"/>
        <v>30.1489737336434</v>
      </c>
      <c r="BH69" s="12">
        <f ca="1" t="shared" si="28"/>
        <v>25.0708042265961</v>
      </c>
      <c r="BI69" s="12">
        <f ca="1" t="shared" si="29"/>
        <v>21.0231260752756</v>
      </c>
      <c r="BJ69" s="12">
        <f ca="1" t="shared" si="30"/>
        <v>15.256263134686</v>
      </c>
      <c r="BK69" s="12">
        <f ca="1" t="shared" si="31"/>
        <v>9.26332160051926</v>
      </c>
      <c r="BL69" s="12">
        <f ca="1" t="shared" si="32"/>
        <v>3.73807976923089</v>
      </c>
      <c r="BM69" s="12">
        <f ca="1" t="shared" si="33"/>
        <v>0</v>
      </c>
      <c r="BN69" s="12">
        <f ca="1" t="shared" si="34"/>
        <v>0</v>
      </c>
      <c r="BO69" s="12">
        <f ca="1" t="shared" si="35"/>
        <v>0</v>
      </c>
    </row>
    <row r="70" spans="1:67">
      <c r="A70" s="3">
        <v>40</v>
      </c>
      <c r="B70" s="11">
        <f ca="1" t="shared" si="1"/>
        <v>0.508766658016263</v>
      </c>
      <c r="C70" s="12">
        <f ca="1" t="shared" si="2"/>
        <v>64.3127776336044</v>
      </c>
      <c r="D70" s="11">
        <f ca="1" t="shared" ref="D70:S70" si="74">RAND()</f>
        <v>0.481826538485983</v>
      </c>
      <c r="E70" s="11">
        <f ca="1" t="shared" si="74"/>
        <v>0.89645714825062</v>
      </c>
      <c r="F70" s="11">
        <f ca="1" t="shared" si="74"/>
        <v>0.325169195630978</v>
      </c>
      <c r="G70" s="11">
        <f ca="1" t="shared" si="74"/>
        <v>0.849622595039873</v>
      </c>
      <c r="H70" s="11">
        <f ca="1" t="shared" si="74"/>
        <v>0.78170721983749</v>
      </c>
      <c r="I70" s="11">
        <f ca="1" t="shared" si="74"/>
        <v>0.909325937477351</v>
      </c>
      <c r="J70" s="11">
        <f ca="1" t="shared" si="74"/>
        <v>0.175440832214184</v>
      </c>
      <c r="K70" s="11">
        <f ca="1" t="shared" si="74"/>
        <v>0.768122109081667</v>
      </c>
      <c r="L70" s="11">
        <f ca="1" t="shared" si="74"/>
        <v>0.869145335314198</v>
      </c>
      <c r="M70" s="11">
        <f ca="1" t="shared" si="74"/>
        <v>0.442059590967532</v>
      </c>
      <c r="N70" s="11">
        <f ca="1" t="shared" si="74"/>
        <v>0.614255989636298</v>
      </c>
      <c r="O70" s="11">
        <f ca="1" t="shared" si="74"/>
        <v>0.332438453139676</v>
      </c>
      <c r="P70" s="11">
        <f ca="1" t="shared" si="74"/>
        <v>0.0239159692069972</v>
      </c>
      <c r="Q70" s="11">
        <f ca="1" t="shared" si="74"/>
        <v>0.95701513091858</v>
      </c>
      <c r="R70" s="11">
        <f ca="1" t="shared" si="74"/>
        <v>0.762634755116035</v>
      </c>
      <c r="S70" s="11">
        <f ca="1" t="shared" si="74"/>
        <v>0.480292937938368</v>
      </c>
      <c r="T70" s="12">
        <f ca="1" t="shared" si="4"/>
        <v>4.72728317310748</v>
      </c>
      <c r="U70" s="12">
        <f ca="1" t="shared" si="5"/>
        <v>5.49114287062655</v>
      </c>
      <c r="V70" s="12">
        <f ca="1" t="shared" si="6"/>
        <v>4.53146149453872</v>
      </c>
      <c r="W70" s="12">
        <f ca="1" t="shared" si="7"/>
        <v>5.37405648759968</v>
      </c>
      <c r="X70" s="12">
        <f ca="1" t="shared" si="8"/>
        <v>5.20426804959372</v>
      </c>
      <c r="Y70" s="12">
        <f ca="1" t="shared" si="9"/>
        <v>5.54662968738676</v>
      </c>
      <c r="Z70" s="12">
        <f ca="1" t="shared" si="10"/>
        <v>4.29240138702364</v>
      </c>
      <c r="AA70" s="12">
        <f ca="1" t="shared" si="11"/>
        <v>5.17030527270417</v>
      </c>
      <c r="AB70" s="12">
        <f ca="1" t="shared" si="12"/>
        <v>5.4228633382855</v>
      </c>
      <c r="AC70" s="12">
        <f ca="1" t="shared" si="13"/>
        <v>4.67757448870941</v>
      </c>
      <c r="AD70" s="12">
        <f ca="1" t="shared" si="14"/>
        <v>4.89281998704537</v>
      </c>
      <c r="AE70" s="12">
        <f ca="1" t="shared" si="15"/>
        <v>4.54054806642459</v>
      </c>
      <c r="AF70" s="12">
        <f ca="1" t="shared" si="16"/>
        <v>4.03985994867833</v>
      </c>
      <c r="AG70" s="12">
        <f ca="1" t="shared" si="17"/>
        <v>5.7850756545929</v>
      </c>
      <c r="AH70" s="12">
        <f ca="1" t="shared" si="18"/>
        <v>5.15658688779009</v>
      </c>
      <c r="AI70" s="12">
        <f ca="1" t="shared" si="19"/>
        <v>4.72536617242296</v>
      </c>
      <c r="AJ70" s="12">
        <f ca="1">SUM($T70:T70)</f>
        <v>4.72728317310748</v>
      </c>
      <c r="AK70" s="12">
        <f ca="1">SUM($T70:U70)</f>
        <v>10.218426043734</v>
      </c>
      <c r="AL70" s="12">
        <f ca="1">SUM($T70:V70)</f>
        <v>14.7498875382728</v>
      </c>
      <c r="AM70" s="12">
        <f ca="1">SUM($T70:W70)</f>
        <v>20.1239440258724</v>
      </c>
      <c r="AN70" s="12">
        <f ca="1">SUM($T70:X70)</f>
        <v>25.3282120754662</v>
      </c>
      <c r="AO70" s="12">
        <f ca="1">SUM($T70:Y70)</f>
        <v>30.8748417628529</v>
      </c>
      <c r="AP70" s="12">
        <f ca="1">SUM($T70:Z70)</f>
        <v>35.1672431498766</v>
      </c>
      <c r="AQ70" s="12">
        <f ca="1">SUM($T70:AA70)</f>
        <v>40.3375484225807</v>
      </c>
      <c r="AR70" s="12">
        <f ca="1">SUM($T70:AB70)</f>
        <v>45.7604117608662</v>
      </c>
      <c r="AS70" s="12">
        <f ca="1">SUM($T70:AC70)</f>
        <v>50.4379862495756</v>
      </c>
      <c r="AT70" s="12">
        <f ca="1">SUM($T70:AD70)</f>
        <v>55.330806236621</v>
      </c>
      <c r="AU70" s="12">
        <f ca="1">SUM($T70:AE70)</f>
        <v>59.8713543030456</v>
      </c>
      <c r="AV70" s="12">
        <f ca="1">SUM($T70:AF70)</f>
        <v>63.9112142517239</v>
      </c>
      <c r="AW70" s="12">
        <f ca="1">SUM($T70:AG70)</f>
        <v>69.6962899063168</v>
      </c>
      <c r="AX70" s="12">
        <f ca="1">SUM($T70:AH70)</f>
        <v>74.8528767941069</v>
      </c>
      <c r="AY70" s="12">
        <f ca="1">SUM($T70:AI70)</f>
        <v>79.5782429665299</v>
      </c>
      <c r="AZ70" s="12">
        <f ca="1" t="shared" si="20"/>
        <v>59.5854944604969</v>
      </c>
      <c r="BA70" s="12">
        <f ca="1" t="shared" si="21"/>
        <v>54.0943515898704</v>
      </c>
      <c r="BB70" s="12">
        <f ca="1" t="shared" si="22"/>
        <v>49.5628900953316</v>
      </c>
      <c r="BC70" s="12">
        <f ca="1" t="shared" si="23"/>
        <v>44.188833607732</v>
      </c>
      <c r="BD70" s="12">
        <f ca="1" t="shared" si="24"/>
        <v>38.9845655581382</v>
      </c>
      <c r="BE70" s="12">
        <f ca="1" t="shared" si="25"/>
        <v>33.4379358707515</v>
      </c>
      <c r="BF70" s="12">
        <f ca="1" t="shared" si="26"/>
        <v>29.1455344837278</v>
      </c>
      <c r="BG70" s="12">
        <f ca="1" t="shared" si="27"/>
        <v>23.9752292110237</v>
      </c>
      <c r="BH70" s="12">
        <f ca="1" t="shared" si="28"/>
        <v>18.5523658727382</v>
      </c>
      <c r="BI70" s="12">
        <f ca="1" t="shared" si="29"/>
        <v>13.8747913840288</v>
      </c>
      <c r="BJ70" s="12">
        <f ca="1" t="shared" si="30"/>
        <v>8.98197139698338</v>
      </c>
      <c r="BK70" s="12">
        <f ca="1" t="shared" si="31"/>
        <v>4.44142333055879</v>
      </c>
      <c r="BL70" s="12">
        <f ca="1" t="shared" si="32"/>
        <v>0.401563381880464</v>
      </c>
      <c r="BM70" s="12">
        <f ca="1" t="shared" si="33"/>
        <v>0</v>
      </c>
      <c r="BN70" s="12">
        <f ca="1" t="shared" si="34"/>
        <v>0</v>
      </c>
      <c r="BO70" s="12">
        <f ca="1" t="shared" si="35"/>
        <v>0</v>
      </c>
    </row>
    <row r="71" spans="1:67">
      <c r="A71" s="3">
        <v>41</v>
      </c>
      <c r="B71" s="11">
        <f ca="1" t="shared" si="1"/>
        <v>0.082730909370933</v>
      </c>
      <c r="C71" s="12">
        <f ca="1" t="shared" si="2"/>
        <v>54.1365454685467</v>
      </c>
      <c r="D71" s="11">
        <f ca="1" t="shared" ref="D71:S71" si="75">RAND()</f>
        <v>0.66896833827878</v>
      </c>
      <c r="E71" s="11">
        <f ca="1" t="shared" si="75"/>
        <v>0.182697042056619</v>
      </c>
      <c r="F71" s="11">
        <f ca="1" t="shared" si="75"/>
        <v>0.76881619096411</v>
      </c>
      <c r="G71" s="11">
        <f ca="1" t="shared" si="75"/>
        <v>0.456520898481051</v>
      </c>
      <c r="H71" s="11">
        <f ca="1" t="shared" si="75"/>
        <v>0.243722462227233</v>
      </c>
      <c r="I71" s="11">
        <f ca="1" t="shared" si="75"/>
        <v>0.955855056001351</v>
      </c>
      <c r="J71" s="11">
        <f ca="1" t="shared" si="75"/>
        <v>0.795507189335285</v>
      </c>
      <c r="K71" s="11">
        <f ca="1" t="shared" si="75"/>
        <v>0.919930096721302</v>
      </c>
      <c r="L71" s="11">
        <f ca="1" t="shared" si="75"/>
        <v>0.808539267388498</v>
      </c>
      <c r="M71" s="11">
        <f ca="1" t="shared" si="75"/>
        <v>0.182730724880093</v>
      </c>
      <c r="N71" s="11">
        <f ca="1" t="shared" si="75"/>
        <v>0.254097959376356</v>
      </c>
      <c r="O71" s="11">
        <f ca="1" t="shared" si="75"/>
        <v>0.917575327682701</v>
      </c>
      <c r="P71" s="11">
        <f ca="1" t="shared" si="75"/>
        <v>0.371165045339207</v>
      </c>
      <c r="Q71" s="11">
        <f ca="1" t="shared" si="75"/>
        <v>0.620612912398741</v>
      </c>
      <c r="R71" s="11">
        <f ca="1" t="shared" si="75"/>
        <v>0.71716899254127</v>
      </c>
      <c r="S71" s="11">
        <f ca="1" t="shared" si="75"/>
        <v>0.439414519982583</v>
      </c>
      <c r="T71" s="12">
        <f ca="1" t="shared" si="4"/>
        <v>4.96121042284848</v>
      </c>
      <c r="U71" s="12">
        <f ca="1" t="shared" si="5"/>
        <v>4.30449507009437</v>
      </c>
      <c r="V71" s="12">
        <f ca="1" t="shared" si="6"/>
        <v>5.17204047741027</v>
      </c>
      <c r="W71" s="12">
        <f ca="1" t="shared" si="7"/>
        <v>4.69565112310131</v>
      </c>
      <c r="X71" s="12">
        <f ca="1" t="shared" si="8"/>
        <v>4.40620410371206</v>
      </c>
      <c r="Y71" s="12">
        <f ca="1" t="shared" si="9"/>
        <v>5.77927528000676</v>
      </c>
      <c r="Z71" s="12">
        <f ca="1" t="shared" si="10"/>
        <v>5.23876797333821</v>
      </c>
      <c r="AA71" s="12">
        <f ca="1" t="shared" si="11"/>
        <v>5.59965048360651</v>
      </c>
      <c r="AB71" s="12">
        <f ca="1" t="shared" si="12"/>
        <v>5.27134816847125</v>
      </c>
      <c r="AC71" s="12">
        <f ca="1" t="shared" si="13"/>
        <v>4.30455120813349</v>
      </c>
      <c r="AD71" s="12">
        <f ca="1" t="shared" si="14"/>
        <v>4.42349659896059</v>
      </c>
      <c r="AE71" s="12">
        <f ca="1" t="shared" si="15"/>
        <v>5.5878766384135</v>
      </c>
      <c r="AF71" s="12">
        <f ca="1" t="shared" si="16"/>
        <v>4.58895630667401</v>
      </c>
      <c r="AG71" s="12">
        <f ca="1" t="shared" si="17"/>
        <v>4.90076614049843</v>
      </c>
      <c r="AH71" s="12">
        <f ca="1" t="shared" si="18"/>
        <v>5.04292248135318</v>
      </c>
      <c r="AI71" s="12">
        <f ca="1" t="shared" si="19"/>
        <v>4.67426814997823</v>
      </c>
      <c r="AJ71" s="12">
        <f ca="1">SUM($T71:T71)</f>
        <v>4.96121042284848</v>
      </c>
      <c r="AK71" s="12">
        <f ca="1">SUM($T71:U71)</f>
        <v>9.26570549294284</v>
      </c>
      <c r="AL71" s="12">
        <f ca="1">SUM($T71:V71)</f>
        <v>14.4377459703531</v>
      </c>
      <c r="AM71" s="12">
        <f ca="1">SUM($T71:W71)</f>
        <v>19.1333970934544</v>
      </c>
      <c r="AN71" s="12">
        <f ca="1">SUM($T71:X71)</f>
        <v>23.5396011971665</v>
      </c>
      <c r="AO71" s="12">
        <f ca="1">SUM($T71:Y71)</f>
        <v>29.3188764771732</v>
      </c>
      <c r="AP71" s="12">
        <f ca="1">SUM($T71:Z71)</f>
        <v>34.5576444505115</v>
      </c>
      <c r="AQ71" s="12">
        <f ca="1">SUM($T71:AA71)</f>
        <v>40.157294934118</v>
      </c>
      <c r="AR71" s="12">
        <f ca="1">SUM($T71:AB71)</f>
        <v>45.4286431025892</v>
      </c>
      <c r="AS71" s="12">
        <f ca="1">SUM($T71:AC71)</f>
        <v>49.7331943107227</v>
      </c>
      <c r="AT71" s="12">
        <f ca="1">SUM($T71:AD71)</f>
        <v>54.1566909096833</v>
      </c>
      <c r="AU71" s="12">
        <f ca="1">SUM($T71:AE71)</f>
        <v>59.7445675480968</v>
      </c>
      <c r="AV71" s="12">
        <f ca="1">SUM($T71:AF71)</f>
        <v>64.3335238547708</v>
      </c>
      <c r="AW71" s="12">
        <f ca="1">SUM($T71:AG71)</f>
        <v>69.2342899952693</v>
      </c>
      <c r="AX71" s="12">
        <f ca="1">SUM($T71:AH71)</f>
        <v>74.2772124766224</v>
      </c>
      <c r="AY71" s="12">
        <f ca="1">SUM($T71:AI71)</f>
        <v>78.9514806266007</v>
      </c>
      <c r="AZ71" s="12">
        <f ca="1" t="shared" si="20"/>
        <v>49.1753350456982</v>
      </c>
      <c r="BA71" s="12">
        <f ca="1" t="shared" si="21"/>
        <v>44.8708399756038</v>
      </c>
      <c r="BB71" s="12">
        <f ca="1" t="shared" si="22"/>
        <v>39.6987994981935</v>
      </c>
      <c r="BC71" s="12">
        <f ca="1" t="shared" si="23"/>
        <v>35.0031483750922</v>
      </c>
      <c r="BD71" s="12">
        <f ca="1" t="shared" si="24"/>
        <v>30.5969442713802</v>
      </c>
      <c r="BE71" s="12">
        <f ca="1" t="shared" si="25"/>
        <v>24.8176689913734</v>
      </c>
      <c r="BF71" s="12">
        <f ca="1" t="shared" si="26"/>
        <v>19.5789010180352</v>
      </c>
      <c r="BG71" s="12">
        <f ca="1" t="shared" si="27"/>
        <v>13.9792505344287</v>
      </c>
      <c r="BH71" s="12">
        <f ca="1" t="shared" si="28"/>
        <v>8.70790236595743</v>
      </c>
      <c r="BI71" s="12">
        <f ca="1" t="shared" si="29"/>
        <v>4.40335115782394</v>
      </c>
      <c r="BJ71" s="12">
        <f ca="1" t="shared" si="30"/>
        <v>0</v>
      </c>
      <c r="BK71" s="12">
        <f ca="1" t="shared" si="31"/>
        <v>0</v>
      </c>
      <c r="BL71" s="12">
        <f ca="1" t="shared" si="32"/>
        <v>0</v>
      </c>
      <c r="BM71" s="12">
        <f ca="1" t="shared" si="33"/>
        <v>0</v>
      </c>
      <c r="BN71" s="12">
        <f ca="1" t="shared" si="34"/>
        <v>0</v>
      </c>
      <c r="BO71" s="12">
        <f ca="1" t="shared" si="35"/>
        <v>0</v>
      </c>
    </row>
    <row r="72" spans="1:67">
      <c r="A72" s="3">
        <v>42</v>
      </c>
      <c r="B72" s="11">
        <f ca="1" t="shared" si="1"/>
        <v>0.553617523437779</v>
      </c>
      <c r="C72" s="12">
        <f ca="1" t="shared" si="2"/>
        <v>65.051678906254</v>
      </c>
      <c r="D72" s="11">
        <f ca="1" t="shared" ref="D72:S72" si="76">RAND()</f>
        <v>0.482464664464533</v>
      </c>
      <c r="E72" s="11">
        <f ca="1" t="shared" si="76"/>
        <v>0.446082608208596</v>
      </c>
      <c r="F72" s="11">
        <f ca="1" t="shared" si="76"/>
        <v>0.300610034408808</v>
      </c>
      <c r="G72" s="11">
        <f ca="1" t="shared" si="76"/>
        <v>0.102703110344011</v>
      </c>
      <c r="H72" s="11">
        <f ca="1" t="shared" si="76"/>
        <v>0.531030337172932</v>
      </c>
      <c r="I72" s="11">
        <f ca="1" t="shared" si="76"/>
        <v>0.777905164673277</v>
      </c>
      <c r="J72" s="11">
        <f ca="1" t="shared" si="76"/>
        <v>0.287409316715261</v>
      </c>
      <c r="K72" s="11">
        <f ca="1" t="shared" si="76"/>
        <v>0.785045189985841</v>
      </c>
      <c r="L72" s="11">
        <f ca="1" t="shared" si="76"/>
        <v>0.0841859421250324</v>
      </c>
      <c r="M72" s="11">
        <f ca="1" t="shared" si="76"/>
        <v>0.870898702274401</v>
      </c>
      <c r="N72" s="11">
        <f ca="1" t="shared" si="76"/>
        <v>0.0335859101024605</v>
      </c>
      <c r="O72" s="11">
        <f ca="1" t="shared" si="76"/>
        <v>0.864479181334979</v>
      </c>
      <c r="P72" s="11">
        <f ca="1" t="shared" si="76"/>
        <v>0.958507260023687</v>
      </c>
      <c r="Q72" s="11">
        <f ca="1" t="shared" si="76"/>
        <v>0.510404597091115</v>
      </c>
      <c r="R72" s="11">
        <f ca="1" t="shared" si="76"/>
        <v>0.125926910034947</v>
      </c>
      <c r="S72" s="11">
        <f ca="1" t="shared" si="76"/>
        <v>0.28460128755185</v>
      </c>
      <c r="T72" s="12">
        <f ca="1" t="shared" si="4"/>
        <v>4.72808083058067</v>
      </c>
      <c r="U72" s="12">
        <f ca="1" t="shared" si="5"/>
        <v>4.68260326026075</v>
      </c>
      <c r="V72" s="12">
        <f ca="1" t="shared" si="6"/>
        <v>4.50076254301101</v>
      </c>
      <c r="W72" s="12">
        <f ca="1" t="shared" si="7"/>
        <v>4.17117185057335</v>
      </c>
      <c r="X72" s="12">
        <f ca="1" t="shared" si="8"/>
        <v>4.78878792146616</v>
      </c>
      <c r="Y72" s="12">
        <f ca="1" t="shared" si="9"/>
        <v>5.19476291168319</v>
      </c>
      <c r="Z72" s="12">
        <f ca="1" t="shared" si="10"/>
        <v>4.47901552785877</v>
      </c>
      <c r="AA72" s="12">
        <f ca="1" t="shared" si="11"/>
        <v>5.2126129749646</v>
      </c>
      <c r="AB72" s="12">
        <f ca="1" t="shared" si="12"/>
        <v>4.14030990354172</v>
      </c>
      <c r="AC72" s="12">
        <f ca="1" t="shared" si="13"/>
        <v>5.427246755686</v>
      </c>
      <c r="AD72" s="12">
        <f ca="1" t="shared" si="14"/>
        <v>4.05597651683743</v>
      </c>
      <c r="AE72" s="12">
        <f ca="1" t="shared" si="15"/>
        <v>5.41119795333745</v>
      </c>
      <c r="AF72" s="12">
        <f ca="1" t="shared" si="16"/>
        <v>5.79253630011844</v>
      </c>
      <c r="AG72" s="12">
        <f ca="1" t="shared" si="17"/>
        <v>4.76300574636389</v>
      </c>
      <c r="AH72" s="12">
        <f ca="1" t="shared" si="18"/>
        <v>4.20987818339158</v>
      </c>
      <c r="AI72" s="12">
        <f ca="1" t="shared" si="19"/>
        <v>4.47433547925308</v>
      </c>
      <c r="AJ72" s="12">
        <f ca="1">SUM($T72:T72)</f>
        <v>4.72808083058067</v>
      </c>
      <c r="AK72" s="12">
        <f ca="1">SUM($T72:U72)</f>
        <v>9.41068409084141</v>
      </c>
      <c r="AL72" s="12">
        <f ca="1">SUM($T72:V72)</f>
        <v>13.9114466338524</v>
      </c>
      <c r="AM72" s="12">
        <f ca="1">SUM($T72:W72)</f>
        <v>18.0826184844258</v>
      </c>
      <c r="AN72" s="12">
        <f ca="1">SUM($T72:X72)</f>
        <v>22.8714064058919</v>
      </c>
      <c r="AO72" s="12">
        <f ca="1">SUM($T72:Y72)</f>
        <v>28.0661693175751</v>
      </c>
      <c r="AP72" s="12">
        <f ca="1">SUM($T72:Z72)</f>
        <v>32.5451848454339</v>
      </c>
      <c r="AQ72" s="12">
        <f ca="1">SUM($T72:AA72)</f>
        <v>37.7577978203985</v>
      </c>
      <c r="AR72" s="12">
        <f ca="1">SUM($T72:AB72)</f>
        <v>41.8981077239402</v>
      </c>
      <c r="AS72" s="12">
        <f ca="1">SUM($T72:AC72)</f>
        <v>47.3253544796262</v>
      </c>
      <c r="AT72" s="12">
        <f ca="1">SUM($T72:AD72)</f>
        <v>51.3813309964637</v>
      </c>
      <c r="AU72" s="12">
        <f ca="1">SUM($T72:AE72)</f>
        <v>56.7925289498011</v>
      </c>
      <c r="AV72" s="12">
        <f ca="1">SUM($T72:AF72)</f>
        <v>62.5850652499195</v>
      </c>
      <c r="AW72" s="12">
        <f ca="1">SUM($T72:AG72)</f>
        <v>67.3480709962834</v>
      </c>
      <c r="AX72" s="12">
        <f ca="1">SUM($T72:AH72)</f>
        <v>71.557949179675</v>
      </c>
      <c r="AY72" s="12">
        <f ca="1">SUM($T72:AI72)</f>
        <v>76.0322846589281</v>
      </c>
      <c r="AZ72" s="12">
        <f ca="1" t="shared" si="20"/>
        <v>60.3235980756733</v>
      </c>
      <c r="BA72" s="12">
        <f ca="1" t="shared" si="21"/>
        <v>55.6409948154126</v>
      </c>
      <c r="BB72" s="12">
        <f ca="1" t="shared" si="22"/>
        <v>51.1402322724016</v>
      </c>
      <c r="BC72" s="12">
        <f ca="1" t="shared" si="23"/>
        <v>46.9690604218282</v>
      </c>
      <c r="BD72" s="12">
        <f ca="1" t="shared" si="24"/>
        <v>42.180272500362</v>
      </c>
      <c r="BE72" s="12">
        <f ca="1" t="shared" si="25"/>
        <v>36.9855095886789</v>
      </c>
      <c r="BF72" s="12">
        <f ca="1" t="shared" si="26"/>
        <v>32.5064940608201</v>
      </c>
      <c r="BG72" s="12">
        <f ca="1" t="shared" si="27"/>
        <v>27.2938810858555</v>
      </c>
      <c r="BH72" s="12">
        <f ca="1" t="shared" si="28"/>
        <v>23.1535711823138</v>
      </c>
      <c r="BI72" s="12">
        <f ca="1" t="shared" si="29"/>
        <v>17.7263244266278</v>
      </c>
      <c r="BJ72" s="12">
        <f ca="1" t="shared" si="30"/>
        <v>13.6703479097903</v>
      </c>
      <c r="BK72" s="12">
        <f ca="1" t="shared" si="31"/>
        <v>8.25914995645287</v>
      </c>
      <c r="BL72" s="12">
        <f ca="1" t="shared" si="32"/>
        <v>2.46661365633444</v>
      </c>
      <c r="BM72" s="12">
        <f ca="1" t="shared" si="33"/>
        <v>0</v>
      </c>
      <c r="BN72" s="12">
        <f ca="1" t="shared" si="34"/>
        <v>0</v>
      </c>
      <c r="BO72" s="12">
        <f ca="1" t="shared" si="35"/>
        <v>0</v>
      </c>
    </row>
    <row r="73" spans="1:67">
      <c r="A73" s="3">
        <v>43</v>
      </c>
      <c r="B73" s="11">
        <f ca="1" t="shared" si="1"/>
        <v>0.433263351138634</v>
      </c>
      <c r="C73" s="12">
        <f ca="1" t="shared" si="2"/>
        <v>63.0543891856439</v>
      </c>
      <c r="D73" s="11">
        <f ca="1" t="shared" ref="D73:S73" si="77">RAND()</f>
        <v>0.580664174562751</v>
      </c>
      <c r="E73" s="11">
        <f ca="1" t="shared" si="77"/>
        <v>0.310709896365421</v>
      </c>
      <c r="F73" s="11">
        <f ca="1" t="shared" si="77"/>
        <v>0.122610640031562</v>
      </c>
      <c r="G73" s="11">
        <f ca="1" t="shared" si="77"/>
        <v>0.731292240728735</v>
      </c>
      <c r="H73" s="11">
        <f ca="1" t="shared" si="77"/>
        <v>0.440250326735503</v>
      </c>
      <c r="I73" s="11">
        <f ca="1" t="shared" si="77"/>
        <v>0.792999345789826</v>
      </c>
      <c r="J73" s="11">
        <f ca="1" t="shared" si="77"/>
        <v>0.0132450529440153</v>
      </c>
      <c r="K73" s="11">
        <f ca="1" t="shared" si="77"/>
        <v>0.840423750574206</v>
      </c>
      <c r="L73" s="11">
        <f ca="1" t="shared" si="77"/>
        <v>0.151448341625631</v>
      </c>
      <c r="M73" s="11">
        <f ca="1" t="shared" si="77"/>
        <v>0.89646273351761</v>
      </c>
      <c r="N73" s="11">
        <f ca="1" t="shared" si="77"/>
        <v>0.68426314814401</v>
      </c>
      <c r="O73" s="11">
        <f ca="1" t="shared" si="77"/>
        <v>0.198378828866588</v>
      </c>
      <c r="P73" s="11">
        <f ca="1" t="shared" si="77"/>
        <v>0.86914604143679</v>
      </c>
      <c r="Q73" s="11">
        <f ca="1" t="shared" si="77"/>
        <v>0.427369944285622</v>
      </c>
      <c r="R73" s="11">
        <f ca="1" t="shared" si="77"/>
        <v>0.67322179295053</v>
      </c>
      <c r="S73" s="11">
        <f ca="1" t="shared" si="77"/>
        <v>0.909564858406782</v>
      </c>
      <c r="T73" s="12">
        <f ca="1" t="shared" si="4"/>
        <v>4.85083021820344</v>
      </c>
      <c r="U73" s="12">
        <f ca="1" t="shared" si="5"/>
        <v>4.51338737045678</v>
      </c>
      <c r="V73" s="12">
        <f ca="1" t="shared" si="6"/>
        <v>4.20435106671927</v>
      </c>
      <c r="W73" s="12">
        <f ca="1" t="shared" si="7"/>
        <v>5.07823060182184</v>
      </c>
      <c r="X73" s="12">
        <f ca="1" t="shared" si="8"/>
        <v>4.67531290841938</v>
      </c>
      <c r="Y73" s="12">
        <f ca="1" t="shared" si="9"/>
        <v>5.23249836447456</v>
      </c>
      <c r="Z73" s="12">
        <f ca="1" t="shared" si="10"/>
        <v>4.02207508824003</v>
      </c>
      <c r="AA73" s="12">
        <f ca="1" t="shared" si="11"/>
        <v>5.35105937643551</v>
      </c>
      <c r="AB73" s="12">
        <f ca="1" t="shared" si="12"/>
        <v>4.25241390270939</v>
      </c>
      <c r="AC73" s="12">
        <f ca="1" t="shared" si="13"/>
        <v>5.49115683379403</v>
      </c>
      <c r="AD73" s="12">
        <f ca="1" t="shared" si="14"/>
        <v>4.98032893518001</v>
      </c>
      <c r="AE73" s="12">
        <f ca="1" t="shared" si="15"/>
        <v>4.33063138144431</v>
      </c>
      <c r="AF73" s="12">
        <f ca="1" t="shared" si="16"/>
        <v>5.42286510359197</v>
      </c>
      <c r="AG73" s="12">
        <f ca="1" t="shared" si="17"/>
        <v>4.65921243035703</v>
      </c>
      <c r="AH73" s="12">
        <f ca="1" t="shared" si="18"/>
        <v>4.96652724118816</v>
      </c>
      <c r="AI73" s="12">
        <f ca="1" t="shared" si="19"/>
        <v>5.54782429203391</v>
      </c>
      <c r="AJ73" s="12">
        <f ca="1">SUM($T73:T73)</f>
        <v>4.85083021820344</v>
      </c>
      <c r="AK73" s="12">
        <f ca="1">SUM($T73:U73)</f>
        <v>9.36421758866021</v>
      </c>
      <c r="AL73" s="12">
        <f ca="1">SUM($T73:V73)</f>
        <v>13.5685686553795</v>
      </c>
      <c r="AM73" s="12">
        <f ca="1">SUM($T73:W73)</f>
        <v>18.6467992572013</v>
      </c>
      <c r="AN73" s="12">
        <f ca="1">SUM($T73:X73)</f>
        <v>23.3221121656207</v>
      </c>
      <c r="AO73" s="12">
        <f ca="1">SUM($T73:Y73)</f>
        <v>28.5546105300953</v>
      </c>
      <c r="AP73" s="12">
        <f ca="1">SUM($T73:Z73)</f>
        <v>32.5766856183353</v>
      </c>
      <c r="AQ73" s="12">
        <f ca="1">SUM($T73:AA73)</f>
        <v>37.9277449947708</v>
      </c>
      <c r="AR73" s="12">
        <f ca="1">SUM($T73:AB73)</f>
        <v>42.1801588974802</v>
      </c>
      <c r="AS73" s="12">
        <f ca="1">SUM($T73:AC73)</f>
        <v>47.6713157312742</v>
      </c>
      <c r="AT73" s="12">
        <f ca="1">SUM($T73:AD73)</f>
        <v>52.6516446664542</v>
      </c>
      <c r="AU73" s="12">
        <f ca="1">SUM($T73:AE73)</f>
        <v>56.9822760478985</v>
      </c>
      <c r="AV73" s="12">
        <f ca="1">SUM($T73:AF73)</f>
        <v>62.4051411514905</v>
      </c>
      <c r="AW73" s="12">
        <f ca="1">SUM($T73:AG73)</f>
        <v>67.0643535818475</v>
      </c>
      <c r="AX73" s="12">
        <f ca="1">SUM($T73:AH73)</f>
        <v>72.0308808230357</v>
      </c>
      <c r="AY73" s="12">
        <f ca="1">SUM($T73:AI73)</f>
        <v>77.5787051150696</v>
      </c>
      <c r="AZ73" s="12">
        <f ca="1" t="shared" si="20"/>
        <v>58.2035589674405</v>
      </c>
      <c r="BA73" s="12">
        <f ca="1" t="shared" si="21"/>
        <v>53.6901715969837</v>
      </c>
      <c r="BB73" s="12">
        <f ca="1" t="shared" si="22"/>
        <v>49.4858205302644</v>
      </c>
      <c r="BC73" s="12">
        <f ca="1" t="shared" si="23"/>
        <v>44.4075899284426</v>
      </c>
      <c r="BD73" s="12">
        <f ca="1" t="shared" si="24"/>
        <v>39.7322770200232</v>
      </c>
      <c r="BE73" s="12">
        <f ca="1" t="shared" si="25"/>
        <v>34.4997786555486</v>
      </c>
      <c r="BF73" s="12">
        <f ca="1" t="shared" si="26"/>
        <v>30.4777035673086</v>
      </c>
      <c r="BG73" s="12">
        <f ca="1" t="shared" si="27"/>
        <v>25.1266441908731</v>
      </c>
      <c r="BH73" s="12">
        <f ca="1" t="shared" si="28"/>
        <v>20.8742302881637</v>
      </c>
      <c r="BI73" s="12">
        <f ca="1" t="shared" si="29"/>
        <v>15.3830734543697</v>
      </c>
      <c r="BJ73" s="12">
        <f ca="1" t="shared" si="30"/>
        <v>10.4027445191897</v>
      </c>
      <c r="BK73" s="12">
        <f ca="1" t="shared" si="31"/>
        <v>6.07211313774536</v>
      </c>
      <c r="BL73" s="12">
        <f ca="1" t="shared" si="32"/>
        <v>0.649248034153388</v>
      </c>
      <c r="BM73" s="12">
        <f ca="1" t="shared" si="33"/>
        <v>0</v>
      </c>
      <c r="BN73" s="12">
        <f ca="1" t="shared" si="34"/>
        <v>0</v>
      </c>
      <c r="BO73" s="12">
        <f ca="1" t="shared" si="35"/>
        <v>0</v>
      </c>
    </row>
    <row r="74" spans="1:67">
      <c r="A74" s="3">
        <v>44</v>
      </c>
      <c r="B74" s="11">
        <f ca="1" t="shared" si="1"/>
        <v>0.344979702340029</v>
      </c>
      <c r="C74" s="12">
        <f ca="1" t="shared" si="2"/>
        <v>61.5829950390005</v>
      </c>
      <c r="D74" s="11">
        <f ca="1" t="shared" ref="D74:S74" si="78">RAND()</f>
        <v>0.135389573865366</v>
      </c>
      <c r="E74" s="11">
        <f ca="1" t="shared" si="78"/>
        <v>0.621462339052129</v>
      </c>
      <c r="F74" s="11">
        <f ca="1" t="shared" si="78"/>
        <v>0.730941293469946</v>
      </c>
      <c r="G74" s="11">
        <f ca="1" t="shared" si="78"/>
        <v>0.635647899700338</v>
      </c>
      <c r="H74" s="11">
        <f ca="1" t="shared" si="78"/>
        <v>0.442077505366527</v>
      </c>
      <c r="I74" s="11">
        <f ca="1" t="shared" si="78"/>
        <v>0.975104404218144</v>
      </c>
      <c r="J74" s="11">
        <f ca="1" t="shared" si="78"/>
        <v>0.957009209322268</v>
      </c>
      <c r="K74" s="11">
        <f ca="1" t="shared" si="78"/>
        <v>0.873143773327823</v>
      </c>
      <c r="L74" s="11">
        <f ca="1" t="shared" si="78"/>
        <v>0.768806363659216</v>
      </c>
      <c r="M74" s="11">
        <f ca="1" t="shared" si="78"/>
        <v>0.622577540077256</v>
      </c>
      <c r="N74" s="11">
        <f ca="1" t="shared" si="78"/>
        <v>0.36486675001263</v>
      </c>
      <c r="O74" s="11">
        <f ca="1" t="shared" si="78"/>
        <v>0.720125812460928</v>
      </c>
      <c r="P74" s="11">
        <f ca="1" t="shared" si="78"/>
        <v>0.151452355263949</v>
      </c>
      <c r="Q74" s="11">
        <f ca="1" t="shared" si="78"/>
        <v>0.936935024467216</v>
      </c>
      <c r="R74" s="11">
        <f ca="1" t="shared" si="78"/>
        <v>0.269678643825159</v>
      </c>
      <c r="S74" s="11">
        <f ca="1" t="shared" si="78"/>
        <v>0.605896079352023</v>
      </c>
      <c r="T74" s="12">
        <f ca="1" t="shared" si="4"/>
        <v>4.22564928977561</v>
      </c>
      <c r="U74" s="12">
        <f ca="1" t="shared" si="5"/>
        <v>4.90182792381516</v>
      </c>
      <c r="V74" s="12">
        <f ca="1" t="shared" si="6"/>
        <v>5.07735323367486</v>
      </c>
      <c r="W74" s="12">
        <f ca="1" t="shared" si="7"/>
        <v>4.91955987462542</v>
      </c>
      <c r="X74" s="12">
        <f ca="1" t="shared" si="8"/>
        <v>4.67759688170816</v>
      </c>
      <c r="Y74" s="12">
        <f ca="1" t="shared" si="9"/>
        <v>5.87552202109072</v>
      </c>
      <c r="Z74" s="12">
        <f ca="1" t="shared" si="10"/>
        <v>5.78504604661134</v>
      </c>
      <c r="AA74" s="12">
        <f ca="1" t="shared" si="11"/>
        <v>5.43285943331956</v>
      </c>
      <c r="AB74" s="12">
        <f ca="1" t="shared" si="12"/>
        <v>5.17201590914804</v>
      </c>
      <c r="AC74" s="12">
        <f ca="1" t="shared" si="13"/>
        <v>4.90322192509657</v>
      </c>
      <c r="AD74" s="12">
        <f ca="1" t="shared" si="14"/>
        <v>4.58108343751579</v>
      </c>
      <c r="AE74" s="12">
        <f ca="1" t="shared" si="15"/>
        <v>5.05031453115232</v>
      </c>
      <c r="AF74" s="12">
        <f ca="1" t="shared" si="16"/>
        <v>4.25242059210658</v>
      </c>
      <c r="AG74" s="12">
        <f ca="1" t="shared" si="17"/>
        <v>5.68467512233608</v>
      </c>
      <c r="AH74" s="12">
        <f ca="1" t="shared" si="18"/>
        <v>4.44946440637526</v>
      </c>
      <c r="AI74" s="12">
        <f ca="1" t="shared" si="19"/>
        <v>4.88237009919003</v>
      </c>
      <c r="AJ74" s="12">
        <f ca="1">SUM($T74:T74)</f>
        <v>4.22564928977561</v>
      </c>
      <c r="AK74" s="12">
        <f ca="1">SUM($T74:U74)</f>
        <v>9.12747721359077</v>
      </c>
      <c r="AL74" s="12">
        <f ca="1">SUM($T74:V74)</f>
        <v>14.2048304472656</v>
      </c>
      <c r="AM74" s="12">
        <f ca="1">SUM($T74:W74)</f>
        <v>19.1243903218911</v>
      </c>
      <c r="AN74" s="12">
        <f ca="1">SUM($T74:X74)</f>
        <v>23.8019872035992</v>
      </c>
      <c r="AO74" s="12">
        <f ca="1">SUM($T74:Y74)</f>
        <v>29.6775092246899</v>
      </c>
      <c r="AP74" s="12">
        <f ca="1">SUM($T74:Z74)</f>
        <v>35.4625552713013</v>
      </c>
      <c r="AQ74" s="12">
        <f ca="1">SUM($T74:AA74)</f>
        <v>40.8954147046208</v>
      </c>
      <c r="AR74" s="12">
        <f ca="1">SUM($T74:AB74)</f>
        <v>46.0674306137689</v>
      </c>
      <c r="AS74" s="12">
        <f ca="1">SUM($T74:AC74)</f>
        <v>50.9706525388655</v>
      </c>
      <c r="AT74" s="12">
        <f ca="1">SUM($T74:AD74)</f>
        <v>55.5517359763812</v>
      </c>
      <c r="AU74" s="12">
        <f ca="1">SUM($T74:AE74)</f>
        <v>60.6020505075336</v>
      </c>
      <c r="AV74" s="12">
        <f ca="1">SUM($T74:AF74)</f>
        <v>64.8544710996401</v>
      </c>
      <c r="AW74" s="12">
        <f ca="1">SUM($T74:AG74)</f>
        <v>70.5391462219762</v>
      </c>
      <c r="AX74" s="12">
        <f ca="1">SUM($T74:AH74)</f>
        <v>74.9886106283515</v>
      </c>
      <c r="AY74" s="12">
        <f ca="1">SUM($T74:AI74)</f>
        <v>79.8709807275415</v>
      </c>
      <c r="AZ74" s="12">
        <f ca="1" t="shared" si="20"/>
        <v>57.3573457492249</v>
      </c>
      <c r="BA74" s="12">
        <f ca="1" t="shared" si="21"/>
        <v>52.4555178254097</v>
      </c>
      <c r="BB74" s="12">
        <f ca="1" t="shared" si="22"/>
        <v>47.3781645917348</v>
      </c>
      <c r="BC74" s="12">
        <f ca="1" t="shared" si="23"/>
        <v>42.4586047171094</v>
      </c>
      <c r="BD74" s="12">
        <f ca="1" t="shared" si="24"/>
        <v>37.7810078354013</v>
      </c>
      <c r="BE74" s="12">
        <f ca="1" t="shared" si="25"/>
        <v>31.9054858143105</v>
      </c>
      <c r="BF74" s="12">
        <f ca="1" t="shared" si="26"/>
        <v>26.1204397676992</v>
      </c>
      <c r="BG74" s="12">
        <f ca="1" t="shared" si="27"/>
        <v>20.6875803343796</v>
      </c>
      <c r="BH74" s="12">
        <f ca="1" t="shared" si="28"/>
        <v>15.5155644252316</v>
      </c>
      <c r="BI74" s="12">
        <f ca="1" t="shared" si="29"/>
        <v>10.612342500135</v>
      </c>
      <c r="BJ74" s="12">
        <f ca="1" t="shared" si="30"/>
        <v>6.03125906261923</v>
      </c>
      <c r="BK74" s="12">
        <f ca="1" t="shared" si="31"/>
        <v>0.980944531466911</v>
      </c>
      <c r="BL74" s="12">
        <f ca="1" t="shared" si="32"/>
        <v>0</v>
      </c>
      <c r="BM74" s="12">
        <f ca="1" t="shared" si="33"/>
        <v>0</v>
      </c>
      <c r="BN74" s="12">
        <f ca="1" t="shared" si="34"/>
        <v>0</v>
      </c>
      <c r="BO74" s="12">
        <f ca="1" t="shared" si="35"/>
        <v>0</v>
      </c>
    </row>
    <row r="75" spans="1:67">
      <c r="A75" s="3">
        <v>45</v>
      </c>
      <c r="B75" s="11">
        <f ca="1" t="shared" si="1"/>
        <v>0.885624448376888</v>
      </c>
      <c r="C75" s="12">
        <f ca="1" t="shared" si="2"/>
        <v>69.7946349768127</v>
      </c>
      <c r="D75" s="11">
        <f ca="1" t="shared" ref="D75:S75" si="79">RAND()</f>
        <v>0.0969310194265947</v>
      </c>
      <c r="E75" s="11">
        <f ca="1" t="shared" si="79"/>
        <v>0.0265795699196387</v>
      </c>
      <c r="F75" s="11">
        <f ca="1" t="shared" si="79"/>
        <v>0.79527598875617</v>
      </c>
      <c r="G75" s="11">
        <f ca="1" t="shared" si="79"/>
        <v>0.56697010457396</v>
      </c>
      <c r="H75" s="11">
        <f ca="1" t="shared" si="79"/>
        <v>0.66155253755179</v>
      </c>
      <c r="I75" s="11">
        <f ca="1" t="shared" si="79"/>
        <v>0.193839701652363</v>
      </c>
      <c r="J75" s="11">
        <f ca="1" t="shared" si="79"/>
        <v>0.355823281677132</v>
      </c>
      <c r="K75" s="11">
        <f ca="1" t="shared" si="79"/>
        <v>0.478486237049742</v>
      </c>
      <c r="L75" s="11">
        <f ca="1" t="shared" si="79"/>
        <v>0.00298208239591946</v>
      </c>
      <c r="M75" s="11">
        <f ca="1" t="shared" si="79"/>
        <v>0.896122148837714</v>
      </c>
      <c r="N75" s="11">
        <f ca="1" t="shared" si="79"/>
        <v>0.289772650742552</v>
      </c>
      <c r="O75" s="11">
        <f ca="1" t="shared" si="79"/>
        <v>0.55098045992015</v>
      </c>
      <c r="P75" s="11">
        <f ca="1" t="shared" si="79"/>
        <v>0.186067831339615</v>
      </c>
      <c r="Q75" s="11">
        <f ca="1" t="shared" si="79"/>
        <v>0.855478606020566</v>
      </c>
      <c r="R75" s="11">
        <f ca="1" t="shared" si="79"/>
        <v>0.697405505774879</v>
      </c>
      <c r="S75" s="11">
        <f ca="1" t="shared" si="79"/>
        <v>0.859711587410958</v>
      </c>
      <c r="T75" s="12">
        <f ca="1" t="shared" si="4"/>
        <v>4.16155169904432</v>
      </c>
      <c r="U75" s="12">
        <f ca="1" t="shared" si="5"/>
        <v>4.0442992831994</v>
      </c>
      <c r="V75" s="12">
        <f ca="1" t="shared" si="6"/>
        <v>5.23818997189042</v>
      </c>
      <c r="W75" s="12">
        <f ca="1" t="shared" si="7"/>
        <v>4.83371263071745</v>
      </c>
      <c r="X75" s="12">
        <f ca="1" t="shared" si="8"/>
        <v>4.95194067193974</v>
      </c>
      <c r="Y75" s="12">
        <f ca="1" t="shared" si="9"/>
        <v>4.3230661694206</v>
      </c>
      <c r="Z75" s="12">
        <f ca="1" t="shared" si="10"/>
        <v>4.56977910209641</v>
      </c>
      <c r="AA75" s="12">
        <f ca="1" t="shared" si="11"/>
        <v>4.72310779631218</v>
      </c>
      <c r="AB75" s="12">
        <f ca="1" t="shared" si="12"/>
        <v>4.00497013732653</v>
      </c>
      <c r="AC75" s="12">
        <f ca="1" t="shared" si="13"/>
        <v>5.49030537209428</v>
      </c>
      <c r="AD75" s="12">
        <f ca="1" t="shared" si="14"/>
        <v>4.48295441790425</v>
      </c>
      <c r="AE75" s="12">
        <f ca="1" t="shared" si="15"/>
        <v>4.81372557490019</v>
      </c>
      <c r="AF75" s="12">
        <f ca="1" t="shared" si="16"/>
        <v>4.31011305223269</v>
      </c>
      <c r="AG75" s="12">
        <f ca="1" t="shared" si="17"/>
        <v>5.38869651505142</v>
      </c>
      <c r="AH75" s="12">
        <f ca="1" t="shared" si="18"/>
        <v>4.9967568822186</v>
      </c>
      <c r="AI75" s="12">
        <f ca="1" t="shared" si="19"/>
        <v>5.39927896852739</v>
      </c>
      <c r="AJ75" s="12">
        <f ca="1">SUM($T75:T75)</f>
        <v>4.16155169904432</v>
      </c>
      <c r="AK75" s="12">
        <f ca="1">SUM($T75:U75)</f>
        <v>8.20585098224372</v>
      </c>
      <c r="AL75" s="12">
        <f ca="1">SUM($T75:V75)</f>
        <v>13.4440409541341</v>
      </c>
      <c r="AM75" s="12">
        <f ca="1">SUM($T75:W75)</f>
        <v>18.2777535848516</v>
      </c>
      <c r="AN75" s="12">
        <f ca="1">SUM($T75:X75)</f>
        <v>23.2296942567913</v>
      </c>
      <c r="AO75" s="12">
        <f ca="1">SUM($T75:Y75)</f>
        <v>27.5527604262119</v>
      </c>
      <c r="AP75" s="12">
        <f ca="1">SUM($T75:Z75)</f>
        <v>32.1225395283084</v>
      </c>
      <c r="AQ75" s="12">
        <f ca="1">SUM($T75:AA75)</f>
        <v>36.8456473246205</v>
      </c>
      <c r="AR75" s="12">
        <f ca="1">SUM($T75:AB75)</f>
        <v>40.8506174619471</v>
      </c>
      <c r="AS75" s="12">
        <f ca="1">SUM($T75:AC75)</f>
        <v>46.3409228340413</v>
      </c>
      <c r="AT75" s="12">
        <f ca="1">SUM($T75:AD75)</f>
        <v>50.8238772519456</v>
      </c>
      <c r="AU75" s="12">
        <f ca="1">SUM($T75:AE75)</f>
        <v>55.6376028268458</v>
      </c>
      <c r="AV75" s="12">
        <f ca="1">SUM($T75:AF75)</f>
        <v>59.9477158790785</v>
      </c>
      <c r="AW75" s="12">
        <f ca="1">SUM($T75:AG75)</f>
        <v>65.3364123941299</v>
      </c>
      <c r="AX75" s="12">
        <f ca="1">SUM($T75:AH75)</f>
        <v>70.3331692763485</v>
      </c>
      <c r="AY75" s="12">
        <f ca="1">SUM($T75:AI75)</f>
        <v>75.7324482448759</v>
      </c>
      <c r="AZ75" s="12">
        <f ca="1" t="shared" si="20"/>
        <v>65.6330832777684</v>
      </c>
      <c r="BA75" s="12">
        <f ca="1" t="shared" si="21"/>
        <v>61.588783994569</v>
      </c>
      <c r="BB75" s="12">
        <f ca="1" t="shared" si="22"/>
        <v>56.3505940226785</v>
      </c>
      <c r="BC75" s="12">
        <f ca="1" t="shared" si="23"/>
        <v>51.5168813919611</v>
      </c>
      <c r="BD75" s="12">
        <f ca="1" t="shared" si="24"/>
        <v>46.5649407200214</v>
      </c>
      <c r="BE75" s="12">
        <f ca="1" t="shared" si="25"/>
        <v>42.2418745506007</v>
      </c>
      <c r="BF75" s="12">
        <f ca="1" t="shared" si="26"/>
        <v>37.6720954485043</v>
      </c>
      <c r="BG75" s="12">
        <f ca="1" t="shared" si="27"/>
        <v>32.9489876521922</v>
      </c>
      <c r="BH75" s="12">
        <f ca="1" t="shared" si="28"/>
        <v>28.9440175148656</v>
      </c>
      <c r="BI75" s="12">
        <f ca="1" t="shared" si="29"/>
        <v>23.4537121427713</v>
      </c>
      <c r="BJ75" s="12">
        <f ca="1" t="shared" si="30"/>
        <v>18.9707577248671</v>
      </c>
      <c r="BK75" s="12">
        <f ca="1" t="shared" si="31"/>
        <v>14.1570321499669</v>
      </c>
      <c r="BL75" s="12">
        <f ca="1" t="shared" si="32"/>
        <v>9.84691909773421</v>
      </c>
      <c r="BM75" s="12">
        <f ca="1" t="shared" si="33"/>
        <v>4.45822258268279</v>
      </c>
      <c r="BN75" s="12">
        <f ca="1" t="shared" si="34"/>
        <v>0</v>
      </c>
      <c r="BO75" s="12">
        <f ca="1" t="shared" si="35"/>
        <v>0</v>
      </c>
    </row>
    <row r="76" spans="1:67">
      <c r="A76" s="3">
        <v>46</v>
      </c>
      <c r="B76" s="11">
        <f ca="1" t="shared" si="1"/>
        <v>0.906255076124558</v>
      </c>
      <c r="C76" s="12">
        <f ca="1" t="shared" si="2"/>
        <v>75.3909422577849</v>
      </c>
      <c r="D76" s="11">
        <f ca="1" t="shared" ref="D76:S76" si="80">RAND()</f>
        <v>0.234561583247675</v>
      </c>
      <c r="E76" s="11">
        <f ca="1" t="shared" si="80"/>
        <v>0.530408275897132</v>
      </c>
      <c r="F76" s="11">
        <f ca="1" t="shared" si="80"/>
        <v>0.607440706902462</v>
      </c>
      <c r="G76" s="11">
        <f ca="1" t="shared" si="80"/>
        <v>0.330061827377607</v>
      </c>
      <c r="H76" s="11">
        <f ca="1" t="shared" si="80"/>
        <v>0.962854960151834</v>
      </c>
      <c r="I76" s="11">
        <f ca="1" t="shared" si="80"/>
        <v>0.257577118529917</v>
      </c>
      <c r="J76" s="11">
        <f ca="1" t="shared" si="80"/>
        <v>0.493889516058084</v>
      </c>
      <c r="K76" s="11">
        <f ca="1" t="shared" si="80"/>
        <v>0.460513830777524</v>
      </c>
      <c r="L76" s="11">
        <f ca="1" t="shared" si="80"/>
        <v>0.315603465972501</v>
      </c>
      <c r="M76" s="11">
        <f ca="1" t="shared" si="80"/>
        <v>0.283339105275536</v>
      </c>
      <c r="N76" s="11">
        <f ca="1" t="shared" si="80"/>
        <v>0.0299673338686326</v>
      </c>
      <c r="O76" s="11">
        <f ca="1" t="shared" si="80"/>
        <v>0.807964418516376</v>
      </c>
      <c r="P76" s="11">
        <f ca="1" t="shared" si="80"/>
        <v>0.433819373579825</v>
      </c>
      <c r="Q76" s="11">
        <f ca="1" t="shared" si="80"/>
        <v>0.0129529520285769</v>
      </c>
      <c r="R76" s="11">
        <f ca="1" t="shared" si="80"/>
        <v>0.42511585514271</v>
      </c>
      <c r="S76" s="11">
        <f ca="1" t="shared" si="80"/>
        <v>0.749970202006932</v>
      </c>
      <c r="T76" s="12">
        <f ca="1" t="shared" si="4"/>
        <v>4.39093597207946</v>
      </c>
      <c r="U76" s="12">
        <f ca="1" t="shared" si="5"/>
        <v>4.78801034487142</v>
      </c>
      <c r="V76" s="12">
        <f ca="1" t="shared" si="6"/>
        <v>4.88430088362808</v>
      </c>
      <c r="W76" s="12">
        <f ca="1" t="shared" si="7"/>
        <v>4.53757728422201</v>
      </c>
      <c r="X76" s="12">
        <f ca="1" t="shared" si="8"/>
        <v>5.81427480075917</v>
      </c>
      <c r="Y76" s="12">
        <f ca="1" t="shared" si="9"/>
        <v>4.42929519754986</v>
      </c>
      <c r="Z76" s="12">
        <f ca="1" t="shared" si="10"/>
        <v>4.74236189507261</v>
      </c>
      <c r="AA76" s="12">
        <f ca="1" t="shared" si="11"/>
        <v>4.70064228847191</v>
      </c>
      <c r="AB76" s="12">
        <f ca="1" t="shared" si="12"/>
        <v>4.51950433246563</v>
      </c>
      <c r="AC76" s="12">
        <f ca="1" t="shared" si="13"/>
        <v>4.47223184212589</v>
      </c>
      <c r="AD76" s="12">
        <f ca="1" t="shared" si="14"/>
        <v>4.04994555644772</v>
      </c>
      <c r="AE76" s="12">
        <f ca="1" t="shared" si="15"/>
        <v>5.26991104629094</v>
      </c>
      <c r="AF76" s="12">
        <f ca="1" t="shared" si="16"/>
        <v>4.66727421697478</v>
      </c>
      <c r="AG76" s="12">
        <f ca="1" t="shared" si="17"/>
        <v>4.02158825338096</v>
      </c>
      <c r="AH76" s="12">
        <f ca="1" t="shared" si="18"/>
        <v>4.65639481892839</v>
      </c>
      <c r="AI76" s="12">
        <f ca="1" t="shared" si="19"/>
        <v>5.12492550501733</v>
      </c>
      <c r="AJ76" s="12">
        <f ca="1">SUM($T76:T76)</f>
        <v>4.39093597207946</v>
      </c>
      <c r="AK76" s="12">
        <f ca="1">SUM($T76:U76)</f>
        <v>9.17894631695087</v>
      </c>
      <c r="AL76" s="12">
        <f ca="1">SUM($T76:V76)</f>
        <v>14.063247200579</v>
      </c>
      <c r="AM76" s="12">
        <f ca="1">SUM($T76:W76)</f>
        <v>18.600824484801</v>
      </c>
      <c r="AN76" s="12">
        <f ca="1">SUM($T76:X76)</f>
        <v>24.4150992855601</v>
      </c>
      <c r="AO76" s="12">
        <f ca="1">SUM($T76:Y76)</f>
        <v>28.84439448311</v>
      </c>
      <c r="AP76" s="12">
        <f ca="1">SUM($T76:Z76)</f>
        <v>33.5867563781826</v>
      </c>
      <c r="AQ76" s="12">
        <f ca="1">SUM($T76:AA76)</f>
        <v>38.2873986666545</v>
      </c>
      <c r="AR76" s="12">
        <f ca="1">SUM($T76:AB76)</f>
        <v>42.8069029991201</v>
      </c>
      <c r="AS76" s="12">
        <f ca="1">SUM($T76:AC76)</f>
        <v>47.279134841246</v>
      </c>
      <c r="AT76" s="12">
        <f ca="1">SUM($T76:AD76)</f>
        <v>51.3290803976937</v>
      </c>
      <c r="AU76" s="12">
        <f ca="1">SUM($T76:AE76)</f>
        <v>56.5989914439847</v>
      </c>
      <c r="AV76" s="12">
        <f ca="1">SUM($T76:AF76)</f>
        <v>61.2662656609595</v>
      </c>
      <c r="AW76" s="12">
        <f ca="1">SUM($T76:AG76)</f>
        <v>65.2878539143404</v>
      </c>
      <c r="AX76" s="12">
        <f ca="1">SUM($T76:AH76)</f>
        <v>69.9442487332688</v>
      </c>
      <c r="AY76" s="12">
        <f ca="1">SUM($T76:AI76)</f>
        <v>75.0691742382862</v>
      </c>
      <c r="AZ76" s="12">
        <f ca="1" t="shared" si="20"/>
        <v>71.0000062857054</v>
      </c>
      <c r="BA76" s="12">
        <f ca="1" t="shared" si="21"/>
        <v>66.211995940834</v>
      </c>
      <c r="BB76" s="12">
        <f ca="1" t="shared" si="22"/>
        <v>61.3276950572059</v>
      </c>
      <c r="BC76" s="12">
        <f ca="1" t="shared" si="23"/>
        <v>56.7901177729839</v>
      </c>
      <c r="BD76" s="12">
        <f ca="1" t="shared" si="24"/>
        <v>50.9758429722247</v>
      </c>
      <c r="BE76" s="12">
        <f ca="1" t="shared" si="25"/>
        <v>46.5465477746749</v>
      </c>
      <c r="BF76" s="12">
        <f ca="1" t="shared" si="26"/>
        <v>41.8041858796023</v>
      </c>
      <c r="BG76" s="12">
        <f ca="1" t="shared" si="27"/>
        <v>37.1035435911304</v>
      </c>
      <c r="BH76" s="12">
        <f ca="1" t="shared" si="28"/>
        <v>32.5840392586647</v>
      </c>
      <c r="BI76" s="12">
        <f ca="1" t="shared" si="29"/>
        <v>28.1118074165388</v>
      </c>
      <c r="BJ76" s="12">
        <f ca="1" t="shared" si="30"/>
        <v>24.0618618600911</v>
      </c>
      <c r="BK76" s="12">
        <f ca="1" t="shared" si="31"/>
        <v>18.7919508138002</v>
      </c>
      <c r="BL76" s="12">
        <f ca="1" t="shared" si="32"/>
        <v>14.1246765968254</v>
      </c>
      <c r="BM76" s="12">
        <f ca="1" t="shared" si="33"/>
        <v>10.1030883434444</v>
      </c>
      <c r="BN76" s="12">
        <f ca="1" t="shared" si="34"/>
        <v>5.44669352451605</v>
      </c>
      <c r="BO76" s="12">
        <f ca="1" t="shared" si="35"/>
        <v>0.32176801949872</v>
      </c>
    </row>
    <row r="77" spans="1:67">
      <c r="A77" s="3">
        <v>47</v>
      </c>
      <c r="B77" s="11">
        <f ca="1" t="shared" si="1"/>
        <v>0.996348110196582</v>
      </c>
      <c r="C77" s="12">
        <f ca="1" t="shared" si="2"/>
        <v>84.0870275491455</v>
      </c>
      <c r="D77" s="11">
        <f ca="1" t="shared" ref="D77:S77" si="81">RAND()</f>
        <v>0.858972354798814</v>
      </c>
      <c r="E77" s="11">
        <f ca="1" t="shared" si="81"/>
        <v>0.182717712015437</v>
      </c>
      <c r="F77" s="11">
        <f ca="1" t="shared" si="81"/>
        <v>0.682073019047916</v>
      </c>
      <c r="G77" s="11">
        <f ca="1" t="shared" si="81"/>
        <v>0.813488615250287</v>
      </c>
      <c r="H77" s="11">
        <f ca="1" t="shared" si="81"/>
        <v>0.0111426947053934</v>
      </c>
      <c r="I77" s="11">
        <f ca="1" t="shared" si="81"/>
        <v>0.685974732915838</v>
      </c>
      <c r="J77" s="11">
        <f ca="1" t="shared" si="81"/>
        <v>0.528914653612918</v>
      </c>
      <c r="K77" s="11">
        <f ca="1" t="shared" si="81"/>
        <v>0.40692114090693</v>
      </c>
      <c r="L77" s="11">
        <f ca="1" t="shared" si="81"/>
        <v>0.917593525936811</v>
      </c>
      <c r="M77" s="11">
        <f ca="1" t="shared" si="81"/>
        <v>0.663756304255633</v>
      </c>
      <c r="N77" s="11">
        <f ca="1" t="shared" si="81"/>
        <v>0.0969339184555085</v>
      </c>
      <c r="O77" s="11">
        <f ca="1" t="shared" si="81"/>
        <v>0.846018647453501</v>
      </c>
      <c r="P77" s="11">
        <f ca="1" t="shared" si="81"/>
        <v>0.491109536849471</v>
      </c>
      <c r="Q77" s="11">
        <f ca="1" t="shared" si="81"/>
        <v>0.231562104359534</v>
      </c>
      <c r="R77" s="11">
        <f ca="1" t="shared" si="81"/>
        <v>0.894178603507537</v>
      </c>
      <c r="S77" s="11">
        <f ca="1" t="shared" si="81"/>
        <v>0.0648999712978375</v>
      </c>
      <c r="T77" s="12">
        <f ca="1" t="shared" si="4"/>
        <v>5.39743088699704</v>
      </c>
      <c r="U77" s="12">
        <f ca="1" t="shared" si="5"/>
        <v>4.30452952002573</v>
      </c>
      <c r="V77" s="12">
        <f ca="1" t="shared" si="6"/>
        <v>4.9775912738099</v>
      </c>
      <c r="W77" s="12">
        <f ca="1" t="shared" si="7"/>
        <v>5.28372153812572</v>
      </c>
      <c r="X77" s="12">
        <f ca="1" t="shared" si="8"/>
        <v>4.01857115784232</v>
      </c>
      <c r="Y77" s="12">
        <f ca="1" t="shared" si="9"/>
        <v>4.9824684161448</v>
      </c>
      <c r="Z77" s="12">
        <f ca="1" t="shared" si="10"/>
        <v>4.78614331701615</v>
      </c>
      <c r="AA77" s="12">
        <f ca="1" t="shared" si="11"/>
        <v>4.63365142613366</v>
      </c>
      <c r="AB77" s="12">
        <f ca="1" t="shared" si="12"/>
        <v>5.58796762968406</v>
      </c>
      <c r="AC77" s="12">
        <f ca="1" t="shared" si="13"/>
        <v>4.95469538031954</v>
      </c>
      <c r="AD77" s="12">
        <f ca="1" t="shared" si="14"/>
        <v>4.16155653075918</v>
      </c>
      <c r="AE77" s="12">
        <f ca="1" t="shared" si="15"/>
        <v>5.36504661863375</v>
      </c>
      <c r="AF77" s="12">
        <f ca="1" t="shared" si="16"/>
        <v>4.73888692106184</v>
      </c>
      <c r="AG77" s="12">
        <f ca="1" t="shared" si="17"/>
        <v>4.38593684059922</v>
      </c>
      <c r="AH77" s="12">
        <f ca="1" t="shared" si="18"/>
        <v>5.48544650876884</v>
      </c>
      <c r="AI77" s="12">
        <f ca="1" t="shared" si="19"/>
        <v>4.10816661882973</v>
      </c>
      <c r="AJ77" s="12">
        <f ca="1">SUM($T77:T77)</f>
        <v>5.39743088699704</v>
      </c>
      <c r="AK77" s="12">
        <f ca="1">SUM($T77:U77)</f>
        <v>9.70196040702276</v>
      </c>
      <c r="AL77" s="12">
        <f ca="1">SUM($T77:V77)</f>
        <v>14.6795516808327</v>
      </c>
      <c r="AM77" s="12">
        <f ca="1">SUM($T77:W77)</f>
        <v>19.9632732189584</v>
      </c>
      <c r="AN77" s="12">
        <f ca="1">SUM($T77:X77)</f>
        <v>23.9818443768007</v>
      </c>
      <c r="AO77" s="12">
        <f ca="1">SUM($T77:Y77)</f>
        <v>28.9643127929455</v>
      </c>
      <c r="AP77" s="12">
        <f ca="1">SUM($T77:Z77)</f>
        <v>33.7504561099616</v>
      </c>
      <c r="AQ77" s="12">
        <f ca="1">SUM($T77:AA77)</f>
        <v>38.3841075360953</v>
      </c>
      <c r="AR77" s="12">
        <f ca="1">SUM($T77:AB77)</f>
        <v>43.9720751657794</v>
      </c>
      <c r="AS77" s="12">
        <f ca="1">SUM($T77:AC77)</f>
        <v>48.9267705460989</v>
      </c>
      <c r="AT77" s="12">
        <f ca="1">SUM($T77:AD77)</f>
        <v>53.0883270768581</v>
      </c>
      <c r="AU77" s="12">
        <f ca="1">SUM($T77:AE77)</f>
        <v>58.4533736954918</v>
      </c>
      <c r="AV77" s="12">
        <f ca="1">SUM($T77:AF77)</f>
        <v>63.1922606165537</v>
      </c>
      <c r="AW77" s="12">
        <f ca="1">SUM($T77:AG77)</f>
        <v>67.5781974571529</v>
      </c>
      <c r="AX77" s="12">
        <f ca="1">SUM($T77:AH77)</f>
        <v>73.0636439659218</v>
      </c>
      <c r="AY77" s="12">
        <f ca="1">SUM($T77:AI77)</f>
        <v>77.1718105847515</v>
      </c>
      <c r="AZ77" s="12">
        <f ca="1" t="shared" si="20"/>
        <v>78.6895966621485</v>
      </c>
      <c r="BA77" s="12">
        <f ca="1" t="shared" si="21"/>
        <v>74.3850671421228</v>
      </c>
      <c r="BB77" s="12">
        <f ca="1" t="shared" si="22"/>
        <v>69.4074758683129</v>
      </c>
      <c r="BC77" s="12">
        <f ca="1" t="shared" si="23"/>
        <v>64.1237543301872</v>
      </c>
      <c r="BD77" s="12">
        <f ca="1" t="shared" si="24"/>
        <v>60.1051831723448</v>
      </c>
      <c r="BE77" s="12">
        <f ca="1" t="shared" si="25"/>
        <v>55.1227147562</v>
      </c>
      <c r="BF77" s="12">
        <f ca="1" t="shared" si="26"/>
        <v>50.3365714391839</v>
      </c>
      <c r="BG77" s="12">
        <f ca="1" t="shared" si="27"/>
        <v>45.7029200130502</v>
      </c>
      <c r="BH77" s="12">
        <f ca="1" t="shared" si="28"/>
        <v>40.1149523833662</v>
      </c>
      <c r="BI77" s="12">
        <f ca="1" t="shared" si="29"/>
        <v>35.1602570030466</v>
      </c>
      <c r="BJ77" s="12">
        <f ca="1" t="shared" si="30"/>
        <v>30.9987004722874</v>
      </c>
      <c r="BK77" s="12">
        <f ca="1" t="shared" si="31"/>
        <v>25.6336538536537</v>
      </c>
      <c r="BL77" s="12">
        <f ca="1" t="shared" si="32"/>
        <v>20.8947669325918</v>
      </c>
      <c r="BM77" s="12">
        <f ca="1" t="shared" si="33"/>
        <v>16.5088300919926</v>
      </c>
      <c r="BN77" s="12">
        <f ca="1" t="shared" si="34"/>
        <v>11.0233835832238</v>
      </c>
      <c r="BO77" s="12">
        <f ca="1" t="shared" si="35"/>
        <v>6.91521696439405</v>
      </c>
    </row>
    <row r="78" spans="1:67">
      <c r="A78" s="3">
        <v>48</v>
      </c>
      <c r="B78" s="11">
        <f ca="1" t="shared" si="1"/>
        <v>0.535561794364242</v>
      </c>
      <c r="C78" s="12">
        <f ca="1" t="shared" si="2"/>
        <v>64.759363239404</v>
      </c>
      <c r="D78" s="11">
        <f ca="1" t="shared" ref="D78:S78" si="82">RAND()</f>
        <v>0.303101231258236</v>
      </c>
      <c r="E78" s="11">
        <f ca="1" t="shared" si="82"/>
        <v>0.66155008100842</v>
      </c>
      <c r="F78" s="11">
        <f ca="1" t="shared" si="82"/>
        <v>0.497128019283065</v>
      </c>
      <c r="G78" s="11">
        <f ca="1" t="shared" si="82"/>
        <v>0.940165675220838</v>
      </c>
      <c r="H78" s="11">
        <f ca="1" t="shared" si="82"/>
        <v>0.446075481633668</v>
      </c>
      <c r="I78" s="11">
        <f ca="1" t="shared" si="82"/>
        <v>0.858142376820162</v>
      </c>
      <c r="J78" s="11">
        <f ca="1" t="shared" si="82"/>
        <v>0.289767866938664</v>
      </c>
      <c r="K78" s="11">
        <f ca="1" t="shared" si="82"/>
        <v>0.756228193534044</v>
      </c>
      <c r="L78" s="11">
        <f ca="1" t="shared" si="82"/>
        <v>0.870907789343376</v>
      </c>
      <c r="M78" s="11">
        <f ca="1" t="shared" si="82"/>
        <v>0.378951397344664</v>
      </c>
      <c r="N78" s="11">
        <f ca="1" t="shared" si="82"/>
        <v>0.0535890056667681</v>
      </c>
      <c r="O78" s="11">
        <f ca="1" t="shared" si="82"/>
        <v>0.580683894710726</v>
      </c>
      <c r="P78" s="11">
        <f ca="1" t="shared" si="82"/>
        <v>0.461780429649175</v>
      </c>
      <c r="Q78" s="11">
        <f ca="1" t="shared" si="82"/>
        <v>0.140504906295578</v>
      </c>
      <c r="R78" s="11">
        <f ca="1" t="shared" si="82"/>
        <v>0.731284821191011</v>
      </c>
      <c r="S78" s="11">
        <f ca="1" t="shared" si="82"/>
        <v>0.873891834344329</v>
      </c>
      <c r="T78" s="12">
        <f ca="1" t="shared" si="4"/>
        <v>4.50387653907279</v>
      </c>
      <c r="U78" s="12">
        <f ca="1" t="shared" si="5"/>
        <v>4.95193760126052</v>
      </c>
      <c r="V78" s="12">
        <f ca="1" t="shared" si="6"/>
        <v>4.74641002410383</v>
      </c>
      <c r="W78" s="12">
        <f ca="1" t="shared" si="7"/>
        <v>5.70082837610419</v>
      </c>
      <c r="X78" s="12">
        <f ca="1" t="shared" si="8"/>
        <v>4.68259435204209</v>
      </c>
      <c r="Y78" s="12">
        <f ca="1" t="shared" si="9"/>
        <v>5.39535594205041</v>
      </c>
      <c r="Z78" s="12">
        <f ca="1" t="shared" si="10"/>
        <v>4.48294644489777</v>
      </c>
      <c r="AA78" s="12">
        <f ca="1" t="shared" si="11"/>
        <v>5.14057048383511</v>
      </c>
      <c r="AB78" s="12">
        <f ca="1" t="shared" si="12"/>
        <v>5.42726947335844</v>
      </c>
      <c r="AC78" s="12">
        <f ca="1" t="shared" si="13"/>
        <v>4.59868924668083</v>
      </c>
      <c r="AD78" s="12">
        <f ca="1" t="shared" si="14"/>
        <v>4.08931500944461</v>
      </c>
      <c r="AE78" s="12">
        <f ca="1" t="shared" si="15"/>
        <v>4.85085486838841</v>
      </c>
      <c r="AF78" s="12">
        <f ca="1" t="shared" si="16"/>
        <v>4.70222553706147</v>
      </c>
      <c r="AG78" s="12">
        <f ca="1" t="shared" si="17"/>
        <v>4.23417484382596</v>
      </c>
      <c r="AH78" s="12">
        <f ca="1" t="shared" si="18"/>
        <v>5.07821205297753</v>
      </c>
      <c r="AI78" s="12">
        <f ca="1" t="shared" si="19"/>
        <v>5.43472958586082</v>
      </c>
      <c r="AJ78" s="12">
        <f ca="1">SUM($T78:T78)</f>
        <v>4.50387653907279</v>
      </c>
      <c r="AK78" s="12">
        <f ca="1">SUM($T78:U78)</f>
        <v>9.45581414033332</v>
      </c>
      <c r="AL78" s="12">
        <f ca="1">SUM($T78:V78)</f>
        <v>14.2022241644372</v>
      </c>
      <c r="AM78" s="12">
        <f ca="1">SUM($T78:W78)</f>
        <v>19.9030525405413</v>
      </c>
      <c r="AN78" s="12">
        <f ca="1">SUM($T78:X78)</f>
        <v>24.5856468925834</v>
      </c>
      <c r="AO78" s="12">
        <f ca="1">SUM($T78:Y78)</f>
        <v>29.9810028346338</v>
      </c>
      <c r="AP78" s="12">
        <f ca="1">SUM($T78:Z78)</f>
        <v>34.4639492795316</v>
      </c>
      <c r="AQ78" s="12">
        <f ca="1">SUM($T78:AA78)</f>
        <v>39.6045197633667</v>
      </c>
      <c r="AR78" s="12">
        <f ca="1">SUM($T78:AB78)</f>
        <v>45.0317892367252</v>
      </c>
      <c r="AS78" s="12">
        <f ca="1">SUM($T78:AC78)</f>
        <v>49.630478483406</v>
      </c>
      <c r="AT78" s="12">
        <f ca="1">SUM($T78:AD78)</f>
        <v>53.7197934928506</v>
      </c>
      <c r="AU78" s="12">
        <f ca="1">SUM($T78:AE78)</f>
        <v>58.570648361239</v>
      </c>
      <c r="AV78" s="12">
        <f ca="1">SUM($T78:AF78)</f>
        <v>63.2728738983005</v>
      </c>
      <c r="AW78" s="12">
        <f ca="1">SUM($T78:AG78)</f>
        <v>67.5070487421265</v>
      </c>
      <c r="AX78" s="12">
        <f ca="1">SUM($T78:AH78)</f>
        <v>72.585260795104</v>
      </c>
      <c r="AY78" s="12">
        <f ca="1">SUM($T78:AI78)</f>
        <v>78.0199903809648</v>
      </c>
      <c r="AZ78" s="12">
        <f ca="1" t="shared" si="20"/>
        <v>60.2554867003312</v>
      </c>
      <c r="BA78" s="12">
        <f ca="1" t="shared" si="21"/>
        <v>55.3035490990707</v>
      </c>
      <c r="BB78" s="12">
        <f ca="1" t="shared" si="22"/>
        <v>50.5571390749669</v>
      </c>
      <c r="BC78" s="12">
        <f ca="1" t="shared" si="23"/>
        <v>44.8563106988627</v>
      </c>
      <c r="BD78" s="12">
        <f ca="1" t="shared" si="24"/>
        <v>40.1737163468206</v>
      </c>
      <c r="BE78" s="12">
        <f ca="1" t="shared" si="25"/>
        <v>34.7783604047702</v>
      </c>
      <c r="BF78" s="12">
        <f ca="1" t="shared" si="26"/>
        <v>30.2954139598724</v>
      </c>
      <c r="BG78" s="12">
        <f ca="1" t="shared" si="27"/>
        <v>25.1548434760373</v>
      </c>
      <c r="BH78" s="12">
        <f ca="1" t="shared" si="28"/>
        <v>19.7275740026789</v>
      </c>
      <c r="BI78" s="12">
        <f ca="1" t="shared" si="29"/>
        <v>15.128884755998</v>
      </c>
      <c r="BJ78" s="12">
        <f ca="1" t="shared" si="30"/>
        <v>11.0395697465534</v>
      </c>
      <c r="BK78" s="12">
        <f ca="1" t="shared" si="31"/>
        <v>6.18871487816502</v>
      </c>
      <c r="BL78" s="12">
        <f ca="1" t="shared" si="32"/>
        <v>1.48648934110355</v>
      </c>
      <c r="BM78" s="12">
        <f ca="1" t="shared" si="33"/>
        <v>0</v>
      </c>
      <c r="BN78" s="12">
        <f ca="1" t="shared" si="34"/>
        <v>0</v>
      </c>
      <c r="BO78" s="12">
        <f ca="1" t="shared" si="35"/>
        <v>0</v>
      </c>
    </row>
    <row r="79" spans="1:67">
      <c r="A79" s="3">
        <v>49</v>
      </c>
      <c r="B79" s="11">
        <f ca="1" t="shared" si="1"/>
        <v>0.56453901222158</v>
      </c>
      <c r="C79" s="12">
        <f ca="1" t="shared" si="2"/>
        <v>65.207700174594</v>
      </c>
      <c r="D79" s="11">
        <f ca="1" t="shared" ref="D79:S79" si="83">RAND()</f>
        <v>0.119938624905948</v>
      </c>
      <c r="E79" s="11">
        <f ca="1" t="shared" si="83"/>
        <v>0.329211219585474</v>
      </c>
      <c r="F79" s="11">
        <f ca="1" t="shared" si="83"/>
        <v>0.896476227088415</v>
      </c>
      <c r="G79" s="11">
        <f ca="1" t="shared" si="83"/>
        <v>0.548122441266891</v>
      </c>
      <c r="H79" s="11">
        <f ca="1" t="shared" si="83"/>
        <v>0.234571251098295</v>
      </c>
      <c r="I79" s="11">
        <f ca="1" t="shared" si="83"/>
        <v>0.331696833050713</v>
      </c>
      <c r="J79" s="11">
        <f ca="1" t="shared" si="83"/>
        <v>0.421937251650261</v>
      </c>
      <c r="K79" s="11">
        <f ca="1" t="shared" si="83"/>
        <v>0.869162944050214</v>
      </c>
      <c r="L79" s="11">
        <f ca="1" t="shared" si="83"/>
        <v>0.147203932051541</v>
      </c>
      <c r="M79" s="11">
        <f ca="1" t="shared" si="83"/>
        <v>0.442077302098099</v>
      </c>
      <c r="N79" s="11">
        <f ca="1" t="shared" si="83"/>
        <v>0.957019970454484</v>
      </c>
      <c r="O79" s="11">
        <f ca="1" t="shared" si="83"/>
        <v>0.289041857853204</v>
      </c>
      <c r="P79" s="11">
        <f ca="1" t="shared" si="83"/>
        <v>0.28226412140082</v>
      </c>
      <c r="Q79" s="11">
        <f ca="1" t="shared" si="83"/>
        <v>0.748685600061622</v>
      </c>
      <c r="R79" s="11">
        <f ca="1" t="shared" si="83"/>
        <v>0.0673371709876247</v>
      </c>
      <c r="S79" s="11">
        <f ca="1" t="shared" si="83"/>
        <v>0.70399488710322</v>
      </c>
      <c r="T79" s="12">
        <f ca="1" t="shared" si="4"/>
        <v>4.19989770817658</v>
      </c>
      <c r="U79" s="12">
        <f ca="1" t="shared" si="5"/>
        <v>4.53651402448184</v>
      </c>
      <c r="V79" s="12">
        <f ca="1" t="shared" si="6"/>
        <v>5.49119056772104</v>
      </c>
      <c r="W79" s="12">
        <f ca="1" t="shared" si="7"/>
        <v>4.81015305158361</v>
      </c>
      <c r="X79" s="12">
        <f ca="1" t="shared" si="8"/>
        <v>4.39095208516383</v>
      </c>
      <c r="Y79" s="12">
        <f ca="1" t="shared" si="9"/>
        <v>4.53962104131339</v>
      </c>
      <c r="Z79" s="12">
        <f ca="1" t="shared" si="10"/>
        <v>4.65242156456283</v>
      </c>
      <c r="AA79" s="12">
        <f ca="1" t="shared" si="11"/>
        <v>5.42290736012554</v>
      </c>
      <c r="AB79" s="12">
        <f ca="1" t="shared" si="12"/>
        <v>4.24533988675257</v>
      </c>
      <c r="AC79" s="12">
        <f ca="1" t="shared" si="13"/>
        <v>4.67759662762262</v>
      </c>
      <c r="AD79" s="12">
        <f ca="1" t="shared" si="14"/>
        <v>5.78509985227242</v>
      </c>
      <c r="AE79" s="12">
        <f ca="1" t="shared" si="15"/>
        <v>4.48173642975534</v>
      </c>
      <c r="AF79" s="12">
        <f ca="1" t="shared" si="16"/>
        <v>4.4704402023347</v>
      </c>
      <c r="AG79" s="12">
        <f ca="1" t="shared" si="17"/>
        <v>5.12171400015405</v>
      </c>
      <c r="AH79" s="12">
        <f ca="1" t="shared" si="18"/>
        <v>4.11222861831271</v>
      </c>
      <c r="AI79" s="12">
        <f ca="1" t="shared" si="19"/>
        <v>5.00998721775805</v>
      </c>
      <c r="AJ79" s="12">
        <f ca="1">SUM($T79:T79)</f>
        <v>4.19989770817658</v>
      </c>
      <c r="AK79" s="12">
        <f ca="1">SUM($T79:U79)</f>
        <v>8.73641173265842</v>
      </c>
      <c r="AL79" s="12">
        <f ca="1">SUM($T79:V79)</f>
        <v>14.2276023003795</v>
      </c>
      <c r="AM79" s="12">
        <f ca="1">SUM($T79:W79)</f>
        <v>19.0377553519631</v>
      </c>
      <c r="AN79" s="12">
        <f ca="1">SUM($T79:X79)</f>
        <v>23.4287074371269</v>
      </c>
      <c r="AO79" s="12">
        <f ca="1">SUM($T79:Y79)</f>
        <v>27.9683284784403</v>
      </c>
      <c r="AP79" s="12">
        <f ca="1">SUM($T79:Z79)</f>
        <v>32.6207500430031</v>
      </c>
      <c r="AQ79" s="12">
        <f ca="1">SUM($T79:AA79)</f>
        <v>38.0436574031286</v>
      </c>
      <c r="AR79" s="12">
        <f ca="1">SUM($T79:AB79)</f>
        <v>42.2889972898812</v>
      </c>
      <c r="AS79" s="12">
        <f ca="1">SUM($T79:AC79)</f>
        <v>46.9665939175038</v>
      </c>
      <c r="AT79" s="12">
        <f ca="1">SUM($T79:AD79)</f>
        <v>52.7516937697763</v>
      </c>
      <c r="AU79" s="12">
        <f ca="1">SUM($T79:AE79)</f>
        <v>57.2334301995316</v>
      </c>
      <c r="AV79" s="12">
        <f ca="1">SUM($T79:AF79)</f>
        <v>61.7038704018663</v>
      </c>
      <c r="AW79" s="12">
        <f ca="1">SUM($T79:AG79)</f>
        <v>66.8255844020204</v>
      </c>
      <c r="AX79" s="12">
        <f ca="1">SUM($T79:AH79)</f>
        <v>70.9378130203331</v>
      </c>
      <c r="AY79" s="12">
        <f ca="1">SUM($T79:AI79)</f>
        <v>75.9478002380911</v>
      </c>
      <c r="AZ79" s="12">
        <f ca="1" t="shared" si="20"/>
        <v>61.0078024664174</v>
      </c>
      <c r="BA79" s="12">
        <f ca="1" t="shared" si="21"/>
        <v>56.4712884419356</v>
      </c>
      <c r="BB79" s="12">
        <f ca="1" t="shared" si="22"/>
        <v>50.9800978742145</v>
      </c>
      <c r="BC79" s="12">
        <f ca="1" t="shared" si="23"/>
        <v>46.1699448226309</v>
      </c>
      <c r="BD79" s="12">
        <f ca="1" t="shared" si="24"/>
        <v>41.7789927374671</v>
      </c>
      <c r="BE79" s="12">
        <f ca="1" t="shared" si="25"/>
        <v>37.2393716961537</v>
      </c>
      <c r="BF79" s="12">
        <f ca="1" t="shared" si="26"/>
        <v>32.5869501315909</v>
      </c>
      <c r="BG79" s="12">
        <f ca="1" t="shared" si="27"/>
        <v>27.1640427714653</v>
      </c>
      <c r="BH79" s="12">
        <f ca="1" t="shared" si="28"/>
        <v>22.9187028847128</v>
      </c>
      <c r="BI79" s="12">
        <f ca="1" t="shared" si="29"/>
        <v>18.2411062570902</v>
      </c>
      <c r="BJ79" s="12">
        <f ca="1" t="shared" si="30"/>
        <v>12.4560064048177</v>
      </c>
      <c r="BK79" s="12">
        <f ca="1" t="shared" si="31"/>
        <v>7.97426997506238</v>
      </c>
      <c r="BL79" s="12">
        <f ca="1" t="shared" si="32"/>
        <v>3.50382977272768</v>
      </c>
      <c r="BM79" s="12">
        <f ca="1" t="shared" si="33"/>
        <v>0</v>
      </c>
      <c r="BN79" s="12">
        <f ca="1" t="shared" si="34"/>
        <v>0</v>
      </c>
      <c r="BO79" s="12">
        <f ca="1" t="shared" si="35"/>
        <v>0</v>
      </c>
    </row>
    <row r="80" spans="1:67">
      <c r="A80" s="3">
        <v>50</v>
      </c>
      <c r="B80" s="11">
        <f ca="1" t="shared" si="1"/>
        <v>0.633335723697768</v>
      </c>
      <c r="C80" s="12">
        <f ca="1" t="shared" si="2"/>
        <v>66.1905103385395</v>
      </c>
      <c r="D80" s="11">
        <f ca="1" t="shared" ref="D80:S80" si="84">RAND()</f>
        <v>0.624446861841771</v>
      </c>
      <c r="E80" s="11">
        <f ca="1" t="shared" si="84"/>
        <v>0.703594624385075</v>
      </c>
      <c r="F80" s="11">
        <f ca="1" t="shared" si="84"/>
        <v>0.900411034187197</v>
      </c>
      <c r="G80" s="11">
        <f ca="1" t="shared" si="84"/>
        <v>0.430442189699617</v>
      </c>
      <c r="H80" s="11">
        <f ca="1" t="shared" si="84"/>
        <v>0.841729265799018</v>
      </c>
      <c r="I80" s="11">
        <f ca="1" t="shared" si="84"/>
        <v>0.871318301470285</v>
      </c>
      <c r="J80" s="11">
        <f ca="1" t="shared" si="84"/>
        <v>0.768813046428015</v>
      </c>
      <c r="K80" s="11">
        <f ca="1" t="shared" si="84"/>
        <v>0.151441468023016</v>
      </c>
      <c r="L80" s="11">
        <f ca="1" t="shared" si="84"/>
        <v>0.909317238324238</v>
      </c>
      <c r="M80" s="11">
        <f ca="1" t="shared" si="84"/>
        <v>0.545876919913476</v>
      </c>
      <c r="N80" s="11">
        <f ca="1" t="shared" si="84"/>
        <v>0.956428632277267</v>
      </c>
      <c r="O80" s="11">
        <f ca="1" t="shared" si="84"/>
        <v>0.656207681572794</v>
      </c>
      <c r="P80" s="11">
        <f ca="1" t="shared" si="84"/>
        <v>0.0969504218189488</v>
      </c>
      <c r="Q80" s="11">
        <f ca="1" t="shared" si="84"/>
        <v>0.762658338246349</v>
      </c>
      <c r="R80" s="11">
        <f ca="1" t="shared" si="84"/>
        <v>0.24372412855977</v>
      </c>
      <c r="S80" s="11">
        <f ca="1" t="shared" si="84"/>
        <v>0.530399066115495</v>
      </c>
      <c r="T80" s="12">
        <f ca="1" t="shared" si="4"/>
        <v>4.90555857730221</v>
      </c>
      <c r="U80" s="12">
        <f ca="1" t="shared" si="5"/>
        <v>5.00898656096269</v>
      </c>
      <c r="V80" s="12">
        <f ca="1" t="shared" si="6"/>
        <v>5.50205517093599</v>
      </c>
      <c r="W80" s="12">
        <f ca="1" t="shared" si="7"/>
        <v>4.66305273712452</v>
      </c>
      <c r="X80" s="12">
        <f ca="1" t="shared" si="8"/>
        <v>5.35432316449754</v>
      </c>
      <c r="Y80" s="12">
        <f ca="1" t="shared" si="9"/>
        <v>5.42829575367571</v>
      </c>
      <c r="Z80" s="12">
        <f ca="1" t="shared" si="10"/>
        <v>5.17203261607004</v>
      </c>
      <c r="AA80" s="12">
        <f ca="1" t="shared" si="11"/>
        <v>4.25240244670503</v>
      </c>
      <c r="AB80" s="12">
        <f ca="1" t="shared" si="12"/>
        <v>5.54658619162119</v>
      </c>
      <c r="AC80" s="12">
        <f ca="1" t="shared" si="13"/>
        <v>4.80734614989184</v>
      </c>
      <c r="AD80" s="12">
        <f ca="1" t="shared" si="14"/>
        <v>5.78214316138634</v>
      </c>
      <c r="AE80" s="12">
        <f ca="1" t="shared" si="15"/>
        <v>4.94525960196599</v>
      </c>
      <c r="AF80" s="12">
        <f ca="1" t="shared" si="16"/>
        <v>4.16158403636491</v>
      </c>
      <c r="AG80" s="12">
        <f ca="1" t="shared" si="17"/>
        <v>5.15664584561587</v>
      </c>
      <c r="AH80" s="12">
        <f ca="1" t="shared" si="18"/>
        <v>4.40620688093295</v>
      </c>
      <c r="AI80" s="12">
        <f ca="1" t="shared" si="19"/>
        <v>4.78799883264437</v>
      </c>
      <c r="AJ80" s="12">
        <f ca="1">SUM($T80:T80)</f>
        <v>4.90555857730221</v>
      </c>
      <c r="AK80" s="12">
        <f ca="1">SUM($T80:U80)</f>
        <v>9.9145451382649</v>
      </c>
      <c r="AL80" s="12">
        <f ca="1">SUM($T80:V80)</f>
        <v>15.4166003092009</v>
      </c>
      <c r="AM80" s="12">
        <f ca="1">SUM($T80:W80)</f>
        <v>20.0796530463254</v>
      </c>
      <c r="AN80" s="12">
        <f ca="1">SUM($T80:X80)</f>
        <v>25.433976210823</v>
      </c>
      <c r="AO80" s="12">
        <f ca="1">SUM($T80:Y80)</f>
        <v>30.8622719644987</v>
      </c>
      <c r="AP80" s="12">
        <f ca="1">SUM($T80:Z80)</f>
        <v>36.0343045805687</v>
      </c>
      <c r="AQ80" s="12">
        <f ca="1">SUM($T80:AA80)</f>
        <v>40.2867070272737</v>
      </c>
      <c r="AR80" s="12">
        <f ca="1">SUM($T80:AB80)</f>
        <v>45.8332932188949</v>
      </c>
      <c r="AS80" s="12">
        <f ca="1">SUM($T80:AC80)</f>
        <v>50.6406393687868</v>
      </c>
      <c r="AT80" s="12">
        <f ca="1">SUM($T80:AD80)</f>
        <v>56.4227825301731</v>
      </c>
      <c r="AU80" s="12">
        <f ca="1">SUM($T80:AE80)</f>
        <v>61.3680421321391</v>
      </c>
      <c r="AV80" s="12">
        <f ca="1">SUM($T80:AF80)</f>
        <v>65.529626168504</v>
      </c>
      <c r="AW80" s="12">
        <f ca="1">SUM($T80:AG80)</f>
        <v>70.6862720141199</v>
      </c>
      <c r="AX80" s="12">
        <f ca="1">SUM($T80:AH80)</f>
        <v>75.0924788950528</v>
      </c>
      <c r="AY80" s="12">
        <f ca="1">SUM($T80:AI80)</f>
        <v>79.8804777276972</v>
      </c>
      <c r="AZ80" s="12">
        <f ca="1" t="shared" si="20"/>
        <v>61.2849517612373</v>
      </c>
      <c r="BA80" s="12">
        <f ca="1" t="shared" si="21"/>
        <v>56.2759652002746</v>
      </c>
      <c r="BB80" s="12">
        <f ca="1" t="shared" si="22"/>
        <v>50.7739100293387</v>
      </c>
      <c r="BC80" s="12">
        <f ca="1" t="shared" si="23"/>
        <v>46.1108572922141</v>
      </c>
      <c r="BD80" s="12">
        <f ca="1" t="shared" si="24"/>
        <v>40.7565341277166</v>
      </c>
      <c r="BE80" s="12">
        <f ca="1" t="shared" si="25"/>
        <v>35.3282383740409</v>
      </c>
      <c r="BF80" s="12">
        <f ca="1" t="shared" si="26"/>
        <v>30.1562057579708</v>
      </c>
      <c r="BG80" s="12">
        <f ca="1" t="shared" si="27"/>
        <v>25.9038033112658</v>
      </c>
      <c r="BH80" s="12">
        <f ca="1" t="shared" si="28"/>
        <v>20.3572171196446</v>
      </c>
      <c r="BI80" s="12">
        <f ca="1" t="shared" si="29"/>
        <v>15.5498709697528</v>
      </c>
      <c r="BJ80" s="12">
        <f ca="1" t="shared" si="30"/>
        <v>9.76772780836644</v>
      </c>
      <c r="BK80" s="12">
        <f ca="1" t="shared" si="31"/>
        <v>4.82246820640044</v>
      </c>
      <c r="BL80" s="12">
        <f ca="1" t="shared" si="32"/>
        <v>0.66088417003553</v>
      </c>
      <c r="BM80" s="12">
        <f ca="1" t="shared" si="33"/>
        <v>0</v>
      </c>
      <c r="BN80" s="12">
        <f ca="1" t="shared" si="34"/>
        <v>0</v>
      </c>
      <c r="BO80" s="12">
        <f ca="1" t="shared" si="35"/>
        <v>0</v>
      </c>
    </row>
    <row r="81" spans="1:67">
      <c r="A81" s="3">
        <v>51</v>
      </c>
      <c r="B81" s="11">
        <f ca="1" t="shared" si="1"/>
        <v>0.973512097920688</v>
      </c>
      <c r="C81" s="12">
        <f ca="1" t="shared" si="2"/>
        <v>79.594506120043</v>
      </c>
      <c r="D81" s="11">
        <f ca="1" t="shared" ref="D81:S81" si="85">RAND()</f>
        <v>0.795528799689737</v>
      </c>
      <c r="E81" s="11">
        <f ca="1" t="shared" si="85"/>
        <v>0.661551045112821</v>
      </c>
      <c r="F81" s="11">
        <f ca="1" t="shared" si="85"/>
        <v>0.813492143129304</v>
      </c>
      <c r="G81" s="11">
        <f ca="1" t="shared" si="85"/>
        <v>0.289771457289053</v>
      </c>
      <c r="H81" s="11">
        <f ca="1" t="shared" si="85"/>
        <v>0.808561025790498</v>
      </c>
      <c r="I81" s="11">
        <f ca="1" t="shared" si="85"/>
        <v>0.406896756675493</v>
      </c>
      <c r="J81" s="11">
        <f ca="1" t="shared" si="85"/>
        <v>0.231566239175288</v>
      </c>
      <c r="K81" s="11">
        <f ca="1" t="shared" si="85"/>
        <v>0.530413921296274</v>
      </c>
      <c r="L81" s="11">
        <f ca="1" t="shared" si="85"/>
        <v>0.378939026503232</v>
      </c>
      <c r="M81" s="11">
        <f ca="1" t="shared" si="85"/>
        <v>0.577145465739609</v>
      </c>
      <c r="N81" s="11">
        <f ca="1" t="shared" si="85"/>
        <v>0.371176376213465</v>
      </c>
      <c r="O81" s="11">
        <f ca="1" t="shared" si="85"/>
        <v>0.000346337978559985</v>
      </c>
      <c r="P81" s="11">
        <f ca="1" t="shared" si="85"/>
        <v>0.71717978413974</v>
      </c>
      <c r="Q81" s="11">
        <f ca="1" t="shared" si="85"/>
        <v>0.383338082506992</v>
      </c>
      <c r="R81" s="11">
        <f ca="1" t="shared" si="85"/>
        <v>0.873889784379651</v>
      </c>
      <c r="S81" s="11">
        <f ca="1" t="shared" si="85"/>
        <v>0.439405989466158</v>
      </c>
      <c r="T81" s="12">
        <f ca="1" t="shared" si="4"/>
        <v>5.23882199922434</v>
      </c>
      <c r="U81" s="12">
        <f ca="1" t="shared" si="5"/>
        <v>4.95193880639103</v>
      </c>
      <c r="V81" s="12">
        <f ca="1" t="shared" si="6"/>
        <v>5.28373035782326</v>
      </c>
      <c r="W81" s="12">
        <f ca="1" t="shared" si="7"/>
        <v>4.48295242881509</v>
      </c>
      <c r="X81" s="12">
        <f ca="1" t="shared" si="8"/>
        <v>5.27140256447624</v>
      </c>
      <c r="Y81" s="12">
        <f ca="1" t="shared" si="9"/>
        <v>4.63362094584437</v>
      </c>
      <c r="Z81" s="12">
        <f ca="1" t="shared" si="10"/>
        <v>4.38594373195881</v>
      </c>
      <c r="AA81" s="12">
        <f ca="1" t="shared" si="11"/>
        <v>4.78801740162034</v>
      </c>
      <c r="AB81" s="12">
        <f ca="1" t="shared" si="12"/>
        <v>4.59867378312904</v>
      </c>
      <c r="AC81" s="12">
        <f ca="1" t="shared" si="13"/>
        <v>4.84643183217451</v>
      </c>
      <c r="AD81" s="12">
        <f ca="1" t="shared" si="14"/>
        <v>4.58897047026683</v>
      </c>
      <c r="AE81" s="12">
        <f ca="1" t="shared" si="15"/>
        <v>4.00057722996427</v>
      </c>
      <c r="AF81" s="12">
        <f ca="1" t="shared" si="16"/>
        <v>5.04294946034935</v>
      </c>
      <c r="AG81" s="12">
        <f ca="1" t="shared" si="17"/>
        <v>4.60417260313374</v>
      </c>
      <c r="AH81" s="12">
        <f ca="1" t="shared" si="18"/>
        <v>5.43472446094913</v>
      </c>
      <c r="AI81" s="12">
        <f ca="1" t="shared" si="19"/>
        <v>4.6742574868327</v>
      </c>
      <c r="AJ81" s="12">
        <f ca="1">SUM($T81:T81)</f>
        <v>5.23882199922434</v>
      </c>
      <c r="AK81" s="12">
        <f ca="1">SUM($T81:U81)</f>
        <v>10.1907608056154</v>
      </c>
      <c r="AL81" s="12">
        <f ca="1">SUM($T81:V81)</f>
        <v>15.4744911634386</v>
      </c>
      <c r="AM81" s="12">
        <f ca="1">SUM($T81:W81)</f>
        <v>19.9574435922537</v>
      </c>
      <c r="AN81" s="12">
        <f ca="1">SUM($T81:X81)</f>
        <v>25.22884615673</v>
      </c>
      <c r="AO81" s="12">
        <f ca="1">SUM($T81:Y81)</f>
        <v>29.8624671025743</v>
      </c>
      <c r="AP81" s="12">
        <f ca="1">SUM($T81:Z81)</f>
        <v>34.2484108345331</v>
      </c>
      <c r="AQ81" s="12">
        <f ca="1">SUM($T81:AA81)</f>
        <v>39.0364282361535</v>
      </c>
      <c r="AR81" s="12">
        <f ca="1">SUM($T81:AB81)</f>
        <v>43.6351020192825</v>
      </c>
      <c r="AS81" s="12">
        <f ca="1">SUM($T81:AC81)</f>
        <v>48.481533851457</v>
      </c>
      <c r="AT81" s="12">
        <f ca="1">SUM($T81:AD81)</f>
        <v>53.0705043217239</v>
      </c>
      <c r="AU81" s="12">
        <f ca="1">SUM($T81:AE81)</f>
        <v>57.0710815516881</v>
      </c>
      <c r="AV81" s="12">
        <f ca="1">SUM($T81:AF81)</f>
        <v>62.1140310120375</v>
      </c>
      <c r="AW81" s="12">
        <f ca="1">SUM($T81:AG81)</f>
        <v>66.7182036151712</v>
      </c>
      <c r="AX81" s="12">
        <f ca="1">SUM($T81:AH81)</f>
        <v>72.1529280761203</v>
      </c>
      <c r="AY81" s="12">
        <f ca="1">SUM($T81:AI81)</f>
        <v>76.827185562953</v>
      </c>
      <c r="AZ81" s="12">
        <f ca="1" t="shared" si="20"/>
        <v>74.3556841208187</v>
      </c>
      <c r="BA81" s="12">
        <f ca="1" t="shared" si="21"/>
        <v>69.4037453144276</v>
      </c>
      <c r="BB81" s="12">
        <f ca="1" t="shared" si="22"/>
        <v>64.1200149566044</v>
      </c>
      <c r="BC81" s="12">
        <f ca="1" t="shared" si="23"/>
        <v>59.6370625277893</v>
      </c>
      <c r="BD81" s="12">
        <f ca="1" t="shared" si="24"/>
        <v>54.365659963313</v>
      </c>
      <c r="BE81" s="12">
        <f ca="1" t="shared" si="25"/>
        <v>49.7320390174687</v>
      </c>
      <c r="BF81" s="12">
        <f ca="1" t="shared" si="26"/>
        <v>45.3460952855099</v>
      </c>
      <c r="BG81" s="12">
        <f ca="1" t="shared" si="27"/>
        <v>40.5580778838895</v>
      </c>
      <c r="BH81" s="12">
        <f ca="1" t="shared" si="28"/>
        <v>35.9594041007605</v>
      </c>
      <c r="BI81" s="12">
        <f ca="1" t="shared" si="29"/>
        <v>31.112972268586</v>
      </c>
      <c r="BJ81" s="12">
        <f ca="1" t="shared" si="30"/>
        <v>26.5240017983191</v>
      </c>
      <c r="BK81" s="12">
        <f ca="1" t="shared" si="31"/>
        <v>22.5234245683549</v>
      </c>
      <c r="BL81" s="12">
        <f ca="1" t="shared" si="32"/>
        <v>17.4804751080055</v>
      </c>
      <c r="BM81" s="12">
        <f ca="1" t="shared" si="33"/>
        <v>12.8763025048718</v>
      </c>
      <c r="BN81" s="12">
        <f ca="1" t="shared" si="34"/>
        <v>7.44157804392266</v>
      </c>
      <c r="BO81" s="12">
        <f ca="1" t="shared" si="35"/>
        <v>2.76732055708996</v>
      </c>
    </row>
    <row r="82" spans="1:67">
      <c r="A82" s="3">
        <v>52</v>
      </c>
      <c r="B82" s="11">
        <f ca="1" t="shared" si="1"/>
        <v>0.463710375046698</v>
      </c>
      <c r="C82" s="12">
        <f ca="1" t="shared" si="2"/>
        <v>63.5618395841116</v>
      </c>
      <c r="D82" s="11">
        <f ca="1" t="shared" ref="D82:S82" si="86">RAND()</f>
        <v>0.361076545530479</v>
      </c>
      <c r="E82" s="11">
        <f ca="1" t="shared" si="86"/>
        <v>0.30060996640407</v>
      </c>
      <c r="F82" s="11">
        <f ca="1" t="shared" si="86"/>
        <v>0.73567064408509</v>
      </c>
      <c r="G82" s="11">
        <f ca="1" t="shared" si="86"/>
        <v>0.813483358452765</v>
      </c>
      <c r="H82" s="11">
        <f ca="1" t="shared" si="86"/>
        <v>0.878134747306264</v>
      </c>
      <c r="I82" s="11">
        <f ca="1" t="shared" si="86"/>
        <v>0.406909074991787</v>
      </c>
      <c r="J82" s="11">
        <f ca="1" t="shared" si="86"/>
        <v>0.936613251629179</v>
      </c>
      <c r="K82" s="11">
        <f ca="1" t="shared" si="86"/>
        <v>0.231565861074693</v>
      </c>
      <c r="L82" s="11">
        <f ca="1" t="shared" si="86"/>
        <v>0.0765717918062254</v>
      </c>
      <c r="M82" s="11">
        <f ca="1" t="shared" si="86"/>
        <v>0.329195401087915</v>
      </c>
      <c r="N82" s="11">
        <f ca="1" t="shared" si="86"/>
        <v>0.456404212210973</v>
      </c>
      <c r="O82" s="11">
        <f ca="1" t="shared" si="86"/>
        <v>0.37893934293281</v>
      </c>
      <c r="P82" s="11">
        <f ca="1" t="shared" si="86"/>
        <v>0.279294879774278</v>
      </c>
      <c r="Q82" s="11">
        <f ca="1" t="shared" si="86"/>
        <v>0.147213109633428</v>
      </c>
      <c r="R82" s="11">
        <f ca="1" t="shared" si="86"/>
        <v>0.00228987136415548</v>
      </c>
      <c r="S82" s="11">
        <f ca="1" t="shared" si="86"/>
        <v>0.51214334865866</v>
      </c>
      <c r="T82" s="12">
        <f ca="1" t="shared" si="4"/>
        <v>4.5763456819131</v>
      </c>
      <c r="U82" s="12">
        <f ca="1" t="shared" si="5"/>
        <v>4.50076245800509</v>
      </c>
      <c r="V82" s="12">
        <f ca="1" t="shared" si="6"/>
        <v>5.08917661021273</v>
      </c>
      <c r="W82" s="12">
        <f ca="1" t="shared" si="7"/>
        <v>5.28370839613191</v>
      </c>
      <c r="X82" s="12">
        <f ca="1" t="shared" si="8"/>
        <v>5.44533686826566</v>
      </c>
      <c r="Y82" s="12">
        <f ca="1" t="shared" si="9"/>
        <v>4.63363634373973</v>
      </c>
      <c r="Z82" s="12">
        <f ca="1" t="shared" si="10"/>
        <v>5.68306625814589</v>
      </c>
      <c r="AA82" s="12">
        <f ca="1" t="shared" si="11"/>
        <v>4.38594310179116</v>
      </c>
      <c r="AB82" s="12">
        <f ca="1" t="shared" si="12"/>
        <v>4.12761965301038</v>
      </c>
      <c r="AC82" s="12">
        <f ca="1" t="shared" si="13"/>
        <v>4.53649425135989</v>
      </c>
      <c r="AD82" s="12">
        <f ca="1" t="shared" si="14"/>
        <v>4.69550526526372</v>
      </c>
      <c r="AE82" s="12">
        <f ca="1" t="shared" si="15"/>
        <v>4.59867417866601</v>
      </c>
      <c r="AF82" s="12">
        <f ca="1" t="shared" si="16"/>
        <v>4.46549146629046</v>
      </c>
      <c r="AG82" s="12">
        <f ca="1" t="shared" si="17"/>
        <v>4.24535518272238</v>
      </c>
      <c r="AH82" s="12">
        <f ca="1" t="shared" si="18"/>
        <v>4.00381645227359</v>
      </c>
      <c r="AI82" s="12">
        <f ca="1" t="shared" si="19"/>
        <v>4.76517918582333</v>
      </c>
      <c r="AJ82" s="12">
        <f ca="1">SUM($T82:T82)</f>
        <v>4.5763456819131</v>
      </c>
      <c r="AK82" s="12">
        <f ca="1">SUM($T82:U82)</f>
        <v>9.07710813991819</v>
      </c>
      <c r="AL82" s="12">
        <f ca="1">SUM($T82:V82)</f>
        <v>14.1662847501309</v>
      </c>
      <c r="AM82" s="12">
        <f ca="1">SUM($T82:W82)</f>
        <v>19.4499931462628</v>
      </c>
      <c r="AN82" s="12">
        <f ca="1">SUM($T82:X82)</f>
        <v>24.8953300145285</v>
      </c>
      <c r="AO82" s="12">
        <f ca="1">SUM($T82:Y82)</f>
        <v>29.5289663582682</v>
      </c>
      <c r="AP82" s="12">
        <f ca="1">SUM($T82:Z82)</f>
        <v>35.2120326164141</v>
      </c>
      <c r="AQ82" s="12">
        <f ca="1">SUM($T82:AA82)</f>
        <v>39.5979757182053</v>
      </c>
      <c r="AR82" s="12">
        <f ca="1">SUM($T82:AB82)</f>
        <v>43.7255953712156</v>
      </c>
      <c r="AS82" s="12">
        <f ca="1">SUM($T82:AC82)</f>
        <v>48.2620896225755</v>
      </c>
      <c r="AT82" s="12">
        <f ca="1">SUM($T82:AD82)</f>
        <v>52.9575948878393</v>
      </c>
      <c r="AU82" s="12">
        <f ca="1">SUM($T82:AE82)</f>
        <v>57.5562690665053</v>
      </c>
      <c r="AV82" s="12">
        <f ca="1">SUM($T82:AF82)</f>
        <v>62.0217605327957</v>
      </c>
      <c r="AW82" s="12">
        <f ca="1">SUM($T82:AG82)</f>
        <v>66.2671157155181</v>
      </c>
      <c r="AX82" s="12">
        <f ca="1">SUM($T82:AH82)</f>
        <v>70.2709321677917</v>
      </c>
      <c r="AY82" s="12">
        <f ca="1">SUM($T82:AI82)</f>
        <v>75.0361113536151</v>
      </c>
      <c r="AZ82" s="12">
        <f ca="1" t="shared" si="20"/>
        <v>58.9854939021985</v>
      </c>
      <c r="BA82" s="12">
        <f ca="1" t="shared" si="21"/>
        <v>54.4847314441934</v>
      </c>
      <c r="BB82" s="12">
        <f ca="1" t="shared" si="22"/>
        <v>49.3955548339807</v>
      </c>
      <c r="BC82" s="12">
        <f ca="1" t="shared" si="23"/>
        <v>44.1118464378488</v>
      </c>
      <c r="BD82" s="12">
        <f ca="1" t="shared" si="24"/>
        <v>38.6665095695831</v>
      </c>
      <c r="BE82" s="12">
        <f ca="1" t="shared" si="25"/>
        <v>34.0328732258434</v>
      </c>
      <c r="BF82" s="12">
        <f ca="1" t="shared" si="26"/>
        <v>28.3498069676975</v>
      </c>
      <c r="BG82" s="12">
        <f ca="1" t="shared" si="27"/>
        <v>23.9638638659064</v>
      </c>
      <c r="BH82" s="12">
        <f ca="1" t="shared" si="28"/>
        <v>19.836244212896</v>
      </c>
      <c r="BI82" s="12">
        <f ca="1" t="shared" si="29"/>
        <v>15.2997499615361</v>
      </c>
      <c r="BJ82" s="12">
        <f ca="1" t="shared" si="30"/>
        <v>10.6042446962724</v>
      </c>
      <c r="BK82" s="12">
        <f ca="1" t="shared" si="31"/>
        <v>6.00557051760635</v>
      </c>
      <c r="BL82" s="12">
        <f ca="1" t="shared" si="32"/>
        <v>1.54007905131589</v>
      </c>
      <c r="BM82" s="12">
        <f ca="1" t="shared" si="33"/>
        <v>0</v>
      </c>
      <c r="BN82" s="12">
        <f ca="1" t="shared" si="34"/>
        <v>0</v>
      </c>
      <c r="BO82" s="12">
        <f ca="1" t="shared" si="35"/>
        <v>0</v>
      </c>
    </row>
    <row r="83" spans="1:67">
      <c r="A83" s="3">
        <v>53</v>
      </c>
      <c r="B83" s="11">
        <f ca="1" t="shared" si="1"/>
        <v>0.704203867473184</v>
      </c>
      <c r="C83" s="12">
        <f ca="1" t="shared" si="2"/>
        <v>67.202912392474</v>
      </c>
      <c r="D83" s="11">
        <f ca="1" t="shared" ref="D83:S83" si="87">RAND()</f>
        <v>0.611443687706929</v>
      </c>
      <c r="E83" s="11">
        <f ca="1" t="shared" si="87"/>
        <v>0.749580637060831</v>
      </c>
      <c r="F83" s="11">
        <f ca="1" t="shared" si="87"/>
        <v>0.703598103080437</v>
      </c>
      <c r="G83" s="11">
        <f ca="1" t="shared" si="87"/>
        <v>0.519965715077644</v>
      </c>
      <c r="H83" s="11">
        <f ca="1" t="shared" si="87"/>
        <v>0.231938166377153</v>
      </c>
      <c r="I83" s="11">
        <f ca="1" t="shared" si="87"/>
        <v>0.871326344914098</v>
      </c>
      <c r="J83" s="11">
        <f ca="1" t="shared" si="87"/>
        <v>0.930620873321587</v>
      </c>
      <c r="K83" s="11">
        <f ca="1" t="shared" si="87"/>
        <v>0.452725445266002</v>
      </c>
      <c r="L83" s="11">
        <f ca="1" t="shared" si="87"/>
        <v>0.909309087132587</v>
      </c>
      <c r="M83" s="11">
        <f ca="1" t="shared" si="87"/>
        <v>0.745716331928827</v>
      </c>
      <c r="N83" s="11">
        <f ca="1" t="shared" si="87"/>
        <v>0.010471865336604</v>
      </c>
      <c r="O83" s="11">
        <f ca="1" t="shared" si="87"/>
        <v>0.762662474573683</v>
      </c>
      <c r="P83" s="11">
        <f ca="1" t="shared" si="87"/>
        <v>0.667785697179</v>
      </c>
      <c r="Q83" s="11">
        <f ca="1" t="shared" si="87"/>
        <v>0.715188922507551</v>
      </c>
      <c r="R83" s="11">
        <f ca="1" t="shared" si="87"/>
        <v>0.243723262788117</v>
      </c>
      <c r="S83" s="11">
        <f ca="1" t="shared" si="87"/>
        <v>0.624269720183506</v>
      </c>
      <c r="T83" s="12">
        <f ca="1" t="shared" si="4"/>
        <v>4.88930460963366</v>
      </c>
      <c r="U83" s="12">
        <f ca="1" t="shared" si="5"/>
        <v>5.12395159265208</v>
      </c>
      <c r="V83" s="12">
        <f ca="1" t="shared" si="6"/>
        <v>5.00899525770109</v>
      </c>
      <c r="W83" s="12">
        <f ca="1" t="shared" si="7"/>
        <v>4.77495714384706</v>
      </c>
      <c r="X83" s="12">
        <f ca="1" t="shared" si="8"/>
        <v>4.38656361062859</v>
      </c>
      <c r="Y83" s="12">
        <f ca="1" t="shared" si="9"/>
        <v>5.42831586228525</v>
      </c>
      <c r="Z83" s="12">
        <f ca="1" t="shared" si="10"/>
        <v>5.65310436660793</v>
      </c>
      <c r="AA83" s="12">
        <f ca="1" t="shared" si="11"/>
        <v>4.6909068065825</v>
      </c>
      <c r="AB83" s="12">
        <f ca="1" t="shared" si="12"/>
        <v>5.54654543566294</v>
      </c>
      <c r="AC83" s="12">
        <f ca="1" t="shared" si="13"/>
        <v>5.11429082982207</v>
      </c>
      <c r="AD83" s="12">
        <f ca="1" t="shared" si="14"/>
        <v>4.01745310889434</v>
      </c>
      <c r="AE83" s="12">
        <f ca="1" t="shared" si="15"/>
        <v>5.15665618643421</v>
      </c>
      <c r="AF83" s="12">
        <f ca="1" t="shared" si="16"/>
        <v>4.95973212147375</v>
      </c>
      <c r="AG83" s="12">
        <f ca="1" t="shared" si="17"/>
        <v>5.03797230626888</v>
      </c>
      <c r="AH83" s="12">
        <f ca="1" t="shared" si="18"/>
        <v>4.40620543798019</v>
      </c>
      <c r="AI83" s="12">
        <f ca="1" t="shared" si="19"/>
        <v>4.90533715022938</v>
      </c>
      <c r="AJ83" s="12">
        <f ca="1">SUM($T83:T83)</f>
        <v>4.88930460963366</v>
      </c>
      <c r="AK83" s="12">
        <f ca="1">SUM($T83:U83)</f>
        <v>10.0132562022857</v>
      </c>
      <c r="AL83" s="12">
        <f ca="1">SUM($T83:V83)</f>
        <v>15.0222514599868</v>
      </c>
      <c r="AM83" s="12">
        <f ca="1">SUM($T83:W83)</f>
        <v>19.7972086038339</v>
      </c>
      <c r="AN83" s="12">
        <f ca="1">SUM($T83:X83)</f>
        <v>24.1837722144625</v>
      </c>
      <c r="AO83" s="12">
        <f ca="1">SUM($T83:Y83)</f>
        <v>29.6120880767477</v>
      </c>
      <c r="AP83" s="12">
        <f ca="1">SUM($T83:Z83)</f>
        <v>35.2651924433557</v>
      </c>
      <c r="AQ83" s="12">
        <f ca="1">SUM($T83:AA83)</f>
        <v>39.9560992499382</v>
      </c>
      <c r="AR83" s="12">
        <f ca="1">SUM($T83:AB83)</f>
        <v>45.5026446856011</v>
      </c>
      <c r="AS83" s="12">
        <f ca="1">SUM($T83:AC83)</f>
        <v>50.6169355154232</v>
      </c>
      <c r="AT83" s="12">
        <f ca="1">SUM($T83:AD83)</f>
        <v>54.6343886243175</v>
      </c>
      <c r="AU83" s="12">
        <f ca="1">SUM($T83:AE83)</f>
        <v>59.7910448107517</v>
      </c>
      <c r="AV83" s="12">
        <f ca="1">SUM($T83:AF83)</f>
        <v>64.7507769322255</v>
      </c>
      <c r="AW83" s="12">
        <f ca="1">SUM($T83:AG83)</f>
        <v>69.7887492384943</v>
      </c>
      <c r="AX83" s="12">
        <f ca="1">SUM($T83:AH83)</f>
        <v>74.1949546764745</v>
      </c>
      <c r="AY83" s="12">
        <f ca="1">SUM($T83:AI83)</f>
        <v>79.1002918267039</v>
      </c>
      <c r="AZ83" s="12">
        <f ca="1" t="shared" si="20"/>
        <v>62.3136077828404</v>
      </c>
      <c r="BA83" s="12">
        <f ca="1" t="shared" si="21"/>
        <v>57.1896561901883</v>
      </c>
      <c r="BB83" s="12">
        <f ca="1" t="shared" si="22"/>
        <v>52.1806609324872</v>
      </c>
      <c r="BC83" s="12">
        <f ca="1" t="shared" si="23"/>
        <v>47.4057037886402</v>
      </c>
      <c r="BD83" s="12">
        <f ca="1" t="shared" si="24"/>
        <v>43.0191401780116</v>
      </c>
      <c r="BE83" s="12">
        <f ca="1" t="shared" si="25"/>
        <v>37.5908243157263</v>
      </c>
      <c r="BF83" s="12">
        <f ca="1" t="shared" si="26"/>
        <v>31.9377199491184</v>
      </c>
      <c r="BG83" s="12">
        <f ca="1" t="shared" si="27"/>
        <v>27.2468131425359</v>
      </c>
      <c r="BH83" s="12">
        <f ca="1" t="shared" si="28"/>
        <v>21.7002677068729</v>
      </c>
      <c r="BI83" s="12">
        <f ca="1" t="shared" si="29"/>
        <v>16.5859768770509</v>
      </c>
      <c r="BJ83" s="12">
        <f ca="1" t="shared" si="30"/>
        <v>12.5685237681565</v>
      </c>
      <c r="BK83" s="12">
        <f ca="1" t="shared" si="31"/>
        <v>7.41186758172233</v>
      </c>
      <c r="BL83" s="12">
        <f ca="1" t="shared" si="32"/>
        <v>2.45213546024858</v>
      </c>
      <c r="BM83" s="12">
        <f ca="1" t="shared" si="33"/>
        <v>0</v>
      </c>
      <c r="BN83" s="12">
        <f ca="1" t="shared" si="34"/>
        <v>0</v>
      </c>
      <c r="BO83" s="12">
        <f ca="1" t="shared" si="35"/>
        <v>0</v>
      </c>
    </row>
    <row r="84" spans="1:67">
      <c r="A84" s="3">
        <v>54</v>
      </c>
      <c r="B84" s="11">
        <f ca="1" t="shared" si="1"/>
        <v>0.905548651318453</v>
      </c>
      <c r="C84" s="12">
        <f ca="1" t="shared" si="2"/>
        <v>75.3467907074033</v>
      </c>
      <c r="D84" s="11">
        <f ca="1" t="shared" ref="D84:S84" si="88">RAND()</f>
        <v>0.550195933620222</v>
      </c>
      <c r="E84" s="11">
        <f ca="1" t="shared" si="88"/>
        <v>0.79552543509958</v>
      </c>
      <c r="F84" s="11">
        <f ca="1" t="shared" si="88"/>
        <v>0.873875505043622</v>
      </c>
      <c r="G84" s="11">
        <f ca="1" t="shared" si="88"/>
        <v>0.708664030969024</v>
      </c>
      <c r="H84" s="11">
        <f ca="1" t="shared" si="88"/>
        <v>0.329205029060674</v>
      </c>
      <c r="I84" s="11">
        <f ca="1" t="shared" si="88"/>
        <v>0.0450217307718359</v>
      </c>
      <c r="J84" s="11">
        <f ca="1" t="shared" si="88"/>
        <v>0.147214916852151</v>
      </c>
      <c r="K84" s="11">
        <f ca="1" t="shared" si="88"/>
        <v>0.808539784529005</v>
      </c>
      <c r="L84" s="11">
        <f ca="1" t="shared" si="88"/>
        <v>0.70360083018393</v>
      </c>
      <c r="M84" s="11">
        <f ca="1" t="shared" si="88"/>
        <v>0.864492969074569</v>
      </c>
      <c r="N84" s="11">
        <f ca="1" t="shared" si="88"/>
        <v>0.816934539374551</v>
      </c>
      <c r="O84" s="11">
        <f ca="1" t="shared" si="88"/>
        <v>0.067840014781388</v>
      </c>
      <c r="P84" s="11">
        <f ca="1" t="shared" si="88"/>
        <v>0.371184882990259</v>
      </c>
      <c r="Q84" s="11">
        <f ca="1" t="shared" si="88"/>
        <v>0.911382235832286</v>
      </c>
      <c r="R84" s="11">
        <f ca="1" t="shared" si="88"/>
        <v>0.871324782904241</v>
      </c>
      <c r="S84" s="11">
        <f ca="1" t="shared" si="88"/>
        <v>0.510398607599205</v>
      </c>
      <c r="T84" s="12">
        <f ca="1" t="shared" si="4"/>
        <v>4.81274491702528</v>
      </c>
      <c r="U84" s="12">
        <f ca="1" t="shared" si="5"/>
        <v>5.23881358774895</v>
      </c>
      <c r="V84" s="12">
        <f ca="1" t="shared" si="6"/>
        <v>5.43468876260906</v>
      </c>
      <c r="W84" s="12">
        <f ca="1" t="shared" si="7"/>
        <v>5.02166007742256</v>
      </c>
      <c r="X84" s="12">
        <f ca="1" t="shared" si="8"/>
        <v>4.53650628632584</v>
      </c>
      <c r="Y84" s="12">
        <f ca="1" t="shared" si="9"/>
        <v>4.07503621795306</v>
      </c>
      <c r="Z84" s="12">
        <f ca="1" t="shared" si="10"/>
        <v>4.24535819475359</v>
      </c>
      <c r="AA84" s="12">
        <f ca="1" t="shared" si="11"/>
        <v>5.27134946132251</v>
      </c>
      <c r="AB84" s="12">
        <f ca="1" t="shared" si="12"/>
        <v>5.00900207545982</v>
      </c>
      <c r="AC84" s="12">
        <f ca="1" t="shared" si="13"/>
        <v>5.41123242268642</v>
      </c>
      <c r="AD84" s="12">
        <f ca="1" t="shared" si="14"/>
        <v>5.29233634843638</v>
      </c>
      <c r="AE84" s="12">
        <f ca="1" t="shared" si="15"/>
        <v>4.11306669130231</v>
      </c>
      <c r="AF84" s="12">
        <f ca="1" t="shared" si="16"/>
        <v>4.58898110373782</v>
      </c>
      <c r="AG84" s="12">
        <f ca="1" t="shared" si="17"/>
        <v>5.55691117916143</v>
      </c>
      <c r="AH84" s="12">
        <f ca="1" t="shared" si="18"/>
        <v>5.4283119572606</v>
      </c>
      <c r="AI84" s="12">
        <f ca="1" t="shared" si="19"/>
        <v>4.76299825949901</v>
      </c>
      <c r="AJ84" s="12">
        <f ca="1">SUM($T84:T84)</f>
        <v>4.81274491702528</v>
      </c>
      <c r="AK84" s="12">
        <f ca="1">SUM($T84:U84)</f>
        <v>10.0515585047742</v>
      </c>
      <c r="AL84" s="12">
        <f ca="1">SUM($T84:V84)</f>
        <v>15.4862472673833</v>
      </c>
      <c r="AM84" s="12">
        <f ca="1">SUM($T84:W84)</f>
        <v>20.5079073448058</v>
      </c>
      <c r="AN84" s="12">
        <f ca="1">SUM($T84:X84)</f>
        <v>25.0444136311317</v>
      </c>
      <c r="AO84" s="12">
        <f ca="1">SUM($T84:Y84)</f>
        <v>29.1194498490847</v>
      </c>
      <c r="AP84" s="12">
        <f ca="1">SUM($T84:Z84)</f>
        <v>33.3648080438383</v>
      </c>
      <c r="AQ84" s="12">
        <f ca="1">SUM($T84:AA84)</f>
        <v>38.6361575051608</v>
      </c>
      <c r="AR84" s="12">
        <f ca="1">SUM($T84:AB84)</f>
        <v>43.6451595806207</v>
      </c>
      <c r="AS84" s="12">
        <f ca="1">SUM($T84:AC84)</f>
        <v>49.0563920033071</v>
      </c>
      <c r="AT84" s="12">
        <f ca="1">SUM($T84:AD84)</f>
        <v>54.3487283517435</v>
      </c>
      <c r="AU84" s="12">
        <f ca="1">SUM($T84:AE84)</f>
        <v>58.4617950430458</v>
      </c>
      <c r="AV84" s="12">
        <f ca="1">SUM($T84:AF84)</f>
        <v>63.0507761467836</v>
      </c>
      <c r="AW84" s="12">
        <f ca="1">SUM($T84:AG84)</f>
        <v>68.607687325945</v>
      </c>
      <c r="AX84" s="12">
        <f ca="1">SUM($T84:AH84)</f>
        <v>74.0359992832056</v>
      </c>
      <c r="AY84" s="12">
        <f ca="1">SUM($T84:AI84)</f>
        <v>78.7989975427046</v>
      </c>
      <c r="AZ84" s="12">
        <f ca="1" t="shared" si="20"/>
        <v>70.534045790378</v>
      </c>
      <c r="BA84" s="12">
        <f ca="1" t="shared" si="21"/>
        <v>65.2952322026291</v>
      </c>
      <c r="BB84" s="12">
        <f ca="1" t="shared" si="22"/>
        <v>59.86054344002</v>
      </c>
      <c r="BC84" s="12">
        <f ca="1" t="shared" si="23"/>
        <v>54.8388833625975</v>
      </c>
      <c r="BD84" s="12">
        <f ca="1" t="shared" si="24"/>
        <v>50.3023770762716</v>
      </c>
      <c r="BE84" s="12">
        <f ca="1" t="shared" si="25"/>
        <v>46.2273408583186</v>
      </c>
      <c r="BF84" s="12">
        <f ca="1" t="shared" si="26"/>
        <v>41.981982663565</v>
      </c>
      <c r="BG84" s="12">
        <f ca="1" t="shared" si="27"/>
        <v>36.7106332022425</v>
      </c>
      <c r="BH84" s="12">
        <f ca="1" t="shared" si="28"/>
        <v>31.7016311267826</v>
      </c>
      <c r="BI84" s="12">
        <f ca="1" t="shared" si="29"/>
        <v>26.2903987040962</v>
      </c>
      <c r="BJ84" s="12">
        <f ca="1" t="shared" si="30"/>
        <v>20.9980623556598</v>
      </c>
      <c r="BK84" s="12">
        <f ca="1" t="shared" si="31"/>
        <v>16.8849956643575</v>
      </c>
      <c r="BL84" s="12">
        <f ca="1" t="shared" si="32"/>
        <v>12.2960145606197</v>
      </c>
      <c r="BM84" s="12">
        <f ca="1" t="shared" si="33"/>
        <v>6.73910338145826</v>
      </c>
      <c r="BN84" s="12">
        <f ca="1" t="shared" si="34"/>
        <v>1.31079142419766</v>
      </c>
      <c r="BO84" s="12">
        <f ca="1" t="shared" si="35"/>
        <v>0</v>
      </c>
    </row>
    <row r="85" spans="1:67">
      <c r="A85" s="3">
        <v>55</v>
      </c>
      <c r="B85" s="11">
        <f ca="1" t="shared" si="1"/>
        <v>0.786363824431425</v>
      </c>
      <c r="C85" s="12">
        <f ca="1" t="shared" si="2"/>
        <v>68.3766260633061</v>
      </c>
      <c r="D85" s="11">
        <f ca="1" t="shared" ref="D85:S85" si="89">RAND()</f>
        <v>0.0521681498865716</v>
      </c>
      <c r="E85" s="11">
        <f ca="1" t="shared" si="89"/>
        <v>0.283696634540443</v>
      </c>
      <c r="F85" s="11">
        <f ca="1" t="shared" si="89"/>
        <v>0.819175749278235</v>
      </c>
      <c r="G85" s="11">
        <f ca="1" t="shared" si="89"/>
        <v>0.909321593948934</v>
      </c>
      <c r="H85" s="11">
        <f ca="1" t="shared" si="89"/>
        <v>0.31070500790052</v>
      </c>
      <c r="I85" s="11">
        <f ca="1" t="shared" si="89"/>
        <v>0.762661384373298</v>
      </c>
      <c r="J85" s="11">
        <f ca="1" t="shared" si="89"/>
        <v>0.717185188952068</v>
      </c>
      <c r="K85" s="11">
        <f ca="1" t="shared" si="89"/>
        <v>0.013247961267965</v>
      </c>
      <c r="L85" s="11">
        <f ca="1" t="shared" si="89"/>
        <v>0.905691788428324</v>
      </c>
      <c r="M85" s="11">
        <f ca="1" t="shared" si="89"/>
        <v>0.00456107124608707</v>
      </c>
      <c r="N85" s="11">
        <f ca="1" t="shared" si="89"/>
        <v>0.367071088696988</v>
      </c>
      <c r="O85" s="11">
        <f ca="1" t="shared" si="89"/>
        <v>0.135380808741145</v>
      </c>
      <c r="P85" s="11">
        <f ca="1" t="shared" si="89"/>
        <v>0.720190833147472</v>
      </c>
      <c r="Q85" s="11">
        <f ca="1" t="shared" si="89"/>
        <v>0.364838866134711</v>
      </c>
      <c r="R85" s="11">
        <f ca="1" t="shared" si="89"/>
        <v>0.93649730450698</v>
      </c>
      <c r="S85" s="11">
        <f ca="1" t="shared" si="89"/>
        <v>0.93176649980951</v>
      </c>
      <c r="T85" s="12">
        <f ca="1" t="shared" si="4"/>
        <v>4.08694691647762</v>
      </c>
      <c r="U85" s="12">
        <f ca="1" t="shared" si="5"/>
        <v>4.47282772423407</v>
      </c>
      <c r="V85" s="12">
        <f ca="1" t="shared" si="6"/>
        <v>5.29793937319559</v>
      </c>
      <c r="W85" s="12">
        <f ca="1" t="shared" si="7"/>
        <v>5.54660796974467</v>
      </c>
      <c r="X85" s="12">
        <f ca="1" t="shared" si="8"/>
        <v>4.51338125987565</v>
      </c>
      <c r="Y85" s="12">
        <f ca="1" t="shared" si="9"/>
        <v>5.15665346093325</v>
      </c>
      <c r="Z85" s="12">
        <f ca="1" t="shared" si="10"/>
        <v>5.04296297238017</v>
      </c>
      <c r="AA85" s="12">
        <f ca="1" t="shared" si="11"/>
        <v>4.02207993544661</v>
      </c>
      <c r="AB85" s="12">
        <f ca="1" t="shared" si="12"/>
        <v>5.52845894214162</v>
      </c>
      <c r="AC85" s="12">
        <f ca="1" t="shared" si="13"/>
        <v>4.00760178541015</v>
      </c>
      <c r="AD85" s="12">
        <f ca="1" t="shared" si="14"/>
        <v>4.58383886087123</v>
      </c>
      <c r="AE85" s="12">
        <f ca="1" t="shared" si="15"/>
        <v>4.22563468123524</v>
      </c>
      <c r="AF85" s="12">
        <f ca="1" t="shared" si="16"/>
        <v>5.05047708286868</v>
      </c>
      <c r="AG85" s="12">
        <f ca="1" t="shared" si="17"/>
        <v>4.58104858266839</v>
      </c>
      <c r="AH85" s="12">
        <f ca="1" t="shared" si="18"/>
        <v>5.6824865225349</v>
      </c>
      <c r="AI85" s="12">
        <f ca="1" t="shared" si="19"/>
        <v>5.65883249904755</v>
      </c>
      <c r="AJ85" s="12">
        <f ca="1">SUM($T85:T85)</f>
        <v>4.08694691647762</v>
      </c>
      <c r="AK85" s="12">
        <f ca="1">SUM($T85:U85)</f>
        <v>8.55977464071169</v>
      </c>
      <c r="AL85" s="12">
        <f ca="1">SUM($T85:V85)</f>
        <v>13.8577140139073</v>
      </c>
      <c r="AM85" s="12">
        <f ca="1">SUM($T85:W85)</f>
        <v>19.404321983652</v>
      </c>
      <c r="AN85" s="12">
        <f ca="1">SUM($T85:X85)</f>
        <v>23.9177032435276</v>
      </c>
      <c r="AO85" s="12">
        <f ca="1">SUM($T85:Y85)</f>
        <v>29.0743567044608</v>
      </c>
      <c r="AP85" s="12">
        <f ca="1">SUM($T85:Z85)</f>
        <v>34.117319676841</v>
      </c>
      <c r="AQ85" s="12">
        <f ca="1">SUM($T85:AA85)</f>
        <v>38.1393996122876</v>
      </c>
      <c r="AR85" s="12">
        <f ca="1">SUM($T85:AB85)</f>
        <v>43.6678585544292</v>
      </c>
      <c r="AS85" s="12">
        <f ca="1">SUM($T85:AC85)</f>
        <v>47.6754603398394</v>
      </c>
      <c r="AT85" s="12">
        <f ca="1">SUM($T85:AD85)</f>
        <v>52.2592992007106</v>
      </c>
      <c r="AU85" s="12">
        <f ca="1">SUM($T85:AE85)</f>
        <v>56.4849338819459</v>
      </c>
      <c r="AV85" s="12">
        <f ca="1">SUM($T85:AF85)</f>
        <v>61.5354109648145</v>
      </c>
      <c r="AW85" s="12">
        <f ca="1">SUM($T85:AG85)</f>
        <v>66.1164595474829</v>
      </c>
      <c r="AX85" s="12">
        <f ca="1">SUM($T85:AH85)</f>
        <v>71.7989460700178</v>
      </c>
      <c r="AY85" s="12">
        <f ca="1">SUM($T85:AI85)</f>
        <v>77.4577785690654</v>
      </c>
      <c r="AZ85" s="12">
        <f ca="1" t="shared" si="20"/>
        <v>64.2896791468285</v>
      </c>
      <c r="BA85" s="12">
        <f ca="1" t="shared" si="21"/>
        <v>59.8168514225944</v>
      </c>
      <c r="BB85" s="12">
        <f ca="1" t="shared" si="22"/>
        <v>54.5189120493988</v>
      </c>
      <c r="BC85" s="12">
        <f ca="1" t="shared" si="23"/>
        <v>48.9723040796541</v>
      </c>
      <c r="BD85" s="12">
        <f ca="1" t="shared" si="24"/>
        <v>44.4589228197785</v>
      </c>
      <c r="BE85" s="12">
        <f ca="1" t="shared" si="25"/>
        <v>39.3022693588452</v>
      </c>
      <c r="BF85" s="12">
        <f ca="1" t="shared" si="26"/>
        <v>34.2593063864651</v>
      </c>
      <c r="BG85" s="12">
        <f ca="1" t="shared" si="27"/>
        <v>30.2372264510185</v>
      </c>
      <c r="BH85" s="12">
        <f ca="1" t="shared" si="28"/>
        <v>24.7087675088768</v>
      </c>
      <c r="BI85" s="12">
        <f ca="1" t="shared" si="29"/>
        <v>20.7011657234667</v>
      </c>
      <c r="BJ85" s="12">
        <f ca="1" t="shared" si="30"/>
        <v>16.1173268625955</v>
      </c>
      <c r="BK85" s="12">
        <f ca="1" t="shared" si="31"/>
        <v>11.8916921813602</v>
      </c>
      <c r="BL85" s="12">
        <f ca="1" t="shared" si="32"/>
        <v>6.84121509849153</v>
      </c>
      <c r="BM85" s="12">
        <f ca="1" t="shared" si="33"/>
        <v>2.26016651582314</v>
      </c>
      <c r="BN85" s="12">
        <f ca="1" t="shared" si="34"/>
        <v>0</v>
      </c>
      <c r="BO85" s="12">
        <f ca="1" t="shared" si="35"/>
        <v>0</v>
      </c>
    </row>
    <row r="86" spans="1:67">
      <c r="A86" s="3">
        <v>56</v>
      </c>
      <c r="B86" s="11">
        <f ca="1" t="shared" si="1"/>
        <v>0.120099281188671</v>
      </c>
      <c r="C86" s="12">
        <f ca="1" t="shared" si="2"/>
        <v>55.6699760396223</v>
      </c>
      <c r="D86" s="11">
        <f ca="1" t="shared" ref="D86:S86" si="90">RAND()</f>
        <v>0.415033667135075</v>
      </c>
      <c r="E86" s="11">
        <f ca="1" t="shared" si="90"/>
        <v>0.243715536430536</v>
      </c>
      <c r="F86" s="11">
        <f ca="1" t="shared" si="90"/>
        <v>0.269676245611321</v>
      </c>
      <c r="G86" s="11">
        <f ca="1" t="shared" si="90"/>
        <v>0.439397287575465</v>
      </c>
      <c r="H86" s="11">
        <f ca="1" t="shared" si="90"/>
        <v>0.568477400930679</v>
      </c>
      <c r="I86" s="11">
        <f ca="1" t="shared" si="90"/>
        <v>0.174267726191565</v>
      </c>
      <c r="J86" s="11">
        <f ca="1" t="shared" si="90"/>
        <v>0.300604568141923</v>
      </c>
      <c r="K86" s="11">
        <f ca="1" t="shared" si="90"/>
        <v>0.428660288021867</v>
      </c>
      <c r="L86" s="11">
        <f ca="1" t="shared" si="90"/>
        <v>0.0667041711073644</v>
      </c>
      <c r="M86" s="11">
        <f ca="1" t="shared" si="90"/>
        <v>0.795515538120117</v>
      </c>
      <c r="N86" s="11">
        <f ca="1" t="shared" si="90"/>
        <v>0.808542723391968</v>
      </c>
      <c r="O86" s="11">
        <f ca="1" t="shared" si="90"/>
        <v>0.530641272508271</v>
      </c>
      <c r="P86" s="11">
        <f ca="1" t="shared" si="90"/>
        <v>0.566965920969272</v>
      </c>
      <c r="Q86" s="11">
        <f ca="1" t="shared" si="90"/>
        <v>0.0899891760149667</v>
      </c>
      <c r="R86" s="11">
        <f ca="1" t="shared" si="90"/>
        <v>0.864479893372924</v>
      </c>
      <c r="S86" s="11">
        <f ca="1" t="shared" si="90"/>
        <v>0.743585788580237</v>
      </c>
      <c r="T86" s="12">
        <f ca="1" t="shared" si="4"/>
        <v>4.64379208391884</v>
      </c>
      <c r="U86" s="12">
        <f ca="1" t="shared" si="5"/>
        <v>4.40619256071756</v>
      </c>
      <c r="V86" s="12">
        <f ca="1" t="shared" si="6"/>
        <v>4.4494604093522</v>
      </c>
      <c r="W86" s="12">
        <f ca="1" t="shared" si="7"/>
        <v>4.67424660946933</v>
      </c>
      <c r="X86" s="12">
        <f ca="1" t="shared" si="8"/>
        <v>4.83559675116335</v>
      </c>
      <c r="Y86" s="12">
        <f ca="1" t="shared" si="9"/>
        <v>4.29044621031928</v>
      </c>
      <c r="Z86" s="12">
        <f ca="1" t="shared" si="10"/>
        <v>4.5007557101774</v>
      </c>
      <c r="AA86" s="12">
        <f ca="1" t="shared" si="11"/>
        <v>4.66082536002733</v>
      </c>
      <c r="AB86" s="12">
        <f ca="1" t="shared" si="12"/>
        <v>4.11117361851227</v>
      </c>
      <c r="AC86" s="12">
        <f ca="1" t="shared" si="13"/>
        <v>5.23878884530029</v>
      </c>
      <c r="AD86" s="12">
        <f ca="1" t="shared" si="14"/>
        <v>5.27135680847992</v>
      </c>
      <c r="AE86" s="12">
        <f ca="1" t="shared" si="15"/>
        <v>4.78830159063534</v>
      </c>
      <c r="AF86" s="12">
        <f ca="1" t="shared" si="16"/>
        <v>4.83370740121159</v>
      </c>
      <c r="AG86" s="12">
        <f ca="1" t="shared" si="17"/>
        <v>4.14998196002494</v>
      </c>
      <c r="AH86" s="12">
        <f ca="1" t="shared" si="18"/>
        <v>5.41119973343231</v>
      </c>
      <c r="AI86" s="12">
        <f ca="1" t="shared" si="19"/>
        <v>5.10896447145059</v>
      </c>
      <c r="AJ86" s="12">
        <f ca="1">SUM($T86:T86)</f>
        <v>4.64379208391884</v>
      </c>
      <c r="AK86" s="12">
        <f ca="1">SUM($T86:U86)</f>
        <v>9.0499846446364</v>
      </c>
      <c r="AL86" s="12">
        <f ca="1">SUM($T86:V86)</f>
        <v>13.4994450539886</v>
      </c>
      <c r="AM86" s="12">
        <f ca="1">SUM($T86:W86)</f>
        <v>18.1736916634579</v>
      </c>
      <c r="AN86" s="12">
        <f ca="1">SUM($T86:X86)</f>
        <v>23.0092884146213</v>
      </c>
      <c r="AO86" s="12">
        <f ca="1">SUM($T86:Y86)</f>
        <v>27.2997346249406</v>
      </c>
      <c r="AP86" s="12">
        <f ca="1">SUM($T86:Z86)</f>
        <v>31.800490335118</v>
      </c>
      <c r="AQ86" s="12">
        <f ca="1">SUM($T86:AA86)</f>
        <v>36.4613156951453</v>
      </c>
      <c r="AR86" s="12">
        <f ca="1">SUM($T86:AB86)</f>
        <v>40.5724893136576</v>
      </c>
      <c r="AS86" s="12">
        <f ca="1">SUM($T86:AC86)</f>
        <v>45.8112781589579</v>
      </c>
      <c r="AT86" s="12">
        <f ca="1">SUM($T86:AD86)</f>
        <v>51.0826349674378</v>
      </c>
      <c r="AU86" s="12">
        <f ca="1">SUM($T86:AE86)</f>
        <v>55.8709365580731</v>
      </c>
      <c r="AV86" s="12">
        <f ca="1">SUM($T86:AF86)</f>
        <v>60.7046439592847</v>
      </c>
      <c r="AW86" s="12">
        <f ca="1">SUM($T86:AG86)</f>
        <v>64.8546259193097</v>
      </c>
      <c r="AX86" s="12">
        <f ca="1">SUM($T86:AH86)</f>
        <v>70.265825652742</v>
      </c>
      <c r="AY86" s="12">
        <f ca="1">SUM($T86:AI86)</f>
        <v>75.3747901241926</v>
      </c>
      <c r="AZ86" s="12">
        <f ca="1" t="shared" si="20"/>
        <v>51.0261839557035</v>
      </c>
      <c r="BA86" s="12">
        <f ca="1" t="shared" si="21"/>
        <v>46.6199913949859</v>
      </c>
      <c r="BB86" s="12">
        <f ca="1" t="shared" si="22"/>
        <v>42.1705309856337</v>
      </c>
      <c r="BC86" s="12">
        <f ca="1" t="shared" si="23"/>
        <v>37.4962843761644</v>
      </c>
      <c r="BD86" s="12">
        <f ca="1" t="shared" si="24"/>
        <v>32.6606876250011</v>
      </c>
      <c r="BE86" s="12">
        <f ca="1" t="shared" si="25"/>
        <v>28.3702414146818</v>
      </c>
      <c r="BF86" s="12">
        <f ca="1" t="shared" si="26"/>
        <v>23.8694857045044</v>
      </c>
      <c r="BG86" s="12">
        <f ca="1" t="shared" si="27"/>
        <v>19.208660344477</v>
      </c>
      <c r="BH86" s="12">
        <f ca="1" t="shared" si="28"/>
        <v>15.0974867259648</v>
      </c>
      <c r="BI86" s="12">
        <f ca="1" t="shared" si="29"/>
        <v>9.85869788066448</v>
      </c>
      <c r="BJ86" s="12">
        <f ca="1" t="shared" si="30"/>
        <v>4.58734107218456</v>
      </c>
      <c r="BK86" s="12">
        <f ca="1" t="shared" si="31"/>
        <v>0</v>
      </c>
      <c r="BL86" s="12">
        <f ca="1" t="shared" si="32"/>
        <v>0</v>
      </c>
      <c r="BM86" s="12">
        <f ca="1" t="shared" si="33"/>
        <v>0</v>
      </c>
      <c r="BN86" s="12">
        <f ca="1" t="shared" si="34"/>
        <v>0</v>
      </c>
      <c r="BO86" s="12">
        <f ca="1" t="shared" si="35"/>
        <v>0</v>
      </c>
    </row>
    <row r="87" spans="1:67">
      <c r="A87" s="3">
        <v>57</v>
      </c>
      <c r="B87" s="11">
        <f ca="1" t="shared" si="1"/>
        <v>0.704193524579382</v>
      </c>
      <c r="C87" s="12">
        <f ca="1" t="shared" si="2"/>
        <v>67.2027646368483</v>
      </c>
      <c r="D87" s="11">
        <f ca="1" t="shared" ref="D87:S87" si="91">RAND()</f>
        <v>0.75510438362551</v>
      </c>
      <c r="E87" s="11">
        <f ca="1" t="shared" si="91"/>
        <v>0.848188357035023</v>
      </c>
      <c r="F87" s="11">
        <f ca="1" t="shared" si="91"/>
        <v>0.330172754989211</v>
      </c>
      <c r="G87" s="11">
        <f ca="1" t="shared" si="91"/>
        <v>0.125042677159179</v>
      </c>
      <c r="H87" s="11">
        <f ca="1" t="shared" si="91"/>
        <v>0.47850061498591</v>
      </c>
      <c r="I87" s="11">
        <f ca="1" t="shared" si="91"/>
        <v>0.340225755916808</v>
      </c>
      <c r="J87" s="11">
        <f ca="1" t="shared" si="91"/>
        <v>0.143884985144903</v>
      </c>
      <c r="K87" s="11">
        <f ca="1" t="shared" si="91"/>
        <v>0.204220169926529</v>
      </c>
      <c r="L87" s="11">
        <f ca="1" t="shared" si="91"/>
        <v>0.896124529854825</v>
      </c>
      <c r="M87" s="11">
        <f ca="1" t="shared" si="91"/>
        <v>0.813295314804073</v>
      </c>
      <c r="N87" s="11">
        <f ca="1" t="shared" si="91"/>
        <v>0.934698926425757</v>
      </c>
      <c r="O87" s="11">
        <f ca="1" t="shared" si="91"/>
        <v>0.151412892893029</v>
      </c>
      <c r="P87" s="11">
        <f ca="1" t="shared" si="91"/>
        <v>0.616988322820953</v>
      </c>
      <c r="Q87" s="11">
        <f ca="1" t="shared" si="91"/>
        <v>0.87673811151363</v>
      </c>
      <c r="R87" s="11">
        <f ca="1" t="shared" si="91"/>
        <v>0.391012236903879</v>
      </c>
      <c r="S87" s="11">
        <f ca="1" t="shared" si="91"/>
        <v>0.51039062330347</v>
      </c>
      <c r="T87" s="12">
        <f ca="1" t="shared" si="4"/>
        <v>5.13776095906378</v>
      </c>
      <c r="U87" s="12">
        <f ca="1" t="shared" si="5"/>
        <v>5.37047089258756</v>
      </c>
      <c r="V87" s="12">
        <f ca="1" t="shared" si="6"/>
        <v>4.53771594373651</v>
      </c>
      <c r="W87" s="12">
        <f ca="1" t="shared" si="7"/>
        <v>4.20840446193197</v>
      </c>
      <c r="X87" s="12">
        <f ca="1" t="shared" si="8"/>
        <v>4.72312576873239</v>
      </c>
      <c r="Y87" s="12">
        <f ca="1" t="shared" si="9"/>
        <v>4.55028219489601</v>
      </c>
      <c r="Z87" s="12">
        <f ca="1" t="shared" si="10"/>
        <v>4.23980830857484</v>
      </c>
      <c r="AA87" s="12">
        <f ca="1" t="shared" si="11"/>
        <v>4.34036694987755</v>
      </c>
      <c r="AB87" s="12">
        <f ca="1" t="shared" si="12"/>
        <v>5.49031132463706</v>
      </c>
      <c r="AC87" s="12">
        <f ca="1" t="shared" si="13"/>
        <v>5.28323828701018</v>
      </c>
      <c r="AD87" s="12">
        <f ca="1" t="shared" si="14"/>
        <v>5.67349463212879</v>
      </c>
      <c r="AE87" s="12">
        <f ca="1" t="shared" si="15"/>
        <v>4.25235482148838</v>
      </c>
      <c r="AF87" s="12">
        <f ca="1" t="shared" si="16"/>
        <v>4.89623540352619</v>
      </c>
      <c r="AG87" s="12">
        <f ca="1" t="shared" si="17"/>
        <v>5.44184527878407</v>
      </c>
      <c r="AH87" s="12">
        <f ca="1" t="shared" si="18"/>
        <v>4.61376529612985</v>
      </c>
      <c r="AI87" s="12">
        <f ca="1" t="shared" si="19"/>
        <v>4.76298827912934</v>
      </c>
      <c r="AJ87" s="12">
        <f ca="1">SUM($T87:T87)</f>
        <v>5.13776095906378</v>
      </c>
      <c r="AK87" s="12">
        <f ca="1">SUM($T87:U87)</f>
        <v>10.5082318516513</v>
      </c>
      <c r="AL87" s="12">
        <f ca="1">SUM($T87:V87)</f>
        <v>15.0459477953878</v>
      </c>
      <c r="AM87" s="12">
        <f ca="1">SUM($T87:W87)</f>
        <v>19.2543522573198</v>
      </c>
      <c r="AN87" s="12">
        <f ca="1">SUM($T87:X87)</f>
        <v>23.9774780260522</v>
      </c>
      <c r="AO87" s="12">
        <f ca="1">SUM($T87:Y87)</f>
        <v>28.5277602209482</v>
      </c>
      <c r="AP87" s="12">
        <f ca="1">SUM($T87:Z87)</f>
        <v>32.767568529523</v>
      </c>
      <c r="AQ87" s="12">
        <f ca="1">SUM($T87:AA87)</f>
        <v>37.1079354794006</v>
      </c>
      <c r="AR87" s="12">
        <f ca="1">SUM($T87:AB87)</f>
        <v>42.5982468040377</v>
      </c>
      <c r="AS87" s="12">
        <f ca="1">SUM($T87:AC87)</f>
        <v>47.8814850910478</v>
      </c>
      <c r="AT87" s="12">
        <f ca="1">SUM($T87:AD87)</f>
        <v>53.5549797231766</v>
      </c>
      <c r="AU87" s="12">
        <f ca="1">SUM($T87:AE87)</f>
        <v>57.807334544665</v>
      </c>
      <c r="AV87" s="12">
        <f ca="1">SUM($T87:AF87)</f>
        <v>62.7035699481912</v>
      </c>
      <c r="AW87" s="12">
        <f ca="1">SUM($T87:AG87)</f>
        <v>68.1454152269753</v>
      </c>
      <c r="AX87" s="12">
        <f ca="1">SUM($T87:AH87)</f>
        <v>72.7591805231051</v>
      </c>
      <c r="AY87" s="12">
        <f ca="1">SUM($T87:AI87)</f>
        <v>77.5221688022345</v>
      </c>
      <c r="AZ87" s="12">
        <f ca="1" t="shared" si="20"/>
        <v>62.0650036777845</v>
      </c>
      <c r="BA87" s="12">
        <f ca="1" t="shared" si="21"/>
        <v>56.694532785197</v>
      </c>
      <c r="BB87" s="12">
        <f ca="1" t="shared" si="22"/>
        <v>52.1568168414605</v>
      </c>
      <c r="BC87" s="12">
        <f ca="1" t="shared" si="23"/>
        <v>47.9484123795285</v>
      </c>
      <c r="BD87" s="12">
        <f ca="1" t="shared" si="24"/>
        <v>43.2252866107961</v>
      </c>
      <c r="BE87" s="12">
        <f ca="1" t="shared" si="25"/>
        <v>38.6750044159001</v>
      </c>
      <c r="BF87" s="12">
        <f ca="1" t="shared" si="26"/>
        <v>34.4351961073253</v>
      </c>
      <c r="BG87" s="12">
        <f ca="1" t="shared" si="27"/>
        <v>30.0948291574477</v>
      </c>
      <c r="BH87" s="12">
        <f ca="1" t="shared" si="28"/>
        <v>24.6045178328107</v>
      </c>
      <c r="BI87" s="12">
        <f ca="1" t="shared" si="29"/>
        <v>19.3212795458005</v>
      </c>
      <c r="BJ87" s="12">
        <f ca="1" t="shared" si="30"/>
        <v>13.6477849136717</v>
      </c>
      <c r="BK87" s="12">
        <f ca="1" t="shared" si="31"/>
        <v>9.3954300921833</v>
      </c>
      <c r="BL87" s="12">
        <f ca="1" t="shared" si="32"/>
        <v>4.49919468865711</v>
      </c>
      <c r="BM87" s="12">
        <f ca="1" t="shared" si="33"/>
        <v>0</v>
      </c>
      <c r="BN87" s="12">
        <f ca="1" t="shared" si="34"/>
        <v>0</v>
      </c>
      <c r="BO87" s="12">
        <f ca="1" t="shared" si="35"/>
        <v>0</v>
      </c>
    </row>
    <row r="88" spans="1:67">
      <c r="A88" s="3">
        <v>58</v>
      </c>
      <c r="B88" s="11">
        <f ca="1" t="shared" si="1"/>
        <v>0.273959140384195</v>
      </c>
      <c r="C88" s="12">
        <f ca="1" t="shared" si="2"/>
        <v>60.3993190064033</v>
      </c>
      <c r="D88" s="11">
        <f ca="1" t="shared" ref="D88:S88" si="92">RAND()</f>
        <v>0.801318486876877</v>
      </c>
      <c r="E88" s="11">
        <f ca="1" t="shared" si="92"/>
        <v>0.186079841469991</v>
      </c>
      <c r="F88" s="11">
        <f ca="1" t="shared" si="92"/>
        <v>0.953242077573444</v>
      </c>
      <c r="G88" s="11">
        <f ca="1" t="shared" si="92"/>
        <v>0.0941005276650346</v>
      </c>
      <c r="H88" s="11">
        <f ca="1" t="shared" si="92"/>
        <v>0.631503045440474</v>
      </c>
      <c r="I88" s="11">
        <f ca="1" t="shared" si="92"/>
        <v>0.0483692562099902</v>
      </c>
      <c r="J88" s="11">
        <f ca="1" t="shared" si="92"/>
        <v>0.234565225270096</v>
      </c>
      <c r="K88" s="11">
        <f ca="1" t="shared" si="92"/>
        <v>0.78516880728852</v>
      </c>
      <c r="L88" s="11">
        <f ca="1" t="shared" si="92"/>
        <v>0.437537214170192</v>
      </c>
      <c r="M88" s="11">
        <f ca="1" t="shared" si="92"/>
        <v>0.310713789603011</v>
      </c>
      <c r="N88" s="11">
        <f ca="1" t="shared" si="92"/>
        <v>0.289032520569504</v>
      </c>
      <c r="O88" s="11">
        <f ca="1" t="shared" si="92"/>
        <v>0.523330213959855</v>
      </c>
      <c r="P88" s="11">
        <f ca="1" t="shared" si="92"/>
        <v>0.0132531487310676</v>
      </c>
      <c r="Q88" s="11">
        <f ca="1" t="shared" si="92"/>
        <v>0.135387155931865</v>
      </c>
      <c r="R88" s="11">
        <f ca="1" t="shared" si="92"/>
        <v>0.36485403032541</v>
      </c>
      <c r="S88" s="11">
        <f ca="1" t="shared" si="92"/>
        <v>0.720429154030108</v>
      </c>
      <c r="T88" s="12">
        <f ca="1" t="shared" si="4"/>
        <v>5.25329621719219</v>
      </c>
      <c r="U88" s="12">
        <f ca="1" t="shared" si="5"/>
        <v>4.31013306911665</v>
      </c>
      <c r="V88" s="12">
        <f ca="1" t="shared" si="6"/>
        <v>5.76621038786722</v>
      </c>
      <c r="W88" s="12">
        <f ca="1" t="shared" si="7"/>
        <v>4.15683421277506</v>
      </c>
      <c r="X88" s="12">
        <f ca="1" t="shared" si="8"/>
        <v>4.91437880680059</v>
      </c>
      <c r="Y88" s="12">
        <f ca="1" t="shared" si="9"/>
        <v>4.08061542701665</v>
      </c>
      <c r="Z88" s="12">
        <f ca="1" t="shared" si="10"/>
        <v>4.39094204211683</v>
      </c>
      <c r="AA88" s="12">
        <f ca="1" t="shared" si="11"/>
        <v>5.2129220182213</v>
      </c>
      <c r="AB88" s="12">
        <f ca="1" t="shared" si="12"/>
        <v>4.67192151771274</v>
      </c>
      <c r="AC88" s="12">
        <f ca="1" t="shared" si="13"/>
        <v>4.51339223700376</v>
      </c>
      <c r="AD88" s="12">
        <f ca="1" t="shared" si="14"/>
        <v>4.48172086761584</v>
      </c>
      <c r="AE88" s="12">
        <f ca="1" t="shared" si="15"/>
        <v>4.77916276744982</v>
      </c>
      <c r="AF88" s="12">
        <f ca="1" t="shared" si="16"/>
        <v>4.02208858121845</v>
      </c>
      <c r="AG88" s="12">
        <f ca="1" t="shared" si="17"/>
        <v>4.22564525988644</v>
      </c>
      <c r="AH88" s="12">
        <f ca="1" t="shared" si="18"/>
        <v>4.58106753790676</v>
      </c>
      <c r="AI88" s="12">
        <f ca="1" t="shared" si="19"/>
        <v>5.05107288507527</v>
      </c>
      <c r="AJ88" s="12">
        <f ca="1">SUM($T88:T88)</f>
        <v>5.25329621719219</v>
      </c>
      <c r="AK88" s="12">
        <f ca="1">SUM($T88:U88)</f>
        <v>9.56342928630884</v>
      </c>
      <c r="AL88" s="12">
        <f ca="1">SUM($T88:V88)</f>
        <v>15.3296396741761</v>
      </c>
      <c r="AM88" s="12">
        <f ca="1">SUM($T88:W88)</f>
        <v>19.4864738869511</v>
      </c>
      <c r="AN88" s="12">
        <f ca="1">SUM($T88:X88)</f>
        <v>24.4008526937517</v>
      </c>
      <c r="AO88" s="12">
        <f ca="1">SUM($T88:Y88)</f>
        <v>28.4814681207684</v>
      </c>
      <c r="AP88" s="12">
        <f ca="1">SUM($T88:Z88)</f>
        <v>32.8724101628852</v>
      </c>
      <c r="AQ88" s="12">
        <f ca="1">SUM($T88:AA88)</f>
        <v>38.0853321811065</v>
      </c>
      <c r="AR88" s="12">
        <f ca="1">SUM($T88:AB88)</f>
        <v>42.7572536988192</v>
      </c>
      <c r="AS88" s="12">
        <f ca="1">SUM($T88:AC88)</f>
        <v>47.270645935823</v>
      </c>
      <c r="AT88" s="12">
        <f ca="1">SUM($T88:AD88)</f>
        <v>51.7523668034388</v>
      </c>
      <c r="AU88" s="12">
        <f ca="1">SUM($T88:AE88)</f>
        <v>56.5315295708887</v>
      </c>
      <c r="AV88" s="12">
        <f ca="1">SUM($T88:AF88)</f>
        <v>60.5536181521071</v>
      </c>
      <c r="AW88" s="12">
        <f ca="1">SUM($T88:AG88)</f>
        <v>64.7792634119935</v>
      </c>
      <c r="AX88" s="12">
        <f ca="1">SUM($T88:AH88)</f>
        <v>69.3603309499003</v>
      </c>
      <c r="AY88" s="12">
        <f ca="1">SUM($T88:AI88)</f>
        <v>74.4114038349756</v>
      </c>
      <c r="AZ88" s="12">
        <f ca="1" t="shared" si="20"/>
        <v>55.1460227892111</v>
      </c>
      <c r="BA88" s="12">
        <f ca="1" t="shared" si="21"/>
        <v>50.8358897200944</v>
      </c>
      <c r="BB88" s="12">
        <f ca="1" t="shared" si="22"/>
        <v>45.0696793322272</v>
      </c>
      <c r="BC88" s="12">
        <f ca="1" t="shared" si="23"/>
        <v>40.9128451194521</v>
      </c>
      <c r="BD88" s="12">
        <f ca="1" t="shared" si="24"/>
        <v>35.9984663126516</v>
      </c>
      <c r="BE88" s="12">
        <f ca="1" t="shared" si="25"/>
        <v>31.9178508856349</v>
      </c>
      <c r="BF88" s="12">
        <f ca="1" t="shared" si="26"/>
        <v>27.5269088435181</v>
      </c>
      <c r="BG88" s="12">
        <f ca="1" t="shared" si="27"/>
        <v>22.3139868252968</v>
      </c>
      <c r="BH88" s="12">
        <f ca="1" t="shared" si="28"/>
        <v>17.642065307584</v>
      </c>
      <c r="BI88" s="12">
        <f ca="1" t="shared" si="29"/>
        <v>13.1286730705803</v>
      </c>
      <c r="BJ88" s="12">
        <f ca="1" t="shared" si="30"/>
        <v>8.64695220296443</v>
      </c>
      <c r="BK88" s="12">
        <f ca="1" t="shared" si="31"/>
        <v>3.86778943551461</v>
      </c>
      <c r="BL88" s="12">
        <f ca="1" t="shared" si="32"/>
        <v>0</v>
      </c>
      <c r="BM88" s="12">
        <f ca="1" t="shared" si="33"/>
        <v>0</v>
      </c>
      <c r="BN88" s="12">
        <f ca="1" t="shared" si="34"/>
        <v>0</v>
      </c>
      <c r="BO88" s="12">
        <f ca="1" t="shared" si="35"/>
        <v>0</v>
      </c>
    </row>
    <row r="89" spans="1:67">
      <c r="A89" s="3">
        <v>59</v>
      </c>
      <c r="B89" s="11">
        <f ca="1" t="shared" si="1"/>
        <v>0.329762096403152</v>
      </c>
      <c r="C89" s="12">
        <f ca="1" t="shared" si="2"/>
        <v>61.3293682733859</v>
      </c>
      <c r="D89" s="11">
        <f ca="1" t="shared" ref="D89:S89" si="93">RAND()</f>
        <v>0.156954820374341</v>
      </c>
      <c r="E89" s="11">
        <f ca="1" t="shared" si="93"/>
        <v>0.748670079101616</v>
      </c>
      <c r="F89" s="11">
        <f ca="1" t="shared" si="93"/>
        <v>0.371161745717894</v>
      </c>
      <c r="G89" s="11">
        <f ca="1" t="shared" si="93"/>
        <v>0.269661260212728</v>
      </c>
      <c r="H89" s="11">
        <f ca="1" t="shared" si="93"/>
        <v>0.883134973793689</v>
      </c>
      <c r="I89" s="11">
        <f ca="1" t="shared" si="93"/>
        <v>0.566977007384088</v>
      </c>
      <c r="J89" s="11">
        <f ca="1" t="shared" si="93"/>
        <v>0.637951818694866</v>
      </c>
      <c r="K89" s="11">
        <f ca="1" t="shared" si="93"/>
        <v>0.478504043115186</v>
      </c>
      <c r="L89" s="11">
        <f ca="1" t="shared" si="93"/>
        <v>0.0285987013145574</v>
      </c>
      <c r="M89" s="11">
        <f ca="1" t="shared" si="93"/>
        <v>0.953369896823055</v>
      </c>
      <c r="N89" s="11">
        <f ca="1" t="shared" si="93"/>
        <v>0.0673416865196796</v>
      </c>
      <c r="O89" s="11">
        <f ca="1" t="shared" si="93"/>
        <v>0.533218056083987</v>
      </c>
      <c r="P89" s="11">
        <f ca="1" t="shared" si="93"/>
        <v>0.624428144244358</v>
      </c>
      <c r="Q89" s="11">
        <f ca="1" t="shared" si="93"/>
        <v>0.434468491887109</v>
      </c>
      <c r="R89" s="11">
        <f ca="1" t="shared" si="93"/>
        <v>0.325190876820515</v>
      </c>
      <c r="S89" s="11">
        <f ca="1" t="shared" si="93"/>
        <v>0.896132571736126</v>
      </c>
      <c r="T89" s="12">
        <f ca="1" t="shared" si="4"/>
        <v>4.26159136729057</v>
      </c>
      <c r="U89" s="12">
        <f ca="1" t="shared" si="5"/>
        <v>5.12167519775404</v>
      </c>
      <c r="V89" s="12">
        <f ca="1" t="shared" si="6"/>
        <v>4.58895218214737</v>
      </c>
      <c r="W89" s="12">
        <f ca="1" t="shared" si="7"/>
        <v>4.44943543368788</v>
      </c>
      <c r="X89" s="12">
        <f ca="1" t="shared" si="8"/>
        <v>5.45783743448422</v>
      </c>
      <c r="Y89" s="12">
        <f ca="1" t="shared" si="9"/>
        <v>4.83372125923011</v>
      </c>
      <c r="Z89" s="12">
        <f ca="1" t="shared" si="10"/>
        <v>4.92243977336858</v>
      </c>
      <c r="AA89" s="12">
        <f ca="1" t="shared" si="11"/>
        <v>4.72313005389398</v>
      </c>
      <c r="AB89" s="12">
        <f ca="1" t="shared" si="12"/>
        <v>4.04766450219093</v>
      </c>
      <c r="AC89" s="12">
        <f ca="1" t="shared" si="13"/>
        <v>5.76684948411528</v>
      </c>
      <c r="AD89" s="12">
        <f ca="1" t="shared" si="14"/>
        <v>4.11223614419947</v>
      </c>
      <c r="AE89" s="12">
        <f ca="1" t="shared" si="15"/>
        <v>4.79152257010498</v>
      </c>
      <c r="AF89" s="12">
        <f ca="1" t="shared" si="16"/>
        <v>4.90553518030545</v>
      </c>
      <c r="AG89" s="12">
        <f ca="1" t="shared" si="17"/>
        <v>4.66808561485889</v>
      </c>
      <c r="AH89" s="12">
        <f ca="1" t="shared" si="18"/>
        <v>4.53148859602564</v>
      </c>
      <c r="AI89" s="12">
        <f ca="1" t="shared" si="19"/>
        <v>5.49033142934032</v>
      </c>
      <c r="AJ89" s="12">
        <f ca="1">SUM($T89:T89)</f>
        <v>4.26159136729057</v>
      </c>
      <c r="AK89" s="12">
        <f ca="1">SUM($T89:U89)</f>
        <v>9.38326656504461</v>
      </c>
      <c r="AL89" s="12">
        <f ca="1">SUM($T89:V89)</f>
        <v>13.972218747192</v>
      </c>
      <c r="AM89" s="12">
        <f ca="1">SUM($T89:W89)</f>
        <v>18.4216541808799</v>
      </c>
      <c r="AN89" s="12">
        <f ca="1">SUM($T89:X89)</f>
        <v>23.8794916153641</v>
      </c>
      <c r="AO89" s="12">
        <f ca="1">SUM($T89:Y89)</f>
        <v>28.7132128745942</v>
      </c>
      <c r="AP89" s="12">
        <f ca="1">SUM($T89:Z89)</f>
        <v>33.6356526479628</v>
      </c>
      <c r="AQ89" s="12">
        <f ca="1">SUM($T89:AA89)</f>
        <v>38.3587827018568</v>
      </c>
      <c r="AR89" s="12">
        <f ca="1">SUM($T89:AB89)</f>
        <v>42.4064472040477</v>
      </c>
      <c r="AS89" s="12">
        <f ca="1">SUM($T89:AC89)</f>
        <v>48.173296688163</v>
      </c>
      <c r="AT89" s="12">
        <f ca="1">SUM($T89:AD89)</f>
        <v>52.2855328323624</v>
      </c>
      <c r="AU89" s="12">
        <f ca="1">SUM($T89:AE89)</f>
        <v>57.0770554024674</v>
      </c>
      <c r="AV89" s="12">
        <f ca="1">SUM($T89:AF89)</f>
        <v>61.9825905827729</v>
      </c>
      <c r="AW89" s="12">
        <f ca="1">SUM($T89:AG89)</f>
        <v>66.6506761976317</v>
      </c>
      <c r="AX89" s="12">
        <f ca="1">SUM($T89:AH89)</f>
        <v>71.1821647936574</v>
      </c>
      <c r="AY89" s="12">
        <f ca="1">SUM($T89:AI89)</f>
        <v>76.6724962229977</v>
      </c>
      <c r="AZ89" s="12">
        <f ca="1" t="shared" si="20"/>
        <v>57.0677769060953</v>
      </c>
      <c r="BA89" s="12">
        <f ca="1" t="shared" si="21"/>
        <v>51.9461017083413</v>
      </c>
      <c r="BB89" s="12">
        <f ca="1" t="shared" si="22"/>
        <v>47.3571495261939</v>
      </c>
      <c r="BC89" s="12">
        <f ca="1" t="shared" si="23"/>
        <v>42.907714092506</v>
      </c>
      <c r="BD89" s="12">
        <f ca="1" t="shared" si="24"/>
        <v>37.4498766580218</v>
      </c>
      <c r="BE89" s="12">
        <f ca="1" t="shared" si="25"/>
        <v>32.6161553987917</v>
      </c>
      <c r="BF89" s="12">
        <f ca="1" t="shared" si="26"/>
        <v>27.6937156254231</v>
      </c>
      <c r="BG89" s="12">
        <f ca="1" t="shared" si="27"/>
        <v>22.9705855715291</v>
      </c>
      <c r="BH89" s="12">
        <f ca="1" t="shared" si="28"/>
        <v>18.9229210693382</v>
      </c>
      <c r="BI89" s="12">
        <f ca="1" t="shared" si="29"/>
        <v>13.1560715852229</v>
      </c>
      <c r="BJ89" s="12">
        <f ca="1" t="shared" si="30"/>
        <v>9.04383544102344</v>
      </c>
      <c r="BK89" s="12">
        <f ca="1" t="shared" si="31"/>
        <v>4.25231287091845</v>
      </c>
      <c r="BL89" s="12">
        <f ca="1" t="shared" si="32"/>
        <v>0</v>
      </c>
      <c r="BM89" s="12">
        <f ca="1" t="shared" si="33"/>
        <v>0</v>
      </c>
      <c r="BN89" s="12">
        <f ca="1" t="shared" si="34"/>
        <v>0</v>
      </c>
      <c r="BO89" s="12">
        <f ca="1" t="shared" si="35"/>
        <v>0</v>
      </c>
    </row>
    <row r="90" spans="1:67">
      <c r="A90" s="3">
        <v>60</v>
      </c>
      <c r="B90" s="11">
        <f ca="1" t="shared" si="1"/>
        <v>0.198265176242536</v>
      </c>
      <c r="C90" s="12">
        <f ca="1" t="shared" si="2"/>
        <v>58.2755058747512</v>
      </c>
      <c r="D90" s="11">
        <f ca="1" t="shared" ref="D90:S90" si="94">RAND()</f>
        <v>0.577142415450813</v>
      </c>
      <c r="E90" s="11">
        <f ca="1" t="shared" si="94"/>
        <v>0.000365996571933591</v>
      </c>
      <c r="F90" s="11">
        <f ca="1" t="shared" si="94"/>
        <v>0.186067303427053</v>
      </c>
      <c r="G90" s="11">
        <f ca="1" t="shared" si="94"/>
        <v>0.418244798646406</v>
      </c>
      <c r="H90" s="11">
        <f ca="1" t="shared" si="94"/>
        <v>0.361080103828456</v>
      </c>
      <c r="I90" s="11">
        <f ca="1" t="shared" si="94"/>
        <v>0.781690055154986</v>
      </c>
      <c r="J90" s="11">
        <f ca="1" t="shared" si="94"/>
        <v>0.0765772175533019</v>
      </c>
      <c r="K90" s="11">
        <f ca="1" t="shared" si="94"/>
        <v>0.519351586433414</v>
      </c>
      <c r="L90" s="11">
        <f ca="1" t="shared" si="94"/>
        <v>0.234566534616867</v>
      </c>
      <c r="M90" s="11">
        <f ca="1" t="shared" si="94"/>
        <v>0.579217403988356</v>
      </c>
      <c r="N90" s="11">
        <f ca="1" t="shared" si="94"/>
        <v>0.289049879849314</v>
      </c>
      <c r="O90" s="11">
        <f ca="1" t="shared" si="94"/>
        <v>0.023915339592919</v>
      </c>
      <c r="P90" s="11">
        <f ca="1" t="shared" si="94"/>
        <v>0.182678918768518</v>
      </c>
      <c r="Q90" s="11">
        <f ca="1" t="shared" si="94"/>
        <v>0.279293141204215</v>
      </c>
      <c r="R90" s="11">
        <f ca="1" t="shared" si="94"/>
        <v>0.634866007256011</v>
      </c>
      <c r="S90" s="11">
        <f ca="1" t="shared" si="94"/>
        <v>0.229894708231654</v>
      </c>
      <c r="T90" s="12">
        <f ca="1" t="shared" si="4"/>
        <v>4.84642801931352</v>
      </c>
      <c r="U90" s="12">
        <f ca="1" t="shared" si="5"/>
        <v>4.00060999428656</v>
      </c>
      <c r="V90" s="12">
        <f ca="1" t="shared" si="6"/>
        <v>4.31011217237842</v>
      </c>
      <c r="W90" s="12">
        <f ca="1" t="shared" si="7"/>
        <v>4.64780599830801</v>
      </c>
      <c r="X90" s="12">
        <f ca="1" t="shared" si="8"/>
        <v>4.57635012978557</v>
      </c>
      <c r="Y90" s="12">
        <f ca="1" t="shared" si="9"/>
        <v>5.20422513788747</v>
      </c>
      <c r="Z90" s="12">
        <f ca="1" t="shared" si="10"/>
        <v>4.12762869592217</v>
      </c>
      <c r="AA90" s="12">
        <f ca="1" t="shared" si="11"/>
        <v>4.77418948304177</v>
      </c>
      <c r="AB90" s="12">
        <f ca="1" t="shared" si="12"/>
        <v>4.39094422436145</v>
      </c>
      <c r="AC90" s="12">
        <f ca="1" t="shared" si="13"/>
        <v>4.84902175498544</v>
      </c>
      <c r="AD90" s="12">
        <f ca="1" t="shared" si="14"/>
        <v>4.48174979974886</v>
      </c>
      <c r="AE90" s="12">
        <f ca="1" t="shared" si="15"/>
        <v>4.03985889932153</v>
      </c>
      <c r="AF90" s="12">
        <f ca="1" t="shared" si="16"/>
        <v>4.3044648646142</v>
      </c>
      <c r="AG90" s="12">
        <f ca="1" t="shared" si="17"/>
        <v>4.46548856867369</v>
      </c>
      <c r="AH90" s="12">
        <f ca="1" t="shared" si="18"/>
        <v>4.91858250907001</v>
      </c>
      <c r="AI90" s="12">
        <f ca="1" t="shared" si="19"/>
        <v>4.38315784705276</v>
      </c>
      <c r="AJ90" s="12">
        <f ca="1">SUM($T90:T90)</f>
        <v>4.84642801931352</v>
      </c>
      <c r="AK90" s="12">
        <f ca="1">SUM($T90:U90)</f>
        <v>8.84703801360007</v>
      </c>
      <c r="AL90" s="12">
        <f ca="1">SUM($T90:V90)</f>
        <v>13.1571501859785</v>
      </c>
      <c r="AM90" s="12">
        <f ca="1">SUM($T90:W90)</f>
        <v>17.8049561842865</v>
      </c>
      <c r="AN90" s="12">
        <f ca="1">SUM($T90:X90)</f>
        <v>22.3813063140721</v>
      </c>
      <c r="AO90" s="12">
        <f ca="1">SUM($T90:Y90)</f>
        <v>27.5855314519595</v>
      </c>
      <c r="AP90" s="12">
        <f ca="1">SUM($T90:Z90)</f>
        <v>31.7131601478817</v>
      </c>
      <c r="AQ90" s="12">
        <f ca="1">SUM($T90:AA90)</f>
        <v>36.4873496309235</v>
      </c>
      <c r="AR90" s="12">
        <f ca="1">SUM($T90:AB90)</f>
        <v>40.8782938552849</v>
      </c>
      <c r="AS90" s="12">
        <f ca="1">SUM($T90:AC90)</f>
        <v>45.7273156102704</v>
      </c>
      <c r="AT90" s="12">
        <f ca="1">SUM($T90:AD90)</f>
        <v>50.2090654100192</v>
      </c>
      <c r="AU90" s="12">
        <f ca="1">SUM($T90:AE90)</f>
        <v>54.2489243093408</v>
      </c>
      <c r="AV90" s="12">
        <f ca="1">SUM($T90:AF90)</f>
        <v>58.5533891739549</v>
      </c>
      <c r="AW90" s="12">
        <f ca="1">SUM($T90:AG90)</f>
        <v>63.0188777426286</v>
      </c>
      <c r="AX90" s="12">
        <f ca="1">SUM($T90:AH90)</f>
        <v>67.9374602516987</v>
      </c>
      <c r="AY90" s="12">
        <f ca="1">SUM($T90:AI90)</f>
        <v>72.3206180987514</v>
      </c>
      <c r="AZ90" s="12">
        <f ca="1" t="shared" si="20"/>
        <v>53.4290778554377</v>
      </c>
      <c r="BA90" s="12">
        <f ca="1" t="shared" si="21"/>
        <v>49.4284678611511</v>
      </c>
      <c r="BB90" s="12">
        <f ca="1" t="shared" si="22"/>
        <v>45.1183556887727</v>
      </c>
      <c r="BC90" s="12">
        <f ca="1" t="shared" si="23"/>
        <v>40.4705496904647</v>
      </c>
      <c r="BD90" s="12">
        <f ca="1" t="shared" si="24"/>
        <v>35.8941995606791</v>
      </c>
      <c r="BE90" s="12">
        <f ca="1" t="shared" si="25"/>
        <v>30.6899744227917</v>
      </c>
      <c r="BF90" s="12">
        <f ca="1" t="shared" si="26"/>
        <v>26.5623457268695</v>
      </c>
      <c r="BG90" s="12">
        <f ca="1" t="shared" si="27"/>
        <v>21.7881562438277</v>
      </c>
      <c r="BH90" s="12">
        <f ca="1" t="shared" si="28"/>
        <v>17.3972120194663</v>
      </c>
      <c r="BI90" s="12">
        <f ca="1" t="shared" si="29"/>
        <v>12.5481902644809</v>
      </c>
      <c r="BJ90" s="12">
        <f ca="1" t="shared" si="30"/>
        <v>8.066440464732</v>
      </c>
      <c r="BK90" s="12">
        <f ca="1" t="shared" si="31"/>
        <v>4.02658156541047</v>
      </c>
      <c r="BL90" s="12">
        <f ca="1" t="shared" si="32"/>
        <v>0</v>
      </c>
      <c r="BM90" s="12">
        <f ca="1" t="shared" si="33"/>
        <v>0</v>
      </c>
      <c r="BN90" s="12">
        <f ca="1" t="shared" si="34"/>
        <v>0</v>
      </c>
      <c r="BO90" s="12">
        <f ca="1" t="shared" si="35"/>
        <v>0</v>
      </c>
    </row>
    <row r="91" spans="1:67">
      <c r="A91" s="3">
        <v>61</v>
      </c>
      <c r="B91" s="11">
        <f ca="1" t="shared" si="1"/>
        <v>0.846354152554095</v>
      </c>
      <c r="C91" s="12">
        <f ca="1" t="shared" si="2"/>
        <v>69.2336307507728</v>
      </c>
      <c r="D91" s="11">
        <f ca="1" t="shared" ref="D91:S91" si="95">RAND()</f>
        <v>0.00229499440956737</v>
      </c>
      <c r="E91" s="11">
        <f ca="1" t="shared" si="95"/>
        <v>0.749574649922693</v>
      </c>
      <c r="F91" s="11">
        <f ca="1" t="shared" si="95"/>
        <v>0.706631368691301</v>
      </c>
      <c r="G91" s="11">
        <f ca="1" t="shared" si="95"/>
        <v>0.0917991027609097</v>
      </c>
      <c r="H91" s="11">
        <f ca="1" t="shared" si="95"/>
        <v>0.748660933583055</v>
      </c>
      <c r="I91" s="11">
        <f ca="1" t="shared" si="95"/>
        <v>0.717168137678096</v>
      </c>
      <c r="J91" s="11">
        <f ca="1" t="shared" si="95"/>
        <v>0.519978774339263</v>
      </c>
      <c r="K91" s="11">
        <f ca="1" t="shared" si="95"/>
        <v>0.0673513522473823</v>
      </c>
      <c r="L91" s="11">
        <f ca="1" t="shared" si="95"/>
        <v>0.439398390230471</v>
      </c>
      <c r="M91" s="11">
        <f ca="1" t="shared" si="95"/>
        <v>0.930616764961215</v>
      </c>
      <c r="N91" s="11">
        <f ca="1" t="shared" si="95"/>
        <v>0.460752457324904</v>
      </c>
      <c r="O91" s="11">
        <f ca="1" t="shared" si="95"/>
        <v>0.624442197976587</v>
      </c>
      <c r="P91" s="11">
        <f ca="1" t="shared" si="95"/>
        <v>0.30062134200364</v>
      </c>
      <c r="Q91" s="11">
        <f ca="1" t="shared" si="95"/>
        <v>0.745703483951922</v>
      </c>
      <c r="R91" s="11">
        <f ca="1" t="shared" si="95"/>
        <v>0.399388969401783</v>
      </c>
      <c r="S91" s="11">
        <f ca="1" t="shared" si="95"/>
        <v>0.577133461191711</v>
      </c>
      <c r="T91" s="12">
        <f ca="1" t="shared" si="4"/>
        <v>4.00382499068261</v>
      </c>
      <c r="U91" s="12">
        <f ca="1" t="shared" si="5"/>
        <v>5.12393662480673</v>
      </c>
      <c r="V91" s="12">
        <f ca="1" t="shared" si="6"/>
        <v>5.01657842172825</v>
      </c>
      <c r="W91" s="12">
        <f ca="1" t="shared" si="7"/>
        <v>4.15299850460152</v>
      </c>
      <c r="X91" s="12">
        <f ca="1" t="shared" si="8"/>
        <v>5.12165233395764</v>
      </c>
      <c r="Y91" s="12">
        <f ca="1" t="shared" si="9"/>
        <v>5.04292034419524</v>
      </c>
      <c r="Z91" s="12">
        <f ca="1" t="shared" si="10"/>
        <v>4.77497346792408</v>
      </c>
      <c r="AA91" s="12">
        <f ca="1" t="shared" si="11"/>
        <v>4.11225225374564</v>
      </c>
      <c r="AB91" s="12">
        <f ca="1" t="shared" si="12"/>
        <v>4.67424798778809</v>
      </c>
      <c r="AC91" s="12">
        <f ca="1" t="shared" si="13"/>
        <v>5.65308382480607</v>
      </c>
      <c r="AD91" s="12">
        <f ca="1" t="shared" si="14"/>
        <v>4.70094057165613</v>
      </c>
      <c r="AE91" s="12">
        <f ca="1" t="shared" si="15"/>
        <v>4.90555274747073</v>
      </c>
      <c r="AF91" s="12">
        <f ca="1" t="shared" si="16"/>
        <v>4.50077667750455</v>
      </c>
      <c r="AG91" s="12">
        <f ca="1" t="shared" si="17"/>
        <v>5.11425870987981</v>
      </c>
      <c r="AH91" s="12">
        <f ca="1" t="shared" si="18"/>
        <v>4.62423621175223</v>
      </c>
      <c r="AI91" s="12">
        <f ca="1" t="shared" si="19"/>
        <v>4.84641682648964</v>
      </c>
      <c r="AJ91" s="12">
        <f ca="1">SUM($T91:T91)</f>
        <v>4.00382499068261</v>
      </c>
      <c r="AK91" s="12">
        <f ca="1">SUM($T91:U91)</f>
        <v>9.12776161548934</v>
      </c>
      <c r="AL91" s="12">
        <f ca="1">SUM($T91:V91)</f>
        <v>14.1443400372176</v>
      </c>
      <c r="AM91" s="12">
        <f ca="1">SUM($T91:W91)</f>
        <v>18.2973385418191</v>
      </c>
      <c r="AN91" s="12">
        <f ca="1">SUM($T91:X91)</f>
        <v>23.4189908757768</v>
      </c>
      <c r="AO91" s="12">
        <f ca="1">SUM($T91:Y91)</f>
        <v>28.461911219972</v>
      </c>
      <c r="AP91" s="12">
        <f ca="1">SUM($T91:Z91)</f>
        <v>33.2368846878961</v>
      </c>
      <c r="AQ91" s="12">
        <f ca="1">SUM($T91:AA91)</f>
        <v>37.3491369416417</v>
      </c>
      <c r="AR91" s="12">
        <f ca="1">SUM($T91:AB91)</f>
        <v>42.0233849294298</v>
      </c>
      <c r="AS91" s="12">
        <f ca="1">SUM($T91:AC91)</f>
        <v>47.6764687542359</v>
      </c>
      <c r="AT91" s="12">
        <f ca="1">SUM($T91:AD91)</f>
        <v>52.377409325892</v>
      </c>
      <c r="AU91" s="12">
        <f ca="1">SUM($T91:AE91)</f>
        <v>57.2829620733627</v>
      </c>
      <c r="AV91" s="12">
        <f ca="1">SUM($T91:AF91)</f>
        <v>61.7837387508673</v>
      </c>
      <c r="AW91" s="12">
        <f ca="1">SUM($T91:AG91)</f>
        <v>66.8979974607471</v>
      </c>
      <c r="AX91" s="12">
        <f ca="1">SUM($T91:AH91)</f>
        <v>71.5222336724993</v>
      </c>
      <c r="AY91" s="12">
        <f ca="1">SUM($T91:AI91)</f>
        <v>76.368650498989</v>
      </c>
      <c r="AZ91" s="12">
        <f ca="1" t="shared" si="20"/>
        <v>65.2298057600902</v>
      </c>
      <c r="BA91" s="12">
        <f ca="1" t="shared" si="21"/>
        <v>60.1058691352834</v>
      </c>
      <c r="BB91" s="12">
        <f ca="1" t="shared" si="22"/>
        <v>55.0892907135552</v>
      </c>
      <c r="BC91" s="12">
        <f ca="1" t="shared" si="23"/>
        <v>50.9362922089537</v>
      </c>
      <c r="BD91" s="12">
        <f ca="1" t="shared" si="24"/>
        <v>45.814639874996</v>
      </c>
      <c r="BE91" s="12">
        <f ca="1" t="shared" si="25"/>
        <v>40.7717195308008</v>
      </c>
      <c r="BF91" s="12">
        <f ca="1" t="shared" si="26"/>
        <v>35.9967460628767</v>
      </c>
      <c r="BG91" s="12">
        <f ca="1" t="shared" si="27"/>
        <v>31.8844938091311</v>
      </c>
      <c r="BH91" s="12">
        <f ca="1" t="shared" si="28"/>
        <v>27.210245821343</v>
      </c>
      <c r="BI91" s="12">
        <f ca="1" t="shared" si="29"/>
        <v>21.5571619965369</v>
      </c>
      <c r="BJ91" s="12">
        <f ca="1" t="shared" si="30"/>
        <v>16.8562214248808</v>
      </c>
      <c r="BK91" s="12">
        <f ca="1" t="shared" si="31"/>
        <v>11.9506686774101</v>
      </c>
      <c r="BL91" s="12">
        <f ca="1" t="shared" si="32"/>
        <v>7.4498919999055</v>
      </c>
      <c r="BM91" s="12">
        <f ca="1" t="shared" si="33"/>
        <v>2.3356332900257</v>
      </c>
      <c r="BN91" s="12">
        <f ca="1" t="shared" si="34"/>
        <v>0</v>
      </c>
      <c r="BO91" s="12">
        <f ca="1" t="shared" si="35"/>
        <v>0</v>
      </c>
    </row>
    <row r="92" spans="1:67">
      <c r="A92" s="3">
        <v>62</v>
      </c>
      <c r="B92" s="11">
        <f ca="1" t="shared" si="1"/>
        <v>0.382853650594357</v>
      </c>
      <c r="C92" s="12">
        <f ca="1" t="shared" si="2"/>
        <v>62.214227509906</v>
      </c>
      <c r="D92" s="11">
        <f ca="1" t="shared" ref="D92:S92" si="96">RAND()</f>
        <v>0.242827082216572</v>
      </c>
      <c r="E92" s="11">
        <f ca="1" t="shared" si="96"/>
        <v>0.605716526094506</v>
      </c>
      <c r="F92" s="11">
        <f ca="1" t="shared" si="96"/>
        <v>0.578184763811076</v>
      </c>
      <c r="G92" s="11">
        <f ca="1" t="shared" si="96"/>
        <v>0.624287968705389</v>
      </c>
      <c r="H92" s="11">
        <f ca="1" t="shared" si="96"/>
        <v>0.000350733413658544</v>
      </c>
      <c r="I92" s="11">
        <f ca="1" t="shared" si="96"/>
        <v>0.905051510242614</v>
      </c>
      <c r="J92" s="11">
        <f ca="1" t="shared" si="96"/>
        <v>0.509120140316365</v>
      </c>
      <c r="K92" s="11">
        <f ca="1" t="shared" si="96"/>
        <v>0.864496580989077</v>
      </c>
      <c r="L92" s="11">
        <f ca="1" t="shared" si="96"/>
        <v>0.838968822171889</v>
      </c>
      <c r="M92" s="11">
        <f ca="1" t="shared" si="96"/>
        <v>0.481838238438648</v>
      </c>
      <c r="N92" s="11">
        <f ca="1" t="shared" si="96"/>
        <v>0.510383733799249</v>
      </c>
      <c r="O92" s="11">
        <f ca="1" t="shared" si="96"/>
        <v>0.361081163222436</v>
      </c>
      <c r="P92" s="11">
        <f ca="1" t="shared" si="96"/>
        <v>0.175422577818784</v>
      </c>
      <c r="Q92" s="11">
        <f ca="1" t="shared" si="96"/>
        <v>0.310725820402564</v>
      </c>
      <c r="R92" s="11">
        <f ca="1" t="shared" si="96"/>
        <v>0.816951057411779</v>
      </c>
      <c r="S92" s="11">
        <f ca="1" t="shared" si="96"/>
        <v>0.595308300819219</v>
      </c>
      <c r="T92" s="12">
        <f ca="1" t="shared" si="4"/>
        <v>4.40471180369429</v>
      </c>
      <c r="U92" s="12">
        <f ca="1" t="shared" si="5"/>
        <v>4.88214565761813</v>
      </c>
      <c r="V92" s="12">
        <f ca="1" t="shared" si="6"/>
        <v>4.84773095476385</v>
      </c>
      <c r="W92" s="12">
        <f ca="1" t="shared" si="7"/>
        <v>4.90535996088174</v>
      </c>
      <c r="X92" s="12">
        <f ca="1" t="shared" si="8"/>
        <v>4.00058455568943</v>
      </c>
      <c r="Y92" s="12">
        <f ca="1" t="shared" si="9"/>
        <v>5.52525755121307</v>
      </c>
      <c r="Z92" s="12">
        <f ca="1" t="shared" si="10"/>
        <v>4.76140017539546</v>
      </c>
      <c r="AA92" s="12">
        <f ca="1" t="shared" si="11"/>
        <v>5.41124145247269</v>
      </c>
      <c r="AB92" s="12">
        <f ca="1" t="shared" si="12"/>
        <v>5.34742205542972</v>
      </c>
      <c r="AC92" s="12">
        <f ca="1" t="shared" si="13"/>
        <v>4.72729779804831</v>
      </c>
      <c r="AD92" s="12">
        <f ca="1" t="shared" si="14"/>
        <v>4.76297966724906</v>
      </c>
      <c r="AE92" s="12">
        <f ca="1" t="shared" si="15"/>
        <v>4.57635145402805</v>
      </c>
      <c r="AF92" s="12">
        <f ca="1" t="shared" si="16"/>
        <v>4.29237096303131</v>
      </c>
      <c r="AG92" s="12">
        <f ca="1" t="shared" si="17"/>
        <v>4.51340727550321</v>
      </c>
      <c r="AH92" s="12">
        <f ca="1" t="shared" si="18"/>
        <v>5.29237764352945</v>
      </c>
      <c r="AI92" s="12">
        <f ca="1" t="shared" si="19"/>
        <v>4.86913537602402</v>
      </c>
      <c r="AJ92" s="12">
        <f ca="1">SUM($T92:T92)</f>
        <v>4.40471180369429</v>
      </c>
      <c r="AK92" s="12">
        <f ca="1">SUM($T92:U92)</f>
        <v>9.28685746131242</v>
      </c>
      <c r="AL92" s="12">
        <f ca="1">SUM($T92:V92)</f>
        <v>14.1345884160763</v>
      </c>
      <c r="AM92" s="12">
        <f ca="1">SUM($T92:W92)</f>
        <v>19.039948376958</v>
      </c>
      <c r="AN92" s="12">
        <f ca="1">SUM($T92:X92)</f>
        <v>23.0405329326474</v>
      </c>
      <c r="AO92" s="12">
        <f ca="1">SUM($T92:Y92)</f>
        <v>28.5657904838605</v>
      </c>
      <c r="AP92" s="12">
        <f ca="1">SUM($T92:Z92)</f>
        <v>33.327190659256</v>
      </c>
      <c r="AQ92" s="12">
        <f ca="1">SUM($T92:AA92)</f>
        <v>38.7384321117287</v>
      </c>
      <c r="AR92" s="12">
        <f ca="1">SUM($T92:AB92)</f>
        <v>44.0858541671584</v>
      </c>
      <c r="AS92" s="12">
        <f ca="1">SUM($T92:AC92)</f>
        <v>48.8131519652067</v>
      </c>
      <c r="AT92" s="12">
        <f ca="1">SUM($T92:AD92)</f>
        <v>53.5761316324558</v>
      </c>
      <c r="AU92" s="12">
        <f ca="1">SUM($T92:AE92)</f>
        <v>58.1524830864838</v>
      </c>
      <c r="AV92" s="12">
        <f ca="1">SUM($T92:AF92)</f>
        <v>62.4448540495151</v>
      </c>
      <c r="AW92" s="12">
        <f ca="1">SUM($T92:AG92)</f>
        <v>66.9582613250183</v>
      </c>
      <c r="AX92" s="12">
        <f ca="1">SUM($T92:AH92)</f>
        <v>72.2506389685477</v>
      </c>
      <c r="AY92" s="12">
        <f ca="1">SUM($T92:AI92)</f>
        <v>77.1197743445718</v>
      </c>
      <c r="AZ92" s="12">
        <f ca="1" t="shared" si="20"/>
        <v>57.8095157062117</v>
      </c>
      <c r="BA92" s="12">
        <f ca="1" t="shared" si="21"/>
        <v>52.9273700485935</v>
      </c>
      <c r="BB92" s="12">
        <f ca="1" t="shared" si="22"/>
        <v>48.0796390938297</v>
      </c>
      <c r="BC92" s="12">
        <f ca="1" t="shared" si="23"/>
        <v>43.174279132948</v>
      </c>
      <c r="BD92" s="12">
        <f ca="1" t="shared" si="24"/>
        <v>39.1736945772585</v>
      </c>
      <c r="BE92" s="12">
        <f ca="1" t="shared" si="25"/>
        <v>33.6484370260454</v>
      </c>
      <c r="BF92" s="12">
        <f ca="1" t="shared" si="26"/>
        <v>28.88703685065</v>
      </c>
      <c r="BG92" s="12">
        <f ca="1" t="shared" si="27"/>
        <v>23.4757953981773</v>
      </c>
      <c r="BH92" s="12">
        <f ca="1" t="shared" si="28"/>
        <v>18.1283733427476</v>
      </c>
      <c r="BI92" s="12">
        <f ca="1" t="shared" si="29"/>
        <v>13.4010755446993</v>
      </c>
      <c r="BJ92" s="12">
        <f ca="1" t="shared" si="30"/>
        <v>8.6380958774502</v>
      </c>
      <c r="BK92" s="12">
        <f ca="1" t="shared" si="31"/>
        <v>4.06174442342216</v>
      </c>
      <c r="BL92" s="12">
        <f ca="1" t="shared" si="32"/>
        <v>0</v>
      </c>
      <c r="BM92" s="12">
        <f ca="1" t="shared" si="33"/>
        <v>0</v>
      </c>
      <c r="BN92" s="12">
        <f ca="1" t="shared" si="34"/>
        <v>0</v>
      </c>
      <c r="BO92" s="12">
        <f ca="1" t="shared" si="35"/>
        <v>0</v>
      </c>
    </row>
    <row r="93" spans="1:67">
      <c r="A93" s="3">
        <v>63</v>
      </c>
      <c r="B93" s="11">
        <f ca="1" t="shared" si="1"/>
        <v>0.273986171699963</v>
      </c>
      <c r="C93" s="12">
        <f ca="1" t="shared" si="2"/>
        <v>60.3997695283327</v>
      </c>
      <c r="D93" s="11">
        <f ca="1" t="shared" ref="D93:S93" si="97">RAND()</f>
        <v>0.28371432272264</v>
      </c>
      <c r="E93" s="11">
        <f ca="1" t="shared" si="97"/>
        <v>0.076595330438602</v>
      </c>
      <c r="F93" s="11">
        <f ca="1" t="shared" si="97"/>
        <v>0.0132544601714959</v>
      </c>
      <c r="G93" s="11">
        <f ca="1" t="shared" si="97"/>
        <v>0.957280255151809</v>
      </c>
      <c r="H93" s="11">
        <f ca="1" t="shared" si="97"/>
        <v>0.171294354559848</v>
      </c>
      <c r="I93" s="11">
        <f ca="1" t="shared" si="97"/>
        <v>0.135395953237646</v>
      </c>
      <c r="J93" s="11">
        <f ca="1" t="shared" si="97"/>
        <v>0.367070678067406</v>
      </c>
      <c r="K93" s="11">
        <f ca="1" t="shared" si="97"/>
        <v>0.371223487011337</v>
      </c>
      <c r="L93" s="11">
        <f ca="1" t="shared" si="97"/>
        <v>0.364842196566065</v>
      </c>
      <c r="M93" s="11">
        <f ca="1" t="shared" si="97"/>
        <v>0.614257698609585</v>
      </c>
      <c r="N93" s="11">
        <f ca="1" t="shared" si="97"/>
        <v>0.790322494475524</v>
      </c>
      <c r="O93" s="11">
        <f ca="1" t="shared" si="97"/>
        <v>0.936494764277364</v>
      </c>
      <c r="P93" s="11">
        <f ca="1" t="shared" si="97"/>
        <v>0.673939489783457</v>
      </c>
      <c r="Q93" s="11">
        <f ca="1" t="shared" si="97"/>
        <v>0.269673356166663</v>
      </c>
      <c r="R93" s="11">
        <f ca="1" t="shared" si="97"/>
        <v>0.480292169731849</v>
      </c>
      <c r="S93" s="11">
        <f ca="1" t="shared" si="97"/>
        <v>0.0899765894268394</v>
      </c>
      <c r="T93" s="12">
        <f ca="1" t="shared" si="4"/>
        <v>4.47285720453773</v>
      </c>
      <c r="U93" s="12">
        <f ca="1" t="shared" si="5"/>
        <v>4.12765888406434</v>
      </c>
      <c r="V93" s="12">
        <f ca="1" t="shared" si="6"/>
        <v>4.02209076695249</v>
      </c>
      <c r="W93" s="12">
        <f ca="1" t="shared" si="7"/>
        <v>5.78640127575905</v>
      </c>
      <c r="X93" s="12">
        <f ca="1" t="shared" si="8"/>
        <v>4.28549059093308</v>
      </c>
      <c r="Y93" s="12">
        <f ca="1" t="shared" si="9"/>
        <v>4.22565992206274</v>
      </c>
      <c r="Z93" s="12">
        <f ca="1" t="shared" si="10"/>
        <v>4.58383834758426</v>
      </c>
      <c r="AA93" s="12">
        <f ca="1" t="shared" si="11"/>
        <v>4.58902935876417</v>
      </c>
      <c r="AB93" s="12">
        <f ca="1" t="shared" si="12"/>
        <v>4.58105274570758</v>
      </c>
      <c r="AC93" s="12">
        <f ca="1" t="shared" si="13"/>
        <v>4.89282212326198</v>
      </c>
      <c r="AD93" s="12">
        <f ca="1" t="shared" si="14"/>
        <v>5.22580623618881</v>
      </c>
      <c r="AE93" s="12">
        <f ca="1" t="shared" si="15"/>
        <v>5.68247382138682</v>
      </c>
      <c r="AF93" s="12">
        <f ca="1" t="shared" si="16"/>
        <v>4.96742436222932</v>
      </c>
      <c r="AG93" s="12">
        <f ca="1" t="shared" si="17"/>
        <v>4.4494555936111</v>
      </c>
      <c r="AH93" s="12">
        <f ca="1" t="shared" si="18"/>
        <v>4.72536521216481</v>
      </c>
      <c r="AI93" s="12">
        <f ca="1" t="shared" si="19"/>
        <v>4.14996098237807</v>
      </c>
      <c r="AJ93" s="12">
        <f ca="1">SUM($T93:T93)</f>
        <v>4.47285720453773</v>
      </c>
      <c r="AK93" s="12">
        <f ca="1">SUM($T93:U93)</f>
        <v>8.60051608860207</v>
      </c>
      <c r="AL93" s="12">
        <f ca="1">SUM($T93:V93)</f>
        <v>12.6226068555546</v>
      </c>
      <c r="AM93" s="12">
        <f ca="1">SUM($T93:W93)</f>
        <v>18.4090081313136</v>
      </c>
      <c r="AN93" s="12">
        <f ca="1">SUM($T93:X93)</f>
        <v>22.6944987222467</v>
      </c>
      <c r="AO93" s="12">
        <f ca="1">SUM($T93:Y93)</f>
        <v>26.9201586443094</v>
      </c>
      <c r="AP93" s="12">
        <f ca="1">SUM($T93:Z93)</f>
        <v>31.5039969918937</v>
      </c>
      <c r="AQ93" s="12">
        <f ca="1">SUM($T93:AA93)</f>
        <v>36.0930263506579</v>
      </c>
      <c r="AR93" s="12">
        <f ca="1">SUM($T93:AB93)</f>
        <v>40.6740790963654</v>
      </c>
      <c r="AS93" s="12">
        <f ca="1">SUM($T93:AC93)</f>
        <v>45.5669012196274</v>
      </c>
      <c r="AT93" s="12">
        <f ca="1">SUM($T93:AD93)</f>
        <v>50.7927074558162</v>
      </c>
      <c r="AU93" s="12">
        <f ca="1">SUM($T93:AE93)</f>
        <v>56.475181277203</v>
      </c>
      <c r="AV93" s="12">
        <f ca="1">SUM($T93:AF93)</f>
        <v>61.4426056394324</v>
      </c>
      <c r="AW93" s="12">
        <f ca="1">SUM($T93:AG93)</f>
        <v>65.8920612330435</v>
      </c>
      <c r="AX93" s="12">
        <f ca="1">SUM($T93:AH93)</f>
        <v>70.6174264452083</v>
      </c>
      <c r="AY93" s="12">
        <f ca="1">SUM($T93:AI93)</f>
        <v>74.7673874275864</v>
      </c>
      <c r="AZ93" s="12">
        <f ca="1" t="shared" si="20"/>
        <v>55.926912323795</v>
      </c>
      <c r="BA93" s="12">
        <f ca="1" t="shared" si="21"/>
        <v>51.7992534397306</v>
      </c>
      <c r="BB93" s="12">
        <f ca="1" t="shared" si="22"/>
        <v>47.7771626727781</v>
      </c>
      <c r="BC93" s="12">
        <f ca="1" t="shared" si="23"/>
        <v>41.9907613970191</v>
      </c>
      <c r="BD93" s="12">
        <f ca="1" t="shared" si="24"/>
        <v>37.705270806086</v>
      </c>
      <c r="BE93" s="12">
        <f ca="1" t="shared" si="25"/>
        <v>33.4796108840233</v>
      </c>
      <c r="BF93" s="12">
        <f ca="1" t="shared" si="26"/>
        <v>28.895772536439</v>
      </c>
      <c r="BG93" s="12">
        <f ca="1" t="shared" si="27"/>
        <v>24.3067431776749</v>
      </c>
      <c r="BH93" s="12">
        <f ca="1" t="shared" si="28"/>
        <v>19.7256904319673</v>
      </c>
      <c r="BI93" s="12">
        <f ca="1" t="shared" si="29"/>
        <v>14.8328683087053</v>
      </c>
      <c r="BJ93" s="12">
        <f ca="1" t="shared" si="30"/>
        <v>9.60706207251648</v>
      </c>
      <c r="BK93" s="12">
        <f ca="1" t="shared" si="31"/>
        <v>3.92458825112966</v>
      </c>
      <c r="BL93" s="12">
        <f ca="1" t="shared" si="32"/>
        <v>0</v>
      </c>
      <c r="BM93" s="12">
        <f ca="1" t="shared" si="33"/>
        <v>0</v>
      </c>
      <c r="BN93" s="12">
        <f ca="1" t="shared" si="34"/>
        <v>0</v>
      </c>
      <c r="BO93" s="12">
        <f ca="1" t="shared" si="35"/>
        <v>0</v>
      </c>
    </row>
    <row r="94" spans="1:67">
      <c r="A94" s="3">
        <v>64</v>
      </c>
      <c r="B94" s="11">
        <f ca="1" t="shared" si="1"/>
        <v>0.0467402303276123</v>
      </c>
      <c r="C94" s="12">
        <f ca="1" t="shared" si="2"/>
        <v>52.3370115163806</v>
      </c>
      <c r="D94" s="11">
        <f ca="1" t="shared" ref="D94:S94" si="98">RAND()</f>
        <v>0.279286050101399</v>
      </c>
      <c r="E94" s="11">
        <f ca="1" t="shared" si="98"/>
        <v>0.566957455630876</v>
      </c>
      <c r="F94" s="11">
        <f ca="1" t="shared" si="98"/>
        <v>0.0483467708106771</v>
      </c>
      <c r="G94" s="11">
        <f ca="1" t="shared" si="98"/>
        <v>0.955842600777001</v>
      </c>
      <c r="H94" s="11">
        <f ca="1" t="shared" si="98"/>
        <v>0.478485632153911</v>
      </c>
      <c r="I94" s="11">
        <f ca="1" t="shared" si="98"/>
        <v>0.919940260879387</v>
      </c>
      <c r="J94" s="11">
        <f ca="1" t="shared" si="98"/>
        <v>0.15696691147885</v>
      </c>
      <c r="K94" s="11">
        <f ca="1" t="shared" si="98"/>
        <v>0.896135289611885</v>
      </c>
      <c r="L94" s="11">
        <f ca="1" t="shared" si="98"/>
        <v>0.00230199692941846</v>
      </c>
      <c r="M94" s="11">
        <f ca="1" t="shared" si="98"/>
        <v>0.684251004401586</v>
      </c>
      <c r="N94" s="11">
        <f ca="1" t="shared" si="98"/>
        <v>0.186074675380014</v>
      </c>
      <c r="O94" s="11">
        <f ca="1" t="shared" si="98"/>
        <v>0.749602423045985</v>
      </c>
      <c r="P94" s="11">
        <f ca="1" t="shared" si="98"/>
        <v>0.673241698495362</v>
      </c>
      <c r="Q94" s="11">
        <f ca="1" t="shared" si="98"/>
        <v>0.418265757075055</v>
      </c>
      <c r="R94" s="11">
        <f ca="1" t="shared" si="98"/>
        <v>0.254106524006108</v>
      </c>
      <c r="S94" s="11">
        <f ca="1" t="shared" si="98"/>
        <v>0.234571771845701</v>
      </c>
      <c r="T94" s="12">
        <f ca="1" t="shared" si="4"/>
        <v>4.465476750169</v>
      </c>
      <c r="U94" s="12">
        <f ca="1" t="shared" si="5"/>
        <v>4.83369681953859</v>
      </c>
      <c r="V94" s="12">
        <f ca="1" t="shared" si="6"/>
        <v>4.08057795135113</v>
      </c>
      <c r="W94" s="12">
        <f ca="1" t="shared" si="7"/>
        <v>5.779213003885</v>
      </c>
      <c r="X94" s="12">
        <f ca="1" t="shared" si="8"/>
        <v>4.72310704019239</v>
      </c>
      <c r="Y94" s="12">
        <f ca="1" t="shared" si="9"/>
        <v>5.59970130439693</v>
      </c>
      <c r="Z94" s="12">
        <f ca="1" t="shared" si="10"/>
        <v>4.26161151913142</v>
      </c>
      <c r="AA94" s="12">
        <f ca="1" t="shared" si="11"/>
        <v>5.49033822402971</v>
      </c>
      <c r="AB94" s="12">
        <f ca="1" t="shared" si="12"/>
        <v>4.00383666154903</v>
      </c>
      <c r="AC94" s="12">
        <f ca="1" t="shared" si="13"/>
        <v>4.98031375550198</v>
      </c>
      <c r="AD94" s="12">
        <f ca="1" t="shared" si="14"/>
        <v>4.31012445896669</v>
      </c>
      <c r="AE94" s="12">
        <f ca="1" t="shared" si="15"/>
        <v>5.12400605761496</v>
      </c>
      <c r="AF94" s="12">
        <f ca="1" t="shared" si="16"/>
        <v>4.9665521231192</v>
      </c>
      <c r="AG94" s="12">
        <f ca="1" t="shared" si="17"/>
        <v>4.64783219634382</v>
      </c>
      <c r="AH94" s="12">
        <f ca="1" t="shared" si="18"/>
        <v>4.42351087334351</v>
      </c>
      <c r="AI94" s="12">
        <f ca="1" t="shared" si="19"/>
        <v>4.39095295307617</v>
      </c>
      <c r="AJ94" s="12">
        <f ca="1">SUM($T94:T94)</f>
        <v>4.465476750169</v>
      </c>
      <c r="AK94" s="12">
        <f ca="1">SUM($T94:U94)</f>
        <v>9.29917356970759</v>
      </c>
      <c r="AL94" s="12">
        <f ca="1">SUM($T94:V94)</f>
        <v>13.3797515210587</v>
      </c>
      <c r="AM94" s="12">
        <f ca="1">SUM($T94:W94)</f>
        <v>19.1589645249437</v>
      </c>
      <c r="AN94" s="12">
        <f ca="1">SUM($T94:X94)</f>
        <v>23.8820715651361</v>
      </c>
      <c r="AO94" s="12">
        <f ca="1">SUM($T94:Y94)</f>
        <v>29.481772869533</v>
      </c>
      <c r="AP94" s="12">
        <f ca="1">SUM($T94:Z94)</f>
        <v>33.7433843886645</v>
      </c>
      <c r="AQ94" s="12">
        <f ca="1">SUM($T94:AA94)</f>
        <v>39.2337226126942</v>
      </c>
      <c r="AR94" s="12">
        <f ca="1">SUM($T94:AB94)</f>
        <v>43.2375592742432</v>
      </c>
      <c r="AS94" s="12">
        <f ca="1">SUM($T94:AC94)</f>
        <v>48.2178730297452</v>
      </c>
      <c r="AT94" s="12">
        <f ca="1">SUM($T94:AD94)</f>
        <v>52.5279974887119</v>
      </c>
      <c r="AU94" s="12">
        <f ca="1">SUM($T94:AE94)</f>
        <v>57.6520035463268</v>
      </c>
      <c r="AV94" s="12">
        <f ca="1">SUM($T94:AF94)</f>
        <v>62.618555669446</v>
      </c>
      <c r="AW94" s="12">
        <f ca="1">SUM($T94:AG94)</f>
        <v>67.2663878657899</v>
      </c>
      <c r="AX94" s="12">
        <f ca="1">SUM($T94:AH94)</f>
        <v>71.6898987391334</v>
      </c>
      <c r="AY94" s="12">
        <f ca="1">SUM($T94:AI94)</f>
        <v>76.0808516922095</v>
      </c>
      <c r="AZ94" s="12">
        <f ca="1" t="shared" si="20"/>
        <v>47.8715347662116</v>
      </c>
      <c r="BA94" s="12">
        <f ca="1" t="shared" si="21"/>
        <v>43.037837946673</v>
      </c>
      <c r="BB94" s="12">
        <f ca="1" t="shared" si="22"/>
        <v>38.9572599953219</v>
      </c>
      <c r="BC94" s="12">
        <f ca="1" t="shared" si="23"/>
        <v>33.1780469914369</v>
      </c>
      <c r="BD94" s="12">
        <f ca="1" t="shared" si="24"/>
        <v>28.4549399512445</v>
      </c>
      <c r="BE94" s="12">
        <f ca="1" t="shared" si="25"/>
        <v>22.8552386468476</v>
      </c>
      <c r="BF94" s="12">
        <f ca="1" t="shared" si="26"/>
        <v>18.5936271277161</v>
      </c>
      <c r="BG94" s="12">
        <f ca="1" t="shared" si="27"/>
        <v>13.1032889036864</v>
      </c>
      <c r="BH94" s="12">
        <f ca="1" t="shared" si="28"/>
        <v>9.0994522421374</v>
      </c>
      <c r="BI94" s="12">
        <f ca="1" t="shared" si="29"/>
        <v>4.11913848663542</v>
      </c>
      <c r="BJ94" s="12">
        <f ca="1" t="shared" si="30"/>
        <v>0</v>
      </c>
      <c r="BK94" s="12">
        <f ca="1" t="shared" si="31"/>
        <v>0</v>
      </c>
      <c r="BL94" s="12">
        <f ca="1" t="shared" si="32"/>
        <v>0</v>
      </c>
      <c r="BM94" s="12">
        <f ca="1" t="shared" si="33"/>
        <v>0</v>
      </c>
      <c r="BN94" s="12">
        <f ca="1" t="shared" si="34"/>
        <v>0</v>
      </c>
      <c r="BO94" s="12">
        <f ca="1" t="shared" si="35"/>
        <v>0</v>
      </c>
    </row>
    <row r="95" spans="1:67">
      <c r="A95" s="3">
        <v>65</v>
      </c>
      <c r="B95" s="11">
        <f ca="1" t="shared" ref="B95:B158" si="99">RAND()</f>
        <v>0.999896928591039</v>
      </c>
      <c r="C95" s="12">
        <f ca="1" t="shared" ref="C95:C158" si="100">LOOKUP(B95,$E$12:$E$17,$A$12:$A$17)+LOOKUP(B95,$E$12:$E$17,$D$12:$D$17)*(B95-LOOKUP(B95,$E$12:$E$17))/LOOKUP(B95,$E$12:$E$17,$C$12:$C$17)</f>
        <v>84.9742321477598</v>
      </c>
      <c r="D95" s="11">
        <f ca="1" t="shared" ref="D95:S95" si="101">RAND()</f>
        <v>0.62147909573349</v>
      </c>
      <c r="E95" s="11">
        <f ca="1" t="shared" si="101"/>
        <v>0.51996789192229</v>
      </c>
      <c r="F95" s="11">
        <f ca="1" t="shared" si="101"/>
        <v>0.519351415499341</v>
      </c>
      <c r="G95" s="11">
        <f ca="1" t="shared" si="101"/>
        <v>0.620631315421946</v>
      </c>
      <c r="H95" s="11">
        <f ca="1" t="shared" si="101"/>
        <v>0.289038245913231</v>
      </c>
      <c r="I95" s="11">
        <f ca="1" t="shared" si="101"/>
        <v>0.930626059293118</v>
      </c>
      <c r="J95" s="11">
        <f ca="1" t="shared" si="101"/>
        <v>0.97510007708246</v>
      </c>
      <c r="K95" s="11">
        <f ca="1" t="shared" si="101"/>
        <v>0.745715156921699</v>
      </c>
      <c r="L95" s="11">
        <f ca="1" t="shared" si="101"/>
        <v>0.634865963778527</v>
      </c>
      <c r="M95" s="11">
        <f ca="1" t="shared" si="101"/>
        <v>0.102711328849183</v>
      </c>
      <c r="N95" s="11">
        <f ca="1" t="shared" si="101"/>
        <v>0.420274671338806</v>
      </c>
      <c r="O95" s="11">
        <f ca="1" t="shared" si="101"/>
        <v>0.706621674263584</v>
      </c>
      <c r="P95" s="11">
        <f ca="1" t="shared" si="101"/>
        <v>0.154898332509777</v>
      </c>
      <c r="Q95" s="11">
        <f ca="1" t="shared" si="101"/>
        <v>0.624287107490304</v>
      </c>
      <c r="R95" s="11">
        <f ca="1" t="shared" si="101"/>
        <v>0.460753912432753</v>
      </c>
      <c r="S95" s="11">
        <f ca="1" t="shared" si="101"/>
        <v>0.873151587502574</v>
      </c>
      <c r="T95" s="12">
        <f ca="1" t="shared" ref="T95:T158" si="102">LOOKUP(D95,$E$23:$E$26,$A$23:$A$26)+LOOKUP(D95,$E$23:$E$26,$D$23:$D$26)*(D95-LOOKUP(D95,$E$23:$E$26))/LOOKUP(D95,$E$23:$E$26,$C$23:$C$26)</f>
        <v>4.90184886966686</v>
      </c>
      <c r="U95" s="12">
        <f ca="1" t="shared" ref="U95:U158" si="103">LOOKUP(E95,$E$23:$E$26,$A$23:$A$26)+LOOKUP(E95,$E$23:$E$26,$D$23:$D$26)*(E95-LOOKUP(E95,$E$23:$E$26))/LOOKUP(E95,$E$23:$E$26,$C$23:$C$26)</f>
        <v>4.77495986490286</v>
      </c>
      <c r="V95" s="12">
        <f ca="1" t="shared" ref="V95:V158" si="104">LOOKUP(F95,$E$23:$E$26,$A$23:$A$26)+LOOKUP(F95,$E$23:$E$26,$D$23:$D$26)*(F95-LOOKUP(F95,$E$23:$E$26))/LOOKUP(F95,$E$23:$E$26,$C$23:$C$26)</f>
        <v>4.77418926937418</v>
      </c>
      <c r="W95" s="12">
        <f ca="1" t="shared" ref="W95:W158" si="105">LOOKUP(G95,$E$23:$E$26,$A$23:$A$26)+LOOKUP(G95,$E$23:$E$26,$D$23:$D$26)*(G95-LOOKUP(G95,$E$23:$E$26))/LOOKUP(G95,$E$23:$E$26,$C$23:$C$26)</f>
        <v>4.90078914427743</v>
      </c>
      <c r="X95" s="12">
        <f ca="1" t="shared" ref="X95:X158" si="106">LOOKUP(H95,$E$23:$E$26,$A$23:$A$26)+LOOKUP(H95,$E$23:$E$26,$D$23:$D$26)*(H95-LOOKUP(H95,$E$23:$E$26))/LOOKUP(H95,$E$23:$E$26,$C$23:$C$26)</f>
        <v>4.48173040985538</v>
      </c>
      <c r="Y95" s="12">
        <f ca="1" t="shared" ref="Y95:Y158" si="107">LOOKUP(I95,$E$23:$E$26,$A$23:$A$26)+LOOKUP(I95,$E$23:$E$26,$D$23:$D$26)*(I95-LOOKUP(I95,$E$23:$E$26))/LOOKUP(I95,$E$23:$E$26,$C$23:$C$26)</f>
        <v>5.65313029646559</v>
      </c>
      <c r="Z95" s="12">
        <f ca="1" t="shared" ref="Z95:Z158" si="108">LOOKUP(J95,$E$23:$E$26,$A$23:$A$26)+LOOKUP(J95,$E$23:$E$26,$D$23:$D$26)*(J95-LOOKUP(J95,$E$23:$E$26))/LOOKUP(J95,$E$23:$E$26,$C$23:$C$26)</f>
        <v>5.8755003854123</v>
      </c>
      <c r="AA95" s="12">
        <f ca="1" t="shared" ref="AA95:AA158" si="109">LOOKUP(K95,$E$23:$E$26,$A$23:$A$26)+LOOKUP(K95,$E$23:$E$26,$D$23:$D$26)*(K95-LOOKUP(K95,$E$23:$E$26))/LOOKUP(K95,$E$23:$E$26,$C$23:$C$26)</f>
        <v>5.11428789230425</v>
      </c>
      <c r="AB95" s="12">
        <f ca="1" t="shared" ref="AB95:AB158" si="110">LOOKUP(L95,$E$23:$E$26,$A$23:$A$26)+LOOKUP(L95,$E$23:$E$26,$D$23:$D$26)*(L95-LOOKUP(L95,$E$23:$E$26))/LOOKUP(L95,$E$23:$E$26,$C$23:$C$26)</f>
        <v>4.91858245472316</v>
      </c>
      <c r="AC95" s="12">
        <f ca="1" t="shared" ref="AC95:AC158" si="111">LOOKUP(M95,$E$23:$E$26,$A$23:$A$26)+LOOKUP(M95,$E$23:$E$26,$D$23:$D$26)*(M95-LOOKUP(M95,$E$23:$E$26))/LOOKUP(M95,$E$23:$E$26,$C$23:$C$26)</f>
        <v>4.17118554808197</v>
      </c>
      <c r="AD95" s="12">
        <f ca="1" t="shared" ref="AD95:AD158" si="112">LOOKUP(N95,$E$23:$E$26,$A$23:$A$26)+LOOKUP(N95,$E$23:$E$26,$D$23:$D$26)*(N95-LOOKUP(N95,$E$23:$E$26))/LOOKUP(N95,$E$23:$E$26,$C$23:$C$26)</f>
        <v>4.65034333917351</v>
      </c>
      <c r="AE95" s="12">
        <f ca="1" t="shared" ref="AE95:AE158" si="113">LOOKUP(O95,$E$23:$E$26,$A$23:$A$26)+LOOKUP(O95,$E$23:$E$26,$D$23:$D$26)*(O95-LOOKUP(O95,$E$23:$E$26))/LOOKUP(O95,$E$23:$E$26,$C$23:$C$26)</f>
        <v>5.01655418565896</v>
      </c>
      <c r="AF95" s="12">
        <f ca="1" t="shared" ref="AF95:AF158" si="114">LOOKUP(P95,$E$23:$E$26,$A$23:$A$26)+LOOKUP(P95,$E$23:$E$26,$D$23:$D$26)*(P95-LOOKUP(P95,$E$23:$E$26))/LOOKUP(P95,$E$23:$E$26,$C$23:$C$26)</f>
        <v>4.25816388751629</v>
      </c>
      <c r="AG95" s="12">
        <f ca="1" t="shared" ref="AG95:AG158" si="115">LOOKUP(Q95,$E$23:$E$26,$A$23:$A$26)+LOOKUP(Q95,$E$23:$E$26,$D$23:$D$26)*(Q95-LOOKUP(Q95,$E$23:$E$26))/LOOKUP(Q95,$E$23:$E$26,$C$23:$C$26)</f>
        <v>4.90535888436288</v>
      </c>
      <c r="AH95" s="12">
        <f ca="1" t="shared" ref="AH95:AH158" si="116">LOOKUP(R95,$E$23:$E$26,$A$23:$A$26)+LOOKUP(R95,$E$23:$E$26,$D$23:$D$26)*(R95-LOOKUP(R95,$E$23:$E$26))/LOOKUP(R95,$E$23:$E$26,$C$23:$C$26)</f>
        <v>4.70094239054094</v>
      </c>
      <c r="AI95" s="12">
        <f ca="1" t="shared" ref="AI95:AI158" si="117">LOOKUP(S95,$E$23:$E$26,$A$23:$A$26)+LOOKUP(S95,$E$23:$E$26,$D$23:$D$26)*(S95-LOOKUP(S95,$E$23:$E$26))/LOOKUP(S95,$E$23:$E$26,$C$23:$C$26)</f>
        <v>5.43287896875643</v>
      </c>
      <c r="AJ95" s="12">
        <f ca="1">SUM($T95:T95)</f>
        <v>4.90184886966686</v>
      </c>
      <c r="AK95" s="12">
        <f ca="1">SUM($T95:U95)</f>
        <v>9.67680873456973</v>
      </c>
      <c r="AL95" s="12">
        <f ca="1">SUM($T95:V95)</f>
        <v>14.4509980039439</v>
      </c>
      <c r="AM95" s="12">
        <f ca="1">SUM($T95:W95)</f>
        <v>19.3517871482213</v>
      </c>
      <c r="AN95" s="12">
        <f ca="1">SUM($T95:X95)</f>
        <v>23.8335175580767</v>
      </c>
      <c r="AO95" s="12">
        <f ca="1">SUM($T95:Y95)</f>
        <v>29.4866478545423</v>
      </c>
      <c r="AP95" s="12">
        <f ca="1">SUM($T95:Z95)</f>
        <v>35.3621482399546</v>
      </c>
      <c r="AQ95" s="12">
        <f ca="1">SUM($T95:AA95)</f>
        <v>40.4764361322589</v>
      </c>
      <c r="AR95" s="12">
        <f ca="1">SUM($T95:AB95)</f>
        <v>45.395018586982</v>
      </c>
      <c r="AS95" s="12">
        <f ca="1">SUM($T95:AC95)</f>
        <v>49.566204135064</v>
      </c>
      <c r="AT95" s="12">
        <f ca="1">SUM($T95:AD95)</f>
        <v>54.2165474742375</v>
      </c>
      <c r="AU95" s="12">
        <f ca="1">SUM($T95:AE95)</f>
        <v>59.2331016598965</v>
      </c>
      <c r="AV95" s="12">
        <f ca="1">SUM($T95:AF95)</f>
        <v>63.4912655474128</v>
      </c>
      <c r="AW95" s="12">
        <f ca="1">SUM($T95:AG95)</f>
        <v>68.3966244317756</v>
      </c>
      <c r="AX95" s="12">
        <f ca="1">SUM($T95:AH95)</f>
        <v>73.0975668223166</v>
      </c>
      <c r="AY95" s="12">
        <f ca="1">SUM($T95:AI95)</f>
        <v>78.530445791073</v>
      </c>
      <c r="AZ95" s="12">
        <f ca="1" t="shared" ref="AZ95:AZ158" si="118">MAX(C95-AJ95,0)</f>
        <v>80.0723832780929</v>
      </c>
      <c r="BA95" s="12">
        <f ca="1" t="shared" ref="BA95:BA158" si="119">MAX(C95-AK95,0)</f>
        <v>75.29742341319</v>
      </c>
      <c r="BB95" s="12">
        <f ca="1" t="shared" ref="BB95:BB158" si="120">MAX(C95-AL95,0)</f>
        <v>70.5232341438159</v>
      </c>
      <c r="BC95" s="12">
        <f ca="1" t="shared" ref="BC95:BC158" si="121">MAX(C95-AM95,0)</f>
        <v>65.6224449995384</v>
      </c>
      <c r="BD95" s="12">
        <f ca="1" t="shared" ref="BD95:BD158" si="122">MAX(C95-AN95,0)</f>
        <v>61.1407145896831</v>
      </c>
      <c r="BE95" s="12">
        <f ca="1" t="shared" ref="BE95:BE158" si="123">MAX(C95-AO95,0)</f>
        <v>55.4875842932175</v>
      </c>
      <c r="BF95" s="12">
        <f ca="1" t="shared" ref="BF95:BF158" si="124">MAX(C95-AP95,0)</f>
        <v>49.6120839078052</v>
      </c>
      <c r="BG95" s="12">
        <f ca="1" t="shared" ref="BG95:BG158" si="125">MAX(C95-AQ95,0)</f>
        <v>44.4977960155009</v>
      </c>
      <c r="BH95" s="12">
        <f ca="1" t="shared" ref="BH95:BH158" si="126">MAX(C95-AR95,0)</f>
        <v>39.5792135607778</v>
      </c>
      <c r="BI95" s="12">
        <f ca="1" t="shared" ref="BI95:BI158" si="127">MAX(C95-AS95,0)</f>
        <v>35.4080280126958</v>
      </c>
      <c r="BJ95" s="12">
        <f ca="1" t="shared" ref="BJ95:BJ158" si="128">MAX(C95-AT95,0)</f>
        <v>30.7576846735223</v>
      </c>
      <c r="BK95" s="12">
        <f ca="1" t="shared" ref="BK95:BK158" si="129">MAX(C95-AU95,0)</f>
        <v>25.7411304878633</v>
      </c>
      <c r="BL95" s="12">
        <f ca="1" t="shared" ref="BL95:BL158" si="130">MAX(C95-AV95,0)</f>
        <v>21.482966600347</v>
      </c>
      <c r="BM95" s="12">
        <f ca="1" t="shared" ref="BM95:BM158" si="131">MAX(C95-AW95,0)</f>
        <v>16.5776077159841</v>
      </c>
      <c r="BN95" s="12">
        <f ca="1" t="shared" ref="BN95:BN158" si="132">MAX(C95-AX95,0)</f>
        <v>11.8766653254432</v>
      </c>
      <c r="BO95" s="12">
        <f ca="1" t="shared" ref="BO95:BO158" si="133">MAX(C95-AY95,0)</f>
        <v>6.44378635668676</v>
      </c>
    </row>
    <row r="96" spans="1:67">
      <c r="A96" s="3">
        <v>66</v>
      </c>
      <c r="B96" s="11">
        <f ca="1" t="shared" si="99"/>
        <v>0.719017081374763</v>
      </c>
      <c r="C96" s="12">
        <f ca="1" t="shared" si="100"/>
        <v>67.4145297339252</v>
      </c>
      <c r="D96" s="11">
        <f ca="1" t="shared" ref="D96:S96" si="134">RAND()</f>
        <v>0.953775669131848</v>
      </c>
      <c r="E96" s="11">
        <f ca="1" t="shared" si="134"/>
        <v>0.748665800018175</v>
      </c>
      <c r="F96" s="11">
        <f ca="1" t="shared" si="134"/>
        <v>0.456211617818402</v>
      </c>
      <c r="G96" s="11">
        <f ca="1" t="shared" si="134"/>
        <v>0.816938412877925</v>
      </c>
      <c r="H96" s="11">
        <f ca="1" t="shared" si="134"/>
        <v>0.720150311514253</v>
      </c>
      <c r="I96" s="11">
        <f ca="1" t="shared" si="134"/>
        <v>0.399385366625878</v>
      </c>
      <c r="J96" s="11">
        <f ca="1" t="shared" si="134"/>
        <v>0.578159926644001</v>
      </c>
      <c r="K96" s="11">
        <f ca="1" t="shared" si="134"/>
        <v>0.90505665732779</v>
      </c>
      <c r="L96" s="11">
        <f ca="1" t="shared" si="134"/>
        <v>0.283699221689071</v>
      </c>
      <c r="M96" s="11">
        <f ca="1" t="shared" si="134"/>
        <v>0.481834070877447</v>
      </c>
      <c r="N96" s="11">
        <f ca="1" t="shared" si="134"/>
        <v>0.175423990289522</v>
      </c>
      <c r="O96" s="11">
        <f ca="1" t="shared" si="134"/>
        <v>0.336385039794781</v>
      </c>
      <c r="P96" s="11">
        <f ca="1" t="shared" si="134"/>
        <v>0.367078724612596</v>
      </c>
      <c r="Q96" s="11">
        <f ca="1" t="shared" si="134"/>
        <v>0.614252273251772</v>
      </c>
      <c r="R96" s="11">
        <f ca="1" t="shared" si="134"/>
        <v>0.565924318098602</v>
      </c>
      <c r="S96" s="11">
        <f ca="1" t="shared" si="134"/>
        <v>0.48030822561662</v>
      </c>
      <c r="T96" s="12">
        <f ca="1" t="shared" si="102"/>
        <v>5.76887834565924</v>
      </c>
      <c r="U96" s="12">
        <f ca="1" t="shared" si="103"/>
        <v>5.12166450004544</v>
      </c>
      <c r="V96" s="12">
        <f ca="1" t="shared" si="104"/>
        <v>4.695264522273</v>
      </c>
      <c r="W96" s="12">
        <f ca="1" t="shared" si="105"/>
        <v>5.29234603219481</v>
      </c>
      <c r="X96" s="12">
        <f ca="1" t="shared" si="106"/>
        <v>5.05037577878563</v>
      </c>
      <c r="Y96" s="12">
        <f ca="1" t="shared" si="107"/>
        <v>4.62423170828235</v>
      </c>
      <c r="Z96" s="12">
        <f ca="1" t="shared" si="108"/>
        <v>4.847699908305</v>
      </c>
      <c r="AA96" s="12">
        <f ca="1" t="shared" si="109"/>
        <v>5.52528328663895</v>
      </c>
      <c r="AB96" s="12">
        <f ca="1" t="shared" si="110"/>
        <v>4.47283203614845</v>
      </c>
      <c r="AC96" s="12">
        <f ca="1" t="shared" si="111"/>
        <v>4.72729258859681</v>
      </c>
      <c r="AD96" s="12">
        <f ca="1" t="shared" si="112"/>
        <v>4.2923733171492</v>
      </c>
      <c r="AE96" s="12">
        <f ca="1" t="shared" si="113"/>
        <v>4.54548129974348</v>
      </c>
      <c r="AF96" s="12">
        <f ca="1" t="shared" si="114"/>
        <v>4.58384840576575</v>
      </c>
      <c r="AG96" s="12">
        <f ca="1" t="shared" si="115"/>
        <v>4.89281534156471</v>
      </c>
      <c r="AH96" s="12">
        <f ca="1" t="shared" si="116"/>
        <v>4.83240539762325</v>
      </c>
      <c r="AI96" s="12">
        <f ca="1" t="shared" si="117"/>
        <v>4.72538528202077</v>
      </c>
      <c r="AJ96" s="12">
        <f ca="1">SUM($T96:T96)</f>
        <v>5.76887834565924</v>
      </c>
      <c r="AK96" s="12">
        <f ca="1">SUM($T96:U96)</f>
        <v>10.8905428457047</v>
      </c>
      <c r="AL96" s="12">
        <f ca="1">SUM($T96:V96)</f>
        <v>15.5858073679777</v>
      </c>
      <c r="AM96" s="12">
        <f ca="1">SUM($T96:W96)</f>
        <v>20.8781534001725</v>
      </c>
      <c r="AN96" s="12">
        <f ca="1">SUM($T96:X96)</f>
        <v>25.9285291789581</v>
      </c>
      <c r="AO96" s="12">
        <f ca="1">SUM($T96:Y96)</f>
        <v>30.5527608872405</v>
      </c>
      <c r="AP96" s="12">
        <f ca="1">SUM($T96:Z96)</f>
        <v>35.4004607955455</v>
      </c>
      <c r="AQ96" s="12">
        <f ca="1">SUM($T96:AA96)</f>
        <v>40.9257440821844</v>
      </c>
      <c r="AR96" s="12">
        <f ca="1">SUM($T96:AB96)</f>
        <v>45.3985761183329</v>
      </c>
      <c r="AS96" s="12">
        <f ca="1">SUM($T96:AC96)</f>
        <v>50.1258687069297</v>
      </c>
      <c r="AT96" s="12">
        <f ca="1">SUM($T96:AD96)</f>
        <v>54.4182420240789</v>
      </c>
      <c r="AU96" s="12">
        <f ca="1">SUM($T96:AE96)</f>
        <v>58.9637233238224</v>
      </c>
      <c r="AV96" s="12">
        <f ca="1">SUM($T96:AF96)</f>
        <v>63.5475717295881</v>
      </c>
      <c r="AW96" s="12">
        <f ca="1">SUM($T96:AG96)</f>
        <v>68.4403870711528</v>
      </c>
      <c r="AX96" s="12">
        <f ca="1">SUM($T96:AH96)</f>
        <v>73.2727924687761</v>
      </c>
      <c r="AY96" s="12">
        <f ca="1">SUM($T96:AI96)</f>
        <v>77.9981777507969</v>
      </c>
      <c r="AZ96" s="12">
        <f ca="1" t="shared" si="118"/>
        <v>61.645651388266</v>
      </c>
      <c r="BA96" s="12">
        <f ca="1" t="shared" si="119"/>
        <v>56.5239868882205</v>
      </c>
      <c r="BB96" s="12">
        <f ca="1" t="shared" si="120"/>
        <v>51.8287223659475</v>
      </c>
      <c r="BC96" s="12">
        <f ca="1" t="shared" si="121"/>
        <v>46.5363763337527</v>
      </c>
      <c r="BD96" s="12">
        <f ca="1" t="shared" si="122"/>
        <v>41.4860005549671</v>
      </c>
      <c r="BE96" s="12">
        <f ca="1" t="shared" si="123"/>
        <v>36.8617688466847</v>
      </c>
      <c r="BF96" s="12">
        <f ca="1" t="shared" si="124"/>
        <v>32.0140689383797</v>
      </c>
      <c r="BG96" s="12">
        <f ca="1" t="shared" si="125"/>
        <v>26.4887856517408</v>
      </c>
      <c r="BH96" s="12">
        <f ca="1" t="shared" si="126"/>
        <v>22.0159536155923</v>
      </c>
      <c r="BI96" s="12">
        <f ca="1" t="shared" si="127"/>
        <v>17.2886610269955</v>
      </c>
      <c r="BJ96" s="12">
        <f ca="1" t="shared" si="128"/>
        <v>12.9962877098463</v>
      </c>
      <c r="BK96" s="12">
        <f ca="1" t="shared" si="129"/>
        <v>8.45080641010282</v>
      </c>
      <c r="BL96" s="12">
        <f ca="1" t="shared" si="130"/>
        <v>3.86695800433708</v>
      </c>
      <c r="BM96" s="12">
        <f ca="1" t="shared" si="131"/>
        <v>0</v>
      </c>
      <c r="BN96" s="12">
        <f ca="1" t="shared" si="132"/>
        <v>0</v>
      </c>
      <c r="BO96" s="12">
        <f ca="1" t="shared" si="133"/>
        <v>0</v>
      </c>
    </row>
    <row r="97" spans="1:67">
      <c r="A97" s="3">
        <v>67</v>
      </c>
      <c r="B97" s="11">
        <f ca="1" t="shared" si="99"/>
        <v>0.0334508366547084</v>
      </c>
      <c r="C97" s="12">
        <f ca="1" t="shared" si="100"/>
        <v>51.6725418327354</v>
      </c>
      <c r="D97" s="11">
        <f ca="1" t="shared" ref="D97:S97" si="135">RAND()</f>
        <v>0.6678742482599</v>
      </c>
      <c r="E97" s="11">
        <f ca="1" t="shared" si="135"/>
        <v>0.690007188386498</v>
      </c>
      <c r="F97" s="11">
        <f ca="1" t="shared" si="135"/>
        <v>0.936521691825243</v>
      </c>
      <c r="G97" s="11">
        <f ca="1" t="shared" si="135"/>
        <v>0.955857437389537</v>
      </c>
      <c r="H97" s="11">
        <f ca="1" t="shared" si="135"/>
        <v>0.675135672351827</v>
      </c>
      <c r="I97" s="11">
        <f ca="1" t="shared" si="135"/>
        <v>0.667002642658868</v>
      </c>
      <c r="J97" s="11">
        <f ca="1" t="shared" si="135"/>
        <v>0.0899762277080636</v>
      </c>
      <c r="K97" s="11">
        <f ca="1" t="shared" si="135"/>
        <v>0.542309946648732</v>
      </c>
      <c r="L97" s="11">
        <f ca="1" t="shared" si="135"/>
        <v>0.0483557607201517</v>
      </c>
      <c r="M97" s="11">
        <f ca="1" t="shared" si="135"/>
        <v>0.727608691101732</v>
      </c>
      <c r="N97" s="11">
        <f ca="1" t="shared" si="135"/>
        <v>0.156970642180642</v>
      </c>
      <c r="O97" s="11">
        <f ca="1" t="shared" si="135"/>
        <v>0.351584853306688</v>
      </c>
      <c r="P97" s="11">
        <f ca="1" t="shared" si="135"/>
        <v>0.418272993513306</v>
      </c>
      <c r="Q97" s="11">
        <f ca="1" t="shared" si="135"/>
        <v>0.920118325918614</v>
      </c>
      <c r="R97" s="11">
        <f ca="1" t="shared" si="135"/>
        <v>0.519369208160652</v>
      </c>
      <c r="S97" s="11">
        <f ca="1" t="shared" si="135"/>
        <v>0.965671769735625</v>
      </c>
      <c r="T97" s="12">
        <f ca="1" t="shared" si="102"/>
        <v>4.95984281032488</v>
      </c>
      <c r="U97" s="12">
        <f ca="1" t="shared" si="103"/>
        <v>4.98750898548312</v>
      </c>
      <c r="V97" s="12">
        <f ca="1" t="shared" si="104"/>
        <v>5.68260845912621</v>
      </c>
      <c r="W97" s="12">
        <f ca="1" t="shared" si="105"/>
        <v>5.77928718694768</v>
      </c>
      <c r="X97" s="12">
        <f ca="1" t="shared" si="106"/>
        <v>4.96891959043978</v>
      </c>
      <c r="Y97" s="12">
        <f ca="1" t="shared" si="107"/>
        <v>4.95875330332359</v>
      </c>
      <c r="Z97" s="12">
        <f ca="1" t="shared" si="108"/>
        <v>4.14996037951344</v>
      </c>
      <c r="AA97" s="12">
        <f ca="1" t="shared" si="109"/>
        <v>4.80288743331091</v>
      </c>
      <c r="AB97" s="12">
        <f ca="1" t="shared" si="110"/>
        <v>4.08059293453359</v>
      </c>
      <c r="AC97" s="12">
        <f ca="1" t="shared" si="111"/>
        <v>5.06902172775433</v>
      </c>
      <c r="AD97" s="12">
        <f ca="1" t="shared" si="112"/>
        <v>4.26161773696774</v>
      </c>
      <c r="AE97" s="12">
        <f ca="1" t="shared" si="113"/>
        <v>4.56448106663336</v>
      </c>
      <c r="AF97" s="12">
        <f ca="1" t="shared" si="114"/>
        <v>4.64784124189163</v>
      </c>
      <c r="AG97" s="12">
        <f ca="1" t="shared" si="115"/>
        <v>5.60059162959307</v>
      </c>
      <c r="AH97" s="12">
        <f ca="1" t="shared" si="116"/>
        <v>4.77421151020082</v>
      </c>
      <c r="AI97" s="12">
        <f ca="1" t="shared" si="117"/>
        <v>5.82835884867812</v>
      </c>
      <c r="AJ97" s="12">
        <f ca="1">SUM($T97:T97)</f>
        <v>4.95984281032488</v>
      </c>
      <c r="AK97" s="12">
        <f ca="1">SUM($T97:U97)</f>
        <v>9.947351795808</v>
      </c>
      <c r="AL97" s="12">
        <f ca="1">SUM($T97:V97)</f>
        <v>15.6299602549342</v>
      </c>
      <c r="AM97" s="12">
        <f ca="1">SUM($T97:W97)</f>
        <v>21.4092474418819</v>
      </c>
      <c r="AN97" s="12">
        <f ca="1">SUM($T97:X97)</f>
        <v>26.3781670323217</v>
      </c>
      <c r="AO97" s="12">
        <f ca="1">SUM($T97:Y97)</f>
        <v>31.3369203356453</v>
      </c>
      <c r="AP97" s="12">
        <f ca="1">SUM($T97:Z97)</f>
        <v>35.4868807151587</v>
      </c>
      <c r="AQ97" s="12">
        <f ca="1">SUM($T97:AA97)</f>
        <v>40.2897681484696</v>
      </c>
      <c r="AR97" s="12">
        <f ca="1">SUM($T97:AB97)</f>
        <v>44.3703610830032</v>
      </c>
      <c r="AS97" s="12">
        <f ca="1">SUM($T97:AC97)</f>
        <v>49.4393828107575</v>
      </c>
      <c r="AT97" s="12">
        <f ca="1">SUM($T97:AD97)</f>
        <v>53.7010005477253</v>
      </c>
      <c r="AU97" s="12">
        <f ca="1">SUM($T97:AE97)</f>
        <v>58.2654816143586</v>
      </c>
      <c r="AV97" s="12">
        <f ca="1">SUM($T97:AF97)</f>
        <v>62.9133228562503</v>
      </c>
      <c r="AW97" s="12">
        <f ca="1">SUM($T97:AG97)</f>
        <v>68.5139144858433</v>
      </c>
      <c r="AX97" s="12">
        <f ca="1">SUM($T97:AH97)</f>
        <v>73.2881259960442</v>
      </c>
      <c r="AY97" s="12">
        <f ca="1">SUM($T97:AI97)</f>
        <v>79.1164848447223</v>
      </c>
      <c r="AZ97" s="12">
        <f ca="1" t="shared" si="118"/>
        <v>46.7126990224105</v>
      </c>
      <c r="BA97" s="12">
        <f ca="1" t="shared" si="119"/>
        <v>41.7251900369274</v>
      </c>
      <c r="BB97" s="12">
        <f ca="1" t="shared" si="120"/>
        <v>36.0425815778012</v>
      </c>
      <c r="BC97" s="12">
        <f ca="1" t="shared" si="121"/>
        <v>30.2632943908535</v>
      </c>
      <c r="BD97" s="12">
        <f ca="1" t="shared" si="122"/>
        <v>25.2943748004137</v>
      </c>
      <c r="BE97" s="12">
        <f ca="1" t="shared" si="123"/>
        <v>20.3356214970902</v>
      </c>
      <c r="BF97" s="12">
        <f ca="1" t="shared" si="124"/>
        <v>16.1856611175767</v>
      </c>
      <c r="BG97" s="12">
        <f ca="1" t="shared" si="125"/>
        <v>11.3827736842658</v>
      </c>
      <c r="BH97" s="12">
        <f ca="1" t="shared" si="126"/>
        <v>7.30218074973222</v>
      </c>
      <c r="BI97" s="12">
        <f ca="1" t="shared" si="127"/>
        <v>2.23315902197788</v>
      </c>
      <c r="BJ97" s="12">
        <f ca="1" t="shared" si="128"/>
        <v>0</v>
      </c>
      <c r="BK97" s="12">
        <f ca="1" t="shared" si="129"/>
        <v>0</v>
      </c>
      <c r="BL97" s="12">
        <f ca="1" t="shared" si="130"/>
        <v>0</v>
      </c>
      <c r="BM97" s="12">
        <f ca="1" t="shared" si="131"/>
        <v>0</v>
      </c>
      <c r="BN97" s="12">
        <f ca="1" t="shared" si="132"/>
        <v>0</v>
      </c>
      <c r="BO97" s="12">
        <f ca="1" t="shared" si="133"/>
        <v>0</v>
      </c>
    </row>
    <row r="98" spans="1:67">
      <c r="A98" s="3">
        <v>68</v>
      </c>
      <c r="B98" s="11">
        <f ca="1" t="shared" si="99"/>
        <v>0.0376369270476558</v>
      </c>
      <c r="C98" s="12">
        <f ca="1" t="shared" si="100"/>
        <v>51.8818463523828</v>
      </c>
      <c r="D98" s="11">
        <f ca="1" t="shared" ref="D98:S98" si="136">RAND()</f>
        <v>0.0673450562521194</v>
      </c>
      <c r="E98" s="11">
        <f ca="1" t="shared" si="136"/>
        <v>0.536301107433024</v>
      </c>
      <c r="F98" s="11">
        <f ca="1" t="shared" si="136"/>
        <v>0.759317379560589</v>
      </c>
      <c r="G98" s="11">
        <f ca="1" t="shared" si="136"/>
        <v>0.634861857973835</v>
      </c>
      <c r="H98" s="11">
        <f ca="1" t="shared" si="136"/>
        <v>0.624448875750441</v>
      </c>
      <c r="I98" s="11">
        <f ca="1" t="shared" si="136"/>
        <v>0.21063729754923</v>
      </c>
      <c r="J98" s="11">
        <f ca="1" t="shared" si="136"/>
        <v>0.436164764009966</v>
      </c>
      <c r="K98" s="11">
        <f ca="1" t="shared" si="136"/>
        <v>0.60592058997412</v>
      </c>
      <c r="L98" s="11">
        <f ca="1" t="shared" si="136"/>
        <v>0.706614871266861</v>
      </c>
      <c r="M98" s="11">
        <f ca="1" t="shared" si="136"/>
        <v>0.460725138294126</v>
      </c>
      <c r="N98" s="11">
        <f ca="1" t="shared" si="136"/>
        <v>0.577137537961694</v>
      </c>
      <c r="O98" s="11">
        <f ca="1" t="shared" si="136"/>
        <v>0.768134134423867</v>
      </c>
      <c r="P98" s="11">
        <f ca="1" t="shared" si="136"/>
        <v>0.409983051358605</v>
      </c>
      <c r="Q98" s="11">
        <f ca="1" t="shared" si="136"/>
        <v>0.399399461881998</v>
      </c>
      <c r="R98" s="11">
        <f ca="1" t="shared" si="136"/>
        <v>0.000336782387027723</v>
      </c>
      <c r="S98" s="11">
        <f ca="1" t="shared" si="136"/>
        <v>0.79526313378707</v>
      </c>
      <c r="T98" s="12">
        <f ca="1" t="shared" si="102"/>
        <v>4.1122417604202</v>
      </c>
      <c r="U98" s="12">
        <f ca="1" t="shared" si="103"/>
        <v>4.79537638429128</v>
      </c>
      <c r="V98" s="12">
        <f ca="1" t="shared" si="104"/>
        <v>5.14829344890147</v>
      </c>
      <c r="W98" s="12">
        <f ca="1" t="shared" si="105"/>
        <v>4.91857732246729</v>
      </c>
      <c r="X98" s="12">
        <f ca="1" t="shared" si="106"/>
        <v>4.90556109468805</v>
      </c>
      <c r="Y98" s="12">
        <f ca="1" t="shared" si="107"/>
        <v>4.35106216258205</v>
      </c>
      <c r="Z98" s="12">
        <f ca="1" t="shared" si="108"/>
        <v>4.67020595501246</v>
      </c>
      <c r="AA98" s="12">
        <f ca="1" t="shared" si="109"/>
        <v>4.88240073746765</v>
      </c>
      <c r="AB98" s="12">
        <f ca="1" t="shared" si="110"/>
        <v>5.01653717816715</v>
      </c>
      <c r="AC98" s="12">
        <f ca="1" t="shared" si="111"/>
        <v>4.70090642286766</v>
      </c>
      <c r="AD98" s="12">
        <f ca="1" t="shared" si="112"/>
        <v>4.84642192245212</v>
      </c>
      <c r="AE98" s="12">
        <f ca="1" t="shared" si="113"/>
        <v>5.17033533605967</v>
      </c>
      <c r="AF98" s="12">
        <f ca="1" t="shared" si="114"/>
        <v>4.63747881419826</v>
      </c>
      <c r="AG98" s="12">
        <f ca="1" t="shared" si="115"/>
        <v>4.6242493273525</v>
      </c>
      <c r="AH98" s="12">
        <f ca="1" t="shared" si="116"/>
        <v>4.00056130397838</v>
      </c>
      <c r="AI98" s="12">
        <f ca="1" t="shared" si="117"/>
        <v>5.23815783446767</v>
      </c>
      <c r="AJ98" s="12">
        <f ca="1">SUM($T98:T98)</f>
        <v>4.1122417604202</v>
      </c>
      <c r="AK98" s="12">
        <f ca="1">SUM($T98:U98)</f>
        <v>8.90761814471148</v>
      </c>
      <c r="AL98" s="12">
        <f ca="1">SUM($T98:V98)</f>
        <v>14.055911593613</v>
      </c>
      <c r="AM98" s="12">
        <f ca="1">SUM($T98:W98)</f>
        <v>18.9744889160802</v>
      </c>
      <c r="AN98" s="12">
        <f ca="1">SUM($T98:X98)</f>
        <v>23.8800500107683</v>
      </c>
      <c r="AO98" s="12">
        <f ca="1">SUM($T98:Y98)</f>
        <v>28.2311121733503</v>
      </c>
      <c r="AP98" s="12">
        <f ca="1">SUM($T98:Z98)</f>
        <v>32.9013181283628</v>
      </c>
      <c r="AQ98" s="12">
        <f ca="1">SUM($T98:AA98)</f>
        <v>37.7837188658305</v>
      </c>
      <c r="AR98" s="12">
        <f ca="1">SUM($T98:AB98)</f>
        <v>42.8002560439976</v>
      </c>
      <c r="AS98" s="12">
        <f ca="1">SUM($T98:AC98)</f>
        <v>47.5011624668653</v>
      </c>
      <c r="AT98" s="12">
        <f ca="1">SUM($T98:AD98)</f>
        <v>52.3475843893174</v>
      </c>
      <c r="AU98" s="12">
        <f ca="1">SUM($T98:AE98)</f>
        <v>57.517919725377</v>
      </c>
      <c r="AV98" s="12">
        <f ca="1">SUM($T98:AF98)</f>
        <v>62.1553985395753</v>
      </c>
      <c r="AW98" s="12">
        <f ca="1">SUM($T98:AG98)</f>
        <v>66.7796478669278</v>
      </c>
      <c r="AX98" s="12">
        <f ca="1">SUM($T98:AH98)</f>
        <v>70.7802091709062</v>
      </c>
      <c r="AY98" s="12">
        <f ca="1">SUM($T98:AI98)</f>
        <v>76.0183670053738</v>
      </c>
      <c r="AZ98" s="12">
        <f ca="1" t="shared" si="118"/>
        <v>47.7696045919626</v>
      </c>
      <c r="BA98" s="12">
        <f ca="1" t="shared" si="119"/>
        <v>42.9742282076713</v>
      </c>
      <c r="BB98" s="12">
        <f ca="1" t="shared" si="120"/>
        <v>37.8259347587698</v>
      </c>
      <c r="BC98" s="12">
        <f ca="1" t="shared" si="121"/>
        <v>32.9073574363025</v>
      </c>
      <c r="BD98" s="12">
        <f ca="1" t="shared" si="122"/>
        <v>28.0017963416145</v>
      </c>
      <c r="BE98" s="12">
        <f ca="1" t="shared" si="123"/>
        <v>23.6507341790324</v>
      </c>
      <c r="BF98" s="12">
        <f ca="1" t="shared" si="124"/>
        <v>18.98052822402</v>
      </c>
      <c r="BG98" s="12">
        <f ca="1" t="shared" si="125"/>
        <v>14.0981274865523</v>
      </c>
      <c r="BH98" s="12">
        <f ca="1" t="shared" si="126"/>
        <v>9.08159030838518</v>
      </c>
      <c r="BI98" s="12">
        <f ca="1" t="shared" si="127"/>
        <v>4.38068388551752</v>
      </c>
      <c r="BJ98" s="12">
        <f ca="1" t="shared" si="128"/>
        <v>0</v>
      </c>
      <c r="BK98" s="12">
        <f ca="1" t="shared" si="129"/>
        <v>0</v>
      </c>
      <c r="BL98" s="12">
        <f ca="1" t="shared" si="130"/>
        <v>0</v>
      </c>
      <c r="BM98" s="12">
        <f ca="1" t="shared" si="131"/>
        <v>0</v>
      </c>
      <c r="BN98" s="12">
        <f ca="1" t="shared" si="132"/>
        <v>0</v>
      </c>
      <c r="BO98" s="12">
        <f ca="1" t="shared" si="133"/>
        <v>0</v>
      </c>
    </row>
    <row r="99" spans="1:67">
      <c r="A99" s="3">
        <v>69</v>
      </c>
      <c r="B99" s="11">
        <f ca="1" t="shared" si="99"/>
        <v>0.651707246456158</v>
      </c>
      <c r="C99" s="12">
        <f ca="1" t="shared" si="100"/>
        <v>66.4529606636594</v>
      </c>
      <c r="D99" s="11">
        <f ca="1" t="shared" ref="D99:S99" si="137">RAND()</f>
        <v>0.361062480449575</v>
      </c>
      <c r="E99" s="11">
        <f ca="1" t="shared" si="137"/>
        <v>0.502681099696474</v>
      </c>
      <c r="F99" s="11">
        <f ca="1" t="shared" si="137"/>
        <v>0.0765823167281159</v>
      </c>
      <c r="G99" s="11">
        <f ca="1" t="shared" si="137"/>
        <v>0.919939132662123</v>
      </c>
      <c r="H99" s="11">
        <f ca="1" t="shared" si="137"/>
        <v>0.684262318564788</v>
      </c>
      <c r="I99" s="11">
        <f ca="1" t="shared" si="137"/>
        <v>0.279277748222847</v>
      </c>
      <c r="J99" s="11">
        <f ca="1" t="shared" si="137"/>
        <v>0.00231662361784424</v>
      </c>
      <c r="K99" s="11">
        <f ca="1" t="shared" si="137"/>
        <v>0.682122929457996</v>
      </c>
      <c r="L99" s="11">
        <f ca="1" t="shared" si="137"/>
        <v>0.35581361501083</v>
      </c>
      <c r="M99" s="11">
        <f ca="1" t="shared" si="137"/>
        <v>0.749573942866959</v>
      </c>
      <c r="N99" s="11">
        <f ca="1" t="shared" si="137"/>
        <v>0.0290191100805499</v>
      </c>
      <c r="O99" s="11">
        <f ca="1" t="shared" si="137"/>
        <v>0.519981047115591</v>
      </c>
      <c r="P99" s="11">
        <f ca="1" t="shared" si="137"/>
        <v>0.0827206300908285</v>
      </c>
      <c r="Q99" s="11">
        <f ca="1" t="shared" si="137"/>
        <v>0.906273011609279</v>
      </c>
      <c r="R99" s="11">
        <f ca="1" t="shared" si="137"/>
        <v>0.460535403768114</v>
      </c>
      <c r="S99" s="11">
        <f ca="1" t="shared" si="137"/>
        <v>0.326384576718377</v>
      </c>
      <c r="T99" s="12">
        <f ca="1" t="shared" si="102"/>
        <v>4.57632810056197</v>
      </c>
      <c r="U99" s="12">
        <f ca="1" t="shared" si="103"/>
        <v>4.75335137462059</v>
      </c>
      <c r="V99" s="12">
        <f ca="1" t="shared" si="104"/>
        <v>4.12763719454686</v>
      </c>
      <c r="W99" s="12">
        <f ca="1" t="shared" si="105"/>
        <v>5.59969566331061</v>
      </c>
      <c r="X99" s="12">
        <f ca="1" t="shared" si="106"/>
        <v>4.98032789820599</v>
      </c>
      <c r="Y99" s="12">
        <f ca="1" t="shared" si="107"/>
        <v>4.46546291370475</v>
      </c>
      <c r="Z99" s="12">
        <f ca="1" t="shared" si="108"/>
        <v>4.00386103936307</v>
      </c>
      <c r="AA99" s="12">
        <f ca="1" t="shared" si="109"/>
        <v>4.97765366182249</v>
      </c>
      <c r="AB99" s="12">
        <f ca="1" t="shared" si="110"/>
        <v>4.56976701876354</v>
      </c>
      <c r="AC99" s="12">
        <f ca="1" t="shared" si="111"/>
        <v>5.1239348571674</v>
      </c>
      <c r="AD99" s="12">
        <f ca="1" t="shared" si="112"/>
        <v>4.04836518346758</v>
      </c>
      <c r="AE99" s="12">
        <f ca="1" t="shared" si="113"/>
        <v>4.77497630889449</v>
      </c>
      <c r="AF99" s="12">
        <f ca="1" t="shared" si="114"/>
        <v>4.13786771681805</v>
      </c>
      <c r="AG99" s="12">
        <f ca="1" t="shared" si="115"/>
        <v>5.53136505804639</v>
      </c>
      <c r="AH99" s="12">
        <f ca="1" t="shared" si="116"/>
        <v>4.70066925471014</v>
      </c>
      <c r="AI99" s="12">
        <f ca="1" t="shared" si="117"/>
        <v>4.53298072089797</v>
      </c>
      <c r="AJ99" s="12">
        <f ca="1">SUM($T99:T99)</f>
        <v>4.57632810056197</v>
      </c>
      <c r="AK99" s="12">
        <f ca="1">SUM($T99:U99)</f>
        <v>9.32967947518256</v>
      </c>
      <c r="AL99" s="12">
        <f ca="1">SUM($T99:V99)</f>
        <v>13.4573166697294</v>
      </c>
      <c r="AM99" s="12">
        <f ca="1">SUM($T99:W99)</f>
        <v>19.05701233304</v>
      </c>
      <c r="AN99" s="12">
        <f ca="1">SUM($T99:X99)</f>
        <v>24.037340231246</v>
      </c>
      <c r="AO99" s="12">
        <f ca="1">SUM($T99:Y99)</f>
        <v>28.5028031449508</v>
      </c>
      <c r="AP99" s="12">
        <f ca="1">SUM($T99:Z99)</f>
        <v>32.5066641843138</v>
      </c>
      <c r="AQ99" s="12">
        <f ca="1">SUM($T99:AA99)</f>
        <v>37.4843178461363</v>
      </c>
      <c r="AR99" s="12">
        <f ca="1">SUM($T99:AB99)</f>
        <v>42.0540848648999</v>
      </c>
      <c r="AS99" s="12">
        <f ca="1">SUM($T99:AC99)</f>
        <v>47.1780197220673</v>
      </c>
      <c r="AT99" s="12">
        <f ca="1">SUM($T99:AD99)</f>
        <v>51.2263849055349</v>
      </c>
      <c r="AU99" s="12">
        <f ca="1">SUM($T99:AE99)</f>
        <v>56.0013612144293</v>
      </c>
      <c r="AV99" s="12">
        <f ca="1">SUM($T99:AF99)</f>
        <v>60.1392289312474</v>
      </c>
      <c r="AW99" s="12">
        <f ca="1">SUM($T99:AG99)</f>
        <v>65.6705939892938</v>
      </c>
      <c r="AX99" s="12">
        <f ca="1">SUM($T99:AH99)</f>
        <v>70.3712632440039</v>
      </c>
      <c r="AY99" s="12">
        <f ca="1">SUM($T99:AI99)</f>
        <v>74.9042439649019</v>
      </c>
      <c r="AZ99" s="12">
        <f ca="1" t="shared" si="118"/>
        <v>61.8766325630974</v>
      </c>
      <c r="BA99" s="12">
        <f ca="1" t="shared" si="119"/>
        <v>57.1232811884768</v>
      </c>
      <c r="BB99" s="12">
        <f ca="1" t="shared" si="120"/>
        <v>52.99564399393</v>
      </c>
      <c r="BC99" s="12">
        <f ca="1" t="shared" si="121"/>
        <v>47.3959483306194</v>
      </c>
      <c r="BD99" s="12">
        <f ca="1" t="shared" si="122"/>
        <v>42.4156204324134</v>
      </c>
      <c r="BE99" s="12">
        <f ca="1" t="shared" si="123"/>
        <v>37.9501575187086</v>
      </c>
      <c r="BF99" s="12">
        <f ca="1" t="shared" si="124"/>
        <v>33.9462964793456</v>
      </c>
      <c r="BG99" s="12">
        <f ca="1" t="shared" si="125"/>
        <v>28.9686428175231</v>
      </c>
      <c r="BH99" s="12">
        <f ca="1" t="shared" si="126"/>
        <v>24.3988757987595</v>
      </c>
      <c r="BI99" s="12">
        <f ca="1" t="shared" si="127"/>
        <v>19.2749409415921</v>
      </c>
      <c r="BJ99" s="12">
        <f ca="1" t="shared" si="128"/>
        <v>15.2265757581245</v>
      </c>
      <c r="BK99" s="12">
        <f ca="1" t="shared" si="129"/>
        <v>10.4515994492301</v>
      </c>
      <c r="BL99" s="12">
        <f ca="1" t="shared" si="130"/>
        <v>6.31373173241201</v>
      </c>
      <c r="BM99" s="12">
        <f ca="1" t="shared" si="131"/>
        <v>0.782366674365619</v>
      </c>
      <c r="BN99" s="12">
        <f ca="1" t="shared" si="132"/>
        <v>0</v>
      </c>
      <c r="BO99" s="12">
        <f ca="1" t="shared" si="133"/>
        <v>0</v>
      </c>
    </row>
    <row r="100" spans="1:67">
      <c r="A100" s="3">
        <v>70</v>
      </c>
      <c r="B100" s="11">
        <f ca="1" t="shared" si="99"/>
        <v>0.993915379284919</v>
      </c>
      <c r="C100" s="12">
        <f ca="1" t="shared" si="100"/>
        <v>83.4788448212298</v>
      </c>
      <c r="D100" s="11">
        <f ca="1" t="shared" ref="D100:S100" si="138">RAND()</f>
        <v>0.673244248938604</v>
      </c>
      <c r="E100" s="11">
        <f ca="1" t="shared" si="138"/>
        <v>0.930625832241404</v>
      </c>
      <c r="F100" s="11">
        <f ca="1" t="shared" si="138"/>
        <v>0.973512198181565</v>
      </c>
      <c r="G100" s="11">
        <f ca="1" t="shared" si="138"/>
        <v>0.745723823476703</v>
      </c>
      <c r="H100" s="11">
        <f ca="1" t="shared" si="138"/>
        <v>0.833921222952544</v>
      </c>
      <c r="I100" s="11">
        <f ca="1" t="shared" si="138"/>
        <v>0.624293819075533</v>
      </c>
      <c r="J100" s="11">
        <f ca="1" t="shared" si="138"/>
        <v>0.621483476494801</v>
      </c>
      <c r="K100" s="11">
        <f ca="1" t="shared" si="138"/>
        <v>0.99988305934981</v>
      </c>
      <c r="L100" s="11">
        <f ca="1" t="shared" si="138"/>
        <v>0.816947965553617</v>
      </c>
      <c r="M100" s="11">
        <f ca="1" t="shared" si="138"/>
        <v>0.938420504350511</v>
      </c>
      <c r="N100" s="11">
        <f ca="1" t="shared" si="138"/>
        <v>0.975108336220218</v>
      </c>
      <c r="O100" s="11">
        <f ca="1" t="shared" si="138"/>
        <v>0.99390871833126</v>
      </c>
      <c r="P100" s="11">
        <f ca="1" t="shared" si="138"/>
        <v>0.283721513575197</v>
      </c>
      <c r="Q100" s="11">
        <f ca="1" t="shared" si="138"/>
        <v>0.940094696814609</v>
      </c>
      <c r="R100" s="11">
        <f ca="1" t="shared" si="138"/>
        <v>0.01238933351428</v>
      </c>
      <c r="S100" s="11">
        <f ca="1" t="shared" si="138"/>
        <v>0.720311358721277</v>
      </c>
      <c r="T100" s="12">
        <f ca="1" t="shared" si="102"/>
        <v>4.96655531117325</v>
      </c>
      <c r="U100" s="12">
        <f ca="1" t="shared" si="103"/>
        <v>5.65312916120702</v>
      </c>
      <c r="V100" s="12">
        <f ca="1" t="shared" si="104"/>
        <v>5.86756099090783</v>
      </c>
      <c r="W100" s="12">
        <f ca="1" t="shared" si="105"/>
        <v>5.11430955869176</v>
      </c>
      <c r="X100" s="12">
        <f ca="1" t="shared" si="106"/>
        <v>5.33480305738136</v>
      </c>
      <c r="Y100" s="12">
        <f ca="1" t="shared" si="107"/>
        <v>4.90536727384442</v>
      </c>
      <c r="Z100" s="12">
        <f ca="1" t="shared" si="108"/>
        <v>4.9018543456185</v>
      </c>
      <c r="AA100" s="12">
        <f ca="1" t="shared" si="109"/>
        <v>5.99941529674905</v>
      </c>
      <c r="AB100" s="12">
        <f ca="1" t="shared" si="110"/>
        <v>5.29236991388404</v>
      </c>
      <c r="AC100" s="12">
        <f ca="1" t="shared" si="111"/>
        <v>5.69210252175256</v>
      </c>
      <c r="AD100" s="12">
        <f ca="1" t="shared" si="112"/>
        <v>5.87554168110109</v>
      </c>
      <c r="AE100" s="12">
        <f ca="1" t="shared" si="113"/>
        <v>5.9695435916563</v>
      </c>
      <c r="AF100" s="12">
        <f ca="1" t="shared" si="114"/>
        <v>4.47286918929199</v>
      </c>
      <c r="AG100" s="12">
        <f ca="1" t="shared" si="115"/>
        <v>5.70047348407304</v>
      </c>
      <c r="AH100" s="12">
        <f ca="1" t="shared" si="116"/>
        <v>4.02064888919047</v>
      </c>
      <c r="AI100" s="12">
        <f ca="1" t="shared" si="117"/>
        <v>5.05077839680319</v>
      </c>
      <c r="AJ100" s="12">
        <f ca="1">SUM($T100:T100)</f>
        <v>4.96655531117325</v>
      </c>
      <c r="AK100" s="12">
        <f ca="1">SUM($T100:U100)</f>
        <v>10.6196844723803</v>
      </c>
      <c r="AL100" s="12">
        <f ca="1">SUM($T100:V100)</f>
        <v>16.4872454632881</v>
      </c>
      <c r="AM100" s="12">
        <f ca="1">SUM($T100:W100)</f>
        <v>21.6015550219799</v>
      </c>
      <c r="AN100" s="12">
        <f ca="1">SUM($T100:X100)</f>
        <v>26.9363580793612</v>
      </c>
      <c r="AO100" s="12">
        <f ca="1">SUM($T100:Y100)</f>
        <v>31.8417253532056</v>
      </c>
      <c r="AP100" s="12">
        <f ca="1">SUM($T100:Z100)</f>
        <v>36.7435796988241</v>
      </c>
      <c r="AQ100" s="12">
        <f ca="1">SUM($T100:AA100)</f>
        <v>42.7429949955732</v>
      </c>
      <c r="AR100" s="12">
        <f ca="1">SUM($T100:AB100)</f>
        <v>48.0353649094572</v>
      </c>
      <c r="AS100" s="12">
        <f ca="1">SUM($T100:AC100)</f>
        <v>53.7274674312098</v>
      </c>
      <c r="AT100" s="12">
        <f ca="1">SUM($T100:AD100)</f>
        <v>59.6030091123109</v>
      </c>
      <c r="AU100" s="12">
        <f ca="1">SUM($T100:AE100)</f>
        <v>65.5725527039672</v>
      </c>
      <c r="AV100" s="12">
        <f ca="1">SUM($T100:AF100)</f>
        <v>70.0454218932592</v>
      </c>
      <c r="AW100" s="12">
        <f ca="1">SUM($T100:AG100)</f>
        <v>75.7458953773322</v>
      </c>
      <c r="AX100" s="12">
        <f ca="1">SUM($T100:AH100)</f>
        <v>79.7665442665227</v>
      </c>
      <c r="AY100" s="12">
        <f ca="1">SUM($T100:AI100)</f>
        <v>84.8173226633259</v>
      </c>
      <c r="AZ100" s="12">
        <f ca="1" t="shared" si="118"/>
        <v>78.5122895100565</v>
      </c>
      <c r="BA100" s="12">
        <f ca="1" t="shared" si="119"/>
        <v>72.8591603488495</v>
      </c>
      <c r="BB100" s="12">
        <f ca="1" t="shared" si="120"/>
        <v>66.9915993579417</v>
      </c>
      <c r="BC100" s="12">
        <f ca="1" t="shared" si="121"/>
        <v>61.8772897992499</v>
      </c>
      <c r="BD100" s="12">
        <f ca="1" t="shared" si="122"/>
        <v>56.5424867418686</v>
      </c>
      <c r="BE100" s="12">
        <f ca="1" t="shared" si="123"/>
        <v>51.6371194680242</v>
      </c>
      <c r="BF100" s="12">
        <f ca="1" t="shared" si="124"/>
        <v>46.7352651224057</v>
      </c>
      <c r="BG100" s="12">
        <f ca="1" t="shared" si="125"/>
        <v>40.7358498256566</v>
      </c>
      <c r="BH100" s="12">
        <f ca="1" t="shared" si="126"/>
        <v>35.4434799117726</v>
      </c>
      <c r="BI100" s="12">
        <f ca="1" t="shared" si="127"/>
        <v>29.75137739002</v>
      </c>
      <c r="BJ100" s="12">
        <f ca="1" t="shared" si="128"/>
        <v>23.8758357089189</v>
      </c>
      <c r="BK100" s="12">
        <f ca="1" t="shared" si="129"/>
        <v>17.9062921172626</v>
      </c>
      <c r="BL100" s="12">
        <f ca="1" t="shared" si="130"/>
        <v>13.4334229279706</v>
      </c>
      <c r="BM100" s="12">
        <f ca="1" t="shared" si="131"/>
        <v>7.73294944389757</v>
      </c>
      <c r="BN100" s="12">
        <f ca="1" t="shared" si="132"/>
        <v>3.7123005547071</v>
      </c>
      <c r="BO100" s="12">
        <f ca="1" t="shared" si="133"/>
        <v>0</v>
      </c>
    </row>
    <row r="101" spans="1:67">
      <c r="A101" s="3">
        <v>71</v>
      </c>
      <c r="B101" s="11">
        <f ca="1" t="shared" si="99"/>
        <v>0.450784237846817</v>
      </c>
      <c r="C101" s="12">
        <f ca="1" t="shared" si="100"/>
        <v>63.3464039641136</v>
      </c>
      <c r="D101" s="11">
        <f ca="1" t="shared" ref="D101:S101" si="139">RAND()</f>
        <v>0.358705763819843</v>
      </c>
      <c r="E101" s="11">
        <f ca="1" t="shared" si="139"/>
        <v>0.367069173339345</v>
      </c>
      <c r="F101" s="11">
        <f ca="1" t="shared" si="139"/>
        <v>0.210273786272076</v>
      </c>
      <c r="G101" s="11">
        <f ca="1" t="shared" si="139"/>
        <v>0.948785103159968</v>
      </c>
      <c r="H101" s="11">
        <f ca="1" t="shared" si="139"/>
        <v>0.743683823523598</v>
      </c>
      <c r="I101" s="11">
        <f ca="1" t="shared" si="139"/>
        <v>0.139140561690659</v>
      </c>
      <c r="J101" s="11">
        <f ca="1" t="shared" si="139"/>
        <v>0.241636603746293</v>
      </c>
      <c r="K101" s="11">
        <f ca="1" t="shared" si="139"/>
        <v>0.319888238272887</v>
      </c>
      <c r="L101" s="11">
        <f ca="1" t="shared" si="139"/>
        <v>0.936502058395769</v>
      </c>
      <c r="M101" s="11">
        <f ca="1" t="shared" si="139"/>
        <v>0.987993219869796</v>
      </c>
      <c r="N101" s="11">
        <f ca="1" t="shared" si="139"/>
        <v>0.343320822675065</v>
      </c>
      <c r="O101" s="11">
        <f ca="1" t="shared" si="139"/>
        <v>0.728991450991925</v>
      </c>
      <c r="P101" s="11">
        <f ca="1" t="shared" si="139"/>
        <v>0.089979215560049</v>
      </c>
      <c r="Q101" s="11">
        <f ca="1" t="shared" si="139"/>
        <v>0.578166478292768</v>
      </c>
      <c r="R101" s="11">
        <f ca="1" t="shared" si="139"/>
        <v>0.831261916249923</v>
      </c>
      <c r="S101" s="11">
        <f ca="1" t="shared" si="139"/>
        <v>0.0196036262683781</v>
      </c>
      <c r="T101" s="12">
        <f ca="1" t="shared" si="102"/>
        <v>4.5733822047748</v>
      </c>
      <c r="U101" s="12">
        <f ca="1" t="shared" si="103"/>
        <v>4.58383646667418</v>
      </c>
      <c r="V101" s="12">
        <f ca="1" t="shared" si="104"/>
        <v>4.35045631045346</v>
      </c>
      <c r="W101" s="12">
        <f ca="1" t="shared" si="105"/>
        <v>5.74392551579984</v>
      </c>
      <c r="X101" s="12">
        <f ca="1" t="shared" si="106"/>
        <v>5.10920955880899</v>
      </c>
      <c r="Y101" s="12">
        <f ca="1" t="shared" si="107"/>
        <v>4.2319009361511</v>
      </c>
      <c r="Z101" s="12">
        <f ca="1" t="shared" si="108"/>
        <v>4.40272767291049</v>
      </c>
      <c r="AA101" s="12">
        <f ca="1" t="shared" si="109"/>
        <v>4.52486029784111</v>
      </c>
      <c r="AB101" s="12">
        <f ca="1" t="shared" si="110"/>
        <v>5.68251029197884</v>
      </c>
      <c r="AC101" s="12">
        <f ca="1" t="shared" si="111"/>
        <v>5.93996609934898</v>
      </c>
      <c r="AD101" s="12">
        <f ca="1" t="shared" si="112"/>
        <v>4.55415102834383</v>
      </c>
      <c r="AE101" s="12">
        <f ca="1" t="shared" si="113"/>
        <v>5.07247862747981</v>
      </c>
      <c r="AF101" s="12">
        <f ca="1" t="shared" si="114"/>
        <v>4.14996535926675</v>
      </c>
      <c r="AG101" s="12">
        <f ca="1" t="shared" si="115"/>
        <v>4.84770809786596</v>
      </c>
      <c r="AH101" s="12">
        <f ca="1" t="shared" si="116"/>
        <v>5.32815479062481</v>
      </c>
      <c r="AI101" s="12">
        <f ca="1" t="shared" si="117"/>
        <v>4.0326727104473</v>
      </c>
      <c r="AJ101" s="12">
        <f ca="1">SUM($T101:T101)</f>
        <v>4.5733822047748</v>
      </c>
      <c r="AK101" s="12">
        <f ca="1">SUM($T101:U101)</f>
        <v>9.15721867144898</v>
      </c>
      <c r="AL101" s="12">
        <f ca="1">SUM($T101:V101)</f>
        <v>13.5076749819024</v>
      </c>
      <c r="AM101" s="12">
        <f ca="1">SUM($T101:W101)</f>
        <v>19.2516004977023</v>
      </c>
      <c r="AN101" s="12">
        <f ca="1">SUM($T101:X101)</f>
        <v>24.3608100565113</v>
      </c>
      <c r="AO101" s="12">
        <f ca="1">SUM($T101:Y101)</f>
        <v>28.5927109926624</v>
      </c>
      <c r="AP101" s="12">
        <f ca="1">SUM($T101:Z101)</f>
        <v>32.9954386655729</v>
      </c>
      <c r="AQ101" s="12">
        <f ca="1">SUM($T101:AA101)</f>
        <v>37.520298963414</v>
      </c>
      <c r="AR101" s="12">
        <f ca="1">SUM($T101:AB101)</f>
        <v>43.2028092553928</v>
      </c>
      <c r="AS101" s="12">
        <f ca="1">SUM($T101:AC101)</f>
        <v>49.1427753547418</v>
      </c>
      <c r="AT101" s="12">
        <f ca="1">SUM($T101:AD101)</f>
        <v>53.6969263830856</v>
      </c>
      <c r="AU101" s="12">
        <f ca="1">SUM($T101:AE101)</f>
        <v>58.7694050105654</v>
      </c>
      <c r="AV101" s="12">
        <f ca="1">SUM($T101:AF101)</f>
        <v>62.9193703698322</v>
      </c>
      <c r="AW101" s="12">
        <f ca="1">SUM($T101:AG101)</f>
        <v>67.7670784676982</v>
      </c>
      <c r="AX101" s="12">
        <f ca="1">SUM($T101:AH101)</f>
        <v>73.095233258323</v>
      </c>
      <c r="AY101" s="12">
        <f ca="1">SUM($T101:AI101)</f>
        <v>77.1279059687703</v>
      </c>
      <c r="AZ101" s="12">
        <f ca="1" t="shared" si="118"/>
        <v>58.7730217593388</v>
      </c>
      <c r="BA101" s="12">
        <f ca="1" t="shared" si="119"/>
        <v>54.1891852926646</v>
      </c>
      <c r="BB101" s="12">
        <f ca="1" t="shared" si="120"/>
        <v>49.8387289822112</v>
      </c>
      <c r="BC101" s="12">
        <f ca="1" t="shared" si="121"/>
        <v>44.0948034664113</v>
      </c>
      <c r="BD101" s="12">
        <f ca="1" t="shared" si="122"/>
        <v>38.9855939076023</v>
      </c>
      <c r="BE101" s="12">
        <f ca="1" t="shared" si="123"/>
        <v>34.7536929714512</v>
      </c>
      <c r="BF101" s="12">
        <f ca="1" t="shared" si="124"/>
        <v>30.3509652985407</v>
      </c>
      <c r="BG101" s="12">
        <f ca="1" t="shared" si="125"/>
        <v>25.8261050006996</v>
      </c>
      <c r="BH101" s="12">
        <f ca="1" t="shared" si="126"/>
        <v>20.1435947087208</v>
      </c>
      <c r="BI101" s="12">
        <f ca="1" t="shared" si="127"/>
        <v>14.2036286093718</v>
      </c>
      <c r="BJ101" s="12">
        <f ca="1" t="shared" si="128"/>
        <v>9.64947758102799</v>
      </c>
      <c r="BK101" s="12">
        <f ca="1" t="shared" si="129"/>
        <v>4.57699895354818</v>
      </c>
      <c r="BL101" s="12">
        <f ca="1" t="shared" si="130"/>
        <v>0.427033594281426</v>
      </c>
      <c r="BM101" s="12">
        <f ca="1" t="shared" si="131"/>
        <v>0</v>
      </c>
      <c r="BN101" s="12">
        <f ca="1" t="shared" si="132"/>
        <v>0</v>
      </c>
      <c r="BO101" s="12">
        <f ca="1" t="shared" si="133"/>
        <v>0</v>
      </c>
    </row>
    <row r="102" spans="1:67">
      <c r="A102" s="3">
        <v>72</v>
      </c>
      <c r="B102" s="11">
        <f ca="1" t="shared" si="99"/>
        <v>0.228379968315763</v>
      </c>
      <c r="C102" s="12">
        <f ca="1" t="shared" si="100"/>
        <v>59.2793322771921</v>
      </c>
      <c r="D102" s="11">
        <f ca="1" t="shared" ref="D102:S102" si="140">RAND()</f>
        <v>0.576685201029216</v>
      </c>
      <c r="E102" s="11">
        <f ca="1" t="shared" si="140"/>
        <v>0.0483612492023537</v>
      </c>
      <c r="F102" s="11">
        <f ca="1" t="shared" si="140"/>
        <v>0.905054854109024</v>
      </c>
      <c r="G102" s="11">
        <f ca="1" t="shared" si="140"/>
        <v>0.481826948180604</v>
      </c>
      <c r="H102" s="11">
        <f ca="1" t="shared" si="140"/>
        <v>0.848886904622677</v>
      </c>
      <c r="I102" s="11">
        <f ca="1" t="shared" si="140"/>
        <v>0.660924817228131</v>
      </c>
      <c r="J102" s="11">
        <f ca="1" t="shared" si="140"/>
        <v>0.156968671618489</v>
      </c>
      <c r="K102" s="11">
        <f ca="1" t="shared" si="140"/>
        <v>0.125114806372767</v>
      </c>
      <c r="L102" s="11">
        <f ca="1" t="shared" si="140"/>
        <v>0.560444821197404</v>
      </c>
      <c r="M102" s="11">
        <f ca="1" t="shared" si="140"/>
        <v>0.749996002759997</v>
      </c>
      <c r="N102" s="11">
        <f ca="1" t="shared" si="140"/>
        <v>0.175427869413573</v>
      </c>
      <c r="O102" s="11">
        <f ca="1" t="shared" si="140"/>
        <v>0.0111593374179739</v>
      </c>
      <c r="P102" s="11">
        <f ca="1" t="shared" si="140"/>
        <v>0.473530284695805</v>
      </c>
      <c r="Q102" s="11">
        <f ca="1" t="shared" si="140"/>
        <v>0.685996225134204</v>
      </c>
      <c r="R102" s="11">
        <f ca="1" t="shared" si="140"/>
        <v>0.784762559308777</v>
      </c>
      <c r="S102" s="11">
        <f ca="1" t="shared" si="140"/>
        <v>0.677278365938111</v>
      </c>
      <c r="T102" s="12">
        <f ca="1" t="shared" si="102"/>
        <v>4.84585650128652</v>
      </c>
      <c r="U102" s="12">
        <f ca="1" t="shared" si="103"/>
        <v>4.08060208200392</v>
      </c>
      <c r="V102" s="12">
        <f ca="1" t="shared" si="104"/>
        <v>5.52527427054512</v>
      </c>
      <c r="W102" s="12">
        <f ca="1" t="shared" si="105"/>
        <v>4.72728368522576</v>
      </c>
      <c r="X102" s="12">
        <f ca="1" t="shared" si="106"/>
        <v>5.37221726155669</v>
      </c>
      <c r="Y102" s="12">
        <f ca="1" t="shared" si="107"/>
        <v>4.95115602153516</v>
      </c>
      <c r="Z102" s="12">
        <f ca="1" t="shared" si="108"/>
        <v>4.26161445269748</v>
      </c>
      <c r="AA102" s="12">
        <f ca="1" t="shared" si="109"/>
        <v>4.20852467728795</v>
      </c>
      <c r="AB102" s="12">
        <f ca="1" t="shared" si="110"/>
        <v>4.82555602649676</v>
      </c>
      <c r="AC102" s="12">
        <f ca="1" t="shared" si="111"/>
        <v>5.12499000689999</v>
      </c>
      <c r="AD102" s="12">
        <f ca="1" t="shared" si="112"/>
        <v>4.29237978235595</v>
      </c>
      <c r="AE102" s="12">
        <f ca="1" t="shared" si="113"/>
        <v>4.01859889569662</v>
      </c>
      <c r="AF102" s="12">
        <f ca="1" t="shared" si="114"/>
        <v>4.71691285586976</v>
      </c>
      <c r="AG102" s="12">
        <f ca="1" t="shared" si="115"/>
        <v>4.98249528141775</v>
      </c>
      <c r="AH102" s="12">
        <f ca="1" t="shared" si="116"/>
        <v>5.21190639827194</v>
      </c>
      <c r="AI102" s="12">
        <f ca="1" t="shared" si="117"/>
        <v>4.97159795742264</v>
      </c>
      <c r="AJ102" s="12">
        <f ca="1">SUM($T102:T102)</f>
        <v>4.84585650128652</v>
      </c>
      <c r="AK102" s="12">
        <f ca="1">SUM($T102:U102)</f>
        <v>8.92645858329044</v>
      </c>
      <c r="AL102" s="12">
        <f ca="1">SUM($T102:V102)</f>
        <v>14.4517328538356</v>
      </c>
      <c r="AM102" s="12">
        <f ca="1">SUM($T102:W102)</f>
        <v>19.1790165390613</v>
      </c>
      <c r="AN102" s="12">
        <f ca="1">SUM($T102:X102)</f>
        <v>24.551233800618</v>
      </c>
      <c r="AO102" s="12">
        <f ca="1">SUM($T102:Y102)</f>
        <v>29.5023898221532</v>
      </c>
      <c r="AP102" s="12">
        <f ca="1">SUM($T102:Z102)</f>
        <v>33.7640042748507</v>
      </c>
      <c r="AQ102" s="12">
        <f ca="1">SUM($T102:AA102)</f>
        <v>37.9725289521386</v>
      </c>
      <c r="AR102" s="12">
        <f ca="1">SUM($T102:AB102)</f>
        <v>42.7980849786354</v>
      </c>
      <c r="AS102" s="12">
        <f ca="1">SUM($T102:AC102)</f>
        <v>47.9230749855354</v>
      </c>
      <c r="AT102" s="12">
        <f ca="1">SUM($T102:AD102)</f>
        <v>52.2154547678913</v>
      </c>
      <c r="AU102" s="12">
        <f ca="1">SUM($T102:AE102)</f>
        <v>56.2340536635879</v>
      </c>
      <c r="AV102" s="12">
        <f ca="1">SUM($T102:AF102)</f>
        <v>60.9509665194577</v>
      </c>
      <c r="AW102" s="12">
        <f ca="1">SUM($T102:AG102)</f>
        <v>65.9334618008754</v>
      </c>
      <c r="AX102" s="12">
        <f ca="1">SUM($T102:AH102)</f>
        <v>71.1453681991474</v>
      </c>
      <c r="AY102" s="12">
        <f ca="1">SUM($T102:AI102)</f>
        <v>76.11696615657</v>
      </c>
      <c r="AZ102" s="12">
        <f ca="1" t="shared" si="118"/>
        <v>54.4334757759056</v>
      </c>
      <c r="BA102" s="12">
        <f ca="1" t="shared" si="119"/>
        <v>50.3528736939017</v>
      </c>
      <c r="BB102" s="12">
        <f ca="1" t="shared" si="120"/>
        <v>44.8275994233566</v>
      </c>
      <c r="BC102" s="12">
        <f ca="1" t="shared" si="121"/>
        <v>40.1003157381308</v>
      </c>
      <c r="BD102" s="12">
        <f ca="1" t="shared" si="122"/>
        <v>34.7280984765741</v>
      </c>
      <c r="BE102" s="12">
        <f ca="1" t="shared" si="123"/>
        <v>29.7769424550389</v>
      </c>
      <c r="BF102" s="12">
        <f ca="1" t="shared" si="124"/>
        <v>25.5153280023415</v>
      </c>
      <c r="BG102" s="12">
        <f ca="1" t="shared" si="125"/>
        <v>21.3068033250535</v>
      </c>
      <c r="BH102" s="12">
        <f ca="1" t="shared" si="126"/>
        <v>16.4812472985568</v>
      </c>
      <c r="BI102" s="12">
        <f ca="1" t="shared" si="127"/>
        <v>11.3562572916568</v>
      </c>
      <c r="BJ102" s="12">
        <f ca="1" t="shared" si="128"/>
        <v>7.06387750930082</v>
      </c>
      <c r="BK102" s="12">
        <f ca="1" t="shared" si="129"/>
        <v>3.04527861360419</v>
      </c>
      <c r="BL102" s="12">
        <f ca="1" t="shared" si="130"/>
        <v>0</v>
      </c>
      <c r="BM102" s="12">
        <f ca="1" t="shared" si="131"/>
        <v>0</v>
      </c>
      <c r="BN102" s="12">
        <f ca="1" t="shared" si="132"/>
        <v>0</v>
      </c>
      <c r="BO102" s="12">
        <f ca="1" t="shared" si="133"/>
        <v>0</v>
      </c>
    </row>
    <row r="103" spans="1:67">
      <c r="A103" s="3">
        <v>73</v>
      </c>
      <c r="B103" s="11">
        <f ca="1" t="shared" si="99"/>
        <v>0.648583510801174</v>
      </c>
      <c r="C103" s="12">
        <f ca="1" t="shared" si="100"/>
        <v>66.4083358685882</v>
      </c>
      <c r="D103" s="11">
        <f ca="1" t="shared" ref="D103:S103" si="141">RAND()</f>
        <v>0.491107319374059</v>
      </c>
      <c r="E103" s="11">
        <f ca="1" t="shared" si="141"/>
        <v>0.338431261931884</v>
      </c>
      <c r="F103" s="11">
        <f ca="1" t="shared" si="141"/>
        <v>0.87314789771713</v>
      </c>
      <c r="G103" s="11">
        <f ca="1" t="shared" si="141"/>
        <v>0.614232113548646</v>
      </c>
      <c r="H103" s="11">
        <f ca="1" t="shared" si="141"/>
        <v>0.0698000136102126</v>
      </c>
      <c r="I103" s="11">
        <f ca="1" t="shared" si="141"/>
        <v>0.480298337464712</v>
      </c>
      <c r="J103" s="11">
        <f ca="1" t="shared" si="141"/>
        <v>0.959076305277099</v>
      </c>
      <c r="K103" s="11">
        <f ca="1" t="shared" si="141"/>
        <v>0.262400615538138</v>
      </c>
      <c r="L103" s="11">
        <f ca="1" t="shared" si="141"/>
        <v>0.416735204349152</v>
      </c>
      <c r="M103" s="11">
        <f ca="1" t="shared" si="141"/>
        <v>0.351808657179085</v>
      </c>
      <c r="N103" s="11">
        <f ca="1" t="shared" si="141"/>
        <v>0.303114900659832</v>
      </c>
      <c r="O103" s="11">
        <f ca="1" t="shared" si="141"/>
        <v>0.955859221985489</v>
      </c>
      <c r="P103" s="11">
        <f ca="1" t="shared" si="141"/>
        <v>0.720150094223236</v>
      </c>
      <c r="Q103" s="11">
        <f ca="1" t="shared" si="141"/>
        <v>0.223876334940863</v>
      </c>
      <c r="R103" s="11">
        <f ca="1" t="shared" si="141"/>
        <v>0.940163894439306</v>
      </c>
      <c r="S103" s="11">
        <f ca="1" t="shared" si="141"/>
        <v>0.787368192259933</v>
      </c>
      <c r="T103" s="12">
        <f ca="1" t="shared" si="102"/>
        <v>4.73888414921757</v>
      </c>
      <c r="U103" s="12">
        <f ca="1" t="shared" si="103"/>
        <v>4.54803907741486</v>
      </c>
      <c r="V103" s="12">
        <f ca="1" t="shared" si="104"/>
        <v>5.43286974429282</v>
      </c>
      <c r="W103" s="12">
        <f ca="1" t="shared" si="105"/>
        <v>4.89279014193581</v>
      </c>
      <c r="X103" s="12">
        <f ca="1" t="shared" si="106"/>
        <v>4.11633335601702</v>
      </c>
      <c r="Y103" s="12">
        <f ca="1" t="shared" si="107"/>
        <v>4.72537292183089</v>
      </c>
      <c r="Z103" s="12">
        <f ca="1" t="shared" si="108"/>
        <v>5.7953815263855</v>
      </c>
      <c r="AA103" s="12">
        <f ca="1" t="shared" si="109"/>
        <v>4.43733435923023</v>
      </c>
      <c r="AB103" s="12">
        <f ca="1" t="shared" si="110"/>
        <v>4.64591900543644</v>
      </c>
      <c r="AC103" s="12">
        <f ca="1" t="shared" si="111"/>
        <v>4.56476082147386</v>
      </c>
      <c r="AD103" s="12">
        <f ca="1" t="shared" si="112"/>
        <v>4.50389362582479</v>
      </c>
      <c r="AE103" s="12">
        <f ca="1" t="shared" si="113"/>
        <v>5.77929610992744</v>
      </c>
      <c r="AF103" s="12">
        <f ca="1" t="shared" si="114"/>
        <v>5.05037523555809</v>
      </c>
      <c r="AG103" s="12">
        <f ca="1" t="shared" si="115"/>
        <v>4.37312722490144</v>
      </c>
      <c r="AH103" s="12">
        <f ca="1" t="shared" si="116"/>
        <v>5.70081947219653</v>
      </c>
      <c r="AI103" s="12">
        <f ca="1" t="shared" si="117"/>
        <v>5.21842048064983</v>
      </c>
      <c r="AJ103" s="12">
        <f ca="1">SUM($T103:T103)</f>
        <v>4.73888414921757</v>
      </c>
      <c r="AK103" s="12">
        <f ca="1">SUM($T103:U103)</f>
        <v>9.28692322663243</v>
      </c>
      <c r="AL103" s="12">
        <f ca="1">SUM($T103:V103)</f>
        <v>14.7197929709253</v>
      </c>
      <c r="AM103" s="12">
        <f ca="1">SUM($T103:W103)</f>
        <v>19.6125831128611</v>
      </c>
      <c r="AN103" s="12">
        <f ca="1">SUM($T103:X103)</f>
        <v>23.7289164688781</v>
      </c>
      <c r="AO103" s="12">
        <f ca="1">SUM($T103:Y103)</f>
        <v>28.454289390709</v>
      </c>
      <c r="AP103" s="12">
        <f ca="1">SUM($T103:Z103)</f>
        <v>34.2496709170945</v>
      </c>
      <c r="AQ103" s="12">
        <f ca="1">SUM($T103:AA103)</f>
        <v>38.6870052763247</v>
      </c>
      <c r="AR103" s="12">
        <f ca="1">SUM($T103:AB103)</f>
        <v>43.3329242817611</v>
      </c>
      <c r="AS103" s="12">
        <f ca="1">SUM($T103:AC103)</f>
        <v>47.897685103235</v>
      </c>
      <c r="AT103" s="12">
        <f ca="1">SUM($T103:AD103)</f>
        <v>52.4015787290598</v>
      </c>
      <c r="AU103" s="12">
        <f ca="1">SUM($T103:AE103)</f>
        <v>58.1808748389872</v>
      </c>
      <c r="AV103" s="12">
        <f ca="1">SUM($T103:AF103)</f>
        <v>63.2312500745453</v>
      </c>
      <c r="AW103" s="12">
        <f ca="1">SUM($T103:AG103)</f>
        <v>67.6043772994468</v>
      </c>
      <c r="AX103" s="12">
        <f ca="1">SUM($T103:AH103)</f>
        <v>73.3051967716433</v>
      </c>
      <c r="AY103" s="12">
        <f ca="1">SUM($T103:AI103)</f>
        <v>78.5236172522931</v>
      </c>
      <c r="AZ103" s="12">
        <f ca="1" t="shared" si="118"/>
        <v>61.6694517193706</v>
      </c>
      <c r="BA103" s="12">
        <f ca="1" t="shared" si="119"/>
        <v>57.1214126419558</v>
      </c>
      <c r="BB103" s="12">
        <f ca="1" t="shared" si="120"/>
        <v>51.6885428976629</v>
      </c>
      <c r="BC103" s="12">
        <f ca="1" t="shared" si="121"/>
        <v>46.7957527557271</v>
      </c>
      <c r="BD103" s="12">
        <f ca="1" t="shared" si="122"/>
        <v>42.6794193997101</v>
      </c>
      <c r="BE103" s="12">
        <f ca="1" t="shared" si="123"/>
        <v>37.9540464778792</v>
      </c>
      <c r="BF103" s="12">
        <f ca="1" t="shared" si="124"/>
        <v>32.1586649514937</v>
      </c>
      <c r="BG103" s="12">
        <f ca="1" t="shared" si="125"/>
        <v>27.7213305922635</v>
      </c>
      <c r="BH103" s="12">
        <f ca="1" t="shared" si="126"/>
        <v>23.0754115868271</v>
      </c>
      <c r="BI103" s="12">
        <f ca="1" t="shared" si="127"/>
        <v>18.5106507653532</v>
      </c>
      <c r="BJ103" s="12">
        <f ca="1" t="shared" si="128"/>
        <v>14.0067571395284</v>
      </c>
      <c r="BK103" s="12">
        <f ca="1" t="shared" si="129"/>
        <v>8.22746102960097</v>
      </c>
      <c r="BL103" s="12">
        <f ca="1" t="shared" si="130"/>
        <v>3.17708579404288</v>
      </c>
      <c r="BM103" s="12">
        <f ca="1" t="shared" si="131"/>
        <v>0</v>
      </c>
      <c r="BN103" s="12">
        <f ca="1" t="shared" si="132"/>
        <v>0</v>
      </c>
      <c r="BO103" s="12">
        <f ca="1" t="shared" si="133"/>
        <v>0</v>
      </c>
    </row>
    <row r="104" spans="1:67">
      <c r="A104" s="3">
        <v>74</v>
      </c>
      <c r="B104" s="11">
        <f ca="1" t="shared" si="99"/>
        <v>0.895753834482371</v>
      </c>
      <c r="C104" s="12">
        <f ca="1" t="shared" si="100"/>
        <v>69.9393404926053</v>
      </c>
      <c r="D104" s="11">
        <f ca="1" t="shared" ref="D104:S104" si="142">RAND()</f>
        <v>0.46176260772942</v>
      </c>
      <c r="E104" s="11">
        <f ca="1" t="shared" si="142"/>
        <v>0.576949726307742</v>
      </c>
      <c r="F104" s="11">
        <f ca="1" t="shared" si="142"/>
        <v>0.919934594763774</v>
      </c>
      <c r="G104" s="11">
        <f ca="1" t="shared" si="142"/>
        <v>0.338138604832896</v>
      </c>
      <c r="H104" s="11">
        <f ca="1" t="shared" si="142"/>
        <v>0.140521684455566</v>
      </c>
      <c r="I104" s="11">
        <f ca="1" t="shared" si="142"/>
        <v>0.627074717237863</v>
      </c>
      <c r="J104" s="11">
        <f ca="1" t="shared" si="142"/>
        <v>0.684251541409094</v>
      </c>
      <c r="K104" s="11">
        <f ca="1" t="shared" si="142"/>
        <v>0.636392332124506</v>
      </c>
      <c r="L104" s="11">
        <f ca="1" t="shared" si="142"/>
        <v>0.418250939698332</v>
      </c>
      <c r="M104" s="11">
        <f ca="1" t="shared" si="142"/>
        <v>0.673234207795135</v>
      </c>
      <c r="N104" s="11">
        <f ca="1" t="shared" si="142"/>
        <v>0.0252101775825346</v>
      </c>
      <c r="O104" s="11">
        <f ca="1" t="shared" si="142"/>
        <v>0.51937404248879</v>
      </c>
      <c r="P104" s="11">
        <f ca="1" t="shared" si="142"/>
        <v>0.621485959042444</v>
      </c>
      <c r="Q104" s="11">
        <f ca="1" t="shared" si="142"/>
        <v>0.851507811311433</v>
      </c>
      <c r="R104" s="11">
        <f ca="1" t="shared" si="142"/>
        <v>0.634880194769455</v>
      </c>
      <c r="S104" s="11">
        <f ca="1" t="shared" si="142"/>
        <v>0.569256662230981</v>
      </c>
      <c r="T104" s="12">
        <f ca="1" t="shared" si="102"/>
        <v>4.70220325966178</v>
      </c>
      <c r="U104" s="12">
        <f ca="1" t="shared" si="103"/>
        <v>4.84618715788468</v>
      </c>
      <c r="V104" s="12">
        <f ca="1" t="shared" si="104"/>
        <v>5.59967297381887</v>
      </c>
      <c r="W104" s="12">
        <f ca="1" t="shared" si="105"/>
        <v>4.54767325604112</v>
      </c>
      <c r="X104" s="12">
        <f ca="1" t="shared" si="106"/>
        <v>4.23420280742594</v>
      </c>
      <c r="Y104" s="12">
        <f ca="1" t="shared" si="107"/>
        <v>4.90884339654733</v>
      </c>
      <c r="Z104" s="12">
        <f ca="1" t="shared" si="108"/>
        <v>4.98031442676137</v>
      </c>
      <c r="AA104" s="12">
        <f ca="1" t="shared" si="109"/>
        <v>4.92049041515563</v>
      </c>
      <c r="AB104" s="12">
        <f ca="1" t="shared" si="110"/>
        <v>4.64781367462292</v>
      </c>
      <c r="AC104" s="12">
        <f ca="1" t="shared" si="111"/>
        <v>4.96654275974392</v>
      </c>
      <c r="AD104" s="12">
        <f ca="1" t="shared" si="112"/>
        <v>4.04201696263756</v>
      </c>
      <c r="AE104" s="12">
        <f ca="1" t="shared" si="113"/>
        <v>4.77421755311099</v>
      </c>
      <c r="AF104" s="12">
        <f ca="1" t="shared" si="114"/>
        <v>4.90185744880306</v>
      </c>
      <c r="AG104" s="12">
        <f ca="1" t="shared" si="115"/>
        <v>5.37876952827858</v>
      </c>
      <c r="AH104" s="12">
        <f ca="1" t="shared" si="116"/>
        <v>4.91860024346182</v>
      </c>
      <c r="AI104" s="12">
        <f ca="1" t="shared" si="117"/>
        <v>4.83657082778873</v>
      </c>
      <c r="AJ104" s="12">
        <f ca="1">SUM($T104:T104)</f>
        <v>4.70220325966178</v>
      </c>
      <c r="AK104" s="12">
        <f ca="1">SUM($T104:U104)</f>
        <v>9.54839041754645</v>
      </c>
      <c r="AL104" s="12">
        <f ca="1">SUM($T104:V104)</f>
        <v>15.1480633913653</v>
      </c>
      <c r="AM104" s="12">
        <f ca="1">SUM($T104:W104)</f>
        <v>19.6957366474064</v>
      </c>
      <c r="AN104" s="12">
        <f ca="1">SUM($T104:X104)</f>
        <v>23.9299394548324</v>
      </c>
      <c r="AO104" s="12">
        <f ca="1">SUM($T104:Y104)</f>
        <v>28.8387828513797</v>
      </c>
      <c r="AP104" s="12">
        <f ca="1">SUM($T104:Z104)</f>
        <v>33.8190972781411</v>
      </c>
      <c r="AQ104" s="12">
        <f ca="1">SUM($T104:AA104)</f>
        <v>38.7395876932967</v>
      </c>
      <c r="AR104" s="12">
        <f ca="1">SUM($T104:AB104)</f>
        <v>43.3874013679196</v>
      </c>
      <c r="AS104" s="12">
        <f ca="1">SUM($T104:AC104)</f>
        <v>48.3539441276636</v>
      </c>
      <c r="AT104" s="12">
        <f ca="1">SUM($T104:AD104)</f>
        <v>52.3959610903011</v>
      </c>
      <c r="AU104" s="12">
        <f ca="1">SUM($T104:AE104)</f>
        <v>57.1701786434121</v>
      </c>
      <c r="AV104" s="12">
        <f ca="1">SUM($T104:AF104)</f>
        <v>62.0720360922152</v>
      </c>
      <c r="AW104" s="12">
        <f ca="1">SUM($T104:AG104)</f>
        <v>67.4508056204937</v>
      </c>
      <c r="AX104" s="12">
        <f ca="1">SUM($T104:AH104)</f>
        <v>72.3694058639556</v>
      </c>
      <c r="AY104" s="12">
        <f ca="1">SUM($T104:AI104)</f>
        <v>77.2059766917443</v>
      </c>
      <c r="AZ104" s="12">
        <f ca="1" t="shared" si="118"/>
        <v>65.2371372329435</v>
      </c>
      <c r="BA104" s="12">
        <f ca="1" t="shared" si="119"/>
        <v>60.3909500750588</v>
      </c>
      <c r="BB104" s="12">
        <f ca="1" t="shared" si="120"/>
        <v>54.79127710124</v>
      </c>
      <c r="BC104" s="12">
        <f ca="1" t="shared" si="121"/>
        <v>50.2436038451988</v>
      </c>
      <c r="BD104" s="12">
        <f ca="1" t="shared" si="122"/>
        <v>46.0094010377729</v>
      </c>
      <c r="BE104" s="12">
        <f ca="1" t="shared" si="123"/>
        <v>41.1005576412256</v>
      </c>
      <c r="BF104" s="12">
        <f ca="1" t="shared" si="124"/>
        <v>36.1202432144642</v>
      </c>
      <c r="BG104" s="12">
        <f ca="1" t="shared" si="125"/>
        <v>31.1997527993086</v>
      </c>
      <c r="BH104" s="12">
        <f ca="1" t="shared" si="126"/>
        <v>26.5519391246857</v>
      </c>
      <c r="BI104" s="12">
        <f ca="1" t="shared" si="127"/>
        <v>21.5853963649417</v>
      </c>
      <c r="BJ104" s="12">
        <f ca="1" t="shared" si="128"/>
        <v>17.5433794023042</v>
      </c>
      <c r="BK104" s="12">
        <f ca="1" t="shared" si="129"/>
        <v>12.7691618491932</v>
      </c>
      <c r="BL104" s="12">
        <f ca="1" t="shared" si="130"/>
        <v>7.86730440039014</v>
      </c>
      <c r="BM104" s="12">
        <f ca="1" t="shared" si="131"/>
        <v>2.48853487211156</v>
      </c>
      <c r="BN104" s="12">
        <f ca="1" t="shared" si="132"/>
        <v>0</v>
      </c>
      <c r="BO104" s="12">
        <f ca="1" t="shared" si="133"/>
        <v>0</v>
      </c>
    </row>
    <row r="105" spans="1:67">
      <c r="A105" s="3">
        <v>75</v>
      </c>
      <c r="B105" s="11">
        <f ca="1" t="shared" si="99"/>
        <v>0.358713501424235</v>
      </c>
      <c r="C105" s="12">
        <f ca="1" t="shared" si="100"/>
        <v>61.8118916904039</v>
      </c>
      <c r="D105" s="11">
        <f ca="1" t="shared" ref="D105:S105" si="143">RAND()</f>
        <v>0.234587388057243</v>
      </c>
      <c r="E105" s="11">
        <f ca="1" t="shared" si="143"/>
        <v>0.97512771644091</v>
      </c>
      <c r="F105" s="11">
        <f ca="1" t="shared" si="143"/>
        <v>0.706623547004124</v>
      </c>
      <c r="G105" s="11">
        <f ca="1" t="shared" si="143"/>
        <v>0.68063848097613</v>
      </c>
      <c r="H105" s="11">
        <f ca="1" t="shared" si="143"/>
        <v>0.316796172793162</v>
      </c>
      <c r="I105" s="11">
        <f ca="1" t="shared" si="143"/>
        <v>0.575129025210216</v>
      </c>
      <c r="J105" s="11">
        <f ca="1" t="shared" si="143"/>
        <v>0.87314006926695</v>
      </c>
      <c r="K105" s="11">
        <f ca="1" t="shared" si="143"/>
        <v>0.460745990146367</v>
      </c>
      <c r="L105" s="11">
        <f ca="1" t="shared" si="143"/>
        <v>0.720140329387895</v>
      </c>
      <c r="M105" s="11">
        <f ca="1" t="shared" si="143"/>
        <v>0.893892269764503</v>
      </c>
      <c r="N105" s="11">
        <f ca="1" t="shared" si="143"/>
        <v>0.399391707322806</v>
      </c>
      <c r="O105" s="11">
        <f ca="1" t="shared" si="143"/>
        <v>0.841716986121697</v>
      </c>
      <c r="P105" s="11">
        <f ca="1" t="shared" si="143"/>
        <v>0.134560711453914</v>
      </c>
      <c r="Q105" s="11">
        <f ca="1" t="shared" si="143"/>
        <v>0.694752363226606</v>
      </c>
      <c r="R105" s="11">
        <f ca="1" t="shared" si="143"/>
        <v>0.605898203167671</v>
      </c>
      <c r="S105" s="11">
        <f ca="1" t="shared" si="143"/>
        <v>0.5781718115315</v>
      </c>
      <c r="T105" s="12">
        <f ca="1" t="shared" si="102"/>
        <v>4.39097898009541</v>
      </c>
      <c r="U105" s="12">
        <f ca="1" t="shared" si="103"/>
        <v>5.87563858220455</v>
      </c>
      <c r="V105" s="12">
        <f ca="1" t="shared" si="104"/>
        <v>5.01655886751031</v>
      </c>
      <c r="W105" s="12">
        <f ca="1" t="shared" si="105"/>
        <v>4.97579810122016</v>
      </c>
      <c r="X105" s="12">
        <f ca="1" t="shared" si="106"/>
        <v>4.52099521599145</v>
      </c>
      <c r="Y105" s="12">
        <f ca="1" t="shared" si="107"/>
        <v>4.84391128151277</v>
      </c>
      <c r="Z105" s="12">
        <f ca="1" t="shared" si="108"/>
        <v>5.43285017316737</v>
      </c>
      <c r="AA105" s="12">
        <f ca="1" t="shared" si="109"/>
        <v>4.70093248768296</v>
      </c>
      <c r="AB105" s="12">
        <f ca="1" t="shared" si="110"/>
        <v>5.05035082346974</v>
      </c>
      <c r="AC105" s="12">
        <f ca="1" t="shared" si="111"/>
        <v>5.48473067441126</v>
      </c>
      <c r="AD105" s="12">
        <f ca="1" t="shared" si="112"/>
        <v>4.62423963415351</v>
      </c>
      <c r="AE105" s="12">
        <f ca="1" t="shared" si="113"/>
        <v>5.35429246530424</v>
      </c>
      <c r="AF105" s="12">
        <f ca="1" t="shared" si="114"/>
        <v>4.22426785242319</v>
      </c>
      <c r="AG105" s="12">
        <f ca="1" t="shared" si="115"/>
        <v>4.99344045403326</v>
      </c>
      <c r="AH105" s="12">
        <f ca="1" t="shared" si="116"/>
        <v>4.88237275395959</v>
      </c>
      <c r="AI105" s="12">
        <f ca="1" t="shared" si="117"/>
        <v>4.84771476441438</v>
      </c>
      <c r="AJ105" s="12">
        <f ca="1">SUM($T105:T105)</f>
        <v>4.39097898009541</v>
      </c>
      <c r="AK105" s="12">
        <f ca="1">SUM($T105:U105)</f>
        <v>10.2666175623</v>
      </c>
      <c r="AL105" s="12">
        <f ca="1">SUM($T105:V105)</f>
        <v>15.2831764298103</v>
      </c>
      <c r="AM105" s="12">
        <f ca="1">SUM($T105:W105)</f>
        <v>20.2589745310304</v>
      </c>
      <c r="AN105" s="12">
        <f ca="1">SUM($T105:X105)</f>
        <v>24.7799697470219</v>
      </c>
      <c r="AO105" s="12">
        <f ca="1">SUM($T105:Y105)</f>
        <v>29.6238810285347</v>
      </c>
      <c r="AP105" s="12">
        <f ca="1">SUM($T105:Z105)</f>
        <v>35.056731201702</v>
      </c>
      <c r="AQ105" s="12">
        <f ca="1">SUM($T105:AA105)</f>
        <v>39.757663689385</v>
      </c>
      <c r="AR105" s="12">
        <f ca="1">SUM($T105:AB105)</f>
        <v>44.8080145128547</v>
      </c>
      <c r="AS105" s="12">
        <f ca="1">SUM($T105:AC105)</f>
        <v>50.292745187266</v>
      </c>
      <c r="AT105" s="12">
        <f ca="1">SUM($T105:AD105)</f>
        <v>54.9169848214195</v>
      </c>
      <c r="AU105" s="12">
        <f ca="1">SUM($T105:AE105)</f>
        <v>60.2712772867237</v>
      </c>
      <c r="AV105" s="12">
        <f ca="1">SUM($T105:AF105)</f>
        <v>64.4955451391469</v>
      </c>
      <c r="AW105" s="12">
        <f ca="1">SUM($T105:AG105)</f>
        <v>69.4889855931802</v>
      </c>
      <c r="AX105" s="12">
        <f ca="1">SUM($T105:AH105)</f>
        <v>74.3713583471398</v>
      </c>
      <c r="AY105" s="12">
        <f ca="1">SUM($T105:AI105)</f>
        <v>79.2190731115541</v>
      </c>
      <c r="AZ105" s="12">
        <f ca="1" t="shared" si="118"/>
        <v>57.4209127103085</v>
      </c>
      <c r="BA105" s="12">
        <f ca="1" t="shared" si="119"/>
        <v>51.545274128104</v>
      </c>
      <c r="BB105" s="12">
        <f ca="1" t="shared" si="120"/>
        <v>46.5287152605936</v>
      </c>
      <c r="BC105" s="12">
        <f ca="1" t="shared" si="121"/>
        <v>41.5529171593735</v>
      </c>
      <c r="BD105" s="12">
        <f ca="1" t="shared" si="122"/>
        <v>37.031921943382</v>
      </c>
      <c r="BE105" s="12">
        <f ca="1" t="shared" si="123"/>
        <v>32.1880106618693</v>
      </c>
      <c r="BF105" s="12">
        <f ca="1" t="shared" si="124"/>
        <v>26.7551604887019</v>
      </c>
      <c r="BG105" s="12">
        <f ca="1" t="shared" si="125"/>
        <v>22.0542280010189</v>
      </c>
      <c r="BH105" s="12">
        <f ca="1" t="shared" si="126"/>
        <v>17.0038771775492</v>
      </c>
      <c r="BI105" s="12">
        <f ca="1" t="shared" si="127"/>
        <v>11.5191465031379</v>
      </c>
      <c r="BJ105" s="12">
        <f ca="1" t="shared" si="128"/>
        <v>6.89490686898443</v>
      </c>
      <c r="BK105" s="12">
        <f ca="1" t="shared" si="129"/>
        <v>1.54061440368019</v>
      </c>
      <c r="BL105" s="12">
        <f ca="1" t="shared" si="130"/>
        <v>0</v>
      </c>
      <c r="BM105" s="12">
        <f ca="1" t="shared" si="131"/>
        <v>0</v>
      </c>
      <c r="BN105" s="12">
        <f ca="1" t="shared" si="132"/>
        <v>0</v>
      </c>
      <c r="BO105" s="12">
        <f ca="1" t="shared" si="133"/>
        <v>0</v>
      </c>
    </row>
    <row r="106" spans="1:67">
      <c r="A106" s="3">
        <v>76</v>
      </c>
      <c r="B106" s="11">
        <f ca="1" t="shared" si="99"/>
        <v>0.759550715892849</v>
      </c>
      <c r="C106" s="12">
        <f ca="1" t="shared" si="100"/>
        <v>67.9935816556121</v>
      </c>
      <c r="D106" s="11">
        <f ca="1" t="shared" ref="D106:S106" si="144">RAND()</f>
        <v>0.987773036652834</v>
      </c>
      <c r="E106" s="11">
        <f ca="1" t="shared" si="144"/>
        <v>0.795271654537341</v>
      </c>
      <c r="F106" s="11">
        <f ca="1" t="shared" si="144"/>
        <v>0.905054785247542</v>
      </c>
      <c r="G106" s="11">
        <f ca="1" t="shared" si="144"/>
        <v>0.0136617162536703</v>
      </c>
      <c r="H106" s="11">
        <f ca="1" t="shared" si="144"/>
        <v>0.635179662914752</v>
      </c>
      <c r="I106" s="11">
        <f ca="1" t="shared" si="144"/>
        <v>0.545894830974626</v>
      </c>
      <c r="J106" s="11">
        <f ca="1" t="shared" si="144"/>
        <v>0.481819544391691</v>
      </c>
      <c r="K106" s="11">
        <f ca="1" t="shared" si="144"/>
        <v>0.549974337847206</v>
      </c>
      <c r="L106" s="11">
        <f ca="1" t="shared" si="144"/>
        <v>0.0437876923135161</v>
      </c>
      <c r="M106" s="11">
        <f ca="1" t="shared" si="144"/>
        <v>0.62819990809333</v>
      </c>
      <c r="N106" s="11">
        <f ca="1" t="shared" si="144"/>
        <v>0.656205520269593</v>
      </c>
      <c r="O106" s="11">
        <f ca="1" t="shared" si="144"/>
        <v>0.355832984055652</v>
      </c>
      <c r="P106" s="11">
        <f ca="1" t="shared" si="144"/>
        <v>0.605899474788602</v>
      </c>
      <c r="Q106" s="11">
        <f ca="1" t="shared" si="144"/>
        <v>0.443634703688498</v>
      </c>
      <c r="R106" s="11">
        <f ca="1" t="shared" si="144"/>
        <v>0.738553481177534</v>
      </c>
      <c r="S106" s="11">
        <f ca="1" t="shared" si="144"/>
        <v>0.319503363569603</v>
      </c>
      <c r="T106" s="12">
        <f ca="1" t="shared" si="102"/>
        <v>5.93886518326417</v>
      </c>
      <c r="U106" s="12">
        <f ca="1" t="shared" si="103"/>
        <v>5.23817913634335</v>
      </c>
      <c r="V106" s="12">
        <f ca="1" t="shared" si="104"/>
        <v>5.52527392623771</v>
      </c>
      <c r="W106" s="12">
        <f ca="1" t="shared" si="105"/>
        <v>4.02276952708945</v>
      </c>
      <c r="X106" s="12">
        <f ca="1" t="shared" si="106"/>
        <v>4.91897457864344</v>
      </c>
      <c r="Y106" s="12">
        <f ca="1" t="shared" si="107"/>
        <v>4.80736853871828</v>
      </c>
      <c r="Z106" s="12">
        <f ca="1" t="shared" si="108"/>
        <v>4.72727443048961</v>
      </c>
      <c r="AA106" s="12">
        <f ca="1" t="shared" si="109"/>
        <v>4.81246792230901</v>
      </c>
      <c r="AB106" s="12">
        <f ca="1" t="shared" si="110"/>
        <v>4.07297948718919</v>
      </c>
      <c r="AC106" s="12">
        <f ca="1" t="shared" si="111"/>
        <v>4.91024988511666</v>
      </c>
      <c r="AD106" s="12">
        <f ca="1" t="shared" si="112"/>
        <v>4.94525690033699</v>
      </c>
      <c r="AE106" s="12">
        <f ca="1" t="shared" si="113"/>
        <v>4.56979123006956</v>
      </c>
      <c r="AF106" s="12">
        <f ca="1" t="shared" si="114"/>
        <v>4.88237434348575</v>
      </c>
      <c r="AG106" s="12">
        <f ca="1" t="shared" si="115"/>
        <v>4.67954337961062</v>
      </c>
      <c r="AH106" s="12">
        <f ca="1" t="shared" si="116"/>
        <v>5.09638370294384</v>
      </c>
      <c r="AI106" s="12">
        <f ca="1" t="shared" si="117"/>
        <v>4.524379204462</v>
      </c>
      <c r="AJ106" s="12">
        <f ca="1">SUM($T106:T106)</f>
        <v>5.93886518326417</v>
      </c>
      <c r="AK106" s="12">
        <f ca="1">SUM($T106:U106)</f>
        <v>11.1770443196075</v>
      </c>
      <c r="AL106" s="12">
        <f ca="1">SUM($T106:V106)</f>
        <v>16.7023182458452</v>
      </c>
      <c r="AM106" s="12">
        <f ca="1">SUM($T106:W106)</f>
        <v>20.7250877729347</v>
      </c>
      <c r="AN106" s="12">
        <f ca="1">SUM($T106:X106)</f>
        <v>25.6440623515781</v>
      </c>
      <c r="AO106" s="12">
        <f ca="1">SUM($T106:Y106)</f>
        <v>30.4514308902964</v>
      </c>
      <c r="AP106" s="12">
        <f ca="1">SUM($T106:Z106)</f>
        <v>35.178705320786</v>
      </c>
      <c r="AQ106" s="12">
        <f ca="1">SUM($T106:AA106)</f>
        <v>39.991173243095</v>
      </c>
      <c r="AR106" s="12">
        <f ca="1">SUM($T106:AB106)</f>
        <v>44.0641527302842</v>
      </c>
      <c r="AS106" s="12">
        <f ca="1">SUM($T106:AC106)</f>
        <v>48.9744026154009</v>
      </c>
      <c r="AT106" s="12">
        <f ca="1">SUM($T106:AD106)</f>
        <v>53.9196595157379</v>
      </c>
      <c r="AU106" s="12">
        <f ca="1">SUM($T106:AE106)</f>
        <v>58.4894507458074</v>
      </c>
      <c r="AV106" s="12">
        <f ca="1">SUM($T106:AF106)</f>
        <v>63.3718250892932</v>
      </c>
      <c r="AW106" s="12">
        <f ca="1">SUM($T106:AG106)</f>
        <v>68.0513684689038</v>
      </c>
      <c r="AX106" s="12">
        <f ca="1">SUM($T106:AH106)</f>
        <v>73.1477521718477</v>
      </c>
      <c r="AY106" s="12">
        <f ca="1">SUM($T106:AI106)</f>
        <v>77.6721313763097</v>
      </c>
      <c r="AZ106" s="12">
        <f ca="1" t="shared" si="118"/>
        <v>62.054716472348</v>
      </c>
      <c r="BA106" s="12">
        <f ca="1" t="shared" si="119"/>
        <v>56.8165373360046</v>
      </c>
      <c r="BB106" s="12">
        <f ca="1" t="shared" si="120"/>
        <v>51.2912634097669</v>
      </c>
      <c r="BC106" s="12">
        <f ca="1" t="shared" si="121"/>
        <v>47.2684938826774</v>
      </c>
      <c r="BD106" s="12">
        <f ca="1" t="shared" si="122"/>
        <v>42.349519304034</v>
      </c>
      <c r="BE106" s="12">
        <f ca="1" t="shared" si="123"/>
        <v>37.5421507653157</v>
      </c>
      <c r="BF106" s="12">
        <f ca="1" t="shared" si="124"/>
        <v>32.8148763348261</v>
      </c>
      <c r="BG106" s="12">
        <f ca="1" t="shared" si="125"/>
        <v>28.0024084125171</v>
      </c>
      <c r="BH106" s="12">
        <f ca="1" t="shared" si="126"/>
        <v>23.9294289253279</v>
      </c>
      <c r="BI106" s="12">
        <f ca="1" t="shared" si="127"/>
        <v>19.0191790402112</v>
      </c>
      <c r="BJ106" s="12">
        <f ca="1" t="shared" si="128"/>
        <v>14.0739221398743</v>
      </c>
      <c r="BK106" s="12">
        <f ca="1" t="shared" si="129"/>
        <v>9.50413090980469</v>
      </c>
      <c r="BL106" s="12">
        <f ca="1" t="shared" si="130"/>
        <v>4.62175656631894</v>
      </c>
      <c r="BM106" s="12">
        <f ca="1" t="shared" si="131"/>
        <v>0</v>
      </c>
      <c r="BN106" s="12">
        <f ca="1" t="shared" si="132"/>
        <v>0</v>
      </c>
      <c r="BO106" s="12">
        <f ca="1" t="shared" si="133"/>
        <v>0</v>
      </c>
    </row>
    <row r="107" spans="1:67">
      <c r="A107" s="3">
        <v>77</v>
      </c>
      <c r="B107" s="11">
        <f ca="1" t="shared" si="99"/>
        <v>0.382856750898087</v>
      </c>
      <c r="C107" s="12">
        <f ca="1" t="shared" si="100"/>
        <v>62.2142791816348</v>
      </c>
      <c r="D107" s="11">
        <f ca="1" t="shared" ref="D107:S107" si="145">RAND()</f>
        <v>0.537389748510837</v>
      </c>
      <c r="E107" s="11">
        <f ca="1" t="shared" si="145"/>
        <v>0.878125114645969</v>
      </c>
      <c r="F107" s="11">
        <f ca="1" t="shared" si="145"/>
        <v>0.175434047269112</v>
      </c>
      <c r="G107" s="11">
        <f ca="1" t="shared" si="145"/>
        <v>0.253318509364474</v>
      </c>
      <c r="H107" s="11">
        <f ca="1" t="shared" si="145"/>
        <v>0.475987012278459</v>
      </c>
      <c r="I107" s="11">
        <f ca="1" t="shared" si="145"/>
        <v>0.998566206765109</v>
      </c>
      <c r="J107" s="11">
        <f ca="1" t="shared" si="145"/>
        <v>0.614247340072474</v>
      </c>
      <c r="K107" s="11">
        <f ca="1" t="shared" si="145"/>
        <v>0.391034277336822</v>
      </c>
      <c r="L107" s="11">
        <f ca="1" t="shared" si="145"/>
        <v>0.460536499450934</v>
      </c>
      <c r="M107" s="11">
        <f ca="1" t="shared" si="145"/>
        <v>0.936608171648341</v>
      </c>
      <c r="N107" s="11">
        <f ca="1" t="shared" si="145"/>
        <v>0.480299996643164</v>
      </c>
      <c r="O107" s="11">
        <f ca="1" t="shared" si="145"/>
        <v>0.4861642983658</v>
      </c>
      <c r="P107" s="11">
        <f ca="1" t="shared" si="145"/>
        <v>0.768103984127372</v>
      </c>
      <c r="Q107" s="11">
        <f ca="1" t="shared" si="145"/>
        <v>0.795262316044013</v>
      </c>
      <c r="R107" s="11">
        <f ca="1" t="shared" si="145"/>
        <v>0.749998988496498</v>
      </c>
      <c r="S107" s="11">
        <f ca="1" t="shared" si="145"/>
        <v>0.0111485014270676</v>
      </c>
      <c r="T107" s="12">
        <f ca="1" t="shared" si="102"/>
        <v>4.79673718563855</v>
      </c>
      <c r="U107" s="12">
        <f ca="1" t="shared" si="103"/>
        <v>5.44531278661492</v>
      </c>
      <c r="V107" s="12">
        <f ca="1" t="shared" si="104"/>
        <v>4.29239007878185</v>
      </c>
      <c r="W107" s="12">
        <f ca="1" t="shared" si="105"/>
        <v>4.42219751560746</v>
      </c>
      <c r="X107" s="12">
        <f ca="1" t="shared" si="106"/>
        <v>4.71998376534807</v>
      </c>
      <c r="Y107" s="12">
        <f ca="1" t="shared" si="107"/>
        <v>5.99283103382554</v>
      </c>
      <c r="Z107" s="12">
        <f ca="1" t="shared" si="108"/>
        <v>4.89280917509059</v>
      </c>
      <c r="AA107" s="12">
        <f ca="1" t="shared" si="109"/>
        <v>4.61379284667103</v>
      </c>
      <c r="AB107" s="12">
        <f ca="1" t="shared" si="110"/>
        <v>4.70067062431367</v>
      </c>
      <c r="AC107" s="12">
        <f ca="1" t="shared" si="111"/>
        <v>5.68304085824171</v>
      </c>
      <c r="AD107" s="12">
        <f ca="1" t="shared" si="112"/>
        <v>4.72537499580395</v>
      </c>
      <c r="AE107" s="12">
        <f ca="1" t="shared" si="113"/>
        <v>4.73270537295725</v>
      </c>
      <c r="AF107" s="12">
        <f ca="1" t="shared" si="114"/>
        <v>5.17025996031843</v>
      </c>
      <c r="AG107" s="12">
        <f ca="1" t="shared" si="115"/>
        <v>5.23815579011003</v>
      </c>
      <c r="AH107" s="12">
        <f ca="1" t="shared" si="116"/>
        <v>5.12499747124124</v>
      </c>
      <c r="AI107" s="12">
        <f ca="1" t="shared" si="117"/>
        <v>4.01858083571178</v>
      </c>
      <c r="AJ107" s="12">
        <f ca="1">SUM($T107:T107)</f>
        <v>4.79673718563855</v>
      </c>
      <c r="AK107" s="12">
        <f ca="1">SUM($T107:U107)</f>
        <v>10.2420499722535</v>
      </c>
      <c r="AL107" s="12">
        <f ca="1">SUM($T107:V107)</f>
        <v>14.5344400510353</v>
      </c>
      <c r="AM107" s="12">
        <f ca="1">SUM($T107:W107)</f>
        <v>18.9566375666428</v>
      </c>
      <c r="AN107" s="12">
        <f ca="1">SUM($T107:X107)</f>
        <v>23.6766213319909</v>
      </c>
      <c r="AO107" s="12">
        <f ca="1">SUM($T107:Y107)</f>
        <v>29.6694523658164</v>
      </c>
      <c r="AP107" s="12">
        <f ca="1">SUM($T107:Z107)</f>
        <v>34.562261540907</v>
      </c>
      <c r="AQ107" s="12">
        <f ca="1">SUM($T107:AA107)</f>
        <v>39.176054387578</v>
      </c>
      <c r="AR107" s="12">
        <f ca="1">SUM($T107:AB107)</f>
        <v>43.8767250118917</v>
      </c>
      <c r="AS107" s="12">
        <f ca="1">SUM($T107:AC107)</f>
        <v>49.5597658701334</v>
      </c>
      <c r="AT107" s="12">
        <f ca="1">SUM($T107:AD107)</f>
        <v>54.2851408659373</v>
      </c>
      <c r="AU107" s="12">
        <f ca="1">SUM($T107:AE107)</f>
        <v>59.0178462388946</v>
      </c>
      <c r="AV107" s="12">
        <f ca="1">SUM($T107:AF107)</f>
        <v>64.188106199213</v>
      </c>
      <c r="AW107" s="12">
        <f ca="1">SUM($T107:AG107)</f>
        <v>69.426261989323</v>
      </c>
      <c r="AX107" s="12">
        <f ca="1">SUM($T107:AH107)</f>
        <v>74.5512594605643</v>
      </c>
      <c r="AY107" s="12">
        <f ca="1">SUM($T107:AI107)</f>
        <v>78.5698402962761</v>
      </c>
      <c r="AZ107" s="12">
        <f ca="1" t="shared" si="118"/>
        <v>57.4175419959962</v>
      </c>
      <c r="BA107" s="12">
        <f ca="1" t="shared" si="119"/>
        <v>51.9722292093813</v>
      </c>
      <c r="BB107" s="12">
        <f ca="1" t="shared" si="120"/>
        <v>47.6798391305995</v>
      </c>
      <c r="BC107" s="12">
        <f ca="1" t="shared" si="121"/>
        <v>43.257641614992</v>
      </c>
      <c r="BD107" s="12">
        <f ca="1" t="shared" si="122"/>
        <v>38.5376578496439</v>
      </c>
      <c r="BE107" s="12">
        <f ca="1" t="shared" si="123"/>
        <v>32.5448268158184</v>
      </c>
      <c r="BF107" s="12">
        <f ca="1" t="shared" si="124"/>
        <v>27.6520176407278</v>
      </c>
      <c r="BG107" s="12">
        <f ca="1" t="shared" si="125"/>
        <v>23.0382247940568</v>
      </c>
      <c r="BH107" s="12">
        <f ca="1" t="shared" si="126"/>
        <v>18.3375541697431</v>
      </c>
      <c r="BI107" s="12">
        <f ca="1" t="shared" si="127"/>
        <v>12.6545133115014</v>
      </c>
      <c r="BJ107" s="12">
        <f ca="1" t="shared" si="128"/>
        <v>7.92913831569744</v>
      </c>
      <c r="BK107" s="12">
        <f ca="1" t="shared" si="129"/>
        <v>3.19643294274019</v>
      </c>
      <c r="BL107" s="12">
        <f ca="1" t="shared" si="130"/>
        <v>0</v>
      </c>
      <c r="BM107" s="12">
        <f ca="1" t="shared" si="131"/>
        <v>0</v>
      </c>
      <c r="BN107" s="12">
        <f ca="1" t="shared" si="132"/>
        <v>0</v>
      </c>
      <c r="BO107" s="12">
        <f ca="1" t="shared" si="133"/>
        <v>0</v>
      </c>
    </row>
    <row r="108" spans="1:67">
      <c r="A108" s="3">
        <v>78</v>
      </c>
      <c r="B108" s="11">
        <f ca="1" t="shared" si="99"/>
        <v>0.954148801941294</v>
      </c>
      <c r="C108" s="12">
        <f ca="1" t="shared" si="100"/>
        <v>78.3843001213309</v>
      </c>
      <c r="D108" s="11">
        <f ca="1" t="shared" ref="D108:S108" si="146">RAND()</f>
        <v>0.456409393782369</v>
      </c>
      <c r="E108" s="11">
        <f ca="1" t="shared" si="146"/>
        <v>0.685980583758919</v>
      </c>
      <c r="F108" s="11">
        <f ca="1" t="shared" si="146"/>
        <v>0.355830839068786</v>
      </c>
      <c r="G108" s="11">
        <f ca="1" t="shared" si="146"/>
        <v>0.955851788059559</v>
      </c>
      <c r="H108" s="11">
        <f ca="1" t="shared" si="146"/>
        <v>0.931786448480761</v>
      </c>
      <c r="I108" s="11">
        <f ca="1" t="shared" si="146"/>
        <v>0.332436890662339</v>
      </c>
      <c r="J108" s="11">
        <f ca="1" t="shared" si="146"/>
        <v>0.491101363489797</v>
      </c>
      <c r="K108" s="11">
        <f ca="1" t="shared" si="146"/>
        <v>0.303116322432881</v>
      </c>
      <c r="L108" s="11">
        <f ca="1" t="shared" si="146"/>
        <v>0.919929080702943</v>
      </c>
      <c r="M108" s="11">
        <f ca="1" t="shared" si="146"/>
        <v>0.460539496441522</v>
      </c>
      <c r="N108" s="11">
        <f ca="1" t="shared" si="146"/>
        <v>0.684243458416814</v>
      </c>
      <c r="O108" s="11">
        <f ca="1" t="shared" si="146"/>
        <v>0.749981181465171</v>
      </c>
      <c r="P108" s="11">
        <f ca="1" t="shared" si="146"/>
        <v>0.358865277486309</v>
      </c>
      <c r="Q108" s="11">
        <f ca="1" t="shared" si="146"/>
        <v>0.673228453482184</v>
      </c>
      <c r="R108" s="11">
        <f ca="1" t="shared" si="146"/>
        <v>0.568476912070001</v>
      </c>
      <c r="S108" s="11">
        <f ca="1" t="shared" si="146"/>
        <v>0.940172378043995</v>
      </c>
      <c r="T108" s="12">
        <f ca="1" t="shared" si="102"/>
        <v>4.69551174222796</v>
      </c>
      <c r="U108" s="12">
        <f ca="1" t="shared" si="103"/>
        <v>4.98247572969865</v>
      </c>
      <c r="V108" s="12">
        <f ca="1" t="shared" si="104"/>
        <v>4.56978854883598</v>
      </c>
      <c r="W108" s="12">
        <f ca="1" t="shared" si="105"/>
        <v>5.77925894029779</v>
      </c>
      <c r="X108" s="12">
        <f ca="1" t="shared" si="106"/>
        <v>5.65893224240381</v>
      </c>
      <c r="Y108" s="12">
        <f ca="1" t="shared" si="107"/>
        <v>4.54054611332792</v>
      </c>
      <c r="Z108" s="12">
        <f ca="1" t="shared" si="108"/>
        <v>4.73887670436225</v>
      </c>
      <c r="AA108" s="12">
        <f ca="1" t="shared" si="109"/>
        <v>4.5038954030411</v>
      </c>
      <c r="AB108" s="12">
        <f ca="1" t="shared" si="110"/>
        <v>5.59964540351472</v>
      </c>
      <c r="AC108" s="12">
        <f ca="1" t="shared" si="111"/>
        <v>4.7006743705519</v>
      </c>
      <c r="AD108" s="12">
        <f ca="1" t="shared" si="112"/>
        <v>4.98030432302102</v>
      </c>
      <c r="AE108" s="12">
        <f ca="1" t="shared" si="113"/>
        <v>5.12495295366293</v>
      </c>
      <c r="AF108" s="12">
        <f ca="1" t="shared" si="114"/>
        <v>4.57358159685789</v>
      </c>
      <c r="AG108" s="12">
        <f ca="1" t="shared" si="115"/>
        <v>4.96653556685273</v>
      </c>
      <c r="AH108" s="12">
        <f ca="1" t="shared" si="116"/>
        <v>4.8355961400875</v>
      </c>
      <c r="AI108" s="12">
        <f ca="1" t="shared" si="117"/>
        <v>5.70086189021997</v>
      </c>
      <c r="AJ108" s="12">
        <f ca="1">SUM($T108:T108)</f>
        <v>4.69551174222796</v>
      </c>
      <c r="AK108" s="12">
        <f ca="1">SUM($T108:U108)</f>
        <v>9.67798747192661</v>
      </c>
      <c r="AL108" s="12">
        <f ca="1">SUM($T108:V108)</f>
        <v>14.2477760207626</v>
      </c>
      <c r="AM108" s="12">
        <f ca="1">SUM($T108:W108)</f>
        <v>20.0270349610604</v>
      </c>
      <c r="AN108" s="12">
        <f ca="1">SUM($T108:X108)</f>
        <v>25.6859672034642</v>
      </c>
      <c r="AO108" s="12">
        <f ca="1">SUM($T108:Y108)</f>
        <v>30.2265133167921</v>
      </c>
      <c r="AP108" s="12">
        <f ca="1">SUM($T108:Z108)</f>
        <v>34.9653900211544</v>
      </c>
      <c r="AQ108" s="12">
        <f ca="1">SUM($T108:AA108)</f>
        <v>39.4692854241955</v>
      </c>
      <c r="AR108" s="12">
        <f ca="1">SUM($T108:AB108)</f>
        <v>45.0689308277102</v>
      </c>
      <c r="AS108" s="12">
        <f ca="1">SUM($T108:AC108)</f>
        <v>49.7696051982621</v>
      </c>
      <c r="AT108" s="12">
        <f ca="1">SUM($T108:AD108)</f>
        <v>54.7499095212831</v>
      </c>
      <c r="AU108" s="12">
        <f ca="1">SUM($T108:AE108)</f>
        <v>59.874862474946</v>
      </c>
      <c r="AV108" s="12">
        <f ca="1">SUM($T108:AF108)</f>
        <v>64.4484440718039</v>
      </c>
      <c r="AW108" s="12">
        <f ca="1">SUM($T108:AG108)</f>
        <v>69.4149796386566</v>
      </c>
      <c r="AX108" s="12">
        <f ca="1">SUM($T108:AH108)</f>
        <v>74.2505757787441</v>
      </c>
      <c r="AY108" s="12">
        <f ca="1">SUM($T108:AI108)</f>
        <v>79.9514376689641</v>
      </c>
      <c r="AZ108" s="12">
        <f ca="1" t="shared" si="118"/>
        <v>73.6887883791029</v>
      </c>
      <c r="BA108" s="12">
        <f ca="1" t="shared" si="119"/>
        <v>68.7063126494043</v>
      </c>
      <c r="BB108" s="12">
        <f ca="1" t="shared" si="120"/>
        <v>64.1365241005683</v>
      </c>
      <c r="BC108" s="12">
        <f ca="1" t="shared" si="121"/>
        <v>58.3572651602705</v>
      </c>
      <c r="BD108" s="12">
        <f ca="1" t="shared" si="122"/>
        <v>52.6983329178667</v>
      </c>
      <c r="BE108" s="12">
        <f ca="1" t="shared" si="123"/>
        <v>48.1577868045387</v>
      </c>
      <c r="BF108" s="12">
        <f ca="1" t="shared" si="124"/>
        <v>43.4189101001765</v>
      </c>
      <c r="BG108" s="12">
        <f ca="1" t="shared" si="125"/>
        <v>38.9150146971354</v>
      </c>
      <c r="BH108" s="12">
        <f ca="1" t="shared" si="126"/>
        <v>33.3153692936207</v>
      </c>
      <c r="BI108" s="12">
        <f ca="1" t="shared" si="127"/>
        <v>28.6146949230688</v>
      </c>
      <c r="BJ108" s="12">
        <f ca="1" t="shared" si="128"/>
        <v>23.6343906000478</v>
      </c>
      <c r="BK108" s="12">
        <f ca="1" t="shared" si="129"/>
        <v>18.5094376463848</v>
      </c>
      <c r="BL108" s="12">
        <f ca="1" t="shared" si="130"/>
        <v>13.935856049527</v>
      </c>
      <c r="BM108" s="12">
        <f ca="1" t="shared" si="131"/>
        <v>8.96932048267423</v>
      </c>
      <c r="BN108" s="12">
        <f ca="1" t="shared" si="132"/>
        <v>4.13372434258673</v>
      </c>
      <c r="BO108" s="12">
        <f ca="1" t="shared" si="133"/>
        <v>0</v>
      </c>
    </row>
    <row r="109" spans="1:67">
      <c r="A109" s="3">
        <v>79</v>
      </c>
      <c r="B109" s="11">
        <f ca="1" t="shared" si="99"/>
        <v>0.180497742084103</v>
      </c>
      <c r="C109" s="12">
        <f ca="1" t="shared" si="100"/>
        <v>57.6832580694701</v>
      </c>
      <c r="D109" s="11">
        <f ca="1" t="shared" ref="D109:S109" si="147">RAND()</f>
        <v>0.621485687189021</v>
      </c>
      <c r="E109" s="11">
        <f ca="1" t="shared" si="147"/>
        <v>0.4286584635664</v>
      </c>
      <c r="F109" s="11">
        <f ca="1" t="shared" si="147"/>
        <v>0.12929561183582</v>
      </c>
      <c r="G109" s="11">
        <f ca="1" t="shared" si="147"/>
        <v>0.125051322710313</v>
      </c>
      <c r="H109" s="11">
        <f ca="1" t="shared" si="147"/>
        <v>0.941662812395545</v>
      </c>
      <c r="I109" s="11">
        <f ca="1" t="shared" si="147"/>
        <v>0.456526174035991</v>
      </c>
      <c r="J109" s="11">
        <f ca="1" t="shared" si="147"/>
        <v>0.0111447228512935</v>
      </c>
      <c r="K109" s="11">
        <f ca="1" t="shared" si="147"/>
        <v>0.975109268528684</v>
      </c>
      <c r="L109" s="11">
        <f ca="1" t="shared" si="147"/>
        <v>0.143877845482346</v>
      </c>
      <c r="M109" s="11">
        <f ca="1" t="shared" si="147"/>
        <v>0.873168624484746</v>
      </c>
      <c r="N109" s="11">
        <f ca="1" t="shared" si="147"/>
        <v>0.4617701760914</v>
      </c>
      <c r="O109" s="11">
        <f ca="1" t="shared" si="147"/>
        <v>0.813317390388712</v>
      </c>
      <c r="P109" s="11">
        <f ca="1" t="shared" si="147"/>
        <v>0.720152705664468</v>
      </c>
      <c r="Q109" s="11">
        <f ca="1" t="shared" si="147"/>
        <v>0.68599495479566</v>
      </c>
      <c r="R109" s="11">
        <f ca="1" t="shared" si="147"/>
        <v>0.14053207921967</v>
      </c>
      <c r="S109" s="11">
        <f ca="1" t="shared" si="147"/>
        <v>0.777911065634973</v>
      </c>
      <c r="T109" s="12">
        <f ca="1" t="shared" si="102"/>
        <v>4.90185710898628</v>
      </c>
      <c r="U109" s="12">
        <f ca="1" t="shared" si="103"/>
        <v>4.660823079458</v>
      </c>
      <c r="V109" s="12">
        <f ca="1" t="shared" si="104"/>
        <v>4.21549268639303</v>
      </c>
      <c r="W109" s="12">
        <f ca="1" t="shared" si="105"/>
        <v>4.20841887118385</v>
      </c>
      <c r="X109" s="12">
        <f ca="1" t="shared" si="106"/>
        <v>5.70831406197772</v>
      </c>
      <c r="Y109" s="12">
        <f ca="1" t="shared" si="107"/>
        <v>4.69565771754499</v>
      </c>
      <c r="Z109" s="12">
        <f ca="1" t="shared" si="108"/>
        <v>4.01857453808549</v>
      </c>
      <c r="AA109" s="12">
        <f ca="1" t="shared" si="109"/>
        <v>5.87554634264342</v>
      </c>
      <c r="AB109" s="12">
        <f ca="1" t="shared" si="110"/>
        <v>4.23979640913724</v>
      </c>
      <c r="AC109" s="12">
        <f ca="1" t="shared" si="111"/>
        <v>5.43292156121186</v>
      </c>
      <c r="AD109" s="12">
        <f ca="1" t="shared" si="112"/>
        <v>4.70221272011425</v>
      </c>
      <c r="AE109" s="12">
        <f ca="1" t="shared" si="113"/>
        <v>5.28329347597178</v>
      </c>
      <c r="AF109" s="12">
        <f ca="1" t="shared" si="114"/>
        <v>5.05038176416117</v>
      </c>
      <c r="AG109" s="12">
        <f ca="1" t="shared" si="115"/>
        <v>4.98249369349458</v>
      </c>
      <c r="AH109" s="12">
        <f ca="1" t="shared" si="116"/>
        <v>4.23422013203278</v>
      </c>
      <c r="AI109" s="12">
        <f ca="1" t="shared" si="117"/>
        <v>5.19477766408743</v>
      </c>
      <c r="AJ109" s="12">
        <f ca="1">SUM($T109:T109)</f>
        <v>4.90185710898628</v>
      </c>
      <c r="AK109" s="12">
        <f ca="1">SUM($T109:U109)</f>
        <v>9.56268018844428</v>
      </c>
      <c r="AL109" s="12">
        <f ca="1">SUM($T109:V109)</f>
        <v>13.7781728748373</v>
      </c>
      <c r="AM109" s="12">
        <f ca="1">SUM($T109:W109)</f>
        <v>17.9865917460212</v>
      </c>
      <c r="AN109" s="12">
        <f ca="1">SUM($T109:X109)</f>
        <v>23.6949058079989</v>
      </c>
      <c r="AO109" s="12">
        <f ca="1">SUM($T109:Y109)</f>
        <v>28.3905635255439</v>
      </c>
      <c r="AP109" s="12">
        <f ca="1">SUM($T109:Z109)</f>
        <v>32.4091380636294</v>
      </c>
      <c r="AQ109" s="12">
        <f ca="1">SUM($T109:AA109)</f>
        <v>38.2846844062728</v>
      </c>
      <c r="AR109" s="12">
        <f ca="1">SUM($T109:AB109)</f>
        <v>42.52448081541</v>
      </c>
      <c r="AS109" s="12">
        <f ca="1">SUM($T109:AC109)</f>
        <v>47.9574023766219</v>
      </c>
      <c r="AT109" s="12">
        <f ca="1">SUM($T109:AD109)</f>
        <v>52.6596150967361</v>
      </c>
      <c r="AU109" s="12">
        <f ca="1">SUM($T109:AE109)</f>
        <v>57.9429085727079</v>
      </c>
      <c r="AV109" s="12">
        <f ca="1">SUM($T109:AF109)</f>
        <v>62.9932903368691</v>
      </c>
      <c r="AW109" s="12">
        <f ca="1">SUM($T109:AG109)</f>
        <v>67.9757840303637</v>
      </c>
      <c r="AX109" s="12">
        <f ca="1">SUM($T109:AH109)</f>
        <v>72.2100041623965</v>
      </c>
      <c r="AY109" s="12">
        <f ca="1">SUM($T109:AI109)</f>
        <v>77.4047818264839</v>
      </c>
      <c r="AZ109" s="12">
        <f ca="1" t="shared" si="118"/>
        <v>52.7814009604838</v>
      </c>
      <c r="BA109" s="12">
        <f ca="1" t="shared" si="119"/>
        <v>48.1205778810258</v>
      </c>
      <c r="BB109" s="12">
        <f ca="1" t="shared" si="120"/>
        <v>43.9050851946328</v>
      </c>
      <c r="BC109" s="12">
        <f ca="1" t="shared" si="121"/>
        <v>39.6966663234489</v>
      </c>
      <c r="BD109" s="12">
        <f ca="1" t="shared" si="122"/>
        <v>33.9883522614712</v>
      </c>
      <c r="BE109" s="12">
        <f ca="1" t="shared" si="123"/>
        <v>29.2926945439262</v>
      </c>
      <c r="BF109" s="12">
        <f ca="1" t="shared" si="124"/>
        <v>25.2741200058407</v>
      </c>
      <c r="BG109" s="12">
        <f ca="1" t="shared" si="125"/>
        <v>19.3985736631973</v>
      </c>
      <c r="BH109" s="12">
        <f ca="1" t="shared" si="126"/>
        <v>15.1587772540601</v>
      </c>
      <c r="BI109" s="12">
        <f ca="1" t="shared" si="127"/>
        <v>9.7258556928482</v>
      </c>
      <c r="BJ109" s="12">
        <f ca="1" t="shared" si="128"/>
        <v>5.02364297273395</v>
      </c>
      <c r="BK109" s="12">
        <f ca="1" t="shared" si="129"/>
        <v>0</v>
      </c>
      <c r="BL109" s="12">
        <f ca="1" t="shared" si="130"/>
        <v>0</v>
      </c>
      <c r="BM109" s="12">
        <f ca="1" t="shared" si="131"/>
        <v>0</v>
      </c>
      <c r="BN109" s="12">
        <f ca="1" t="shared" si="132"/>
        <v>0</v>
      </c>
      <c r="BO109" s="12">
        <f ca="1" t="shared" si="133"/>
        <v>0</v>
      </c>
    </row>
    <row r="110" spans="1:67">
      <c r="A110" s="3">
        <v>80</v>
      </c>
      <c r="B110" s="11">
        <f ca="1" t="shared" si="99"/>
        <v>0.139148337024529</v>
      </c>
      <c r="C110" s="12">
        <f ca="1" t="shared" si="100"/>
        <v>56.3049445674843</v>
      </c>
      <c r="D110" s="11">
        <f ca="1" t="shared" ref="D110:S110" si="148">RAND()</f>
        <v>0.616975912623866</v>
      </c>
      <c r="E110" s="11">
        <f ca="1" t="shared" si="148"/>
        <v>0.936163692473331</v>
      </c>
      <c r="F110" s="11">
        <f ca="1" t="shared" si="148"/>
        <v>0.234558869044613</v>
      </c>
      <c r="G110" s="11">
        <f ca="1" t="shared" si="148"/>
        <v>0.605896037811762</v>
      </c>
      <c r="H110" s="11">
        <f ca="1" t="shared" si="148"/>
        <v>0.08418719703127</v>
      </c>
      <c r="I110" s="11">
        <f ca="1" t="shared" si="148"/>
        <v>0.958521892953066</v>
      </c>
      <c r="J110" s="11">
        <f ca="1" t="shared" si="148"/>
        <v>0.49110193942186</v>
      </c>
      <c r="K110" s="11">
        <f ca="1" t="shared" si="148"/>
        <v>0.284604205940268</v>
      </c>
      <c r="L110" s="11">
        <f ca="1" t="shared" si="148"/>
        <v>0.801308249941027</v>
      </c>
      <c r="M110" s="11">
        <f ca="1" t="shared" si="148"/>
        <v>0.795273494121342</v>
      </c>
      <c r="N110" s="11">
        <f ca="1" t="shared" si="148"/>
        <v>0.303116349173845</v>
      </c>
      <c r="O110" s="11">
        <f ca="1" t="shared" si="148"/>
        <v>0.84171287541119</v>
      </c>
      <c r="P110" s="11">
        <f ca="1" t="shared" si="148"/>
        <v>0.840449646662324</v>
      </c>
      <c r="Q110" s="11">
        <f ca="1" t="shared" si="148"/>
        <v>0.953237565968587</v>
      </c>
      <c r="R110" s="11">
        <f ca="1" t="shared" si="148"/>
        <v>0.940170819926775</v>
      </c>
      <c r="S110" s="11">
        <f ca="1" t="shared" si="148"/>
        <v>0.461775015987464</v>
      </c>
      <c r="T110" s="12">
        <f ca="1" t="shared" si="102"/>
        <v>4.89621989077983</v>
      </c>
      <c r="U110" s="12">
        <f ca="1" t="shared" si="103"/>
        <v>5.68081846236665</v>
      </c>
      <c r="V110" s="12">
        <f ca="1" t="shared" si="104"/>
        <v>4.39093144840769</v>
      </c>
      <c r="W110" s="12">
        <f ca="1" t="shared" si="105"/>
        <v>4.8823700472647</v>
      </c>
      <c r="X110" s="12">
        <f ca="1" t="shared" si="106"/>
        <v>4.14031199505212</v>
      </c>
      <c r="Y110" s="12">
        <f ca="1" t="shared" si="107"/>
        <v>5.79260946476533</v>
      </c>
      <c r="Z110" s="12">
        <f ca="1" t="shared" si="108"/>
        <v>4.73887742427732</v>
      </c>
      <c r="AA110" s="12">
        <f ca="1" t="shared" si="109"/>
        <v>4.47434034323378</v>
      </c>
      <c r="AB110" s="12">
        <f ca="1" t="shared" si="110"/>
        <v>5.25327062485257</v>
      </c>
      <c r="AC110" s="12">
        <f ca="1" t="shared" si="111"/>
        <v>5.23818373530336</v>
      </c>
      <c r="AD110" s="12">
        <f ca="1" t="shared" si="112"/>
        <v>4.50389543646731</v>
      </c>
      <c r="AE110" s="12">
        <f ca="1" t="shared" si="113"/>
        <v>5.35428218852798</v>
      </c>
      <c r="AF110" s="12">
        <f ca="1" t="shared" si="114"/>
        <v>5.35112411665581</v>
      </c>
      <c r="AG110" s="12">
        <f ca="1" t="shared" si="115"/>
        <v>5.76618782984294</v>
      </c>
      <c r="AH110" s="12">
        <f ca="1" t="shared" si="116"/>
        <v>5.70085409963388</v>
      </c>
      <c r="AI110" s="12">
        <f ca="1" t="shared" si="117"/>
        <v>4.70221876998433</v>
      </c>
      <c r="AJ110" s="12">
        <f ca="1">SUM($T110:T110)</f>
        <v>4.89621989077983</v>
      </c>
      <c r="AK110" s="12">
        <f ca="1">SUM($T110:U110)</f>
        <v>10.5770383531465</v>
      </c>
      <c r="AL110" s="12">
        <f ca="1">SUM($T110:V110)</f>
        <v>14.9679698015542</v>
      </c>
      <c r="AM110" s="12">
        <f ca="1">SUM($T110:W110)</f>
        <v>19.8503398488189</v>
      </c>
      <c r="AN110" s="12">
        <f ca="1">SUM($T110:X110)</f>
        <v>23.990651843871</v>
      </c>
      <c r="AO110" s="12">
        <f ca="1">SUM($T110:Y110)</f>
        <v>29.7832613086363</v>
      </c>
      <c r="AP110" s="12">
        <f ca="1">SUM($T110:Z110)</f>
        <v>34.5221387329136</v>
      </c>
      <c r="AQ110" s="12">
        <f ca="1">SUM($T110:AA110)</f>
        <v>38.9964790761474</v>
      </c>
      <c r="AR110" s="12">
        <f ca="1">SUM($T110:AB110)</f>
        <v>44.249749701</v>
      </c>
      <c r="AS110" s="12">
        <f ca="1">SUM($T110:AC110)</f>
        <v>49.4879334363034</v>
      </c>
      <c r="AT110" s="12">
        <f ca="1">SUM($T110:AD110)</f>
        <v>53.9918288727707</v>
      </c>
      <c r="AU110" s="12">
        <f ca="1">SUM($T110:AE110)</f>
        <v>59.3461110612986</v>
      </c>
      <c r="AV110" s="12">
        <f ca="1">SUM($T110:AF110)</f>
        <v>64.6972351779544</v>
      </c>
      <c r="AW110" s="12">
        <f ca="1">SUM($T110:AG110)</f>
        <v>70.4634230077974</v>
      </c>
      <c r="AX110" s="12">
        <f ca="1">SUM($T110:AH110)</f>
        <v>76.1642771074312</v>
      </c>
      <c r="AY110" s="12">
        <f ca="1">SUM($T110:AI110)</f>
        <v>80.8664958774156</v>
      </c>
      <c r="AZ110" s="12">
        <f ca="1" t="shared" si="118"/>
        <v>51.4087246767045</v>
      </c>
      <c r="BA110" s="12">
        <f ca="1" t="shared" si="119"/>
        <v>45.7279062143378</v>
      </c>
      <c r="BB110" s="12">
        <f ca="1" t="shared" si="120"/>
        <v>41.3369747659301</v>
      </c>
      <c r="BC110" s="12">
        <f ca="1" t="shared" si="121"/>
        <v>36.4546047186654</v>
      </c>
      <c r="BD110" s="12">
        <f ca="1" t="shared" si="122"/>
        <v>32.3142927236133</v>
      </c>
      <c r="BE110" s="12">
        <f ca="1" t="shared" si="123"/>
        <v>26.521683258848</v>
      </c>
      <c r="BF110" s="12">
        <f ca="1" t="shared" si="124"/>
        <v>21.7828058345707</v>
      </c>
      <c r="BG110" s="12">
        <f ca="1" t="shared" si="125"/>
        <v>17.3084654913369</v>
      </c>
      <c r="BH110" s="12">
        <f ca="1" t="shared" si="126"/>
        <v>12.0551948664843</v>
      </c>
      <c r="BI110" s="12">
        <f ca="1" t="shared" si="127"/>
        <v>6.81701113118096</v>
      </c>
      <c r="BJ110" s="12">
        <f ca="1" t="shared" si="128"/>
        <v>2.31311569471366</v>
      </c>
      <c r="BK110" s="12">
        <f ca="1" t="shared" si="129"/>
        <v>0</v>
      </c>
      <c r="BL110" s="12">
        <f ca="1" t="shared" si="130"/>
        <v>0</v>
      </c>
      <c r="BM110" s="12">
        <f ca="1" t="shared" si="131"/>
        <v>0</v>
      </c>
      <c r="BN110" s="12">
        <f ca="1" t="shared" si="132"/>
        <v>0</v>
      </c>
      <c r="BO110" s="12">
        <f ca="1" t="shared" si="133"/>
        <v>0</v>
      </c>
    </row>
    <row r="111" spans="1:67">
      <c r="A111" s="3">
        <v>81</v>
      </c>
      <c r="B111" s="11">
        <f ca="1" t="shared" si="99"/>
        <v>0.773336330352136</v>
      </c>
      <c r="C111" s="12">
        <f ca="1" t="shared" si="100"/>
        <v>68.1905190050305</v>
      </c>
      <c r="D111" s="11">
        <f ca="1" t="shared" ref="D111:S111" si="149">RAND()</f>
        <v>0.355812218347111</v>
      </c>
      <c r="E111" s="11">
        <f ca="1" t="shared" si="149"/>
        <v>0.545897590336076</v>
      </c>
      <c r="F111" s="11">
        <f ca="1" t="shared" si="149"/>
        <v>0.622586967448225</v>
      </c>
      <c r="G111" s="11">
        <f ca="1" t="shared" si="149"/>
        <v>0.785180055580659</v>
      </c>
      <c r="H111" s="11">
        <f ca="1" t="shared" si="149"/>
        <v>0.140510458831673</v>
      </c>
      <c r="I111" s="11">
        <f ca="1" t="shared" si="149"/>
        <v>0.234571804909628</v>
      </c>
      <c r="J111" s="11">
        <f ca="1" t="shared" si="149"/>
        <v>0.531006498967553</v>
      </c>
      <c r="K111" s="11">
        <f ca="1" t="shared" si="149"/>
        <v>0.656209872485504</v>
      </c>
      <c r="L111" s="11">
        <f ca="1" t="shared" si="149"/>
        <v>0.841724520650474</v>
      </c>
      <c r="M111" s="11">
        <f ca="1" t="shared" si="149"/>
        <v>0.936950467827314</v>
      </c>
      <c r="N111" s="11">
        <f ca="1" t="shared" si="149"/>
        <v>0.460521013431896</v>
      </c>
      <c r="O111" s="11">
        <f ca="1" t="shared" si="149"/>
        <v>0.229914855936726</v>
      </c>
      <c r="P111" s="11">
        <f ca="1" t="shared" si="149"/>
        <v>0.785062521142255</v>
      </c>
      <c r="Q111" s="11">
        <f ca="1" t="shared" si="149"/>
        <v>0.878123195372042</v>
      </c>
      <c r="R111" s="11">
        <f ca="1" t="shared" si="149"/>
        <v>0.545869797123864</v>
      </c>
      <c r="S111" s="11">
        <f ca="1" t="shared" si="149"/>
        <v>0.404852754543161</v>
      </c>
      <c r="T111" s="12">
        <f ca="1" t="shared" si="102"/>
        <v>4.56976527293389</v>
      </c>
      <c r="U111" s="12">
        <f ca="1" t="shared" si="103"/>
        <v>4.80737198792009</v>
      </c>
      <c r="V111" s="12">
        <f ca="1" t="shared" si="104"/>
        <v>4.90323370931028</v>
      </c>
      <c r="W111" s="12">
        <f ca="1" t="shared" si="105"/>
        <v>5.21295013895165</v>
      </c>
      <c r="X111" s="12">
        <f ca="1" t="shared" si="106"/>
        <v>4.23418409805279</v>
      </c>
      <c r="Y111" s="12">
        <f ca="1" t="shared" si="107"/>
        <v>4.39095300818271</v>
      </c>
      <c r="Z111" s="12">
        <f ca="1" t="shared" si="108"/>
        <v>4.78875812370944</v>
      </c>
      <c r="AA111" s="12">
        <f ca="1" t="shared" si="109"/>
        <v>4.94526234060688</v>
      </c>
      <c r="AB111" s="12">
        <f ca="1" t="shared" si="110"/>
        <v>5.35431130162618</v>
      </c>
      <c r="AC111" s="12">
        <f ca="1" t="shared" si="111"/>
        <v>5.68475233913657</v>
      </c>
      <c r="AD111" s="12">
        <f ca="1" t="shared" si="112"/>
        <v>4.70065126678987</v>
      </c>
      <c r="AE111" s="12">
        <f ca="1" t="shared" si="113"/>
        <v>4.38319142656121</v>
      </c>
      <c r="AF111" s="12">
        <f ca="1" t="shared" si="114"/>
        <v>5.21265630285564</v>
      </c>
      <c r="AG111" s="12">
        <f ca="1" t="shared" si="115"/>
        <v>5.4453079884301</v>
      </c>
      <c r="AH111" s="12">
        <f ca="1" t="shared" si="116"/>
        <v>4.80733724640483</v>
      </c>
      <c r="AI111" s="12">
        <f ca="1" t="shared" si="117"/>
        <v>4.63106594317895</v>
      </c>
      <c r="AJ111" s="12">
        <f ca="1">SUM($T111:T111)</f>
        <v>4.56976527293389</v>
      </c>
      <c r="AK111" s="12">
        <f ca="1">SUM($T111:U111)</f>
        <v>9.37713726085398</v>
      </c>
      <c r="AL111" s="12">
        <f ca="1">SUM($T111:V111)</f>
        <v>14.2803709701643</v>
      </c>
      <c r="AM111" s="12">
        <f ca="1">SUM($T111:W111)</f>
        <v>19.4933211091159</v>
      </c>
      <c r="AN111" s="12">
        <f ca="1">SUM($T111:X111)</f>
        <v>23.7275052071687</v>
      </c>
      <c r="AO111" s="12">
        <f ca="1">SUM($T111:Y111)</f>
        <v>28.1184582153514</v>
      </c>
      <c r="AP111" s="12">
        <f ca="1">SUM($T111:Z111)</f>
        <v>32.9072163390609</v>
      </c>
      <c r="AQ111" s="12">
        <f ca="1">SUM($T111:AA111)</f>
        <v>37.8524786796677</v>
      </c>
      <c r="AR111" s="12">
        <f ca="1">SUM($T111:AB111)</f>
        <v>43.2067899812939</v>
      </c>
      <c r="AS111" s="12">
        <f ca="1">SUM($T111:AC111)</f>
        <v>48.8915423204305</v>
      </c>
      <c r="AT111" s="12">
        <f ca="1">SUM($T111:AD111)</f>
        <v>53.5921935872204</v>
      </c>
      <c r="AU111" s="12">
        <f ca="1">SUM($T111:AE111)</f>
        <v>57.9753850137816</v>
      </c>
      <c r="AV111" s="12">
        <f ca="1">SUM($T111:AF111)</f>
        <v>63.1880413166372</v>
      </c>
      <c r="AW111" s="12">
        <f ca="1">SUM($T111:AG111)</f>
        <v>68.6333493050673</v>
      </c>
      <c r="AX111" s="12">
        <f ca="1">SUM($T111:AH111)</f>
        <v>73.4406865514721</v>
      </c>
      <c r="AY111" s="12">
        <f ca="1">SUM($T111:AI111)</f>
        <v>78.0717524946511</v>
      </c>
      <c r="AZ111" s="12">
        <f ca="1" t="shared" si="118"/>
        <v>63.6207537320966</v>
      </c>
      <c r="BA111" s="12">
        <f ca="1" t="shared" si="119"/>
        <v>58.8133817441765</v>
      </c>
      <c r="BB111" s="12">
        <f ca="1" t="shared" si="120"/>
        <v>53.9101480348662</v>
      </c>
      <c r="BC111" s="12">
        <f ca="1" t="shared" si="121"/>
        <v>48.6971978959146</v>
      </c>
      <c r="BD111" s="12">
        <f ca="1" t="shared" si="122"/>
        <v>44.4630137978618</v>
      </c>
      <c r="BE111" s="12">
        <f ca="1" t="shared" si="123"/>
        <v>40.0720607896791</v>
      </c>
      <c r="BF111" s="12">
        <f ca="1" t="shared" si="124"/>
        <v>35.2833026659697</v>
      </c>
      <c r="BG111" s="12">
        <f ca="1" t="shared" si="125"/>
        <v>30.3380403253628</v>
      </c>
      <c r="BH111" s="12">
        <f ca="1" t="shared" si="126"/>
        <v>24.9837290237366</v>
      </c>
      <c r="BI111" s="12">
        <f ca="1" t="shared" si="127"/>
        <v>19.2989766846</v>
      </c>
      <c r="BJ111" s="12">
        <f ca="1" t="shared" si="128"/>
        <v>14.5983254178101</v>
      </c>
      <c r="BK111" s="12">
        <f ca="1" t="shared" si="129"/>
        <v>10.2151339912489</v>
      </c>
      <c r="BL111" s="12">
        <f ca="1" t="shared" si="130"/>
        <v>5.0024776883933</v>
      </c>
      <c r="BM111" s="12">
        <f ca="1" t="shared" si="131"/>
        <v>0</v>
      </c>
      <c r="BN111" s="12">
        <f ca="1" t="shared" si="132"/>
        <v>0</v>
      </c>
      <c r="BO111" s="12">
        <f ca="1" t="shared" si="133"/>
        <v>0</v>
      </c>
    </row>
    <row r="112" spans="1:67">
      <c r="A112" s="3">
        <v>82</v>
      </c>
      <c r="B112" s="11">
        <f ca="1" t="shared" si="99"/>
        <v>0.465183155204207</v>
      </c>
      <c r="C112" s="12">
        <f ca="1" t="shared" si="100"/>
        <v>63.5863859200701</v>
      </c>
      <c r="D112" s="11">
        <f ca="1" t="shared" ref="D112:S112" si="150">RAND()</f>
        <v>0.749988310157403</v>
      </c>
      <c r="E112" s="11">
        <f ca="1" t="shared" si="150"/>
        <v>0.936591395827573</v>
      </c>
      <c r="F112" s="11">
        <f ca="1" t="shared" si="150"/>
        <v>0.656214304018447</v>
      </c>
      <c r="G112" s="11">
        <f ca="1" t="shared" si="150"/>
        <v>0.0918213369559673</v>
      </c>
      <c r="H112" s="11">
        <f ca="1" t="shared" si="150"/>
        <v>0.0265754391638693</v>
      </c>
      <c r="I112" s="11">
        <f ca="1" t="shared" si="150"/>
        <v>0.0111640953467378</v>
      </c>
      <c r="J112" s="11">
        <f ca="1" t="shared" si="150"/>
        <v>0.456402929057649</v>
      </c>
      <c r="K112" s="11">
        <f ca="1" t="shared" si="150"/>
        <v>0.66044618477761</v>
      </c>
      <c r="L112" s="11">
        <f ca="1" t="shared" si="150"/>
        <v>0.878137954430146</v>
      </c>
      <c r="M112" s="11">
        <f ca="1" t="shared" si="150"/>
        <v>0.242827075804634</v>
      </c>
      <c r="N112" s="11">
        <f ca="1" t="shared" si="150"/>
        <v>0.60573707013918</v>
      </c>
      <c r="O112" s="11">
        <f ca="1" t="shared" si="150"/>
        <v>0.193828829694579</v>
      </c>
      <c r="P112" s="11">
        <f ca="1" t="shared" si="150"/>
        <v>0.618362529080953</v>
      </c>
      <c r="Q112" s="11">
        <f ca="1" t="shared" si="150"/>
        <v>0.936602619896231</v>
      </c>
      <c r="R112" s="11">
        <f ca="1" t="shared" si="150"/>
        <v>0.550983092374348</v>
      </c>
      <c r="S112" s="11">
        <f ca="1" t="shared" si="150"/>
        <v>0.685986570138539</v>
      </c>
      <c r="T112" s="12">
        <f ca="1" t="shared" si="102"/>
        <v>5.12497077539351</v>
      </c>
      <c r="U112" s="12">
        <f ca="1" t="shared" si="103"/>
        <v>5.68295697913786</v>
      </c>
      <c r="V112" s="12">
        <f ca="1" t="shared" si="104"/>
        <v>4.94526788002306</v>
      </c>
      <c r="W112" s="12">
        <f ca="1" t="shared" si="105"/>
        <v>4.15303556159328</v>
      </c>
      <c r="X112" s="12">
        <f ca="1" t="shared" si="106"/>
        <v>4.04429239860645</v>
      </c>
      <c r="Y112" s="12">
        <f ca="1" t="shared" si="107"/>
        <v>4.0186068255779</v>
      </c>
      <c r="Z112" s="12">
        <f ca="1" t="shared" si="108"/>
        <v>4.69550366132206</v>
      </c>
      <c r="AA112" s="12">
        <f ca="1" t="shared" si="109"/>
        <v>4.95055773097201</v>
      </c>
      <c r="AB112" s="12">
        <f ca="1" t="shared" si="110"/>
        <v>5.44534488607536</v>
      </c>
      <c r="AC112" s="12">
        <f ca="1" t="shared" si="111"/>
        <v>4.40471179300772</v>
      </c>
      <c r="AD112" s="12">
        <f ca="1" t="shared" si="112"/>
        <v>4.88217133767397</v>
      </c>
      <c r="AE112" s="12">
        <f ca="1" t="shared" si="113"/>
        <v>4.32304804949097</v>
      </c>
      <c r="AF112" s="12">
        <f ca="1" t="shared" si="114"/>
        <v>4.89795316135119</v>
      </c>
      <c r="AG112" s="12">
        <f ca="1" t="shared" si="115"/>
        <v>5.68301309948115</v>
      </c>
      <c r="AH112" s="12">
        <f ca="1" t="shared" si="116"/>
        <v>4.81372886546793</v>
      </c>
      <c r="AI112" s="12">
        <f ca="1" t="shared" si="117"/>
        <v>4.98248321267317</v>
      </c>
      <c r="AJ112" s="12">
        <f ca="1">SUM($T112:T112)</f>
        <v>5.12497077539351</v>
      </c>
      <c r="AK112" s="12">
        <f ca="1">SUM($T112:U112)</f>
        <v>10.8079277545314</v>
      </c>
      <c r="AL112" s="12">
        <f ca="1">SUM($T112:V112)</f>
        <v>15.7531956345544</v>
      </c>
      <c r="AM112" s="12">
        <f ca="1">SUM($T112:W112)</f>
        <v>19.9062311961477</v>
      </c>
      <c r="AN112" s="12">
        <f ca="1">SUM($T112:X112)</f>
        <v>23.9505235947542</v>
      </c>
      <c r="AO112" s="12">
        <f ca="1">SUM($T112:Y112)</f>
        <v>27.9691304203321</v>
      </c>
      <c r="AP112" s="12">
        <f ca="1">SUM($T112:Z112)</f>
        <v>32.6646340816541</v>
      </c>
      <c r="AQ112" s="12">
        <f ca="1">SUM($T112:AA112)</f>
        <v>37.6151918126261</v>
      </c>
      <c r="AR112" s="12">
        <f ca="1">SUM($T112:AB112)</f>
        <v>43.0605366987015</v>
      </c>
      <c r="AS112" s="12">
        <f ca="1">SUM($T112:AC112)</f>
        <v>47.4652484917092</v>
      </c>
      <c r="AT112" s="12">
        <f ca="1">SUM($T112:AD112)</f>
        <v>52.3474198293832</v>
      </c>
      <c r="AU112" s="12">
        <f ca="1">SUM($T112:AE112)</f>
        <v>56.6704678788742</v>
      </c>
      <c r="AV112" s="12">
        <f ca="1">SUM($T112:AF112)</f>
        <v>61.5684210402253</v>
      </c>
      <c r="AW112" s="12">
        <f ca="1">SUM($T112:AG112)</f>
        <v>67.2514341397065</v>
      </c>
      <c r="AX112" s="12">
        <f ca="1">SUM($T112:AH112)</f>
        <v>72.0651630051744</v>
      </c>
      <c r="AY112" s="12">
        <f ca="1">SUM($T112:AI112)</f>
        <v>77.0476462178476</v>
      </c>
      <c r="AZ112" s="12">
        <f ca="1" t="shared" si="118"/>
        <v>58.4614151446766</v>
      </c>
      <c r="BA112" s="12">
        <f ca="1" t="shared" si="119"/>
        <v>52.7784581655388</v>
      </c>
      <c r="BB112" s="12">
        <f ca="1" t="shared" si="120"/>
        <v>47.8331902855157</v>
      </c>
      <c r="BC112" s="12">
        <f ca="1" t="shared" si="121"/>
        <v>43.6801547239224</v>
      </c>
      <c r="BD112" s="12">
        <f ca="1" t="shared" si="122"/>
        <v>39.635862325316</v>
      </c>
      <c r="BE112" s="12">
        <f ca="1" t="shared" si="123"/>
        <v>35.6172554997381</v>
      </c>
      <c r="BF112" s="12">
        <f ca="1" t="shared" si="124"/>
        <v>30.921751838416</v>
      </c>
      <c r="BG112" s="12">
        <f ca="1" t="shared" si="125"/>
        <v>25.971194107444</v>
      </c>
      <c r="BH112" s="12">
        <f ca="1" t="shared" si="126"/>
        <v>20.5258492213686</v>
      </c>
      <c r="BI112" s="12">
        <f ca="1" t="shared" si="127"/>
        <v>16.1211374283609</v>
      </c>
      <c r="BJ112" s="12">
        <f ca="1" t="shared" si="128"/>
        <v>11.2389660906869</v>
      </c>
      <c r="BK112" s="12">
        <f ca="1" t="shared" si="129"/>
        <v>6.91591804119597</v>
      </c>
      <c r="BL112" s="12">
        <f ca="1" t="shared" si="130"/>
        <v>2.01796487984478</v>
      </c>
      <c r="BM112" s="12">
        <f ca="1" t="shared" si="131"/>
        <v>0</v>
      </c>
      <c r="BN112" s="12">
        <f ca="1" t="shared" si="132"/>
        <v>0</v>
      </c>
      <c r="BO112" s="12">
        <f ca="1" t="shared" si="133"/>
        <v>0</v>
      </c>
    </row>
    <row r="113" spans="1:67">
      <c r="A113" s="3">
        <v>83</v>
      </c>
      <c r="B113" s="11">
        <f ca="1" t="shared" si="99"/>
        <v>0.0378841647902262</v>
      </c>
      <c r="C113" s="12">
        <f ca="1" t="shared" si="100"/>
        <v>51.8942082395113</v>
      </c>
      <c r="D113" s="11">
        <f ca="1" t="shared" ref="D113:S113" si="151">RAND()</f>
        <v>0.456412417895908</v>
      </c>
      <c r="E113" s="11">
        <f ca="1" t="shared" si="151"/>
        <v>0.838982321308801</v>
      </c>
      <c r="F113" s="11">
        <f ca="1" t="shared" si="151"/>
        <v>0.855492946312749</v>
      </c>
      <c r="G113" s="11">
        <f ca="1" t="shared" si="151"/>
        <v>0.491118303798139</v>
      </c>
      <c r="H113" s="11">
        <f ca="1" t="shared" si="151"/>
        <v>0.933207729587322</v>
      </c>
      <c r="I113" s="11">
        <f ca="1" t="shared" si="151"/>
        <v>0.303115748070606</v>
      </c>
      <c r="J113" s="11">
        <f ca="1" t="shared" si="151"/>
        <v>0.723680987887593</v>
      </c>
      <c r="K113" s="11">
        <f ca="1" t="shared" si="151"/>
        <v>0.931772307089614</v>
      </c>
      <c r="L113" s="11">
        <f ca="1" t="shared" si="151"/>
        <v>0.697408579046607</v>
      </c>
      <c r="M113" s="11">
        <f ca="1" t="shared" si="151"/>
        <v>0.940175442595487</v>
      </c>
      <c r="N113" s="11">
        <f ca="1" t="shared" si="151"/>
        <v>0.568473383523415</v>
      </c>
      <c r="O113" s="11">
        <f ca="1" t="shared" si="151"/>
        <v>0.819281754267466</v>
      </c>
      <c r="P113" s="11">
        <f ca="1" t="shared" si="151"/>
        <v>0.428659245113387</v>
      </c>
      <c r="Q113" s="11">
        <f ca="1" t="shared" si="151"/>
        <v>0.461791904418228</v>
      </c>
      <c r="R113" s="11">
        <f ca="1" t="shared" si="151"/>
        <v>0.859732102060763</v>
      </c>
      <c r="S113" s="11">
        <f ca="1" t="shared" si="151"/>
        <v>0.747350416648742</v>
      </c>
      <c r="T113" s="12">
        <f ca="1" t="shared" si="102"/>
        <v>4.69551552236988</v>
      </c>
      <c r="U113" s="12">
        <f ca="1" t="shared" si="103"/>
        <v>5.347455803272</v>
      </c>
      <c r="V113" s="12">
        <f ca="1" t="shared" si="104"/>
        <v>5.38873236578187</v>
      </c>
      <c r="W113" s="12">
        <f ca="1" t="shared" si="105"/>
        <v>4.73889787974767</v>
      </c>
      <c r="X113" s="12">
        <f ca="1" t="shared" si="106"/>
        <v>5.66603864793661</v>
      </c>
      <c r="Y113" s="12">
        <f ca="1" t="shared" si="107"/>
        <v>4.50389468508826</v>
      </c>
      <c r="Z113" s="12">
        <f ca="1" t="shared" si="108"/>
        <v>5.05920246971898</v>
      </c>
      <c r="AA113" s="12">
        <f ca="1" t="shared" si="109"/>
        <v>5.65886153544807</v>
      </c>
      <c r="AB113" s="12">
        <f ca="1" t="shared" si="110"/>
        <v>4.99676072380826</v>
      </c>
      <c r="AC113" s="12">
        <f ca="1" t="shared" si="111"/>
        <v>5.70087721297744</v>
      </c>
      <c r="AD113" s="12">
        <f ca="1" t="shared" si="112"/>
        <v>4.83559172940427</v>
      </c>
      <c r="AE113" s="12">
        <f ca="1" t="shared" si="113"/>
        <v>5.29820438566866</v>
      </c>
      <c r="AF113" s="12">
        <f ca="1" t="shared" si="114"/>
        <v>4.66082405639173</v>
      </c>
      <c r="AG113" s="12">
        <f ca="1" t="shared" si="115"/>
        <v>4.70223988052279</v>
      </c>
      <c r="AH113" s="12">
        <f ca="1" t="shared" si="116"/>
        <v>5.39933025515191</v>
      </c>
      <c r="AI113" s="12">
        <f ca="1" t="shared" si="117"/>
        <v>5.11837604162186</v>
      </c>
      <c r="AJ113" s="12">
        <f ca="1">SUM($T113:T113)</f>
        <v>4.69551552236988</v>
      </c>
      <c r="AK113" s="12">
        <f ca="1">SUM($T113:U113)</f>
        <v>10.0429713256419</v>
      </c>
      <c r="AL113" s="12">
        <f ca="1">SUM($T113:V113)</f>
        <v>15.4317036914238</v>
      </c>
      <c r="AM113" s="12">
        <f ca="1">SUM($T113:W113)</f>
        <v>20.1706015711714</v>
      </c>
      <c r="AN113" s="12">
        <f ca="1">SUM($T113:X113)</f>
        <v>25.836640219108</v>
      </c>
      <c r="AO113" s="12">
        <f ca="1">SUM($T113:Y113)</f>
        <v>30.3405349041963</v>
      </c>
      <c r="AP113" s="12">
        <f ca="1">SUM($T113:Z113)</f>
        <v>35.3997373739153</v>
      </c>
      <c r="AQ113" s="12">
        <f ca="1">SUM($T113:AA113)</f>
        <v>41.0585989093634</v>
      </c>
      <c r="AR113" s="12">
        <f ca="1">SUM($T113:AB113)</f>
        <v>46.0553596331716</v>
      </c>
      <c r="AS113" s="12">
        <f ca="1">SUM($T113:AC113)</f>
        <v>51.7562368461491</v>
      </c>
      <c r="AT113" s="12">
        <f ca="1">SUM($T113:AD113)</f>
        <v>56.5918285755533</v>
      </c>
      <c r="AU113" s="12">
        <f ca="1">SUM($T113:AE113)</f>
        <v>61.890032961222</v>
      </c>
      <c r="AV113" s="12">
        <f ca="1">SUM($T113:AF113)</f>
        <v>66.5508570176137</v>
      </c>
      <c r="AW113" s="12">
        <f ca="1">SUM($T113:AG113)</f>
        <v>71.2530968981365</v>
      </c>
      <c r="AX113" s="12">
        <f ca="1">SUM($T113:AH113)</f>
        <v>76.6524271532884</v>
      </c>
      <c r="AY113" s="12">
        <f ca="1">SUM($T113:AI113)</f>
        <v>81.7708031949103</v>
      </c>
      <c r="AZ113" s="12">
        <f ca="1" t="shared" si="118"/>
        <v>47.1986927171414</v>
      </c>
      <c r="BA113" s="12">
        <f ca="1" t="shared" si="119"/>
        <v>41.8512369138694</v>
      </c>
      <c r="BB113" s="12">
        <f ca="1" t="shared" si="120"/>
        <v>36.4625045480876</v>
      </c>
      <c r="BC113" s="12">
        <f ca="1" t="shared" si="121"/>
        <v>31.7236066683399</v>
      </c>
      <c r="BD113" s="12">
        <f ca="1" t="shared" si="122"/>
        <v>26.0575680204033</v>
      </c>
      <c r="BE113" s="12">
        <f ca="1" t="shared" si="123"/>
        <v>21.553673335315</v>
      </c>
      <c r="BF113" s="12">
        <f ca="1" t="shared" si="124"/>
        <v>16.494470865596</v>
      </c>
      <c r="BG113" s="12">
        <f ca="1" t="shared" si="125"/>
        <v>10.835609330148</v>
      </c>
      <c r="BH113" s="12">
        <f ca="1" t="shared" si="126"/>
        <v>5.8388486063397</v>
      </c>
      <c r="BI113" s="12">
        <f ca="1" t="shared" si="127"/>
        <v>0.137971393362257</v>
      </c>
      <c r="BJ113" s="12">
        <f ca="1" t="shared" si="128"/>
        <v>0</v>
      </c>
      <c r="BK113" s="12">
        <f ca="1" t="shared" si="129"/>
        <v>0</v>
      </c>
      <c r="BL113" s="12">
        <f ca="1" t="shared" si="130"/>
        <v>0</v>
      </c>
      <c r="BM113" s="12">
        <f ca="1" t="shared" si="131"/>
        <v>0</v>
      </c>
      <c r="BN113" s="12">
        <f ca="1" t="shared" si="132"/>
        <v>0</v>
      </c>
      <c r="BO113" s="12">
        <f ca="1" t="shared" si="133"/>
        <v>0</v>
      </c>
    </row>
    <row r="114" spans="1:67">
      <c r="A114" s="3">
        <v>84</v>
      </c>
      <c r="B114" s="11">
        <f ca="1" t="shared" si="99"/>
        <v>0.987987900835552</v>
      </c>
      <c r="C114" s="12">
        <f ca="1" t="shared" si="100"/>
        <v>81.9969752088879</v>
      </c>
      <c r="D114" s="11">
        <f ca="1" t="shared" ref="D114:S114" si="152">RAND()</f>
        <v>0.12504402639275</v>
      </c>
      <c r="E114" s="11">
        <f ca="1" t="shared" si="152"/>
        <v>0.595315377650244</v>
      </c>
      <c r="F114" s="11">
        <f ca="1" t="shared" si="152"/>
        <v>0.140524490479552</v>
      </c>
      <c r="G114" s="11">
        <f ca="1" t="shared" si="152"/>
        <v>0.234563697928515</v>
      </c>
      <c r="H114" s="11">
        <f ca="1" t="shared" si="152"/>
        <v>0.841734781566061</v>
      </c>
      <c r="I114" s="11">
        <f ca="1" t="shared" si="152"/>
        <v>0.553875591758169</v>
      </c>
      <c r="J114" s="11">
        <f ca="1" t="shared" si="152"/>
        <v>0.957292154292909</v>
      </c>
      <c r="K114" s="11">
        <f ca="1" t="shared" si="152"/>
        <v>0.143866189945764</v>
      </c>
      <c r="L114" s="11">
        <f ca="1" t="shared" si="152"/>
        <v>0.607441935064098</v>
      </c>
      <c r="M114" s="11">
        <f ca="1" t="shared" si="152"/>
        <v>0.508897275807033</v>
      </c>
      <c r="N114" s="11">
        <f ca="1" t="shared" si="152"/>
        <v>0.545883687785513</v>
      </c>
      <c r="O114" s="11">
        <f ca="1" t="shared" si="152"/>
        <v>0.42026151343703</v>
      </c>
      <c r="P114" s="11">
        <f ca="1" t="shared" si="152"/>
        <v>0.931789790657331</v>
      </c>
      <c r="Q114" s="11">
        <f ca="1" t="shared" si="152"/>
        <v>0.154898999775116</v>
      </c>
      <c r="R114" s="11">
        <f ca="1" t="shared" si="152"/>
        <v>0.813320399777532</v>
      </c>
      <c r="S114" s="11">
        <f ca="1" t="shared" si="152"/>
        <v>0.330072350056684</v>
      </c>
      <c r="T114" s="12">
        <f ca="1" t="shared" si="102"/>
        <v>4.20840671065458</v>
      </c>
      <c r="U114" s="12">
        <f ca="1" t="shared" si="103"/>
        <v>4.86914422206281</v>
      </c>
      <c r="V114" s="12">
        <f ca="1" t="shared" si="104"/>
        <v>4.23420748413259</v>
      </c>
      <c r="W114" s="12">
        <f ca="1" t="shared" si="105"/>
        <v>4.39093949654753</v>
      </c>
      <c r="X114" s="12">
        <f ca="1" t="shared" si="106"/>
        <v>5.35433695391515</v>
      </c>
      <c r="Y114" s="12">
        <f ca="1" t="shared" si="107"/>
        <v>4.81734448969771</v>
      </c>
      <c r="Z114" s="12">
        <f ca="1" t="shared" si="108"/>
        <v>5.78646077146455</v>
      </c>
      <c r="AA114" s="12">
        <f ca="1" t="shared" si="109"/>
        <v>4.23977698324294</v>
      </c>
      <c r="AB114" s="12">
        <f ca="1" t="shared" si="110"/>
        <v>4.88430241883012</v>
      </c>
      <c r="AC114" s="12">
        <f ca="1" t="shared" si="111"/>
        <v>4.76112159475879</v>
      </c>
      <c r="AD114" s="12">
        <f ca="1" t="shared" si="112"/>
        <v>4.80735460973189</v>
      </c>
      <c r="AE114" s="12">
        <f ca="1" t="shared" si="113"/>
        <v>4.65032689179629</v>
      </c>
      <c r="AF114" s="12">
        <f ca="1" t="shared" si="114"/>
        <v>5.65894895328665</v>
      </c>
      <c r="AG114" s="12">
        <f ca="1" t="shared" si="115"/>
        <v>4.25816499962519</v>
      </c>
      <c r="AH114" s="12">
        <f ca="1" t="shared" si="116"/>
        <v>5.28330099944383</v>
      </c>
      <c r="AI114" s="12">
        <f ca="1" t="shared" si="117"/>
        <v>4.53759043757085</v>
      </c>
      <c r="AJ114" s="12">
        <f ca="1">SUM($T114:T114)</f>
        <v>4.20840671065458</v>
      </c>
      <c r="AK114" s="12">
        <f ca="1">SUM($T114:U114)</f>
        <v>9.07755093271739</v>
      </c>
      <c r="AL114" s="12">
        <f ca="1">SUM($T114:V114)</f>
        <v>13.31175841685</v>
      </c>
      <c r="AM114" s="12">
        <f ca="1">SUM($T114:W114)</f>
        <v>17.7026979133975</v>
      </c>
      <c r="AN114" s="12">
        <f ca="1">SUM($T114:X114)</f>
        <v>23.0570348673127</v>
      </c>
      <c r="AO114" s="12">
        <f ca="1">SUM($T114:Y114)</f>
        <v>27.8743793570104</v>
      </c>
      <c r="AP114" s="12">
        <f ca="1">SUM($T114:Z114)</f>
        <v>33.6608401284749</v>
      </c>
      <c r="AQ114" s="12">
        <f ca="1">SUM($T114:AA114)</f>
        <v>37.9006171117178</v>
      </c>
      <c r="AR114" s="12">
        <f ca="1">SUM($T114:AB114)</f>
        <v>42.784919530548</v>
      </c>
      <c r="AS114" s="12">
        <f ca="1">SUM($T114:AC114)</f>
        <v>47.5460411253068</v>
      </c>
      <c r="AT114" s="12">
        <f ca="1">SUM($T114:AD114)</f>
        <v>52.3533957350387</v>
      </c>
      <c r="AU114" s="12">
        <f ca="1">SUM($T114:AE114)</f>
        <v>57.0037226268349</v>
      </c>
      <c r="AV114" s="12">
        <f ca="1">SUM($T114:AF114)</f>
        <v>62.6626715801216</v>
      </c>
      <c r="AW114" s="12">
        <f ca="1">SUM($T114:AG114)</f>
        <v>66.9208365797468</v>
      </c>
      <c r="AX114" s="12">
        <f ca="1">SUM($T114:AH114)</f>
        <v>72.2041375791906</v>
      </c>
      <c r="AY114" s="12">
        <f ca="1">SUM($T114:AI114)</f>
        <v>76.7417280167615</v>
      </c>
      <c r="AZ114" s="12">
        <f ca="1" t="shared" si="118"/>
        <v>77.7885684982333</v>
      </c>
      <c r="BA114" s="12">
        <f ca="1" t="shared" si="119"/>
        <v>72.9194242761705</v>
      </c>
      <c r="BB114" s="12">
        <f ca="1" t="shared" si="120"/>
        <v>68.6852167920379</v>
      </c>
      <c r="BC114" s="12">
        <f ca="1" t="shared" si="121"/>
        <v>64.2942772954904</v>
      </c>
      <c r="BD114" s="12">
        <f ca="1" t="shared" si="122"/>
        <v>58.9399403415753</v>
      </c>
      <c r="BE114" s="12">
        <f ca="1" t="shared" si="123"/>
        <v>54.1225958518776</v>
      </c>
      <c r="BF114" s="12">
        <f ca="1" t="shared" si="124"/>
        <v>48.336135080413</v>
      </c>
      <c r="BG114" s="12">
        <f ca="1" t="shared" si="125"/>
        <v>44.0963580971701</v>
      </c>
      <c r="BH114" s="12">
        <f ca="1" t="shared" si="126"/>
        <v>39.2120556783399</v>
      </c>
      <c r="BI114" s="12">
        <f ca="1" t="shared" si="127"/>
        <v>34.4509340835812</v>
      </c>
      <c r="BJ114" s="12">
        <f ca="1" t="shared" si="128"/>
        <v>29.6435794738493</v>
      </c>
      <c r="BK114" s="12">
        <f ca="1" t="shared" si="129"/>
        <v>24.993252582053</v>
      </c>
      <c r="BL114" s="12">
        <f ca="1" t="shared" si="130"/>
        <v>19.3343036287663</v>
      </c>
      <c r="BM114" s="12">
        <f ca="1" t="shared" si="131"/>
        <v>15.0761386291411</v>
      </c>
      <c r="BN114" s="12">
        <f ca="1" t="shared" si="132"/>
        <v>9.7928376296973</v>
      </c>
      <c r="BO114" s="12">
        <f ca="1" t="shared" si="133"/>
        <v>5.25524719212645</v>
      </c>
    </row>
    <row r="115" spans="1:67">
      <c r="A115" s="3">
        <v>85</v>
      </c>
      <c r="B115" s="11">
        <f ca="1" t="shared" si="99"/>
        <v>0.24822848348226</v>
      </c>
      <c r="C115" s="12">
        <f ca="1" t="shared" si="100"/>
        <v>59.9409494494087</v>
      </c>
      <c r="D115" s="11">
        <f ca="1" t="shared" ref="D115:S115" si="153">RAND()</f>
        <v>0.158235177886611</v>
      </c>
      <c r="E115" s="11">
        <f ca="1" t="shared" si="153"/>
        <v>0.95379409861771</v>
      </c>
      <c r="F115" s="11">
        <f ca="1" t="shared" si="153"/>
        <v>0.568478439348074</v>
      </c>
      <c r="G115" s="11">
        <f ca="1" t="shared" si="153"/>
        <v>0.962834292977949</v>
      </c>
      <c r="H115" s="11">
        <f ca="1" t="shared" si="153"/>
        <v>0.656205085089111</v>
      </c>
      <c r="I115" s="11">
        <f ca="1" t="shared" si="153"/>
        <v>0.315586973441143</v>
      </c>
      <c r="J115" s="11">
        <f ca="1" t="shared" si="153"/>
        <v>0.616979837006193</v>
      </c>
      <c r="K115" s="11">
        <f ca="1" t="shared" si="153"/>
        <v>0.8781303153786</v>
      </c>
      <c r="L115" s="11">
        <f ca="1" t="shared" si="153"/>
        <v>0.500980496815615</v>
      </c>
      <c r="M115" s="11">
        <f ca="1" t="shared" si="153"/>
        <v>0.719050955121064</v>
      </c>
      <c r="N115" s="11">
        <f ca="1" t="shared" si="153"/>
        <v>0.428678935069776</v>
      </c>
      <c r="O115" s="11">
        <f ca="1" t="shared" si="153"/>
        <v>0.425111875155696</v>
      </c>
      <c r="P115" s="11">
        <f ca="1" t="shared" si="153"/>
        <v>0.682090221619969</v>
      </c>
      <c r="Q115" s="11">
        <f ca="1" t="shared" si="153"/>
        <v>0.565936284869728</v>
      </c>
      <c r="R115" s="11">
        <f ca="1" t="shared" si="153"/>
        <v>0.936585918941428</v>
      </c>
      <c r="S115" s="11">
        <f ca="1" t="shared" si="153"/>
        <v>0.112324429899056</v>
      </c>
      <c r="T115" s="12">
        <f ca="1" t="shared" si="102"/>
        <v>4.26372529647769</v>
      </c>
      <c r="U115" s="12">
        <f ca="1" t="shared" si="103"/>
        <v>5.76897049308855</v>
      </c>
      <c r="V115" s="12">
        <f ca="1" t="shared" si="104"/>
        <v>4.83559804918509</v>
      </c>
      <c r="W115" s="12">
        <f ca="1" t="shared" si="105"/>
        <v>5.81417146488975</v>
      </c>
      <c r="X115" s="12">
        <f ca="1" t="shared" si="106"/>
        <v>4.94525635636139</v>
      </c>
      <c r="Y115" s="12">
        <f ca="1" t="shared" si="107"/>
        <v>4.51948371680143</v>
      </c>
      <c r="Z115" s="12">
        <f ca="1" t="shared" si="108"/>
        <v>4.89622479625774</v>
      </c>
      <c r="AA115" s="12">
        <f ca="1" t="shared" si="109"/>
        <v>5.4453257884465</v>
      </c>
      <c r="AB115" s="12">
        <f ca="1" t="shared" si="110"/>
        <v>4.75122562101952</v>
      </c>
      <c r="AC115" s="12">
        <f ca="1" t="shared" si="111"/>
        <v>5.04762738780266</v>
      </c>
      <c r="AD115" s="12">
        <f ca="1" t="shared" si="112"/>
        <v>4.66084866883722</v>
      </c>
      <c r="AE115" s="12">
        <f ca="1" t="shared" si="113"/>
        <v>4.65638984394462</v>
      </c>
      <c r="AF115" s="12">
        <f ca="1" t="shared" si="114"/>
        <v>4.97761277702496</v>
      </c>
      <c r="AG115" s="12">
        <f ca="1" t="shared" si="115"/>
        <v>4.83242035608716</v>
      </c>
      <c r="AH115" s="12">
        <f ca="1" t="shared" si="116"/>
        <v>5.68292959470714</v>
      </c>
      <c r="AI115" s="12">
        <f ca="1" t="shared" si="117"/>
        <v>4.18720738316509</v>
      </c>
      <c r="AJ115" s="12">
        <f ca="1">SUM($T115:T115)</f>
        <v>4.26372529647769</v>
      </c>
      <c r="AK115" s="12">
        <f ca="1">SUM($T115:U115)</f>
        <v>10.0326957895662</v>
      </c>
      <c r="AL115" s="12">
        <f ca="1">SUM($T115:V115)</f>
        <v>14.8682938387513</v>
      </c>
      <c r="AM115" s="12">
        <f ca="1">SUM($T115:W115)</f>
        <v>20.6824653036411</v>
      </c>
      <c r="AN115" s="12">
        <f ca="1">SUM($T115:X115)</f>
        <v>25.6277216600025</v>
      </c>
      <c r="AO115" s="12">
        <f ca="1">SUM($T115:Y115)</f>
        <v>30.1472053768039</v>
      </c>
      <c r="AP115" s="12">
        <f ca="1">SUM($T115:Z115)</f>
        <v>35.0434301730616</v>
      </c>
      <c r="AQ115" s="12">
        <f ca="1">SUM($T115:AA115)</f>
        <v>40.4887559615081</v>
      </c>
      <c r="AR115" s="12">
        <f ca="1">SUM($T115:AB115)</f>
        <v>45.2399815825276</v>
      </c>
      <c r="AS115" s="12">
        <f ca="1">SUM($T115:AC115)</f>
        <v>50.2876089703303</v>
      </c>
      <c r="AT115" s="12">
        <f ca="1">SUM($T115:AD115)</f>
        <v>54.9484576391675</v>
      </c>
      <c r="AU115" s="12">
        <f ca="1">SUM($T115:AE115)</f>
        <v>59.6048474831122</v>
      </c>
      <c r="AV115" s="12">
        <f ca="1">SUM($T115:AF115)</f>
        <v>64.5824602601371</v>
      </c>
      <c r="AW115" s="12">
        <f ca="1">SUM($T115:AG115)</f>
        <v>69.4148806162243</v>
      </c>
      <c r="AX115" s="12">
        <f ca="1">SUM($T115:AH115)</f>
        <v>75.0978102109314</v>
      </c>
      <c r="AY115" s="12">
        <f ca="1">SUM($T115:AI115)</f>
        <v>79.2850175940965</v>
      </c>
      <c r="AZ115" s="12">
        <f ca="1" t="shared" si="118"/>
        <v>55.677224152931</v>
      </c>
      <c r="BA115" s="12">
        <f ca="1" t="shared" si="119"/>
        <v>49.9082536598424</v>
      </c>
      <c r="BB115" s="12">
        <f ca="1" t="shared" si="120"/>
        <v>45.0726556106573</v>
      </c>
      <c r="BC115" s="12">
        <f ca="1" t="shared" si="121"/>
        <v>39.2584841457676</v>
      </c>
      <c r="BD115" s="12">
        <f ca="1" t="shared" si="122"/>
        <v>34.3132277894062</v>
      </c>
      <c r="BE115" s="12">
        <f ca="1" t="shared" si="123"/>
        <v>29.7937440726048</v>
      </c>
      <c r="BF115" s="12">
        <f ca="1" t="shared" si="124"/>
        <v>24.897519276347</v>
      </c>
      <c r="BG115" s="12">
        <f ca="1" t="shared" si="125"/>
        <v>19.4521934879005</v>
      </c>
      <c r="BH115" s="12">
        <f ca="1" t="shared" si="126"/>
        <v>14.700967866881</v>
      </c>
      <c r="BI115" s="12">
        <f ca="1" t="shared" si="127"/>
        <v>9.65334047907836</v>
      </c>
      <c r="BJ115" s="12">
        <f ca="1" t="shared" si="128"/>
        <v>4.99249181024114</v>
      </c>
      <c r="BK115" s="12">
        <f ca="1" t="shared" si="129"/>
        <v>0.336101966296518</v>
      </c>
      <c r="BL115" s="12">
        <f ca="1" t="shared" si="130"/>
        <v>0</v>
      </c>
      <c r="BM115" s="12">
        <f ca="1" t="shared" si="131"/>
        <v>0</v>
      </c>
      <c r="BN115" s="12">
        <f ca="1" t="shared" si="132"/>
        <v>0</v>
      </c>
      <c r="BO115" s="12">
        <f ca="1" t="shared" si="133"/>
        <v>0</v>
      </c>
    </row>
    <row r="116" spans="1:67">
      <c r="A116" s="3">
        <v>86</v>
      </c>
      <c r="B116" s="11">
        <f ca="1" t="shared" si="99"/>
        <v>0.345366782961265</v>
      </c>
      <c r="C116" s="12">
        <f ca="1" t="shared" si="100"/>
        <v>61.5894463826877</v>
      </c>
      <c r="D116" s="11">
        <f ca="1" t="shared" ref="D116:S116" si="154">RAND()</f>
        <v>0.667874157574184</v>
      </c>
      <c r="E116" s="11">
        <f ca="1" t="shared" si="154"/>
        <v>0.801314529028783</v>
      </c>
      <c r="F116" s="11">
        <f ca="1" t="shared" si="154"/>
        <v>0.456413186760901</v>
      </c>
      <c r="G116" s="11">
        <f ca="1" t="shared" si="154"/>
        <v>0.663729367132594</v>
      </c>
      <c r="H116" s="11">
        <f ca="1" t="shared" si="154"/>
        <v>0.115188745746432</v>
      </c>
      <c r="I116" s="11">
        <f ca="1" t="shared" si="154"/>
        <v>0.12504124739349</v>
      </c>
      <c r="J116" s="11">
        <f ca="1" t="shared" si="154"/>
        <v>0.14386116051646</v>
      </c>
      <c r="K116" s="11">
        <f ca="1" t="shared" si="154"/>
        <v>0.931772168950101</v>
      </c>
      <c r="L116" s="11">
        <f ca="1" t="shared" si="154"/>
        <v>0.965684461490443</v>
      </c>
      <c r="M116" s="11">
        <f ca="1" t="shared" si="154"/>
        <v>0.208109125043291</v>
      </c>
      <c r="N116" s="11">
        <f ca="1" t="shared" si="154"/>
        <v>0.953223197180117</v>
      </c>
      <c r="O116" s="11">
        <f ca="1" t="shared" si="154"/>
        <v>0.813313270639647</v>
      </c>
      <c r="P116" s="11">
        <f ca="1" t="shared" si="154"/>
        <v>0.568469244078333</v>
      </c>
      <c r="Q116" s="11">
        <f ca="1" t="shared" si="154"/>
        <v>0.536305416957253</v>
      </c>
      <c r="R116" s="11">
        <f ca="1" t="shared" si="154"/>
        <v>0.623299918427507</v>
      </c>
      <c r="S116" s="11">
        <f ca="1" t="shared" si="154"/>
        <v>0.497107106605637</v>
      </c>
      <c r="T116" s="12">
        <f ca="1" t="shared" si="102"/>
        <v>4.95984269696773</v>
      </c>
      <c r="U116" s="12">
        <f ca="1" t="shared" si="103"/>
        <v>5.25328632257196</v>
      </c>
      <c r="V116" s="12">
        <f ca="1" t="shared" si="104"/>
        <v>4.69551648345113</v>
      </c>
      <c r="W116" s="12">
        <f ca="1" t="shared" si="105"/>
        <v>4.95466170891574</v>
      </c>
      <c r="X116" s="12">
        <f ca="1" t="shared" si="106"/>
        <v>4.19198124291072</v>
      </c>
      <c r="Y116" s="12">
        <f ca="1" t="shared" si="107"/>
        <v>4.20840207898915</v>
      </c>
      <c r="Z116" s="12">
        <f ca="1" t="shared" si="108"/>
        <v>4.23976860086077</v>
      </c>
      <c r="AA116" s="12">
        <f ca="1" t="shared" si="109"/>
        <v>5.65886084475051</v>
      </c>
      <c r="AB116" s="12">
        <f ca="1" t="shared" si="110"/>
        <v>5.82842230745222</v>
      </c>
      <c r="AC116" s="12">
        <f ca="1" t="shared" si="111"/>
        <v>4.34684854173882</v>
      </c>
      <c r="AD116" s="12">
        <f ca="1" t="shared" si="112"/>
        <v>5.76611598590058</v>
      </c>
      <c r="AE116" s="12">
        <f ca="1" t="shared" si="113"/>
        <v>5.28328317659912</v>
      </c>
      <c r="AF116" s="12">
        <f ca="1" t="shared" si="114"/>
        <v>4.83558655509792</v>
      </c>
      <c r="AG116" s="12">
        <f ca="1" t="shared" si="115"/>
        <v>4.79538177119657</v>
      </c>
      <c r="AH116" s="12">
        <f ca="1" t="shared" si="116"/>
        <v>4.90412489803438</v>
      </c>
      <c r="AI116" s="12">
        <f ca="1" t="shared" si="117"/>
        <v>4.74638388325705</v>
      </c>
      <c r="AJ116" s="12">
        <f ca="1">SUM($T116:T116)</f>
        <v>4.95984269696773</v>
      </c>
      <c r="AK116" s="12">
        <f ca="1">SUM($T116:U116)</f>
        <v>10.2131290195397</v>
      </c>
      <c r="AL116" s="12">
        <f ca="1">SUM($T116:V116)</f>
        <v>14.9086455029908</v>
      </c>
      <c r="AM116" s="12">
        <f ca="1">SUM($T116:W116)</f>
        <v>19.8633072119066</v>
      </c>
      <c r="AN116" s="12">
        <f ca="1">SUM($T116:X116)</f>
        <v>24.0552884548173</v>
      </c>
      <c r="AO116" s="12">
        <f ca="1">SUM($T116:Y116)</f>
        <v>28.2636905338064</v>
      </c>
      <c r="AP116" s="12">
        <f ca="1">SUM($T116:Z116)</f>
        <v>32.5034591346672</v>
      </c>
      <c r="AQ116" s="12">
        <f ca="1">SUM($T116:AA116)</f>
        <v>38.1623199794177</v>
      </c>
      <c r="AR116" s="12">
        <f ca="1">SUM($T116:AB116)</f>
        <v>43.9907422868699</v>
      </c>
      <c r="AS116" s="12">
        <f ca="1">SUM($T116:AC116)</f>
        <v>48.3375908286087</v>
      </c>
      <c r="AT116" s="12">
        <f ca="1">SUM($T116:AD116)</f>
        <v>54.1037068145093</v>
      </c>
      <c r="AU116" s="12">
        <f ca="1">SUM($T116:AE116)</f>
        <v>59.3869899911084</v>
      </c>
      <c r="AV116" s="12">
        <f ca="1">SUM($T116:AF116)</f>
        <v>64.2225765462064</v>
      </c>
      <c r="AW116" s="12">
        <f ca="1">SUM($T116:AG116)</f>
        <v>69.0179583174029</v>
      </c>
      <c r="AX116" s="12">
        <f ca="1">SUM($T116:AH116)</f>
        <v>73.9220832154373</v>
      </c>
      <c r="AY116" s="12">
        <f ca="1">SUM($T116:AI116)</f>
        <v>78.6684670986944</v>
      </c>
      <c r="AZ116" s="12">
        <f ca="1" t="shared" si="118"/>
        <v>56.62960368572</v>
      </c>
      <c r="BA116" s="12">
        <f ca="1" t="shared" si="119"/>
        <v>51.3763173631481</v>
      </c>
      <c r="BB116" s="12">
        <f ca="1" t="shared" si="120"/>
        <v>46.6808008796969</v>
      </c>
      <c r="BC116" s="12">
        <f ca="1" t="shared" si="121"/>
        <v>41.7261391707812</v>
      </c>
      <c r="BD116" s="12">
        <f ca="1" t="shared" si="122"/>
        <v>37.5341579278705</v>
      </c>
      <c r="BE116" s="12">
        <f ca="1" t="shared" si="123"/>
        <v>33.3257558488813</v>
      </c>
      <c r="BF116" s="12">
        <f ca="1" t="shared" si="124"/>
        <v>29.0859872480206</v>
      </c>
      <c r="BG116" s="12">
        <f ca="1" t="shared" si="125"/>
        <v>23.42712640327</v>
      </c>
      <c r="BH116" s="12">
        <f ca="1" t="shared" si="126"/>
        <v>17.5987040958178</v>
      </c>
      <c r="BI116" s="12">
        <f ca="1" t="shared" si="127"/>
        <v>13.251855554079</v>
      </c>
      <c r="BJ116" s="12">
        <f ca="1" t="shared" si="128"/>
        <v>7.48573956817843</v>
      </c>
      <c r="BK116" s="12">
        <f ca="1" t="shared" si="129"/>
        <v>2.20245639157931</v>
      </c>
      <c r="BL116" s="12">
        <f ca="1" t="shared" si="130"/>
        <v>0</v>
      </c>
      <c r="BM116" s="12">
        <f ca="1" t="shared" si="131"/>
        <v>0</v>
      </c>
      <c r="BN116" s="12">
        <f ca="1" t="shared" si="132"/>
        <v>0</v>
      </c>
      <c r="BO116" s="12">
        <f ca="1" t="shared" si="133"/>
        <v>0</v>
      </c>
    </row>
    <row r="117" spans="1:67">
      <c r="A117" s="3">
        <v>87</v>
      </c>
      <c r="B117" s="11">
        <f ca="1" t="shared" si="99"/>
        <v>0.22784110210339</v>
      </c>
      <c r="C117" s="12">
        <f ca="1" t="shared" si="100"/>
        <v>59.261370070113</v>
      </c>
      <c r="D117" s="11">
        <f ca="1" t="shared" ref="D117:S117" si="155">RAND()</f>
        <v>0.785177122111</v>
      </c>
      <c r="E117" s="11">
        <f ca="1" t="shared" si="155"/>
        <v>0.858144344741142</v>
      </c>
      <c r="F117" s="11">
        <f ca="1" t="shared" si="155"/>
        <v>0.616984576455843</v>
      </c>
      <c r="G117" s="11">
        <f ca="1" t="shared" si="155"/>
        <v>0.801314638511936</v>
      </c>
      <c r="H117" s="11">
        <f ca="1" t="shared" si="155"/>
        <v>0.428671865894878</v>
      </c>
      <c r="I117" s="11">
        <f ca="1" t="shared" si="155"/>
        <v>0.953228054927743</v>
      </c>
      <c r="J117" s="11">
        <f ca="1" t="shared" si="155"/>
        <v>0.756233478047507</v>
      </c>
      <c r="K117" s="11">
        <f ca="1" t="shared" si="155"/>
        <v>0.436170336836887</v>
      </c>
      <c r="L117" s="11">
        <f ca="1" t="shared" si="155"/>
        <v>0.229914194071966</v>
      </c>
      <c r="M117" s="11">
        <f ca="1" t="shared" si="155"/>
        <v>0.125048694070536</v>
      </c>
      <c r="N117" s="11">
        <f ca="1" t="shared" si="155"/>
        <v>0.053601722785575</v>
      </c>
      <c r="O117" s="11">
        <f ca="1" t="shared" si="155"/>
        <v>0.768155454776838</v>
      </c>
      <c r="P117" s="11">
        <f ca="1" t="shared" si="155"/>
        <v>0.119958021026427</v>
      </c>
      <c r="Q117" s="11">
        <f ca="1" t="shared" si="155"/>
        <v>0.502668614464256</v>
      </c>
      <c r="R117" s="11">
        <f ca="1" t="shared" si="155"/>
        <v>0.143870559711284</v>
      </c>
      <c r="S117" s="11">
        <f ca="1" t="shared" si="155"/>
        <v>0.785186241537977</v>
      </c>
      <c r="T117" s="12">
        <f ca="1" t="shared" si="102"/>
        <v>5.2129428052775</v>
      </c>
      <c r="U117" s="12">
        <f ca="1" t="shared" si="103"/>
        <v>5.39536086185286</v>
      </c>
      <c r="V117" s="12">
        <f ca="1" t="shared" si="104"/>
        <v>4.8962307205698</v>
      </c>
      <c r="W117" s="12">
        <f ca="1" t="shared" si="105"/>
        <v>5.25328659627984</v>
      </c>
      <c r="X117" s="12">
        <f ca="1" t="shared" si="106"/>
        <v>4.6608398323686</v>
      </c>
      <c r="Y117" s="12">
        <f ca="1" t="shared" si="107"/>
        <v>5.76614027463872</v>
      </c>
      <c r="Z117" s="12">
        <f ca="1" t="shared" si="108"/>
        <v>5.14058369511877</v>
      </c>
      <c r="AA117" s="12">
        <f ca="1" t="shared" si="109"/>
        <v>4.67021292104611</v>
      </c>
      <c r="AB117" s="12">
        <f ca="1" t="shared" si="110"/>
        <v>4.38319032345328</v>
      </c>
      <c r="AC117" s="12">
        <f ca="1" t="shared" si="111"/>
        <v>4.20841449011756</v>
      </c>
      <c r="AD117" s="12">
        <f ca="1" t="shared" si="112"/>
        <v>4.08933620464262</v>
      </c>
      <c r="AE117" s="12">
        <f ca="1" t="shared" si="113"/>
        <v>5.17038863694209</v>
      </c>
      <c r="AF117" s="12">
        <f ca="1" t="shared" si="114"/>
        <v>4.19993003504405</v>
      </c>
      <c r="AG117" s="12">
        <f ca="1" t="shared" si="115"/>
        <v>4.75333576808032</v>
      </c>
      <c r="AH117" s="12">
        <f ca="1" t="shared" si="116"/>
        <v>4.23978426618547</v>
      </c>
      <c r="AI117" s="12">
        <f ca="1" t="shared" si="117"/>
        <v>5.21296560384494</v>
      </c>
      <c r="AJ117" s="12">
        <f ca="1">SUM($T117:T117)</f>
        <v>5.2129428052775</v>
      </c>
      <c r="AK117" s="12">
        <f ca="1">SUM($T117:U117)</f>
        <v>10.6083036671304</v>
      </c>
      <c r="AL117" s="12">
        <f ca="1">SUM($T117:V117)</f>
        <v>15.5045343877002</v>
      </c>
      <c r="AM117" s="12">
        <f ca="1">SUM($T117:W117)</f>
        <v>20.75782098398</v>
      </c>
      <c r="AN117" s="12">
        <f ca="1">SUM($T117:X117)</f>
        <v>25.4186608163486</v>
      </c>
      <c r="AO117" s="12">
        <f ca="1">SUM($T117:Y117)</f>
        <v>31.1848010909873</v>
      </c>
      <c r="AP117" s="12">
        <f ca="1">SUM($T117:Z117)</f>
        <v>36.3253847861061</v>
      </c>
      <c r="AQ117" s="12">
        <f ca="1">SUM($T117:AA117)</f>
        <v>40.9955977071522</v>
      </c>
      <c r="AR117" s="12">
        <f ca="1">SUM($T117:AB117)</f>
        <v>45.3787880306055</v>
      </c>
      <c r="AS117" s="12">
        <f ca="1">SUM($T117:AC117)</f>
        <v>49.587202520723</v>
      </c>
      <c r="AT117" s="12">
        <f ca="1">SUM($T117:AD117)</f>
        <v>53.6765387253657</v>
      </c>
      <c r="AU117" s="12">
        <f ca="1">SUM($T117:AE117)</f>
        <v>58.8469273623078</v>
      </c>
      <c r="AV117" s="12">
        <f ca="1">SUM($T117:AF117)</f>
        <v>63.0468573973518</v>
      </c>
      <c r="AW117" s="12">
        <f ca="1">SUM($T117:AG117)</f>
        <v>67.8001931654321</v>
      </c>
      <c r="AX117" s="12">
        <f ca="1">SUM($T117:AH117)</f>
        <v>72.0399774316176</v>
      </c>
      <c r="AY117" s="12">
        <f ca="1">SUM($T117:AI117)</f>
        <v>77.2529430354625</v>
      </c>
      <c r="AZ117" s="12">
        <f ca="1" t="shared" si="118"/>
        <v>54.0484272648355</v>
      </c>
      <c r="BA117" s="12">
        <f ca="1" t="shared" si="119"/>
        <v>48.6530664029826</v>
      </c>
      <c r="BB117" s="12">
        <f ca="1" t="shared" si="120"/>
        <v>43.7568356824128</v>
      </c>
      <c r="BC117" s="12">
        <f ca="1" t="shared" si="121"/>
        <v>38.503549086133</v>
      </c>
      <c r="BD117" s="12">
        <f ca="1" t="shared" si="122"/>
        <v>33.8427092537644</v>
      </c>
      <c r="BE117" s="12">
        <f ca="1" t="shared" si="123"/>
        <v>28.0765689791257</v>
      </c>
      <c r="BF117" s="12">
        <f ca="1" t="shared" si="124"/>
        <v>22.9359852840069</v>
      </c>
      <c r="BG117" s="12">
        <f ca="1" t="shared" si="125"/>
        <v>18.2657723629608</v>
      </c>
      <c r="BH117" s="12">
        <f ca="1" t="shared" si="126"/>
        <v>13.8825820395075</v>
      </c>
      <c r="BI117" s="12">
        <f ca="1" t="shared" si="127"/>
        <v>9.67416754938996</v>
      </c>
      <c r="BJ117" s="12">
        <f ca="1" t="shared" si="128"/>
        <v>5.58483134474734</v>
      </c>
      <c r="BK117" s="12">
        <f ca="1" t="shared" si="129"/>
        <v>0.414442707805243</v>
      </c>
      <c r="BL117" s="12">
        <f ca="1" t="shared" si="130"/>
        <v>0</v>
      </c>
      <c r="BM117" s="12">
        <f ca="1" t="shared" si="131"/>
        <v>0</v>
      </c>
      <c r="BN117" s="12">
        <f ca="1" t="shared" si="132"/>
        <v>0</v>
      </c>
      <c r="BO117" s="12">
        <f ca="1" t="shared" si="133"/>
        <v>0</v>
      </c>
    </row>
    <row r="118" spans="1:67">
      <c r="A118" s="3">
        <v>88</v>
      </c>
      <c r="B118" s="11">
        <f ca="1" t="shared" si="99"/>
        <v>0.033454236456862</v>
      </c>
      <c r="C118" s="12">
        <f ca="1" t="shared" si="100"/>
        <v>51.6727118228431</v>
      </c>
      <c r="D118" s="11">
        <f ca="1" t="shared" ref="D118:S118" si="156">RAND()</f>
        <v>0.0335771347064062</v>
      </c>
      <c r="E118" s="11">
        <f ca="1" t="shared" si="156"/>
        <v>0.0918159848834186</v>
      </c>
      <c r="F118" s="11">
        <f ca="1" t="shared" si="156"/>
        <v>0.229889982961025</v>
      </c>
      <c r="G118" s="11">
        <f ca="1" t="shared" si="156"/>
        <v>0.331709749219711</v>
      </c>
      <c r="H118" s="11">
        <f ca="1" t="shared" si="156"/>
        <v>0.68212206885591</v>
      </c>
      <c r="I118" s="11">
        <f ca="1" t="shared" si="156"/>
        <v>0.615071022730844</v>
      </c>
      <c r="J118" s="11">
        <f ca="1" t="shared" si="156"/>
        <v>0.421940785053548</v>
      </c>
      <c r="K118" s="11">
        <f ca="1" t="shared" si="156"/>
        <v>0.0827296073856116</v>
      </c>
      <c r="L118" s="11">
        <f ca="1" t="shared" si="156"/>
        <v>0.623541020044335</v>
      </c>
      <c r="M118" s="11">
        <f ca="1" t="shared" si="156"/>
        <v>0.242827770633121</v>
      </c>
      <c r="N118" s="11">
        <f ca="1" t="shared" si="156"/>
        <v>0.282273160270213</v>
      </c>
      <c r="O118" s="11">
        <f ca="1" t="shared" si="156"/>
        <v>0.605726533848605</v>
      </c>
      <c r="P118" s="11">
        <f ca="1" t="shared" si="156"/>
        <v>0.906250139811141</v>
      </c>
      <c r="Q118" s="11">
        <f ca="1" t="shared" si="156"/>
        <v>0.813323571784004</v>
      </c>
      <c r="R118" s="11">
        <f ca="1" t="shared" si="156"/>
        <v>0.838980948304676</v>
      </c>
      <c r="S118" s="11">
        <f ca="1" t="shared" si="156"/>
        <v>0.0918079828416232</v>
      </c>
      <c r="T118" s="12">
        <f ca="1" t="shared" si="102"/>
        <v>4.05596189117734</v>
      </c>
      <c r="U118" s="12">
        <f ca="1" t="shared" si="103"/>
        <v>4.15302664147236</v>
      </c>
      <c r="V118" s="12">
        <f ca="1" t="shared" si="104"/>
        <v>4.38314997160171</v>
      </c>
      <c r="W118" s="12">
        <f ca="1" t="shared" si="105"/>
        <v>4.53963718652464</v>
      </c>
      <c r="X118" s="12">
        <f ca="1" t="shared" si="106"/>
        <v>4.97765258606989</v>
      </c>
      <c r="Y118" s="12">
        <f ca="1" t="shared" si="107"/>
        <v>4.89383877841355</v>
      </c>
      <c r="Z118" s="12">
        <f ca="1" t="shared" si="108"/>
        <v>4.65242598131694</v>
      </c>
      <c r="AA118" s="12">
        <f ca="1" t="shared" si="109"/>
        <v>4.13788267897602</v>
      </c>
      <c r="AB118" s="12">
        <f ca="1" t="shared" si="110"/>
        <v>4.90442627505542</v>
      </c>
      <c r="AC118" s="12">
        <f ca="1" t="shared" si="111"/>
        <v>4.4047129510552</v>
      </c>
      <c r="AD118" s="12">
        <f ca="1" t="shared" si="112"/>
        <v>4.47045526711702</v>
      </c>
      <c r="AE118" s="12">
        <f ca="1" t="shared" si="113"/>
        <v>4.88215816731076</v>
      </c>
      <c r="AF118" s="12">
        <f ca="1" t="shared" si="114"/>
        <v>5.53125069905571</v>
      </c>
      <c r="AG118" s="12">
        <f ca="1" t="shared" si="115"/>
        <v>5.28330892946001</v>
      </c>
      <c r="AH118" s="12">
        <f ca="1" t="shared" si="116"/>
        <v>5.34745237076169</v>
      </c>
      <c r="AI118" s="12">
        <f ca="1" t="shared" si="117"/>
        <v>4.15301330473604</v>
      </c>
      <c r="AJ118" s="12">
        <f ca="1">SUM($T118:T118)</f>
        <v>4.05596189117734</v>
      </c>
      <c r="AK118" s="12">
        <f ca="1">SUM($T118:U118)</f>
        <v>8.20898853264971</v>
      </c>
      <c r="AL118" s="12">
        <f ca="1">SUM($T118:V118)</f>
        <v>12.5921385042514</v>
      </c>
      <c r="AM118" s="12">
        <f ca="1">SUM($T118:W118)</f>
        <v>17.1317756907761</v>
      </c>
      <c r="AN118" s="12">
        <f ca="1">SUM($T118:X118)</f>
        <v>22.1094282768459</v>
      </c>
      <c r="AO118" s="12">
        <f ca="1">SUM($T118:Y118)</f>
        <v>27.0032670552595</v>
      </c>
      <c r="AP118" s="12">
        <f ca="1">SUM($T118:Z118)</f>
        <v>31.6556930365764</v>
      </c>
      <c r="AQ118" s="12">
        <f ca="1">SUM($T118:AA118)</f>
        <v>35.7935757155524</v>
      </c>
      <c r="AR118" s="12">
        <f ca="1">SUM($T118:AB118)</f>
        <v>40.6980019906079</v>
      </c>
      <c r="AS118" s="12">
        <f ca="1">SUM($T118:AC118)</f>
        <v>45.1027149416631</v>
      </c>
      <c r="AT118" s="12">
        <f ca="1">SUM($T118:AD118)</f>
        <v>49.5731702087801</v>
      </c>
      <c r="AU118" s="12">
        <f ca="1">SUM($T118:AE118)</f>
        <v>54.4553283760909</v>
      </c>
      <c r="AV118" s="12">
        <f ca="1">SUM($T118:AF118)</f>
        <v>59.9865790751466</v>
      </c>
      <c r="AW118" s="12">
        <f ca="1">SUM($T118:AG118)</f>
        <v>65.2698880046066</v>
      </c>
      <c r="AX118" s="12">
        <f ca="1">SUM($T118:AH118)</f>
        <v>70.6173403753683</v>
      </c>
      <c r="AY118" s="12">
        <f ca="1">SUM($T118:AI118)</f>
        <v>74.7703536801043</v>
      </c>
      <c r="AZ118" s="12">
        <f ca="1" t="shared" si="118"/>
        <v>47.6167499316658</v>
      </c>
      <c r="BA118" s="12">
        <f ca="1" t="shared" si="119"/>
        <v>43.4637232901934</v>
      </c>
      <c r="BB118" s="12">
        <f ca="1" t="shared" si="120"/>
        <v>39.0805733185917</v>
      </c>
      <c r="BC118" s="12">
        <f ca="1" t="shared" si="121"/>
        <v>34.540936132067</v>
      </c>
      <c r="BD118" s="12">
        <f ca="1" t="shared" si="122"/>
        <v>29.5632835459972</v>
      </c>
      <c r="BE118" s="12">
        <f ca="1" t="shared" si="123"/>
        <v>24.6694447675836</v>
      </c>
      <c r="BF118" s="12">
        <f ca="1" t="shared" si="124"/>
        <v>20.0170187862667</v>
      </c>
      <c r="BG118" s="12">
        <f ca="1" t="shared" si="125"/>
        <v>15.8791361072906</v>
      </c>
      <c r="BH118" s="12">
        <f ca="1" t="shared" si="126"/>
        <v>10.9747098322352</v>
      </c>
      <c r="BI118" s="12">
        <f ca="1" t="shared" si="127"/>
        <v>6.56999688118002</v>
      </c>
      <c r="BJ118" s="12">
        <f ca="1" t="shared" si="128"/>
        <v>2.099541614063</v>
      </c>
      <c r="BK118" s="12">
        <f ca="1" t="shared" si="129"/>
        <v>0</v>
      </c>
      <c r="BL118" s="12">
        <f ca="1" t="shared" si="130"/>
        <v>0</v>
      </c>
      <c r="BM118" s="12">
        <f ca="1" t="shared" si="131"/>
        <v>0</v>
      </c>
      <c r="BN118" s="12">
        <f ca="1" t="shared" si="132"/>
        <v>0</v>
      </c>
      <c r="BO118" s="12">
        <f ca="1" t="shared" si="133"/>
        <v>0</v>
      </c>
    </row>
    <row r="119" spans="1:67">
      <c r="A119" s="3">
        <v>89</v>
      </c>
      <c r="B119" s="11">
        <f ca="1" t="shared" si="99"/>
        <v>0.795714440060629</v>
      </c>
      <c r="C119" s="12">
        <f ca="1" t="shared" si="100"/>
        <v>68.5102062865804</v>
      </c>
      <c r="D119" s="11">
        <f ca="1" t="shared" ref="D119:S119" si="157">RAND()</f>
        <v>0.973535343954067</v>
      </c>
      <c r="E119" s="11">
        <f ca="1" t="shared" si="157"/>
        <v>0.287827176526876</v>
      </c>
      <c r="F119" s="11">
        <f ca="1" t="shared" si="157"/>
        <v>0.616986640632285</v>
      </c>
      <c r="G119" s="11">
        <f ca="1" t="shared" si="157"/>
        <v>0.59533158508048</v>
      </c>
      <c r="H119" s="11">
        <f ca="1" t="shared" si="157"/>
        <v>0.109795819511155</v>
      </c>
      <c r="I119" s="11">
        <f ca="1" t="shared" si="157"/>
        <v>0.704004003699849</v>
      </c>
      <c r="J119" s="11">
        <f ca="1" t="shared" si="157"/>
        <v>0.769310195519284</v>
      </c>
      <c r="K119" s="11">
        <f ca="1" t="shared" si="157"/>
        <v>0.900417051893452</v>
      </c>
      <c r="L119" s="11">
        <f ca="1" t="shared" si="157"/>
        <v>0.737062447275872</v>
      </c>
      <c r="M119" s="11">
        <f ca="1" t="shared" si="157"/>
        <v>0.713685837426052</v>
      </c>
      <c r="N119" s="11">
        <f ca="1" t="shared" si="157"/>
        <v>0.512133110758746</v>
      </c>
      <c r="O119" s="11">
        <f ca="1" t="shared" si="157"/>
        <v>0.171663670855433</v>
      </c>
      <c r="P119" s="11">
        <f ca="1" t="shared" si="157"/>
        <v>0.411230315087548</v>
      </c>
      <c r="Q119" s="11">
        <f ca="1" t="shared" si="157"/>
        <v>0.379573410659573</v>
      </c>
      <c r="R119" s="11">
        <f ca="1" t="shared" si="157"/>
        <v>0.611438473990352</v>
      </c>
      <c r="S119" s="11">
        <f ca="1" t="shared" si="157"/>
        <v>0.798013728253242</v>
      </c>
      <c r="T119" s="12">
        <f ca="1" t="shared" si="102"/>
        <v>5.86767671977034</v>
      </c>
      <c r="U119" s="12">
        <f ca="1" t="shared" si="103"/>
        <v>4.47971196087813</v>
      </c>
      <c r="V119" s="12">
        <f ca="1" t="shared" si="104"/>
        <v>4.89623330079036</v>
      </c>
      <c r="W119" s="12">
        <f ca="1" t="shared" si="105"/>
        <v>4.8691644813506</v>
      </c>
      <c r="X119" s="12">
        <f ca="1" t="shared" si="106"/>
        <v>4.18299303251859</v>
      </c>
      <c r="Y119" s="12">
        <f ca="1" t="shared" si="107"/>
        <v>5.01001000924962</v>
      </c>
      <c r="Z119" s="12">
        <f ca="1" t="shared" si="108"/>
        <v>5.17327548879821</v>
      </c>
      <c r="AA119" s="12">
        <f ca="1" t="shared" si="109"/>
        <v>5.50208525946726</v>
      </c>
      <c r="AB119" s="12">
        <f ca="1" t="shared" si="110"/>
        <v>5.09265611818968</v>
      </c>
      <c r="AC119" s="12">
        <f ca="1" t="shared" si="111"/>
        <v>5.03421459356513</v>
      </c>
      <c r="AD119" s="12">
        <f ca="1" t="shared" si="112"/>
        <v>4.76516638844843</v>
      </c>
      <c r="AE119" s="12">
        <f ca="1" t="shared" si="113"/>
        <v>4.28610611809239</v>
      </c>
      <c r="AF119" s="12">
        <f ca="1" t="shared" si="114"/>
        <v>4.63903789385944</v>
      </c>
      <c r="AG119" s="12">
        <f ca="1" t="shared" si="115"/>
        <v>4.59946676332447</v>
      </c>
      <c r="AH119" s="12">
        <f ca="1" t="shared" si="116"/>
        <v>4.88929809248794</v>
      </c>
      <c r="AI119" s="12">
        <f ca="1" t="shared" si="117"/>
        <v>5.24503432063311</v>
      </c>
      <c r="AJ119" s="12">
        <f ca="1">SUM($T119:T119)</f>
        <v>5.86767671977034</v>
      </c>
      <c r="AK119" s="12">
        <f ca="1">SUM($T119:U119)</f>
        <v>10.3473886806485</v>
      </c>
      <c r="AL119" s="12">
        <f ca="1">SUM($T119:V119)</f>
        <v>15.2436219814388</v>
      </c>
      <c r="AM119" s="12">
        <f ca="1">SUM($T119:W119)</f>
        <v>20.1127864627894</v>
      </c>
      <c r="AN119" s="12">
        <f ca="1">SUM($T119:X119)</f>
        <v>24.295779495308</v>
      </c>
      <c r="AO119" s="12">
        <f ca="1">SUM($T119:Y119)</f>
        <v>29.3057895045576</v>
      </c>
      <c r="AP119" s="12">
        <f ca="1">SUM($T119:Z119)</f>
        <v>34.4790649933558</v>
      </c>
      <c r="AQ119" s="12">
        <f ca="1">SUM($T119:AA119)</f>
        <v>39.9811502528231</v>
      </c>
      <c r="AR119" s="12">
        <f ca="1">SUM($T119:AB119)</f>
        <v>45.0738063710128</v>
      </c>
      <c r="AS119" s="12">
        <f ca="1">SUM($T119:AC119)</f>
        <v>50.1080209645779</v>
      </c>
      <c r="AT119" s="12">
        <f ca="1">SUM($T119:AD119)</f>
        <v>54.8731873530264</v>
      </c>
      <c r="AU119" s="12">
        <f ca="1">SUM($T119:AE119)</f>
        <v>59.1592934711188</v>
      </c>
      <c r="AV119" s="12">
        <f ca="1">SUM($T119:AF119)</f>
        <v>63.7983313649782</v>
      </c>
      <c r="AW119" s="12">
        <f ca="1">SUM($T119:AG119)</f>
        <v>68.3977981283027</v>
      </c>
      <c r="AX119" s="12">
        <f ca="1">SUM($T119:AH119)</f>
        <v>73.2870962207906</v>
      </c>
      <c r="AY119" s="12">
        <f ca="1">SUM($T119:AI119)</f>
        <v>78.5321305414237</v>
      </c>
      <c r="AZ119" s="12">
        <f ca="1" t="shared" si="118"/>
        <v>62.6425295668101</v>
      </c>
      <c r="BA119" s="12">
        <f ca="1" t="shared" si="119"/>
        <v>58.1628176059319</v>
      </c>
      <c r="BB119" s="12">
        <f ca="1" t="shared" si="120"/>
        <v>53.2665843051416</v>
      </c>
      <c r="BC119" s="12">
        <f ca="1" t="shared" si="121"/>
        <v>48.397419823791</v>
      </c>
      <c r="BD119" s="12">
        <f ca="1" t="shared" si="122"/>
        <v>44.2144267912724</v>
      </c>
      <c r="BE119" s="12">
        <f ca="1" t="shared" si="123"/>
        <v>39.2044167820228</v>
      </c>
      <c r="BF119" s="12">
        <f ca="1" t="shared" si="124"/>
        <v>34.0311412932246</v>
      </c>
      <c r="BG119" s="12">
        <f ca="1" t="shared" si="125"/>
        <v>28.5290560337573</v>
      </c>
      <c r="BH119" s="12">
        <f ca="1" t="shared" si="126"/>
        <v>23.4363999155676</v>
      </c>
      <c r="BI119" s="12">
        <f ca="1" t="shared" si="127"/>
        <v>18.4021853220025</v>
      </c>
      <c r="BJ119" s="12">
        <f ca="1" t="shared" si="128"/>
        <v>13.6370189335541</v>
      </c>
      <c r="BK119" s="12">
        <f ca="1" t="shared" si="129"/>
        <v>9.35091281546166</v>
      </c>
      <c r="BL119" s="12">
        <f ca="1" t="shared" si="130"/>
        <v>4.71187492160222</v>
      </c>
      <c r="BM119" s="12">
        <f ca="1" t="shared" si="131"/>
        <v>0.112408158277759</v>
      </c>
      <c r="BN119" s="12">
        <f ca="1" t="shared" si="132"/>
        <v>0</v>
      </c>
      <c r="BO119" s="12">
        <f ca="1" t="shared" si="133"/>
        <v>0</v>
      </c>
    </row>
    <row r="120" spans="1:67">
      <c r="A120" s="3">
        <v>90</v>
      </c>
      <c r="B120" s="11">
        <f ca="1" t="shared" si="99"/>
        <v>0.990685639318035</v>
      </c>
      <c r="C120" s="12">
        <f ca="1" t="shared" si="100"/>
        <v>82.6714098295088</v>
      </c>
      <c r="D120" s="11">
        <f ca="1" t="shared" ref="D120:S120" si="158">RAND()</f>
        <v>0.545628697534704</v>
      </c>
      <c r="E120" s="11">
        <f ca="1" t="shared" si="158"/>
        <v>0.00428513250344742</v>
      </c>
      <c r="F120" s="11">
        <f ca="1" t="shared" si="158"/>
        <v>0.801307165934301</v>
      </c>
      <c r="G120" s="11">
        <f ca="1" t="shared" si="158"/>
        <v>0.231942469007412</v>
      </c>
      <c r="H120" s="11">
        <f ca="1" t="shared" si="158"/>
        <v>0.187221104844352</v>
      </c>
      <c r="I120" s="11">
        <f ca="1" t="shared" si="158"/>
        <v>0.452698798018933</v>
      </c>
      <c r="J120" s="11">
        <f ca="1" t="shared" si="158"/>
        <v>0.588031189506261</v>
      </c>
      <c r="K120" s="11">
        <f ca="1" t="shared" si="158"/>
        <v>0.163331753132603</v>
      </c>
      <c r="L120" s="11">
        <f ca="1" t="shared" si="158"/>
        <v>0.0104683235314047</v>
      </c>
      <c r="M120" s="11">
        <f ca="1" t="shared" si="158"/>
        <v>0.256564087065144</v>
      </c>
      <c r="N120" s="11">
        <f ca="1" t="shared" si="158"/>
        <v>0.847254210358513</v>
      </c>
      <c r="O120" s="11">
        <f ca="1" t="shared" si="158"/>
        <v>0.667796118936906</v>
      </c>
      <c r="P120" s="11">
        <f ca="1" t="shared" si="158"/>
        <v>0.364269137293464</v>
      </c>
      <c r="Q120" s="11">
        <f ca="1" t="shared" si="158"/>
        <v>0.174418370270626</v>
      </c>
      <c r="R120" s="11">
        <f ca="1" t="shared" si="158"/>
        <v>0.550173008609368</v>
      </c>
      <c r="S120" s="11">
        <f ca="1" t="shared" si="158"/>
        <v>0.55220695461658</v>
      </c>
      <c r="T120" s="12">
        <f ca="1" t="shared" si="102"/>
        <v>4.80703587191838</v>
      </c>
      <c r="U120" s="12">
        <f ca="1" t="shared" si="103"/>
        <v>4.00714188750575</v>
      </c>
      <c r="V120" s="12">
        <f ca="1" t="shared" si="104"/>
        <v>5.25326791483575</v>
      </c>
      <c r="W120" s="12">
        <f ca="1" t="shared" si="105"/>
        <v>4.38657078167902</v>
      </c>
      <c r="X120" s="12">
        <f ca="1" t="shared" si="106"/>
        <v>4.31203517474059</v>
      </c>
      <c r="Y120" s="12">
        <f ca="1" t="shared" si="107"/>
        <v>4.69087349752367</v>
      </c>
      <c r="Z120" s="12">
        <f ca="1" t="shared" si="108"/>
        <v>4.86003898688283</v>
      </c>
      <c r="AA120" s="12">
        <f ca="1" t="shared" si="109"/>
        <v>4.27221958855434</v>
      </c>
      <c r="AB120" s="12">
        <f ca="1" t="shared" si="110"/>
        <v>4.01744720588567</v>
      </c>
      <c r="AC120" s="12">
        <f ca="1" t="shared" si="111"/>
        <v>4.42760681177524</v>
      </c>
      <c r="AD120" s="12">
        <f ca="1" t="shared" si="112"/>
        <v>5.36813552589628</v>
      </c>
      <c r="AE120" s="12">
        <f ca="1" t="shared" si="113"/>
        <v>4.95974514867113</v>
      </c>
      <c r="AF120" s="12">
        <f ca="1" t="shared" si="114"/>
        <v>4.58033642161683</v>
      </c>
      <c r="AG120" s="12">
        <f ca="1" t="shared" si="115"/>
        <v>4.29069728378438</v>
      </c>
      <c r="AH120" s="12">
        <f ca="1" t="shared" si="116"/>
        <v>4.81271626076171</v>
      </c>
      <c r="AI120" s="12">
        <f ca="1" t="shared" si="117"/>
        <v>4.81525869327072</v>
      </c>
      <c r="AJ120" s="12">
        <f ca="1">SUM($T120:T120)</f>
        <v>4.80703587191838</v>
      </c>
      <c r="AK120" s="12">
        <f ca="1">SUM($T120:U120)</f>
        <v>8.81417775942413</v>
      </c>
      <c r="AL120" s="12">
        <f ca="1">SUM($T120:V120)</f>
        <v>14.0674456742599</v>
      </c>
      <c r="AM120" s="12">
        <f ca="1">SUM($T120:W120)</f>
        <v>18.4540164559389</v>
      </c>
      <c r="AN120" s="12">
        <f ca="1">SUM($T120:X120)</f>
        <v>22.7660516306795</v>
      </c>
      <c r="AO120" s="12">
        <f ca="1">SUM($T120:Y120)</f>
        <v>27.4569251282032</v>
      </c>
      <c r="AP120" s="12">
        <f ca="1">SUM($T120:Z120)</f>
        <v>32.316964115086</v>
      </c>
      <c r="AQ120" s="12">
        <f ca="1">SUM($T120:AA120)</f>
        <v>36.5891837036403</v>
      </c>
      <c r="AR120" s="12">
        <f ca="1">SUM($T120:AB120)</f>
        <v>40.606630909526</v>
      </c>
      <c r="AS120" s="12">
        <f ca="1">SUM($T120:AC120)</f>
        <v>45.0342377213012</v>
      </c>
      <c r="AT120" s="12">
        <f ca="1">SUM($T120:AD120)</f>
        <v>50.4023732471975</v>
      </c>
      <c r="AU120" s="12">
        <f ca="1">SUM($T120:AE120)</f>
        <v>55.3621183958686</v>
      </c>
      <c r="AV120" s="12">
        <f ca="1">SUM($T120:AF120)</f>
        <v>59.9424548174855</v>
      </c>
      <c r="AW120" s="12">
        <f ca="1">SUM($T120:AG120)</f>
        <v>64.2331521012699</v>
      </c>
      <c r="AX120" s="12">
        <f ca="1">SUM($T120:AH120)</f>
        <v>69.0458683620316</v>
      </c>
      <c r="AY120" s="12">
        <f ca="1">SUM($T120:AI120)</f>
        <v>73.8611270553023</v>
      </c>
      <c r="AZ120" s="12">
        <f ca="1" t="shared" si="118"/>
        <v>77.8643739575904</v>
      </c>
      <c r="BA120" s="12">
        <f ca="1" t="shared" si="119"/>
        <v>73.8572320700847</v>
      </c>
      <c r="BB120" s="12">
        <f ca="1" t="shared" si="120"/>
        <v>68.6039641552489</v>
      </c>
      <c r="BC120" s="12">
        <f ca="1" t="shared" si="121"/>
        <v>64.2173933735699</v>
      </c>
      <c r="BD120" s="12">
        <f ca="1" t="shared" si="122"/>
        <v>59.9053581988293</v>
      </c>
      <c r="BE120" s="12">
        <f ca="1" t="shared" si="123"/>
        <v>55.2144847013057</v>
      </c>
      <c r="BF120" s="12">
        <f ca="1" t="shared" si="124"/>
        <v>50.3544457144228</v>
      </c>
      <c r="BG120" s="12">
        <f ca="1" t="shared" si="125"/>
        <v>46.0822261258685</v>
      </c>
      <c r="BH120" s="12">
        <f ca="1" t="shared" si="126"/>
        <v>42.0647789199828</v>
      </c>
      <c r="BI120" s="12">
        <f ca="1" t="shared" si="127"/>
        <v>37.6371721082076</v>
      </c>
      <c r="BJ120" s="12">
        <f ca="1" t="shared" si="128"/>
        <v>32.2690365823113</v>
      </c>
      <c r="BK120" s="12">
        <f ca="1" t="shared" si="129"/>
        <v>27.3092914336402</v>
      </c>
      <c r="BL120" s="12">
        <f ca="1" t="shared" si="130"/>
        <v>22.7289550120233</v>
      </c>
      <c r="BM120" s="12">
        <f ca="1" t="shared" si="131"/>
        <v>18.438257728239</v>
      </c>
      <c r="BN120" s="12">
        <f ca="1" t="shared" si="132"/>
        <v>13.6255414674772</v>
      </c>
      <c r="BO120" s="12">
        <f ca="1" t="shared" si="133"/>
        <v>8.81028277420651</v>
      </c>
    </row>
    <row r="121" spans="1:67">
      <c r="A121" s="3">
        <v>91</v>
      </c>
      <c r="B121" s="11">
        <f ca="1" t="shared" si="99"/>
        <v>0.1566920134225</v>
      </c>
      <c r="C121" s="12">
        <f ca="1" t="shared" si="100"/>
        <v>56.88973378075</v>
      </c>
      <c r="D121" s="11">
        <f ca="1" t="shared" ref="D121:S121" si="159">RAND()</f>
        <v>0.263714032885894</v>
      </c>
      <c r="E121" s="11">
        <f ca="1" t="shared" si="159"/>
        <v>0.107991110684279</v>
      </c>
      <c r="F121" s="11">
        <f ca="1" t="shared" si="159"/>
        <v>0.0450413396595051</v>
      </c>
      <c r="G121" s="11">
        <f ca="1" t="shared" si="159"/>
        <v>0.953245901389303</v>
      </c>
      <c r="H121" s="11">
        <f ca="1" t="shared" si="159"/>
        <v>0.785162634169629</v>
      </c>
      <c r="I121" s="11">
        <f ca="1" t="shared" si="159"/>
        <v>0.999880307520794</v>
      </c>
      <c r="J121" s="11">
        <f ca="1" t="shared" si="159"/>
        <v>0.0678165216546693</v>
      </c>
      <c r="K121" s="11">
        <f ca="1" t="shared" si="159"/>
        <v>0.463953538788006</v>
      </c>
      <c r="L121" s="11">
        <f ca="1" t="shared" si="159"/>
        <v>0.229907952800999</v>
      </c>
      <c r="M121" s="11">
        <f ca="1" t="shared" si="159"/>
        <v>0.993899593356365</v>
      </c>
      <c r="N121" s="11">
        <f ca="1" t="shared" si="159"/>
        <v>0.81917949991797</v>
      </c>
      <c r="O121" s="11">
        <f ca="1" t="shared" si="159"/>
        <v>0.358712358682341</v>
      </c>
      <c r="P121" s="11">
        <f ca="1" t="shared" si="159"/>
        <v>0.0045498826859216</v>
      </c>
      <c r="Q121" s="11">
        <f ca="1" t="shared" si="159"/>
        <v>0.139146376728753</v>
      </c>
      <c r="R121" s="11">
        <f ca="1" t="shared" si="159"/>
        <v>0.0918015893776321</v>
      </c>
      <c r="S121" s="11">
        <f ca="1" t="shared" si="159"/>
        <v>0.174281066530702</v>
      </c>
      <c r="T121" s="12">
        <f ca="1" t="shared" si="102"/>
        <v>4.43952338814316</v>
      </c>
      <c r="U121" s="12">
        <f ca="1" t="shared" si="103"/>
        <v>4.1799851844738</v>
      </c>
      <c r="V121" s="12">
        <f ca="1" t="shared" si="104"/>
        <v>4.07506889943251</v>
      </c>
      <c r="W121" s="12">
        <f ca="1" t="shared" si="105"/>
        <v>5.76622950694652</v>
      </c>
      <c r="X121" s="12">
        <f ca="1" t="shared" si="106"/>
        <v>5.21290658542407</v>
      </c>
      <c r="Y121" s="12">
        <f ca="1" t="shared" si="107"/>
        <v>5.99940153760397</v>
      </c>
      <c r="Z121" s="12">
        <f ca="1" t="shared" si="108"/>
        <v>4.11302753609112</v>
      </c>
      <c r="AA121" s="12">
        <f ca="1" t="shared" si="109"/>
        <v>4.70494192348501</v>
      </c>
      <c r="AB121" s="12">
        <f ca="1" t="shared" si="110"/>
        <v>4.383179921335</v>
      </c>
      <c r="AC121" s="12">
        <f ca="1" t="shared" si="111"/>
        <v>5.96949796678183</v>
      </c>
      <c r="AD121" s="12">
        <f ca="1" t="shared" si="112"/>
        <v>5.29794874979492</v>
      </c>
      <c r="AE121" s="12">
        <f ca="1" t="shared" si="113"/>
        <v>4.57339044835293</v>
      </c>
      <c r="AF121" s="12">
        <f ca="1" t="shared" si="114"/>
        <v>4.00758313780987</v>
      </c>
      <c r="AG121" s="12">
        <f ca="1" t="shared" si="115"/>
        <v>4.23191062788126</v>
      </c>
      <c r="AH121" s="12">
        <f ca="1" t="shared" si="116"/>
        <v>4.15300264896272</v>
      </c>
      <c r="AI121" s="12">
        <f ca="1" t="shared" si="117"/>
        <v>4.29046844421784</v>
      </c>
      <c r="AJ121" s="12">
        <f ca="1">SUM($T121:T121)</f>
        <v>4.43952338814316</v>
      </c>
      <c r="AK121" s="12">
        <f ca="1">SUM($T121:U121)</f>
        <v>8.61950857261695</v>
      </c>
      <c r="AL121" s="12">
        <f ca="1">SUM($T121:V121)</f>
        <v>12.6945774720495</v>
      </c>
      <c r="AM121" s="12">
        <f ca="1">SUM($T121:W121)</f>
        <v>18.460806978996</v>
      </c>
      <c r="AN121" s="12">
        <f ca="1">SUM($T121:X121)</f>
        <v>23.6737135644201</v>
      </c>
      <c r="AO121" s="12">
        <f ca="1">SUM($T121:Y121)</f>
        <v>29.673115102024</v>
      </c>
      <c r="AP121" s="12">
        <f ca="1">SUM($T121:Z121)</f>
        <v>33.7861426381151</v>
      </c>
      <c r="AQ121" s="12">
        <f ca="1">SUM($T121:AA121)</f>
        <v>38.4910845616001</v>
      </c>
      <c r="AR121" s="12">
        <f ca="1">SUM($T121:AB121)</f>
        <v>42.8742644829351</v>
      </c>
      <c r="AS121" s="12">
        <f ca="1">SUM($T121:AC121)</f>
        <v>48.843762449717</v>
      </c>
      <c r="AT121" s="12">
        <f ca="1">SUM($T121:AD121)</f>
        <v>54.1417111995119</v>
      </c>
      <c r="AU121" s="12">
        <f ca="1">SUM($T121:AE121)</f>
        <v>58.7151016478648</v>
      </c>
      <c r="AV121" s="12">
        <f ca="1">SUM($T121:AF121)</f>
        <v>62.7226847856747</v>
      </c>
      <c r="AW121" s="12">
        <f ca="1">SUM($T121:AG121)</f>
        <v>66.9545954135559</v>
      </c>
      <c r="AX121" s="12">
        <f ca="1">SUM($T121:AH121)</f>
        <v>71.1075980625187</v>
      </c>
      <c r="AY121" s="12">
        <f ca="1">SUM($T121:AI121)</f>
        <v>75.3980665067365</v>
      </c>
      <c r="AZ121" s="12">
        <f ca="1" t="shared" si="118"/>
        <v>52.4502103926068</v>
      </c>
      <c r="BA121" s="12">
        <f ca="1" t="shared" si="119"/>
        <v>48.270225208133</v>
      </c>
      <c r="BB121" s="12">
        <f ca="1" t="shared" si="120"/>
        <v>44.1951563087005</v>
      </c>
      <c r="BC121" s="12">
        <f ca="1" t="shared" si="121"/>
        <v>38.428926801754</v>
      </c>
      <c r="BD121" s="12">
        <f ca="1" t="shared" si="122"/>
        <v>33.2160202163299</v>
      </c>
      <c r="BE121" s="12">
        <f ca="1" t="shared" si="123"/>
        <v>27.216618678726</v>
      </c>
      <c r="BF121" s="12">
        <f ca="1" t="shared" si="124"/>
        <v>23.1035911426348</v>
      </c>
      <c r="BG121" s="12">
        <f ca="1" t="shared" si="125"/>
        <v>18.3986492191498</v>
      </c>
      <c r="BH121" s="12">
        <f ca="1" t="shared" si="126"/>
        <v>14.0154692978148</v>
      </c>
      <c r="BI121" s="12">
        <f ca="1" t="shared" si="127"/>
        <v>8.04597133103301</v>
      </c>
      <c r="BJ121" s="12">
        <f ca="1" t="shared" si="128"/>
        <v>2.74802258123808</v>
      </c>
      <c r="BK121" s="12">
        <f ca="1" t="shared" si="129"/>
        <v>0</v>
      </c>
      <c r="BL121" s="12">
        <f ca="1" t="shared" si="130"/>
        <v>0</v>
      </c>
      <c r="BM121" s="12">
        <f ca="1" t="shared" si="131"/>
        <v>0</v>
      </c>
      <c r="BN121" s="12">
        <f ca="1" t="shared" si="132"/>
        <v>0</v>
      </c>
      <c r="BO121" s="12">
        <f ca="1" t="shared" si="133"/>
        <v>0</v>
      </c>
    </row>
    <row r="122" spans="1:67">
      <c r="A122" s="3">
        <v>92</v>
      </c>
      <c r="B122" s="11">
        <f ca="1" t="shared" si="99"/>
        <v>0.759535845525327</v>
      </c>
      <c r="C122" s="12">
        <f ca="1" t="shared" si="100"/>
        <v>67.9933692217904</v>
      </c>
      <c r="D122" s="11">
        <f ca="1" t="shared" ref="D122:S122" si="160">RAND()</f>
        <v>0.611895254388035</v>
      </c>
      <c r="E122" s="11">
        <f ca="1" t="shared" si="160"/>
        <v>0.987987383856935</v>
      </c>
      <c r="F122" s="11">
        <f ca="1" t="shared" si="160"/>
        <v>0.242826423636906</v>
      </c>
      <c r="G122" s="11">
        <f ca="1" t="shared" si="160"/>
        <v>0.513606746914608</v>
      </c>
      <c r="H122" s="11">
        <f ca="1" t="shared" si="160"/>
        <v>0.0667066185557879</v>
      </c>
      <c r="I122" s="11">
        <f ca="1" t="shared" si="160"/>
        <v>0.605731661268687</v>
      </c>
      <c r="J122" s="11">
        <f ca="1" t="shared" si="160"/>
        <v>0.0344747381406514</v>
      </c>
      <c r="K122" s="11">
        <f ca="1" t="shared" si="160"/>
        <v>0.523876888730223</v>
      </c>
      <c r="L122" s="11">
        <f ca="1" t="shared" si="160"/>
        <v>0.838972293089252</v>
      </c>
      <c r="M122" s="11">
        <f ca="1" t="shared" si="160"/>
        <v>0.242798827222977</v>
      </c>
      <c r="N122" s="11">
        <f ca="1" t="shared" si="160"/>
        <v>0.954872735861135</v>
      </c>
      <c r="O122" s="11">
        <f ca="1" t="shared" si="160"/>
        <v>0.831258353519069</v>
      </c>
      <c r="P122" s="11">
        <f ca="1" t="shared" si="160"/>
        <v>0.743563428971317</v>
      </c>
      <c r="Q122" s="11">
        <f ca="1" t="shared" si="160"/>
        <v>0.848904306112135</v>
      </c>
      <c r="R122" s="11">
        <f ca="1" t="shared" si="160"/>
        <v>0.848188286625581</v>
      </c>
      <c r="S122" s="11">
        <f ca="1" t="shared" si="160"/>
        <v>0.330195191594133</v>
      </c>
      <c r="T122" s="12">
        <f ca="1" t="shared" si="102"/>
        <v>4.88986906798504</v>
      </c>
      <c r="U122" s="12">
        <f ca="1" t="shared" si="103"/>
        <v>5.93993691928468</v>
      </c>
      <c r="V122" s="12">
        <f ca="1" t="shared" si="104"/>
        <v>4.40471070606151</v>
      </c>
      <c r="W122" s="12">
        <f ca="1" t="shared" si="105"/>
        <v>4.76700843364326</v>
      </c>
      <c r="X122" s="12">
        <f ca="1" t="shared" si="106"/>
        <v>4.11117769759298</v>
      </c>
      <c r="Y122" s="12">
        <f ca="1" t="shared" si="107"/>
        <v>4.88216457658586</v>
      </c>
      <c r="Z122" s="12">
        <f ca="1" t="shared" si="108"/>
        <v>4.05745789690109</v>
      </c>
      <c r="AA122" s="12">
        <f ca="1" t="shared" si="109"/>
        <v>4.77984611091278</v>
      </c>
      <c r="AB122" s="12">
        <f ca="1" t="shared" si="110"/>
        <v>5.34743073272313</v>
      </c>
      <c r="AC122" s="12">
        <f ca="1" t="shared" si="111"/>
        <v>4.4046647120383</v>
      </c>
      <c r="AD122" s="12">
        <f ca="1" t="shared" si="112"/>
        <v>5.77436367930568</v>
      </c>
      <c r="AE122" s="12">
        <f ca="1" t="shared" si="113"/>
        <v>5.32814588379767</v>
      </c>
      <c r="AF122" s="12">
        <f ca="1" t="shared" si="114"/>
        <v>5.10890857242829</v>
      </c>
      <c r="AG122" s="12">
        <f ca="1" t="shared" si="115"/>
        <v>5.37226076528034</v>
      </c>
      <c r="AH122" s="12">
        <f ca="1" t="shared" si="116"/>
        <v>5.37047071656395</v>
      </c>
      <c r="AI122" s="12">
        <f ca="1" t="shared" si="117"/>
        <v>4.53774398949267</v>
      </c>
      <c r="AJ122" s="12">
        <f ca="1">SUM($T122:T122)</f>
        <v>4.88986906798504</v>
      </c>
      <c r="AK122" s="12">
        <f ca="1">SUM($T122:U122)</f>
        <v>10.8298059872697</v>
      </c>
      <c r="AL122" s="12">
        <f ca="1">SUM($T122:V122)</f>
        <v>15.2345166933312</v>
      </c>
      <c r="AM122" s="12">
        <f ca="1">SUM($T122:W122)</f>
        <v>20.0015251269745</v>
      </c>
      <c r="AN122" s="12">
        <f ca="1">SUM($T122:X122)</f>
        <v>24.1127028245675</v>
      </c>
      <c r="AO122" s="12">
        <f ca="1">SUM($T122:Y122)</f>
        <v>28.9948674011533</v>
      </c>
      <c r="AP122" s="12">
        <f ca="1">SUM($T122:Z122)</f>
        <v>33.0523252980544</v>
      </c>
      <c r="AQ122" s="12">
        <f ca="1">SUM($T122:AA122)</f>
        <v>37.8321714089672</v>
      </c>
      <c r="AR122" s="12">
        <f ca="1">SUM($T122:AB122)</f>
        <v>43.1796021416903</v>
      </c>
      <c r="AS122" s="12">
        <f ca="1">SUM($T122:AC122)</f>
        <v>47.5842668537286</v>
      </c>
      <c r="AT122" s="12">
        <f ca="1">SUM($T122:AD122)</f>
        <v>53.3586305330343</v>
      </c>
      <c r="AU122" s="12">
        <f ca="1">SUM($T122:AE122)</f>
        <v>58.686776416832</v>
      </c>
      <c r="AV122" s="12">
        <f ca="1">SUM($T122:AF122)</f>
        <v>63.7956849892603</v>
      </c>
      <c r="AW122" s="12">
        <f ca="1">SUM($T122:AG122)</f>
        <v>69.1679457545406</v>
      </c>
      <c r="AX122" s="12">
        <f ca="1">SUM($T122:AH122)</f>
        <v>74.5384164711046</v>
      </c>
      <c r="AY122" s="12">
        <f ca="1">SUM($T122:AI122)</f>
        <v>79.0761604605972</v>
      </c>
      <c r="AZ122" s="12">
        <f ca="1" t="shared" si="118"/>
        <v>63.1035001538053</v>
      </c>
      <c r="BA122" s="12">
        <f ca="1" t="shared" si="119"/>
        <v>57.1635632345207</v>
      </c>
      <c r="BB122" s="12">
        <f ca="1" t="shared" si="120"/>
        <v>52.7588525284592</v>
      </c>
      <c r="BC122" s="12">
        <f ca="1" t="shared" si="121"/>
        <v>47.9918440948159</v>
      </c>
      <c r="BD122" s="12">
        <f ca="1" t="shared" si="122"/>
        <v>43.8806663972229</v>
      </c>
      <c r="BE122" s="12">
        <f ca="1" t="shared" si="123"/>
        <v>38.9985018206371</v>
      </c>
      <c r="BF122" s="12">
        <f ca="1" t="shared" si="124"/>
        <v>34.941043923736</v>
      </c>
      <c r="BG122" s="12">
        <f ca="1" t="shared" si="125"/>
        <v>30.1611978128232</v>
      </c>
      <c r="BH122" s="12">
        <f ca="1" t="shared" si="126"/>
        <v>24.8137670801001</v>
      </c>
      <c r="BI122" s="12">
        <f ca="1" t="shared" si="127"/>
        <v>20.4091023680618</v>
      </c>
      <c r="BJ122" s="12">
        <f ca="1" t="shared" si="128"/>
        <v>14.6347386887561</v>
      </c>
      <c r="BK122" s="12">
        <f ca="1" t="shared" si="129"/>
        <v>9.30659280495841</v>
      </c>
      <c r="BL122" s="12">
        <f ca="1" t="shared" si="130"/>
        <v>4.19768423253012</v>
      </c>
      <c r="BM122" s="12">
        <f ca="1" t="shared" si="131"/>
        <v>0</v>
      </c>
      <c r="BN122" s="12">
        <f ca="1" t="shared" si="132"/>
        <v>0</v>
      </c>
      <c r="BO122" s="12">
        <f ca="1" t="shared" si="133"/>
        <v>0</v>
      </c>
    </row>
    <row r="123" spans="1:67">
      <c r="A123" s="3">
        <v>93</v>
      </c>
      <c r="B123" s="11">
        <f ca="1" t="shared" si="99"/>
        <v>0.831261313938875</v>
      </c>
      <c r="C123" s="12">
        <f ca="1" t="shared" si="100"/>
        <v>69.0180187705554</v>
      </c>
      <c r="D123" s="11">
        <f ca="1" t="shared" ref="D123:S123" si="161">RAND()</f>
        <v>0.595336786318789</v>
      </c>
      <c r="E123" s="11">
        <f ca="1" t="shared" si="161"/>
        <v>0.536904402792816</v>
      </c>
      <c r="F123" s="11">
        <f ca="1" t="shared" si="161"/>
        <v>0.560434520800652</v>
      </c>
      <c r="G123" s="11">
        <f ca="1" t="shared" si="161"/>
        <v>0.959088443924534</v>
      </c>
      <c r="H123" s="11">
        <f ca="1" t="shared" si="161"/>
        <v>0.957290114059824</v>
      </c>
      <c r="I123" s="11">
        <f ca="1" t="shared" si="161"/>
        <v>0.340232901898534</v>
      </c>
      <c r="J123" s="11">
        <f ca="1" t="shared" si="161"/>
        <v>0.420262971035075</v>
      </c>
      <c r="K123" s="11">
        <f ca="1" t="shared" si="161"/>
        <v>0.154889519833534</v>
      </c>
      <c r="L123" s="11">
        <f ca="1" t="shared" si="161"/>
        <v>0.953770106622234</v>
      </c>
      <c r="M123" s="11">
        <f ca="1" t="shared" si="161"/>
        <v>0.60572573500121</v>
      </c>
      <c r="N123" s="11">
        <f ca="1" t="shared" si="161"/>
        <v>0.151398132456132</v>
      </c>
      <c r="O123" s="11">
        <f ca="1" t="shared" si="161"/>
        <v>0.262417429033814</v>
      </c>
      <c r="P123" s="11">
        <f ca="1" t="shared" si="161"/>
        <v>0.565923896365909</v>
      </c>
      <c r="Q123" s="11">
        <f ca="1" t="shared" si="161"/>
        <v>0.838968576289996</v>
      </c>
      <c r="R123" s="11">
        <f ca="1" t="shared" si="161"/>
        <v>0.667875654278683</v>
      </c>
      <c r="S123" s="11">
        <f ca="1" t="shared" si="161"/>
        <v>0.595313096639351</v>
      </c>
      <c r="T123" s="12">
        <f ca="1" t="shared" si="102"/>
        <v>4.86917098289849</v>
      </c>
      <c r="U123" s="12">
        <f ca="1" t="shared" si="103"/>
        <v>4.79613050349102</v>
      </c>
      <c r="V123" s="12">
        <f ca="1" t="shared" si="104"/>
        <v>4.82554315100082</v>
      </c>
      <c r="W123" s="12">
        <f ca="1" t="shared" si="105"/>
        <v>5.79544221962267</v>
      </c>
      <c r="X123" s="12">
        <f ca="1" t="shared" si="106"/>
        <v>5.78645057029912</v>
      </c>
      <c r="Y123" s="12">
        <f ca="1" t="shared" si="107"/>
        <v>4.55029112737317</v>
      </c>
      <c r="Z123" s="12">
        <f ca="1" t="shared" si="108"/>
        <v>4.65032871379384</v>
      </c>
      <c r="AA123" s="12">
        <f ca="1" t="shared" si="109"/>
        <v>4.25814919972256</v>
      </c>
      <c r="AB123" s="12">
        <f ca="1" t="shared" si="110"/>
        <v>5.76885053311117</v>
      </c>
      <c r="AC123" s="12">
        <f ca="1" t="shared" si="111"/>
        <v>4.88215716875151</v>
      </c>
      <c r="AD123" s="12">
        <f ca="1" t="shared" si="112"/>
        <v>4.25233022076022</v>
      </c>
      <c r="AE123" s="12">
        <f ca="1" t="shared" si="113"/>
        <v>4.43736238172302</v>
      </c>
      <c r="AF123" s="12">
        <f ca="1" t="shared" si="114"/>
        <v>4.83240487045739</v>
      </c>
      <c r="AG123" s="12">
        <f ca="1" t="shared" si="115"/>
        <v>5.34742144072499</v>
      </c>
      <c r="AH123" s="12">
        <f ca="1" t="shared" si="116"/>
        <v>4.95984456784835</v>
      </c>
      <c r="AI123" s="12">
        <f ca="1" t="shared" si="117"/>
        <v>4.86914137079919</v>
      </c>
      <c r="AJ123" s="12">
        <f ca="1">SUM($T123:T123)</f>
        <v>4.86917098289849</v>
      </c>
      <c r="AK123" s="12">
        <f ca="1">SUM($T123:U123)</f>
        <v>9.66530148638951</v>
      </c>
      <c r="AL123" s="12">
        <f ca="1">SUM($T123:V123)</f>
        <v>14.4908446373903</v>
      </c>
      <c r="AM123" s="12">
        <f ca="1">SUM($T123:W123)</f>
        <v>20.286286857013</v>
      </c>
      <c r="AN123" s="12">
        <f ca="1">SUM($T123:X123)</f>
        <v>26.0727374273121</v>
      </c>
      <c r="AO123" s="12">
        <f ca="1">SUM($T123:Y123)</f>
        <v>30.6230285546853</v>
      </c>
      <c r="AP123" s="12">
        <f ca="1">SUM($T123:Z123)</f>
        <v>35.2733572684791</v>
      </c>
      <c r="AQ123" s="12">
        <f ca="1">SUM($T123:AA123)</f>
        <v>39.5315064682017</v>
      </c>
      <c r="AR123" s="12">
        <f ca="1">SUM($T123:AB123)</f>
        <v>45.3003570013129</v>
      </c>
      <c r="AS123" s="12">
        <f ca="1">SUM($T123:AC123)</f>
        <v>50.1825141700644</v>
      </c>
      <c r="AT123" s="12">
        <f ca="1">SUM($T123:AD123)</f>
        <v>54.4348443908246</v>
      </c>
      <c r="AU123" s="12">
        <f ca="1">SUM($T123:AE123)</f>
        <v>58.8722067725476</v>
      </c>
      <c r="AV123" s="12">
        <f ca="1">SUM($T123:AF123)</f>
        <v>63.704611643005</v>
      </c>
      <c r="AW123" s="12">
        <f ca="1">SUM($T123:AG123)</f>
        <v>69.05203308373</v>
      </c>
      <c r="AX123" s="12">
        <f ca="1">SUM($T123:AH123)</f>
        <v>74.0118776515783</v>
      </c>
      <c r="AY123" s="12">
        <f ca="1">SUM($T123:AI123)</f>
        <v>78.8810190223775</v>
      </c>
      <c r="AZ123" s="12">
        <f ca="1" t="shared" si="118"/>
        <v>64.1488477876569</v>
      </c>
      <c r="BA123" s="12">
        <f ca="1" t="shared" si="119"/>
        <v>59.3527172841658</v>
      </c>
      <c r="BB123" s="12">
        <f ca="1" t="shared" si="120"/>
        <v>54.527174133165</v>
      </c>
      <c r="BC123" s="12">
        <f ca="1" t="shared" si="121"/>
        <v>48.7317319135424</v>
      </c>
      <c r="BD123" s="12">
        <f ca="1" t="shared" si="122"/>
        <v>42.9452813432432</v>
      </c>
      <c r="BE123" s="12">
        <f ca="1" t="shared" si="123"/>
        <v>38.3949902158701</v>
      </c>
      <c r="BF123" s="12">
        <f ca="1" t="shared" si="124"/>
        <v>33.7446615020762</v>
      </c>
      <c r="BG123" s="12">
        <f ca="1" t="shared" si="125"/>
        <v>29.4865123023537</v>
      </c>
      <c r="BH123" s="12">
        <f ca="1" t="shared" si="126"/>
        <v>23.7176617692425</v>
      </c>
      <c r="BI123" s="12">
        <f ca="1" t="shared" si="127"/>
        <v>18.835504600491</v>
      </c>
      <c r="BJ123" s="12">
        <f ca="1" t="shared" si="128"/>
        <v>14.5831743797308</v>
      </c>
      <c r="BK123" s="12">
        <f ca="1" t="shared" si="129"/>
        <v>10.1458119980077</v>
      </c>
      <c r="BL123" s="12">
        <f ca="1" t="shared" si="130"/>
        <v>5.31340712755036</v>
      </c>
      <c r="BM123" s="12">
        <f ca="1" t="shared" si="131"/>
        <v>0</v>
      </c>
      <c r="BN123" s="12">
        <f ca="1" t="shared" si="132"/>
        <v>0</v>
      </c>
      <c r="BO123" s="12">
        <f ca="1" t="shared" si="133"/>
        <v>0</v>
      </c>
    </row>
    <row r="124" spans="1:67">
      <c r="A124" s="3">
        <v>94</v>
      </c>
      <c r="B124" s="11">
        <f ca="1" t="shared" si="99"/>
        <v>0.044771046572502</v>
      </c>
      <c r="C124" s="12">
        <f ca="1" t="shared" si="100"/>
        <v>52.2385523286251</v>
      </c>
      <c r="D124" s="11">
        <f ca="1" t="shared" ref="D124:S124" si="162">RAND()</f>
        <v>0.33814216423318</v>
      </c>
      <c r="E124" s="11">
        <f ca="1" t="shared" si="162"/>
        <v>0.957288308527304</v>
      </c>
      <c r="F124" s="11">
        <f ca="1" t="shared" si="162"/>
        <v>0.391004369465481</v>
      </c>
      <c r="G124" s="11">
        <f ca="1" t="shared" si="162"/>
        <v>0.965697653256345</v>
      </c>
      <c r="H124" s="11">
        <f ca="1" t="shared" si="162"/>
        <v>0.440262032639902</v>
      </c>
      <c r="I124" s="11">
        <f ca="1" t="shared" si="162"/>
        <v>0.0252201080714209</v>
      </c>
      <c r="J124" s="11">
        <f ca="1" t="shared" si="162"/>
        <v>0.536302096683136</v>
      </c>
      <c r="K124" s="11">
        <f ca="1" t="shared" si="162"/>
        <v>0.420285549944996</v>
      </c>
      <c r="L124" s="11">
        <f ca="1" t="shared" si="162"/>
        <v>0.436165962311072</v>
      </c>
      <c r="M124" s="11">
        <f ca="1" t="shared" si="162"/>
        <v>0.95729371454926</v>
      </c>
      <c r="N124" s="11">
        <f ca="1" t="shared" si="162"/>
        <v>0.316787158489221</v>
      </c>
      <c r="O124" s="11">
        <f ca="1" t="shared" si="162"/>
        <v>0.28554612900321</v>
      </c>
      <c r="P124" s="11">
        <f ca="1" t="shared" si="162"/>
        <v>0.154892597136143</v>
      </c>
      <c r="Q124" s="11">
        <f ca="1" t="shared" si="162"/>
        <v>0.0941013922070513</v>
      </c>
      <c r="R124" s="11">
        <f ca="1" t="shared" si="162"/>
        <v>0.678048352062828</v>
      </c>
      <c r="S124" s="11">
        <f ca="1" t="shared" si="162"/>
        <v>0.893905773206964</v>
      </c>
      <c r="T124" s="12">
        <f ca="1" t="shared" si="102"/>
        <v>4.54767770529148</v>
      </c>
      <c r="U124" s="12">
        <f ca="1" t="shared" si="103"/>
        <v>5.78644154263652</v>
      </c>
      <c r="V124" s="12">
        <f ca="1" t="shared" si="104"/>
        <v>4.61375546183185</v>
      </c>
      <c r="W124" s="12">
        <f ca="1" t="shared" si="105"/>
        <v>5.82848826628173</v>
      </c>
      <c r="X124" s="12">
        <f ca="1" t="shared" si="106"/>
        <v>4.67532754079988</v>
      </c>
      <c r="Y124" s="12">
        <f ca="1" t="shared" si="107"/>
        <v>4.04203351345237</v>
      </c>
      <c r="Z124" s="12">
        <f ca="1" t="shared" si="108"/>
        <v>4.79537762085392</v>
      </c>
      <c r="AA124" s="12">
        <f ca="1" t="shared" si="109"/>
        <v>4.65035693743125</v>
      </c>
      <c r="AB124" s="12">
        <f ca="1" t="shared" si="110"/>
        <v>4.67020745288884</v>
      </c>
      <c r="AC124" s="12">
        <f ca="1" t="shared" si="111"/>
        <v>5.7864685727463</v>
      </c>
      <c r="AD124" s="12">
        <f ca="1" t="shared" si="112"/>
        <v>4.52098394811153</v>
      </c>
      <c r="AE124" s="12">
        <f ca="1" t="shared" si="113"/>
        <v>4.47591021500535</v>
      </c>
      <c r="AF124" s="12">
        <f ca="1" t="shared" si="114"/>
        <v>4.25815432856024</v>
      </c>
      <c r="AG124" s="12">
        <f ca="1" t="shared" si="115"/>
        <v>4.15683565367842</v>
      </c>
      <c r="AH124" s="12">
        <f ca="1" t="shared" si="116"/>
        <v>4.97256044007853</v>
      </c>
      <c r="AI124" s="12">
        <f ca="1" t="shared" si="117"/>
        <v>5.48476443301741</v>
      </c>
      <c r="AJ124" s="12">
        <f ca="1">SUM($T124:T124)</f>
        <v>4.54767770529148</v>
      </c>
      <c r="AK124" s="12">
        <f ca="1">SUM($T124:U124)</f>
        <v>10.334119247928</v>
      </c>
      <c r="AL124" s="12">
        <f ca="1">SUM($T124:V124)</f>
        <v>14.9478747097598</v>
      </c>
      <c r="AM124" s="12">
        <f ca="1">SUM($T124:W124)</f>
        <v>20.7763629760416</v>
      </c>
      <c r="AN124" s="12">
        <f ca="1">SUM($T124:X124)</f>
        <v>25.4516905168415</v>
      </c>
      <c r="AO124" s="12">
        <f ca="1">SUM($T124:Y124)</f>
        <v>29.4937240302938</v>
      </c>
      <c r="AP124" s="12">
        <f ca="1">SUM($T124:Z124)</f>
        <v>34.2891016511477</v>
      </c>
      <c r="AQ124" s="12">
        <f ca="1">SUM($T124:AA124)</f>
        <v>38.939458588579</v>
      </c>
      <c r="AR124" s="12">
        <f ca="1">SUM($T124:AB124)</f>
        <v>43.6096660414678</v>
      </c>
      <c r="AS124" s="12">
        <f ca="1">SUM($T124:AC124)</f>
        <v>49.3961346142141</v>
      </c>
      <c r="AT124" s="12">
        <f ca="1">SUM($T124:AD124)</f>
        <v>53.9171185623257</v>
      </c>
      <c r="AU124" s="12">
        <f ca="1">SUM($T124:AE124)</f>
        <v>58.393028777331</v>
      </c>
      <c r="AV124" s="12">
        <f ca="1">SUM($T124:AF124)</f>
        <v>62.6511831058912</v>
      </c>
      <c r="AW124" s="12">
        <f ca="1">SUM($T124:AG124)</f>
        <v>66.8080187595697</v>
      </c>
      <c r="AX124" s="12">
        <f ca="1">SUM($T124:AH124)</f>
        <v>71.7805791996482</v>
      </c>
      <c r="AY124" s="12">
        <f ca="1">SUM($T124:AI124)</f>
        <v>77.2653436326656</v>
      </c>
      <c r="AZ124" s="12">
        <f ca="1" t="shared" si="118"/>
        <v>47.6908746233336</v>
      </c>
      <c r="BA124" s="12">
        <f ca="1" t="shared" si="119"/>
        <v>41.9044330806971</v>
      </c>
      <c r="BB124" s="12">
        <f ca="1" t="shared" si="120"/>
        <v>37.2906776188652</v>
      </c>
      <c r="BC124" s="12">
        <f ca="1" t="shared" si="121"/>
        <v>31.4621893525835</v>
      </c>
      <c r="BD124" s="12">
        <f ca="1" t="shared" si="122"/>
        <v>26.7868618117836</v>
      </c>
      <c r="BE124" s="12">
        <f ca="1" t="shared" si="123"/>
        <v>22.7448282983313</v>
      </c>
      <c r="BF124" s="12">
        <f ca="1" t="shared" si="124"/>
        <v>17.9494506774774</v>
      </c>
      <c r="BG124" s="12">
        <f ca="1" t="shared" si="125"/>
        <v>13.2990937400461</v>
      </c>
      <c r="BH124" s="12">
        <f ca="1" t="shared" si="126"/>
        <v>8.62888628715727</v>
      </c>
      <c r="BI124" s="12">
        <f ca="1" t="shared" si="127"/>
        <v>2.84241771441097</v>
      </c>
      <c r="BJ124" s="12">
        <f ca="1" t="shared" si="128"/>
        <v>0</v>
      </c>
      <c r="BK124" s="12">
        <f ca="1" t="shared" si="129"/>
        <v>0</v>
      </c>
      <c r="BL124" s="12">
        <f ca="1" t="shared" si="130"/>
        <v>0</v>
      </c>
      <c r="BM124" s="12">
        <f ca="1" t="shared" si="131"/>
        <v>0</v>
      </c>
      <c r="BN124" s="12">
        <f ca="1" t="shared" si="132"/>
        <v>0</v>
      </c>
      <c r="BO124" s="12">
        <f ca="1" t="shared" si="133"/>
        <v>0</v>
      </c>
    </row>
    <row r="125" spans="1:67">
      <c r="A125" s="3">
        <v>95</v>
      </c>
      <c r="B125" s="11">
        <f ca="1" t="shared" si="99"/>
        <v>0.577416478902377</v>
      </c>
      <c r="C125" s="12">
        <f ca="1" t="shared" si="100"/>
        <v>65.3916639843197</v>
      </c>
      <c r="D125" s="11">
        <f ca="1" t="shared" ref="D125:S125" si="163">RAND()</f>
        <v>0.694758706442834</v>
      </c>
      <c r="E125" s="11">
        <f ca="1" t="shared" si="163"/>
        <v>0.76814228967914</v>
      </c>
      <c r="F125" s="11">
        <f ca="1" t="shared" si="163"/>
        <v>0.0136566375861429</v>
      </c>
      <c r="G125" s="11">
        <f ca="1" t="shared" si="163"/>
        <v>0.686425185208726</v>
      </c>
      <c r="H125" s="11">
        <f ca="1" t="shared" si="163"/>
        <v>0.437541560110589</v>
      </c>
      <c r="I125" s="11">
        <f ca="1" t="shared" si="163"/>
        <v>0.367563057851656</v>
      </c>
      <c r="J125" s="11">
        <f ca="1" t="shared" si="163"/>
        <v>0.523334692286301</v>
      </c>
      <c r="K125" s="11">
        <f ca="1" t="shared" si="163"/>
        <v>0.549985259963622</v>
      </c>
      <c r="L125" s="11">
        <f ca="1" t="shared" si="163"/>
        <v>0.72042854558361</v>
      </c>
      <c r="M125" s="11">
        <f ca="1" t="shared" si="163"/>
        <v>0.95378485872816</v>
      </c>
      <c r="N125" s="11">
        <f ca="1" t="shared" si="163"/>
        <v>0.628187001344878</v>
      </c>
      <c r="O125" s="11">
        <f ca="1" t="shared" si="163"/>
        <v>0.502677265834336</v>
      </c>
      <c r="P125" s="11">
        <f ca="1" t="shared" si="163"/>
        <v>0.883118234501866</v>
      </c>
      <c r="Q125" s="11">
        <f ca="1" t="shared" si="163"/>
        <v>0.7385459030494</v>
      </c>
      <c r="R125" s="11">
        <f ca="1" t="shared" si="163"/>
        <v>0.682114516291854</v>
      </c>
      <c r="S125" s="11">
        <f ca="1" t="shared" si="163"/>
        <v>0.565943125546816</v>
      </c>
      <c r="T125" s="12">
        <f ca="1" t="shared" si="102"/>
        <v>4.99344838305354</v>
      </c>
      <c r="U125" s="12">
        <f ca="1" t="shared" si="103"/>
        <v>5.17035572419785</v>
      </c>
      <c r="V125" s="12">
        <f ca="1" t="shared" si="104"/>
        <v>4.02276106264357</v>
      </c>
      <c r="W125" s="12">
        <f ca="1" t="shared" si="105"/>
        <v>4.98303148151091</v>
      </c>
      <c r="X125" s="12">
        <f ca="1" t="shared" si="106"/>
        <v>4.67192695013824</v>
      </c>
      <c r="Y125" s="12">
        <f ca="1" t="shared" si="107"/>
        <v>4.58445382231457</v>
      </c>
      <c r="Z125" s="12">
        <f ca="1" t="shared" si="108"/>
        <v>4.77916836535788</v>
      </c>
      <c r="AA125" s="12">
        <f ca="1" t="shared" si="109"/>
        <v>4.81248157495453</v>
      </c>
      <c r="AB125" s="12">
        <f ca="1" t="shared" si="110"/>
        <v>5.05107136395903</v>
      </c>
      <c r="AC125" s="12">
        <f ca="1" t="shared" si="111"/>
        <v>5.7689242936408</v>
      </c>
      <c r="AD125" s="12">
        <f ca="1" t="shared" si="112"/>
        <v>4.9102337516811</v>
      </c>
      <c r="AE125" s="12">
        <f ca="1" t="shared" si="113"/>
        <v>4.75334658229292</v>
      </c>
      <c r="AF125" s="12">
        <f ca="1" t="shared" si="114"/>
        <v>5.45779558625467</v>
      </c>
      <c r="AG125" s="12">
        <f ca="1" t="shared" si="115"/>
        <v>5.0963647576235</v>
      </c>
      <c r="AH125" s="12">
        <f ca="1" t="shared" si="116"/>
        <v>4.97764314536482</v>
      </c>
      <c r="AI125" s="12">
        <f ca="1" t="shared" si="117"/>
        <v>4.83242890693352</v>
      </c>
      <c r="AJ125" s="12">
        <f ca="1">SUM($T125:T125)</f>
        <v>4.99344838305354</v>
      </c>
      <c r="AK125" s="12">
        <f ca="1">SUM($T125:U125)</f>
        <v>10.1638041072514</v>
      </c>
      <c r="AL125" s="12">
        <f ca="1">SUM($T125:V125)</f>
        <v>14.186565169895</v>
      </c>
      <c r="AM125" s="12">
        <f ca="1">SUM($T125:W125)</f>
        <v>19.1695966514059</v>
      </c>
      <c r="AN125" s="12">
        <f ca="1">SUM($T125:X125)</f>
        <v>23.8415236015441</v>
      </c>
      <c r="AO125" s="12">
        <f ca="1">SUM($T125:Y125)</f>
        <v>28.4259774238587</v>
      </c>
      <c r="AP125" s="12">
        <f ca="1">SUM($T125:Z125)</f>
        <v>33.2051457892166</v>
      </c>
      <c r="AQ125" s="12">
        <f ca="1">SUM($T125:AA125)</f>
        <v>38.0176273641711</v>
      </c>
      <c r="AR125" s="12">
        <f ca="1">SUM($T125:AB125)</f>
        <v>43.0686987281301</v>
      </c>
      <c r="AS125" s="12">
        <f ca="1">SUM($T125:AC125)</f>
        <v>48.8376230217709</v>
      </c>
      <c r="AT125" s="12">
        <f ca="1">SUM($T125:AD125)</f>
        <v>53.747856773452</v>
      </c>
      <c r="AU125" s="12">
        <f ca="1">SUM($T125:AE125)</f>
        <v>58.5012033557449</v>
      </c>
      <c r="AV125" s="12">
        <f ca="1">SUM($T125:AF125)</f>
        <v>63.9589989419996</v>
      </c>
      <c r="AW125" s="12">
        <f ca="1">SUM($T125:AG125)</f>
        <v>69.0553636996231</v>
      </c>
      <c r="AX125" s="12">
        <f ca="1">SUM($T125:AH125)</f>
        <v>74.0330068449879</v>
      </c>
      <c r="AY125" s="12">
        <f ca="1">SUM($T125:AI125)</f>
        <v>78.8654357519214</v>
      </c>
      <c r="AZ125" s="12">
        <f ca="1" t="shared" si="118"/>
        <v>60.3982156012661</v>
      </c>
      <c r="BA125" s="12">
        <f ca="1" t="shared" si="119"/>
        <v>55.2278598770683</v>
      </c>
      <c r="BB125" s="12">
        <f ca="1" t="shared" si="120"/>
        <v>51.2050988144247</v>
      </c>
      <c r="BC125" s="12">
        <f ca="1" t="shared" si="121"/>
        <v>46.2220673329138</v>
      </c>
      <c r="BD125" s="12">
        <f ca="1" t="shared" si="122"/>
        <v>41.5501403827756</v>
      </c>
      <c r="BE125" s="12">
        <f ca="1" t="shared" si="123"/>
        <v>36.965686560461</v>
      </c>
      <c r="BF125" s="12">
        <f ca="1" t="shared" si="124"/>
        <v>32.1865181951031</v>
      </c>
      <c r="BG125" s="12">
        <f ca="1" t="shared" si="125"/>
        <v>27.3740366201486</v>
      </c>
      <c r="BH125" s="12">
        <f ca="1" t="shared" si="126"/>
        <v>22.3229652561896</v>
      </c>
      <c r="BI125" s="12">
        <f ca="1" t="shared" si="127"/>
        <v>16.5540409625488</v>
      </c>
      <c r="BJ125" s="12">
        <f ca="1" t="shared" si="128"/>
        <v>11.6438072108677</v>
      </c>
      <c r="BK125" s="12">
        <f ca="1" t="shared" si="129"/>
        <v>6.89046062857474</v>
      </c>
      <c r="BL125" s="12">
        <f ca="1" t="shared" si="130"/>
        <v>1.43266504232007</v>
      </c>
      <c r="BM125" s="12">
        <f ca="1" t="shared" si="131"/>
        <v>0</v>
      </c>
      <c r="BN125" s="12">
        <f ca="1" t="shared" si="132"/>
        <v>0</v>
      </c>
      <c r="BO125" s="12">
        <f ca="1" t="shared" si="133"/>
        <v>0</v>
      </c>
    </row>
    <row r="126" spans="1:67">
      <c r="A126" s="3">
        <v>96</v>
      </c>
      <c r="B126" s="11">
        <f ca="1" t="shared" si="99"/>
        <v>0.533706140291631</v>
      </c>
      <c r="C126" s="12">
        <f ca="1" t="shared" si="100"/>
        <v>64.7284356715272</v>
      </c>
      <c r="D126" s="11">
        <f ca="1" t="shared" ref="D126:S126" si="164">RAND()</f>
        <v>0.253310069479197</v>
      </c>
      <c r="E126" s="11">
        <f ca="1" t="shared" si="164"/>
        <v>0.0827113613448303</v>
      </c>
      <c r="F126" s="11">
        <f ca="1" t="shared" si="164"/>
        <v>0.411693200236087</v>
      </c>
      <c r="G126" s="11">
        <f ca="1" t="shared" si="164"/>
        <v>0.325364146125235</v>
      </c>
      <c r="H126" s="11">
        <f ca="1" t="shared" si="164"/>
        <v>0.637966806330816</v>
      </c>
      <c r="I126" s="11">
        <f ca="1" t="shared" si="164"/>
        <v>0.90627642422985</v>
      </c>
      <c r="J126" s="11">
        <f ca="1" t="shared" si="164"/>
        <v>0.837550331290513</v>
      </c>
      <c r="K126" s="11">
        <f ca="1" t="shared" si="164"/>
        <v>0.973539288978286</v>
      </c>
      <c r="L126" s="11">
        <f ca="1" t="shared" si="164"/>
        <v>0.0684169898590361</v>
      </c>
      <c r="M126" s="11">
        <f ca="1" t="shared" si="164"/>
        <v>0.0286073064641175</v>
      </c>
      <c r="N126" s="11">
        <f ca="1" t="shared" si="164"/>
        <v>0.476007644378591</v>
      </c>
      <c r="O126" s="11">
        <f ca="1" t="shared" si="164"/>
        <v>0.897351693444485</v>
      </c>
      <c r="P126" s="11">
        <f ca="1" t="shared" si="164"/>
        <v>0.404851104037651</v>
      </c>
      <c r="Q126" s="11">
        <f ca="1" t="shared" si="164"/>
        <v>0.667867754835166</v>
      </c>
      <c r="R126" s="11">
        <f ca="1" t="shared" si="164"/>
        <v>0.660450985812785</v>
      </c>
      <c r="S126" s="11">
        <f ca="1" t="shared" si="164"/>
        <v>0.999895169359075</v>
      </c>
      <c r="T126" s="12">
        <f ca="1" t="shared" si="102"/>
        <v>4.42218344913199</v>
      </c>
      <c r="U126" s="12">
        <f ca="1" t="shared" si="103"/>
        <v>4.13785226890805</v>
      </c>
      <c r="V126" s="12">
        <f ca="1" t="shared" si="104"/>
        <v>4.63961650029511</v>
      </c>
      <c r="W126" s="12">
        <f ca="1" t="shared" si="105"/>
        <v>4.53170518265654</v>
      </c>
      <c r="X126" s="12">
        <f ca="1" t="shared" si="106"/>
        <v>4.92245850791352</v>
      </c>
      <c r="Y126" s="12">
        <f ca="1" t="shared" si="107"/>
        <v>5.53138212114925</v>
      </c>
      <c r="Z126" s="12">
        <f ca="1" t="shared" si="108"/>
        <v>5.34387582822628</v>
      </c>
      <c r="AA126" s="12">
        <f ca="1" t="shared" si="109"/>
        <v>5.86769644489143</v>
      </c>
      <c r="AB126" s="12">
        <f ca="1" t="shared" si="110"/>
        <v>4.11402831643173</v>
      </c>
      <c r="AC126" s="12">
        <f ca="1" t="shared" si="111"/>
        <v>4.04767884410686</v>
      </c>
      <c r="AD126" s="12">
        <f ca="1" t="shared" si="112"/>
        <v>4.72000955547324</v>
      </c>
      <c r="AE126" s="12">
        <f ca="1" t="shared" si="113"/>
        <v>5.49337923361121</v>
      </c>
      <c r="AF126" s="12">
        <f ca="1" t="shared" si="114"/>
        <v>4.63106388004706</v>
      </c>
      <c r="AG126" s="12">
        <f ca="1" t="shared" si="115"/>
        <v>4.95983469354396</v>
      </c>
      <c r="AH126" s="12">
        <f ca="1" t="shared" si="116"/>
        <v>4.95056373226598</v>
      </c>
      <c r="AI126" s="12">
        <f ca="1" t="shared" si="117"/>
        <v>5.99947584679538</v>
      </c>
      <c r="AJ126" s="12">
        <f ca="1">SUM($T126:T126)</f>
        <v>4.42218344913199</v>
      </c>
      <c r="AK126" s="12">
        <f ca="1">SUM($T126:U126)</f>
        <v>8.56003571804004</v>
      </c>
      <c r="AL126" s="12">
        <f ca="1">SUM($T126:V126)</f>
        <v>13.1996522183352</v>
      </c>
      <c r="AM126" s="12">
        <f ca="1">SUM($T126:W126)</f>
        <v>17.7313574009917</v>
      </c>
      <c r="AN126" s="12">
        <f ca="1">SUM($T126:X126)</f>
        <v>22.6538159089052</v>
      </c>
      <c r="AO126" s="12">
        <f ca="1">SUM($T126:Y126)</f>
        <v>28.1851980300545</v>
      </c>
      <c r="AP126" s="12">
        <f ca="1">SUM($T126:Z126)</f>
        <v>33.5290738582808</v>
      </c>
      <c r="AQ126" s="12">
        <f ca="1">SUM($T126:AA126)</f>
        <v>39.3967703031722</v>
      </c>
      <c r="AR126" s="12">
        <f ca="1">SUM($T126:AB126)</f>
        <v>43.5107986196039</v>
      </c>
      <c r="AS126" s="12">
        <f ca="1">SUM($T126:AC126)</f>
        <v>47.5584774637108</v>
      </c>
      <c r="AT126" s="12">
        <f ca="1">SUM($T126:AD126)</f>
        <v>52.278487019184</v>
      </c>
      <c r="AU126" s="12">
        <f ca="1">SUM($T126:AE126)</f>
        <v>57.7718662527952</v>
      </c>
      <c r="AV126" s="12">
        <f ca="1">SUM($T126:AF126)</f>
        <v>62.4029301328423</v>
      </c>
      <c r="AW126" s="12">
        <f ca="1">SUM($T126:AG126)</f>
        <v>67.3627648263863</v>
      </c>
      <c r="AX126" s="12">
        <f ca="1">SUM($T126:AH126)</f>
        <v>72.3133285586522</v>
      </c>
      <c r="AY126" s="12">
        <f ca="1">SUM($T126:AI126)</f>
        <v>78.3128044054476</v>
      </c>
      <c r="AZ126" s="12">
        <f ca="1" t="shared" si="118"/>
        <v>60.3062522223952</v>
      </c>
      <c r="BA126" s="12">
        <f ca="1" t="shared" si="119"/>
        <v>56.1683999534872</v>
      </c>
      <c r="BB126" s="12">
        <f ca="1" t="shared" si="120"/>
        <v>51.528783453192</v>
      </c>
      <c r="BC126" s="12">
        <f ca="1" t="shared" si="121"/>
        <v>46.9970782705355</v>
      </c>
      <c r="BD126" s="12">
        <f ca="1" t="shared" si="122"/>
        <v>42.074619762622</v>
      </c>
      <c r="BE126" s="12">
        <f ca="1" t="shared" si="123"/>
        <v>36.5432376414727</v>
      </c>
      <c r="BF126" s="12">
        <f ca="1" t="shared" si="124"/>
        <v>31.1993618132464</v>
      </c>
      <c r="BG126" s="12">
        <f ca="1" t="shared" si="125"/>
        <v>25.331665368355</v>
      </c>
      <c r="BH126" s="12">
        <f ca="1" t="shared" si="126"/>
        <v>21.2176370519233</v>
      </c>
      <c r="BI126" s="12">
        <f ca="1" t="shared" si="127"/>
        <v>17.1699582078164</v>
      </c>
      <c r="BJ126" s="12">
        <f ca="1" t="shared" si="128"/>
        <v>12.4499486523432</v>
      </c>
      <c r="BK126" s="12">
        <f ca="1" t="shared" si="129"/>
        <v>6.95656941873197</v>
      </c>
      <c r="BL126" s="12">
        <f ca="1" t="shared" si="130"/>
        <v>2.3255055386849</v>
      </c>
      <c r="BM126" s="12">
        <f ca="1" t="shared" si="131"/>
        <v>0</v>
      </c>
      <c r="BN126" s="12">
        <f ca="1" t="shared" si="132"/>
        <v>0</v>
      </c>
      <c r="BO126" s="12">
        <f ca="1" t="shared" si="133"/>
        <v>0</v>
      </c>
    </row>
    <row r="127" spans="1:67">
      <c r="A127" s="3">
        <v>97</v>
      </c>
      <c r="B127" s="11">
        <f ca="1" t="shared" si="99"/>
        <v>0.848889493057331</v>
      </c>
      <c r="C127" s="12">
        <f ca="1" t="shared" si="100"/>
        <v>69.269849900819</v>
      </c>
      <c r="D127" s="11">
        <f ca="1" t="shared" ref="D127:S127" si="165">RAND()</f>
        <v>0.965667967283796</v>
      </c>
      <c r="E127" s="11">
        <f ca="1" t="shared" si="165"/>
        <v>0.953373810522457</v>
      </c>
      <c r="F127" s="11">
        <f ca="1" t="shared" si="165"/>
        <v>0.420261820258705</v>
      </c>
      <c r="G127" s="11">
        <f ca="1" t="shared" si="165"/>
        <v>0.284866122885268</v>
      </c>
      <c r="H127" s="11">
        <f ca="1" t="shared" si="165"/>
        <v>0.993921727352392</v>
      </c>
      <c r="I127" s="11">
        <f ca="1" t="shared" si="165"/>
        <v>0.834484747233433</v>
      </c>
      <c r="J127" s="11">
        <f ca="1" t="shared" si="165"/>
        <v>0.20812065180088</v>
      </c>
      <c r="K127" s="11">
        <f ca="1" t="shared" si="165"/>
        <v>0.118225735960351</v>
      </c>
      <c r="L127" s="11">
        <f ca="1" t="shared" si="165"/>
        <v>0.304023440249769</v>
      </c>
      <c r="M127" s="11">
        <f ca="1" t="shared" si="165"/>
        <v>0.358715506960097</v>
      </c>
      <c r="N127" s="11">
        <f ca="1" t="shared" si="165"/>
        <v>0.533207628916406</v>
      </c>
      <c r="O127" s="11">
        <f ca="1" t="shared" si="165"/>
        <v>0.139155863238706</v>
      </c>
      <c r="P127" s="11">
        <f ca="1" t="shared" si="165"/>
        <v>0.325166583613127</v>
      </c>
      <c r="Q127" s="11">
        <f ca="1" t="shared" si="165"/>
        <v>0.146002656233294</v>
      </c>
      <c r="R127" s="11">
        <f ca="1" t="shared" si="165"/>
        <v>0.615070556525679</v>
      </c>
      <c r="S127" s="11">
        <f ca="1" t="shared" si="165"/>
        <v>0.781696842630272</v>
      </c>
      <c r="T127" s="12">
        <f ca="1" t="shared" si="102"/>
        <v>5.82833983641898</v>
      </c>
      <c r="U127" s="12">
        <f ca="1" t="shared" si="103"/>
        <v>5.76686905261228</v>
      </c>
      <c r="V127" s="12">
        <f ca="1" t="shared" si="104"/>
        <v>4.65032727532338</v>
      </c>
      <c r="W127" s="12">
        <f ca="1" t="shared" si="105"/>
        <v>4.47477687147545</v>
      </c>
      <c r="X127" s="12">
        <f ca="1" t="shared" si="106"/>
        <v>5.96960863676196</v>
      </c>
      <c r="Y127" s="12">
        <f ca="1" t="shared" si="107"/>
        <v>5.33621186808358</v>
      </c>
      <c r="Z127" s="12">
        <f ca="1" t="shared" si="108"/>
        <v>4.34686775300147</v>
      </c>
      <c r="AA127" s="12">
        <f ca="1" t="shared" si="109"/>
        <v>4.19704289326725</v>
      </c>
      <c r="AB127" s="12">
        <f ca="1" t="shared" si="110"/>
        <v>4.50502930031221</v>
      </c>
      <c r="AC127" s="12">
        <f ca="1" t="shared" si="111"/>
        <v>4.57339438370012</v>
      </c>
      <c r="AD127" s="12">
        <f ca="1" t="shared" si="112"/>
        <v>4.79150953614551</v>
      </c>
      <c r="AE127" s="12">
        <f ca="1" t="shared" si="113"/>
        <v>4.23192643873118</v>
      </c>
      <c r="AF127" s="12">
        <f ca="1" t="shared" si="114"/>
        <v>4.53145822951641</v>
      </c>
      <c r="AG127" s="12">
        <f ca="1" t="shared" si="115"/>
        <v>4.24333776038882</v>
      </c>
      <c r="AH127" s="12">
        <f ca="1" t="shared" si="116"/>
        <v>4.8938381956571</v>
      </c>
      <c r="AI127" s="12">
        <f ca="1" t="shared" si="117"/>
        <v>5.20424210657568</v>
      </c>
      <c r="AJ127" s="12">
        <f ca="1">SUM($T127:T127)</f>
        <v>5.82833983641898</v>
      </c>
      <c r="AK127" s="12">
        <f ca="1">SUM($T127:U127)</f>
        <v>11.5952088890313</v>
      </c>
      <c r="AL127" s="12">
        <f ca="1">SUM($T127:V127)</f>
        <v>16.2455361643546</v>
      </c>
      <c r="AM127" s="12">
        <f ca="1">SUM($T127:W127)</f>
        <v>20.7203130358301</v>
      </c>
      <c r="AN127" s="12">
        <f ca="1">SUM($T127:X127)</f>
        <v>26.6899216725921</v>
      </c>
      <c r="AO127" s="12">
        <f ca="1">SUM($T127:Y127)</f>
        <v>32.0261335406756</v>
      </c>
      <c r="AP127" s="12">
        <f ca="1">SUM($T127:Z127)</f>
        <v>36.3730012936771</v>
      </c>
      <c r="AQ127" s="12">
        <f ca="1">SUM($T127:AA127)</f>
        <v>40.5700441869444</v>
      </c>
      <c r="AR127" s="12">
        <f ca="1">SUM($T127:AB127)</f>
        <v>45.0750734872566</v>
      </c>
      <c r="AS127" s="12">
        <f ca="1">SUM($T127:AC127)</f>
        <v>49.6484678709567</v>
      </c>
      <c r="AT127" s="12">
        <f ca="1">SUM($T127:AD127)</f>
        <v>54.4399774071022</v>
      </c>
      <c r="AU127" s="12">
        <f ca="1">SUM($T127:AE127)</f>
        <v>58.6719038458334</v>
      </c>
      <c r="AV127" s="12">
        <f ca="1">SUM($T127:AF127)</f>
        <v>63.2033620753498</v>
      </c>
      <c r="AW127" s="12">
        <f ca="1">SUM($T127:AG127)</f>
        <v>67.4466998357386</v>
      </c>
      <c r="AX127" s="12">
        <f ca="1">SUM($T127:AH127)</f>
        <v>72.3405380313957</v>
      </c>
      <c r="AY127" s="12">
        <f ca="1">SUM($T127:AI127)</f>
        <v>77.5447801379714</v>
      </c>
      <c r="AZ127" s="12">
        <f ca="1" t="shared" si="118"/>
        <v>63.4415100644</v>
      </c>
      <c r="BA127" s="12">
        <f ca="1" t="shared" si="119"/>
        <v>57.6746410117877</v>
      </c>
      <c r="BB127" s="12">
        <f ca="1" t="shared" si="120"/>
        <v>53.0243137364644</v>
      </c>
      <c r="BC127" s="12">
        <f ca="1" t="shared" si="121"/>
        <v>48.5495368649889</v>
      </c>
      <c r="BD127" s="12">
        <f ca="1" t="shared" si="122"/>
        <v>42.579928228227</v>
      </c>
      <c r="BE127" s="12">
        <f ca="1" t="shared" si="123"/>
        <v>37.2437163601434</v>
      </c>
      <c r="BF127" s="12">
        <f ca="1" t="shared" si="124"/>
        <v>32.8968486071419</v>
      </c>
      <c r="BG127" s="12">
        <f ca="1" t="shared" si="125"/>
        <v>28.6998057138747</v>
      </c>
      <c r="BH127" s="12">
        <f ca="1" t="shared" si="126"/>
        <v>24.1947764135624</v>
      </c>
      <c r="BI127" s="12">
        <f ca="1" t="shared" si="127"/>
        <v>19.6213820298623</v>
      </c>
      <c r="BJ127" s="12">
        <f ca="1" t="shared" si="128"/>
        <v>14.8298724937168</v>
      </c>
      <c r="BK127" s="12">
        <f ca="1" t="shared" si="129"/>
        <v>10.5979460549856</v>
      </c>
      <c r="BL127" s="12">
        <f ca="1" t="shared" si="130"/>
        <v>6.06648782546923</v>
      </c>
      <c r="BM127" s="12">
        <f ca="1" t="shared" si="131"/>
        <v>1.82315006508041</v>
      </c>
      <c r="BN127" s="12">
        <f ca="1" t="shared" si="132"/>
        <v>0</v>
      </c>
      <c r="BO127" s="12">
        <f ca="1" t="shared" si="133"/>
        <v>0</v>
      </c>
    </row>
    <row r="128" spans="1:67">
      <c r="A128" s="3">
        <v>98</v>
      </c>
      <c r="B128" s="11">
        <f ca="1" t="shared" si="99"/>
        <v>0.633916177494538</v>
      </c>
      <c r="C128" s="12">
        <f ca="1" t="shared" si="100"/>
        <v>66.1988025356363</v>
      </c>
      <c r="D128" s="11">
        <f ca="1" t="shared" ref="D128:S128" si="166">RAND()</f>
        <v>0.987990752219676</v>
      </c>
      <c r="E128" s="11">
        <f ca="1" t="shared" si="166"/>
        <v>0.92588740993849</v>
      </c>
      <c r="F128" s="11">
        <f ca="1" t="shared" si="166"/>
        <v>0.62355037146522</v>
      </c>
      <c r="G128" s="11">
        <f ca="1" t="shared" si="166"/>
        <v>0.154902091347697</v>
      </c>
      <c r="H128" s="11">
        <f ca="1" t="shared" si="166"/>
        <v>0.0238985583806663</v>
      </c>
      <c r="I128" s="11">
        <f ca="1" t="shared" si="166"/>
        <v>0.870769062796749</v>
      </c>
      <c r="J128" s="11">
        <f ca="1" t="shared" si="166"/>
        <v>0.831242725071342</v>
      </c>
      <c r="K128" s="11">
        <f ca="1" t="shared" si="166"/>
        <v>0.689969942306906</v>
      </c>
      <c r="L128" s="11">
        <f ca="1" t="shared" si="166"/>
        <v>0.287818077807274</v>
      </c>
      <c r="M128" s="11">
        <f ca="1" t="shared" si="166"/>
        <v>0.182679217712151</v>
      </c>
      <c r="N128" s="11">
        <f ca="1" t="shared" si="166"/>
        <v>0.713687474894865</v>
      </c>
      <c r="O128" s="11">
        <f ca="1" t="shared" si="166"/>
        <v>0.848905142554403</v>
      </c>
      <c r="P128" s="11">
        <f ca="1" t="shared" si="166"/>
        <v>0.502616686253684</v>
      </c>
      <c r="Q128" s="11">
        <f ca="1" t="shared" si="166"/>
        <v>0.953770835023807</v>
      </c>
      <c r="R128" s="11">
        <f ca="1" t="shared" si="166"/>
        <v>0.254116932041558</v>
      </c>
      <c r="S128" s="11">
        <f ca="1" t="shared" si="166"/>
        <v>0.411224462447306</v>
      </c>
      <c r="T128" s="12">
        <f ca="1" t="shared" si="102"/>
        <v>5.93995376109838</v>
      </c>
      <c r="U128" s="12">
        <f ca="1" t="shared" si="103"/>
        <v>5.62943704969245</v>
      </c>
      <c r="V128" s="12">
        <f ca="1" t="shared" si="104"/>
        <v>4.90443796433153</v>
      </c>
      <c r="W128" s="12">
        <f ca="1" t="shared" si="105"/>
        <v>4.25817015224616</v>
      </c>
      <c r="X128" s="12">
        <f ca="1" t="shared" si="106"/>
        <v>4.03983093063444</v>
      </c>
      <c r="Y128" s="12">
        <f ca="1" t="shared" si="107"/>
        <v>5.42692265699187</v>
      </c>
      <c r="Z128" s="12">
        <f ca="1" t="shared" si="108"/>
        <v>5.32810681267836</v>
      </c>
      <c r="AA128" s="12">
        <f ca="1" t="shared" si="109"/>
        <v>4.98746242788363</v>
      </c>
      <c r="AB128" s="12">
        <f ca="1" t="shared" si="110"/>
        <v>4.47969679634546</v>
      </c>
      <c r="AC128" s="12">
        <f ca="1" t="shared" si="111"/>
        <v>4.30446536285358</v>
      </c>
      <c r="AD128" s="12">
        <f ca="1" t="shared" si="112"/>
        <v>5.03421868723716</v>
      </c>
      <c r="AE128" s="12">
        <f ca="1" t="shared" si="113"/>
        <v>5.37226285638601</v>
      </c>
      <c r="AF128" s="12">
        <f ca="1" t="shared" si="114"/>
        <v>4.75327085781711</v>
      </c>
      <c r="AG128" s="12">
        <f ca="1" t="shared" si="115"/>
        <v>5.76885417511904</v>
      </c>
      <c r="AH128" s="12">
        <f ca="1" t="shared" si="116"/>
        <v>4.42352822006926</v>
      </c>
      <c r="AI128" s="12">
        <f ca="1" t="shared" si="117"/>
        <v>4.63903057805913</v>
      </c>
      <c r="AJ128" s="12">
        <f ca="1">SUM($T128:T128)</f>
        <v>5.93995376109838</v>
      </c>
      <c r="AK128" s="12">
        <f ca="1">SUM($T128:U128)</f>
        <v>11.5693908107908</v>
      </c>
      <c r="AL128" s="12">
        <f ca="1">SUM($T128:V128)</f>
        <v>16.4738287751224</v>
      </c>
      <c r="AM128" s="12">
        <f ca="1">SUM($T128:W128)</f>
        <v>20.7319989273685</v>
      </c>
      <c r="AN128" s="12">
        <f ca="1">SUM($T128:X128)</f>
        <v>24.771829858003</v>
      </c>
      <c r="AO128" s="12">
        <f ca="1">SUM($T128:Y128)</f>
        <v>30.1987525149948</v>
      </c>
      <c r="AP128" s="12">
        <f ca="1">SUM($T128:Z128)</f>
        <v>35.5268593276732</v>
      </c>
      <c r="AQ128" s="12">
        <f ca="1">SUM($T128:AA128)</f>
        <v>40.5143217555568</v>
      </c>
      <c r="AR128" s="12">
        <f ca="1">SUM($T128:AB128)</f>
        <v>44.9940185519023</v>
      </c>
      <c r="AS128" s="12">
        <f ca="1">SUM($T128:AC128)</f>
        <v>49.2984839147559</v>
      </c>
      <c r="AT128" s="12">
        <f ca="1">SUM($T128:AD128)</f>
        <v>54.332702601993</v>
      </c>
      <c r="AU128" s="12">
        <f ca="1">SUM($T128:AE128)</f>
        <v>59.704965458379</v>
      </c>
      <c r="AV128" s="12">
        <f ca="1">SUM($T128:AF128)</f>
        <v>64.4582363161961</v>
      </c>
      <c r="AW128" s="12">
        <f ca="1">SUM($T128:AG128)</f>
        <v>70.2270904913152</v>
      </c>
      <c r="AX128" s="12">
        <f ca="1">SUM($T128:AH128)</f>
        <v>74.6506187113844</v>
      </c>
      <c r="AY128" s="12">
        <f ca="1">SUM($T128:AI128)</f>
        <v>79.2896492894436</v>
      </c>
      <c r="AZ128" s="12">
        <f ca="1" t="shared" si="118"/>
        <v>60.2588487745379</v>
      </c>
      <c r="BA128" s="12">
        <f ca="1" t="shared" si="119"/>
        <v>54.6294117248454</v>
      </c>
      <c r="BB128" s="12">
        <f ca="1" t="shared" si="120"/>
        <v>49.7249737605139</v>
      </c>
      <c r="BC128" s="12">
        <f ca="1" t="shared" si="121"/>
        <v>45.4668036082677</v>
      </c>
      <c r="BD128" s="12">
        <f ca="1" t="shared" si="122"/>
        <v>41.4269726776333</v>
      </c>
      <c r="BE128" s="12">
        <f ca="1" t="shared" si="123"/>
        <v>36.0000500206414</v>
      </c>
      <c r="BF128" s="12">
        <f ca="1" t="shared" si="124"/>
        <v>30.6719432079631</v>
      </c>
      <c r="BG128" s="12">
        <f ca="1" t="shared" si="125"/>
        <v>25.6844807800794</v>
      </c>
      <c r="BH128" s="12">
        <f ca="1" t="shared" si="126"/>
        <v>21.204783983734</v>
      </c>
      <c r="BI128" s="12">
        <f ca="1" t="shared" si="127"/>
        <v>16.9003186208804</v>
      </c>
      <c r="BJ128" s="12">
        <f ca="1" t="shared" si="128"/>
        <v>11.8660999336432</v>
      </c>
      <c r="BK128" s="12">
        <f ca="1" t="shared" si="129"/>
        <v>6.49383707725723</v>
      </c>
      <c r="BL128" s="12">
        <f ca="1" t="shared" si="130"/>
        <v>1.74056621944013</v>
      </c>
      <c r="BM128" s="12">
        <f ca="1" t="shared" si="131"/>
        <v>0</v>
      </c>
      <c r="BN128" s="12">
        <f ca="1" t="shared" si="132"/>
        <v>0</v>
      </c>
      <c r="BO128" s="12">
        <f ca="1" t="shared" si="133"/>
        <v>0</v>
      </c>
    </row>
    <row r="129" spans="1:67">
      <c r="A129" s="3">
        <v>99</v>
      </c>
      <c r="B129" s="11">
        <f ca="1" t="shared" si="99"/>
        <v>0.845190627492595</v>
      </c>
      <c r="C129" s="12">
        <f ca="1" t="shared" si="100"/>
        <v>69.2170089641799</v>
      </c>
      <c r="D129" s="11">
        <f ca="1" t="shared" ref="D129:S129" si="167">RAND()</f>
        <v>0.6206167557269</v>
      </c>
      <c r="E129" s="11">
        <f ca="1" t="shared" si="167"/>
        <v>0.565925458870531</v>
      </c>
      <c r="F129" s="11">
        <f ca="1" t="shared" si="167"/>
        <v>0.102703242067948</v>
      </c>
      <c r="G129" s="11">
        <f ca="1" t="shared" si="167"/>
        <v>0.667866491479722</v>
      </c>
      <c r="H129" s="11">
        <f ca="1" t="shared" si="167"/>
        <v>0.531008346660609</v>
      </c>
      <c r="I129" s="11">
        <f ca="1" t="shared" si="167"/>
        <v>0.536297288821294</v>
      </c>
      <c r="J129" s="11">
        <f ca="1" t="shared" si="167"/>
        <v>0.965679481961476</v>
      </c>
      <c r="K129" s="11">
        <f ca="1" t="shared" si="167"/>
        <v>0.785053447524707</v>
      </c>
      <c r="L129" s="11">
        <f ca="1" t="shared" si="167"/>
        <v>0.436182176778977</v>
      </c>
      <c r="M129" s="11">
        <f ca="1" t="shared" si="167"/>
        <v>0.5604294302624</v>
      </c>
      <c r="N129" s="11">
        <f ca="1" t="shared" si="167"/>
        <v>0.536310602373993</v>
      </c>
      <c r="O129" s="11">
        <f ca="1" t="shared" si="167"/>
        <v>0.0335864544932472</v>
      </c>
      <c r="P129" s="11">
        <f ca="1" t="shared" si="167"/>
        <v>0.768151468852643</v>
      </c>
      <c r="Q129" s="11">
        <f ca="1" t="shared" si="167"/>
        <v>0.569224428211697</v>
      </c>
      <c r="R129" s="11">
        <f ca="1" t="shared" si="167"/>
        <v>0.44025205782952</v>
      </c>
      <c r="S129" s="11">
        <f ca="1" t="shared" si="167"/>
        <v>0.198366439678829</v>
      </c>
      <c r="T129" s="12">
        <f ca="1" t="shared" si="102"/>
        <v>4.90077094465863</v>
      </c>
      <c r="U129" s="12">
        <f ca="1" t="shared" si="103"/>
        <v>4.83240682358816</v>
      </c>
      <c r="V129" s="12">
        <f ca="1" t="shared" si="104"/>
        <v>4.17117207011325</v>
      </c>
      <c r="W129" s="12">
        <f ca="1" t="shared" si="105"/>
        <v>4.95983311434965</v>
      </c>
      <c r="X129" s="12">
        <f ca="1" t="shared" si="106"/>
        <v>4.78876043332576</v>
      </c>
      <c r="Y129" s="12">
        <f ca="1" t="shared" si="107"/>
        <v>4.79537161102662</v>
      </c>
      <c r="Z129" s="12">
        <f ca="1" t="shared" si="108"/>
        <v>5.82839740980738</v>
      </c>
      <c r="AA129" s="12">
        <f ca="1" t="shared" si="109"/>
        <v>5.21263361881177</v>
      </c>
      <c r="AB129" s="12">
        <f ca="1" t="shared" si="110"/>
        <v>4.67022772097372</v>
      </c>
      <c r="AC129" s="12">
        <f ca="1" t="shared" si="111"/>
        <v>4.825536787828</v>
      </c>
      <c r="AD129" s="12">
        <f ca="1" t="shared" si="112"/>
        <v>4.79538825296749</v>
      </c>
      <c r="AE129" s="12">
        <f ca="1" t="shared" si="113"/>
        <v>4.05597742415541</v>
      </c>
      <c r="AF129" s="12">
        <f ca="1" t="shared" si="114"/>
        <v>5.17037867213161</v>
      </c>
      <c r="AG129" s="12">
        <f ca="1" t="shared" si="115"/>
        <v>4.83653053526462</v>
      </c>
      <c r="AH129" s="12">
        <f ca="1" t="shared" si="116"/>
        <v>4.6753150722869</v>
      </c>
      <c r="AI129" s="12">
        <f ca="1" t="shared" si="117"/>
        <v>4.33061073279805</v>
      </c>
      <c r="AJ129" s="12">
        <f ca="1">SUM($T129:T129)</f>
        <v>4.90077094465863</v>
      </c>
      <c r="AK129" s="12">
        <f ca="1">SUM($T129:U129)</f>
        <v>9.73317776824679</v>
      </c>
      <c r="AL129" s="12">
        <f ca="1">SUM($T129:V129)</f>
        <v>13.90434983836</v>
      </c>
      <c r="AM129" s="12">
        <f ca="1">SUM($T129:W129)</f>
        <v>18.8641829527097</v>
      </c>
      <c r="AN129" s="12">
        <f ca="1">SUM($T129:X129)</f>
        <v>23.6529433860355</v>
      </c>
      <c r="AO129" s="12">
        <f ca="1">SUM($T129:Y129)</f>
        <v>28.4483149970621</v>
      </c>
      <c r="AP129" s="12">
        <f ca="1">SUM($T129:Z129)</f>
        <v>34.2767124068694</v>
      </c>
      <c r="AQ129" s="12">
        <f ca="1">SUM($T129:AA129)</f>
        <v>39.4893460256812</v>
      </c>
      <c r="AR129" s="12">
        <f ca="1">SUM($T129:AB129)</f>
        <v>44.1595737466549</v>
      </c>
      <c r="AS129" s="12">
        <f ca="1">SUM($T129:AC129)</f>
        <v>48.9851105344829</v>
      </c>
      <c r="AT129" s="12">
        <f ca="1">SUM($T129:AD129)</f>
        <v>53.7804987874504</v>
      </c>
      <c r="AU129" s="12">
        <f ca="1">SUM($T129:AE129)</f>
        <v>57.8364762116058</v>
      </c>
      <c r="AV129" s="12">
        <f ca="1">SUM($T129:AF129)</f>
        <v>63.0068548837374</v>
      </c>
      <c r="AW129" s="12">
        <f ca="1">SUM($T129:AG129)</f>
        <v>67.8433854190021</v>
      </c>
      <c r="AX129" s="12">
        <f ca="1">SUM($T129:AH129)</f>
        <v>72.518700491289</v>
      </c>
      <c r="AY129" s="12">
        <f ca="1">SUM($T129:AI129)</f>
        <v>76.849311224087</v>
      </c>
      <c r="AZ129" s="12">
        <f ca="1" t="shared" si="118"/>
        <v>64.3162380195213</v>
      </c>
      <c r="BA129" s="12">
        <f ca="1" t="shared" si="119"/>
        <v>59.4838311959331</v>
      </c>
      <c r="BB129" s="12">
        <f ca="1" t="shared" si="120"/>
        <v>55.3126591258199</v>
      </c>
      <c r="BC129" s="12">
        <f ca="1" t="shared" si="121"/>
        <v>50.3528260114702</v>
      </c>
      <c r="BD129" s="12">
        <f ca="1" t="shared" si="122"/>
        <v>45.5640655781445</v>
      </c>
      <c r="BE129" s="12">
        <f ca="1" t="shared" si="123"/>
        <v>40.7686939671179</v>
      </c>
      <c r="BF129" s="12">
        <f ca="1" t="shared" si="124"/>
        <v>34.9402965573105</v>
      </c>
      <c r="BG129" s="12">
        <f ca="1" t="shared" si="125"/>
        <v>29.7276629384987</v>
      </c>
      <c r="BH129" s="12">
        <f ca="1" t="shared" si="126"/>
        <v>25.057435217525</v>
      </c>
      <c r="BI129" s="12">
        <f ca="1" t="shared" si="127"/>
        <v>20.231898429697</v>
      </c>
      <c r="BJ129" s="12">
        <f ca="1" t="shared" si="128"/>
        <v>15.4365101767295</v>
      </c>
      <c r="BK129" s="12">
        <f ca="1" t="shared" si="129"/>
        <v>11.3805327525741</v>
      </c>
      <c r="BL129" s="12">
        <f ca="1" t="shared" si="130"/>
        <v>6.21015408044248</v>
      </c>
      <c r="BM129" s="12">
        <f ca="1" t="shared" si="131"/>
        <v>1.37362354517786</v>
      </c>
      <c r="BN129" s="12">
        <f ca="1" t="shared" si="132"/>
        <v>0</v>
      </c>
      <c r="BO129" s="12">
        <f ca="1" t="shared" si="133"/>
        <v>0</v>
      </c>
    </row>
    <row r="130" spans="1:67">
      <c r="A130" s="3">
        <v>100</v>
      </c>
      <c r="B130" s="11">
        <f ca="1" t="shared" si="99"/>
        <v>0.870782754913813</v>
      </c>
      <c r="C130" s="12">
        <f ca="1" t="shared" si="100"/>
        <v>69.5826107844831</v>
      </c>
      <c r="D130" s="11">
        <f ca="1" t="shared" ref="D130:S130" si="168">RAND()</f>
        <v>0.436173522434849</v>
      </c>
      <c r="E130" s="11">
        <f ca="1" t="shared" si="168"/>
        <v>0.502664898958301</v>
      </c>
      <c r="F130" s="11">
        <f ca="1" t="shared" si="168"/>
        <v>0.909548841195545</v>
      </c>
      <c r="G130" s="11">
        <f ca="1" t="shared" si="168"/>
        <v>0.083726489275441</v>
      </c>
      <c r="H130" s="11">
        <f ca="1" t="shared" si="168"/>
        <v>0.682113262391517</v>
      </c>
      <c r="I130" s="11">
        <f ca="1" t="shared" si="168"/>
        <v>0.959105357293643</v>
      </c>
      <c r="J130" s="11">
        <f ca="1" t="shared" si="168"/>
        <v>0.55178451492653</v>
      </c>
      <c r="K130" s="11">
        <f ca="1" t="shared" si="168"/>
        <v>0.730950552924546</v>
      </c>
      <c r="L130" s="11">
        <f ca="1" t="shared" si="168"/>
        <v>0.262407341806249</v>
      </c>
      <c r="M130" s="11">
        <f ca="1" t="shared" si="168"/>
        <v>0.768146460712791</v>
      </c>
      <c r="N130" s="11">
        <f ca="1" t="shared" si="168"/>
        <v>0.0827308848418609</v>
      </c>
      <c r="O130" s="11">
        <f ca="1" t="shared" si="168"/>
        <v>0.154347854157987</v>
      </c>
      <c r="P130" s="11">
        <f ca="1" t="shared" si="168"/>
        <v>0.502668493954389</v>
      </c>
      <c r="Q130" s="11">
        <f ca="1" t="shared" si="168"/>
        <v>0.97126052413031</v>
      </c>
      <c r="R130" s="11">
        <f ca="1" t="shared" si="168"/>
        <v>0.379547210252709</v>
      </c>
      <c r="S130" s="11">
        <f ca="1" t="shared" si="168"/>
        <v>0.682103930015451</v>
      </c>
      <c r="T130" s="12">
        <f ca="1" t="shared" si="102"/>
        <v>4.67021690304356</v>
      </c>
      <c r="U130" s="12">
        <f ca="1" t="shared" si="103"/>
        <v>4.75333112369788</v>
      </c>
      <c r="V130" s="12">
        <f ca="1" t="shared" si="104"/>
        <v>5.54774420597772</v>
      </c>
      <c r="W130" s="12">
        <f ca="1" t="shared" si="105"/>
        <v>4.1395441487924</v>
      </c>
      <c r="X130" s="12">
        <f ca="1" t="shared" si="106"/>
        <v>4.9776415779894</v>
      </c>
      <c r="Y130" s="12">
        <f ca="1" t="shared" si="107"/>
        <v>5.79552678646821</v>
      </c>
      <c r="Z130" s="12">
        <f ca="1" t="shared" si="108"/>
        <v>4.81473064365816</v>
      </c>
      <c r="AA130" s="12">
        <f ca="1" t="shared" si="109"/>
        <v>5.07737638231136</v>
      </c>
      <c r="AB130" s="12">
        <f ca="1" t="shared" si="110"/>
        <v>4.43734556967708</v>
      </c>
      <c r="AC130" s="12">
        <f ca="1" t="shared" si="111"/>
        <v>5.17036615178198</v>
      </c>
      <c r="AD130" s="12">
        <f ca="1" t="shared" si="112"/>
        <v>4.13788480806977</v>
      </c>
      <c r="AE130" s="12">
        <f ca="1" t="shared" si="113"/>
        <v>4.25724642359665</v>
      </c>
      <c r="AF130" s="12">
        <f ca="1" t="shared" si="114"/>
        <v>4.75333561744299</v>
      </c>
      <c r="AG130" s="12">
        <f ca="1" t="shared" si="115"/>
        <v>5.85630262065155</v>
      </c>
      <c r="AH130" s="12">
        <f ca="1" t="shared" si="116"/>
        <v>4.59943401281589</v>
      </c>
      <c r="AI130" s="12">
        <f ca="1" t="shared" si="117"/>
        <v>4.97762991251931</v>
      </c>
      <c r="AJ130" s="12">
        <f ca="1">SUM($T130:T130)</f>
        <v>4.67021690304356</v>
      </c>
      <c r="AK130" s="12">
        <f ca="1">SUM($T130:U130)</f>
        <v>9.42354802674144</v>
      </c>
      <c r="AL130" s="12">
        <f ca="1">SUM($T130:V130)</f>
        <v>14.9712922327192</v>
      </c>
      <c r="AM130" s="12">
        <f ca="1">SUM($T130:W130)</f>
        <v>19.1108363815116</v>
      </c>
      <c r="AN130" s="12">
        <f ca="1">SUM($T130:X130)</f>
        <v>24.088477959501</v>
      </c>
      <c r="AO130" s="12">
        <f ca="1">SUM($T130:Y130)</f>
        <v>29.8840047459692</v>
      </c>
      <c r="AP130" s="12">
        <f ca="1">SUM($T130:Z130)</f>
        <v>34.6987353896273</v>
      </c>
      <c r="AQ130" s="12">
        <f ca="1">SUM($T130:AA130)</f>
        <v>39.7761117719387</v>
      </c>
      <c r="AR130" s="12">
        <f ca="1">SUM($T130:AB130)</f>
        <v>44.2134573416158</v>
      </c>
      <c r="AS130" s="12">
        <f ca="1">SUM($T130:AC130)</f>
        <v>49.3838234933978</v>
      </c>
      <c r="AT130" s="12">
        <f ca="1">SUM($T130:AD130)</f>
        <v>53.5217083014675</v>
      </c>
      <c r="AU130" s="12">
        <f ca="1">SUM($T130:AE130)</f>
        <v>57.7789547250642</v>
      </c>
      <c r="AV130" s="12">
        <f ca="1">SUM($T130:AF130)</f>
        <v>62.5322903425072</v>
      </c>
      <c r="AW130" s="12">
        <f ca="1">SUM($T130:AG130)</f>
        <v>68.3885929631587</v>
      </c>
      <c r="AX130" s="12">
        <f ca="1">SUM($T130:AH130)</f>
        <v>72.9880269759746</v>
      </c>
      <c r="AY130" s="12">
        <f ca="1">SUM($T130:AI130)</f>
        <v>77.9656568884939</v>
      </c>
      <c r="AZ130" s="12">
        <f ca="1" t="shared" si="118"/>
        <v>64.9123938814395</v>
      </c>
      <c r="BA130" s="12">
        <f ca="1" t="shared" si="119"/>
        <v>60.1590627577416</v>
      </c>
      <c r="BB130" s="12">
        <f ca="1" t="shared" si="120"/>
        <v>54.6113185517639</v>
      </c>
      <c r="BC130" s="12">
        <f ca="1" t="shared" si="121"/>
        <v>50.4717744029715</v>
      </c>
      <c r="BD130" s="12">
        <f ca="1" t="shared" si="122"/>
        <v>45.4941328249821</v>
      </c>
      <c r="BE130" s="12">
        <f ca="1" t="shared" si="123"/>
        <v>39.6986060385139</v>
      </c>
      <c r="BF130" s="12">
        <f ca="1" t="shared" si="124"/>
        <v>34.8838753948557</v>
      </c>
      <c r="BG130" s="12">
        <f ca="1" t="shared" si="125"/>
        <v>29.8064990125444</v>
      </c>
      <c r="BH130" s="12">
        <f ca="1" t="shared" si="126"/>
        <v>25.3691534428673</v>
      </c>
      <c r="BI130" s="12">
        <f ca="1" t="shared" si="127"/>
        <v>20.1987872910853</v>
      </c>
      <c r="BJ130" s="12">
        <f ca="1" t="shared" si="128"/>
        <v>16.0609024830155</v>
      </c>
      <c r="BK130" s="12">
        <f ca="1" t="shared" si="129"/>
        <v>11.8036560594189</v>
      </c>
      <c r="BL130" s="12">
        <f ca="1" t="shared" si="130"/>
        <v>7.05032044197589</v>
      </c>
      <c r="BM130" s="12">
        <f ca="1" t="shared" si="131"/>
        <v>1.19401782132434</v>
      </c>
      <c r="BN130" s="12">
        <f ca="1" t="shared" si="132"/>
        <v>0</v>
      </c>
      <c r="BO130" s="12">
        <f ca="1" t="shared" si="133"/>
        <v>0</v>
      </c>
    </row>
    <row r="131" spans="1:67">
      <c r="A131" s="3">
        <v>101</v>
      </c>
      <c r="B131" s="11">
        <f ca="1" t="shared" si="99"/>
        <v>0.560440874177755</v>
      </c>
      <c r="C131" s="12">
        <f ca="1" t="shared" si="100"/>
        <v>65.1491553453965</v>
      </c>
      <c r="D131" s="11">
        <f ca="1" t="shared" ref="D131:S131" si="169">RAND()</f>
        <v>0.906268161321328</v>
      </c>
      <c r="E131" s="11">
        <f ca="1" t="shared" si="169"/>
        <v>0.493868345477062</v>
      </c>
      <c r="F131" s="11">
        <f ca="1" t="shared" si="169"/>
        <v>0.155587228350894</v>
      </c>
      <c r="G131" s="11">
        <f ca="1" t="shared" si="169"/>
        <v>0.338149239823655</v>
      </c>
      <c r="H131" s="11">
        <f ca="1" t="shared" si="169"/>
        <v>0.544643876840924</v>
      </c>
      <c r="I131" s="11">
        <f ca="1" t="shared" si="169"/>
        <v>0.973514796124077</v>
      </c>
      <c r="J131" s="11">
        <f ca="1" t="shared" si="169"/>
        <v>0.0252137133159474</v>
      </c>
      <c r="K131" s="11">
        <f ca="1" t="shared" si="169"/>
        <v>0.141245333169708</v>
      </c>
      <c r="L131" s="11">
        <f ca="1" t="shared" si="169"/>
        <v>0.0299678341125464</v>
      </c>
      <c r="M131" s="11">
        <f ca="1" t="shared" si="169"/>
        <v>0.999887609102512</v>
      </c>
      <c r="N131" s="11">
        <f ca="1" t="shared" si="169"/>
        <v>0.316798882072377</v>
      </c>
      <c r="O131" s="11">
        <f ca="1" t="shared" si="169"/>
        <v>0.80797503087163</v>
      </c>
      <c r="P131" s="11">
        <f ca="1" t="shared" si="169"/>
        <v>0.89389742604649</v>
      </c>
      <c r="Q131" s="11">
        <f ca="1" t="shared" si="169"/>
        <v>0.798034232707612</v>
      </c>
      <c r="R131" s="11">
        <f ca="1" t="shared" si="169"/>
        <v>0.0827173340401925</v>
      </c>
      <c r="S131" s="11">
        <f ca="1" t="shared" si="169"/>
        <v>0.835836093153999</v>
      </c>
      <c r="T131" s="12">
        <f ca="1" t="shared" si="102"/>
        <v>5.53134080660664</v>
      </c>
      <c r="U131" s="12">
        <f ca="1" t="shared" si="103"/>
        <v>4.74233543184633</v>
      </c>
      <c r="V131" s="12">
        <f ca="1" t="shared" si="104"/>
        <v>4.25931204725149</v>
      </c>
      <c r="W131" s="12">
        <f ca="1" t="shared" si="105"/>
        <v>4.54768654977957</v>
      </c>
      <c r="X131" s="12">
        <f ca="1" t="shared" si="106"/>
        <v>4.80580484605115</v>
      </c>
      <c r="Y131" s="12">
        <f ca="1" t="shared" si="107"/>
        <v>5.86757398062039</v>
      </c>
      <c r="Z131" s="12">
        <f ca="1" t="shared" si="108"/>
        <v>4.04202285552658</v>
      </c>
      <c r="AA131" s="12">
        <f ca="1" t="shared" si="109"/>
        <v>4.23540888861618</v>
      </c>
      <c r="AB131" s="12">
        <f ca="1" t="shared" si="110"/>
        <v>4.04994639018758</v>
      </c>
      <c r="AC131" s="12">
        <f ca="1" t="shared" si="111"/>
        <v>5.99943804551256</v>
      </c>
      <c r="AD131" s="12">
        <f ca="1" t="shared" si="112"/>
        <v>4.52099860259047</v>
      </c>
      <c r="AE131" s="12">
        <f ca="1" t="shared" si="113"/>
        <v>5.26993757717907</v>
      </c>
      <c r="AF131" s="12">
        <f ca="1" t="shared" si="114"/>
        <v>5.48474356511622</v>
      </c>
      <c r="AG131" s="12">
        <f ca="1" t="shared" si="115"/>
        <v>5.24508558176903</v>
      </c>
      <c r="AH131" s="12">
        <f ca="1" t="shared" si="116"/>
        <v>4.13786222340032</v>
      </c>
      <c r="AI131" s="12">
        <f ca="1" t="shared" si="117"/>
        <v>5.339590232885</v>
      </c>
      <c r="AJ131" s="12">
        <f ca="1">SUM($T131:T131)</f>
        <v>5.53134080660664</v>
      </c>
      <c r="AK131" s="12">
        <f ca="1">SUM($T131:U131)</f>
        <v>10.273676238453</v>
      </c>
      <c r="AL131" s="12">
        <f ca="1">SUM($T131:V131)</f>
        <v>14.5329882857045</v>
      </c>
      <c r="AM131" s="12">
        <f ca="1">SUM($T131:W131)</f>
        <v>19.080674835484</v>
      </c>
      <c r="AN131" s="12">
        <f ca="1">SUM($T131:X131)</f>
        <v>23.8864796815352</v>
      </c>
      <c r="AO131" s="12">
        <f ca="1">SUM($T131:Y131)</f>
        <v>29.7540536621556</v>
      </c>
      <c r="AP131" s="12">
        <f ca="1">SUM($T131:Z131)</f>
        <v>33.7960765176821</v>
      </c>
      <c r="AQ131" s="12">
        <f ca="1">SUM($T131:AA131)</f>
        <v>38.0314854062983</v>
      </c>
      <c r="AR131" s="12">
        <f ca="1">SUM($T131:AB131)</f>
        <v>42.0814317964859</v>
      </c>
      <c r="AS131" s="12">
        <f ca="1">SUM($T131:AC131)</f>
        <v>48.0808698419985</v>
      </c>
      <c r="AT131" s="12">
        <f ca="1">SUM($T131:AD131)</f>
        <v>52.6018684445889</v>
      </c>
      <c r="AU131" s="12">
        <f ca="1">SUM($T131:AE131)</f>
        <v>57.871806021768</v>
      </c>
      <c r="AV131" s="12">
        <f ca="1">SUM($T131:AF131)</f>
        <v>63.3565495868842</v>
      </c>
      <c r="AW131" s="12">
        <f ca="1">SUM($T131:AG131)</f>
        <v>68.6016351686533</v>
      </c>
      <c r="AX131" s="12">
        <f ca="1">SUM($T131:AH131)</f>
        <v>72.7394973920536</v>
      </c>
      <c r="AY131" s="12">
        <f ca="1">SUM($T131:AI131)</f>
        <v>78.0790876249386</v>
      </c>
      <c r="AZ131" s="12">
        <f ca="1" t="shared" si="118"/>
        <v>59.6178145387899</v>
      </c>
      <c r="BA131" s="12">
        <f ca="1" t="shared" si="119"/>
        <v>54.8754791069435</v>
      </c>
      <c r="BB131" s="12">
        <f ca="1" t="shared" si="120"/>
        <v>50.616167059692</v>
      </c>
      <c r="BC131" s="12">
        <f ca="1" t="shared" si="121"/>
        <v>46.0684805099125</v>
      </c>
      <c r="BD131" s="12">
        <f ca="1" t="shared" si="122"/>
        <v>41.2626756638613</v>
      </c>
      <c r="BE131" s="12">
        <f ca="1" t="shared" si="123"/>
        <v>35.3951016832409</v>
      </c>
      <c r="BF131" s="12">
        <f ca="1" t="shared" si="124"/>
        <v>31.3530788277144</v>
      </c>
      <c r="BG131" s="12">
        <f ca="1" t="shared" si="125"/>
        <v>27.1176699390982</v>
      </c>
      <c r="BH131" s="12">
        <f ca="1" t="shared" si="126"/>
        <v>23.0677235489106</v>
      </c>
      <c r="BI131" s="12">
        <f ca="1" t="shared" si="127"/>
        <v>17.068285503398</v>
      </c>
      <c r="BJ131" s="12">
        <f ca="1" t="shared" si="128"/>
        <v>12.5472869008076</v>
      </c>
      <c r="BK131" s="12">
        <f ca="1" t="shared" si="129"/>
        <v>7.27734932362848</v>
      </c>
      <c r="BL131" s="12">
        <f ca="1" t="shared" si="130"/>
        <v>1.79260575851226</v>
      </c>
      <c r="BM131" s="12">
        <f ca="1" t="shared" si="131"/>
        <v>0</v>
      </c>
      <c r="BN131" s="12">
        <f ca="1" t="shared" si="132"/>
        <v>0</v>
      </c>
      <c r="BO131" s="12">
        <f ca="1" t="shared" si="133"/>
        <v>0</v>
      </c>
    </row>
    <row r="132" spans="1:67">
      <c r="A132" s="3">
        <v>102</v>
      </c>
      <c r="B132" s="11">
        <f ca="1" t="shared" si="99"/>
        <v>0.825592038684708</v>
      </c>
      <c r="C132" s="12">
        <f ca="1" t="shared" si="100"/>
        <v>68.9370291240673</v>
      </c>
      <c r="D132" s="11">
        <f ca="1" t="shared" ref="D132:S132" si="170">RAND()</f>
        <v>0.610589975443763</v>
      </c>
      <c r="E132" s="11">
        <f ca="1" t="shared" si="170"/>
        <v>0.90626869936566</v>
      </c>
      <c r="F132" s="11">
        <f ca="1" t="shared" si="170"/>
        <v>0.064732518875632</v>
      </c>
      <c r="G132" s="11">
        <f ca="1" t="shared" si="170"/>
        <v>0.973528802975492</v>
      </c>
      <c r="H132" s="11">
        <f ca="1" t="shared" si="170"/>
        <v>0.694733968048703</v>
      </c>
      <c r="I132" s="11">
        <f ca="1" t="shared" si="170"/>
        <v>0.0136440271346936</v>
      </c>
      <c r="J132" s="11">
        <f ca="1" t="shared" si="170"/>
        <v>0.549987592672013</v>
      </c>
      <c r="K132" s="11">
        <f ca="1" t="shared" si="170"/>
        <v>0.993897088271444</v>
      </c>
      <c r="L132" s="11">
        <f ca="1" t="shared" si="170"/>
        <v>0.62818231792192</v>
      </c>
      <c r="M132" s="11">
        <f ca="1" t="shared" si="170"/>
        <v>0.462347377198543</v>
      </c>
      <c r="N132" s="11">
        <f ca="1" t="shared" si="170"/>
        <v>0.358721896369561</v>
      </c>
      <c r="O132" s="11">
        <f ca="1" t="shared" si="170"/>
        <v>0.738540156674518</v>
      </c>
      <c r="P132" s="11">
        <f ca="1" t="shared" si="170"/>
        <v>0.836526812636476</v>
      </c>
      <c r="Q132" s="11">
        <f ca="1" t="shared" si="170"/>
        <v>0.139131019090349</v>
      </c>
      <c r="R132" s="11">
        <f ca="1" t="shared" si="170"/>
        <v>0.253311776255144</v>
      </c>
      <c r="S132" s="11">
        <f ca="1" t="shared" si="170"/>
        <v>0.102902464271358</v>
      </c>
      <c r="T132" s="12">
        <f ca="1" t="shared" si="102"/>
        <v>4.8882374693047</v>
      </c>
      <c r="U132" s="12">
        <f ca="1" t="shared" si="103"/>
        <v>5.5313434968283</v>
      </c>
      <c r="V132" s="12">
        <f ca="1" t="shared" si="104"/>
        <v>4.10788753145939</v>
      </c>
      <c r="W132" s="12">
        <f ca="1" t="shared" si="105"/>
        <v>5.86764401487746</v>
      </c>
      <c r="X132" s="12">
        <f ca="1" t="shared" si="106"/>
        <v>4.99341746006088</v>
      </c>
      <c r="Y132" s="12">
        <f ca="1" t="shared" si="107"/>
        <v>4.02274004522449</v>
      </c>
      <c r="Z132" s="12">
        <f ca="1" t="shared" si="108"/>
        <v>4.81248449084002</v>
      </c>
      <c r="AA132" s="12">
        <f ca="1" t="shared" si="109"/>
        <v>5.96948544135722</v>
      </c>
      <c r="AB132" s="12">
        <f ca="1" t="shared" si="110"/>
        <v>4.9102278974024</v>
      </c>
      <c r="AC132" s="12">
        <f ca="1" t="shared" si="111"/>
        <v>4.70293422149818</v>
      </c>
      <c r="AD132" s="12">
        <f ca="1" t="shared" si="112"/>
        <v>4.57340237046195</v>
      </c>
      <c r="AE132" s="12">
        <f ca="1" t="shared" si="113"/>
        <v>5.0963503916863</v>
      </c>
      <c r="AF132" s="12">
        <f ca="1" t="shared" si="114"/>
        <v>5.34131703159119</v>
      </c>
      <c r="AG132" s="12">
        <f ca="1" t="shared" si="115"/>
        <v>4.23188503181725</v>
      </c>
      <c r="AH132" s="12">
        <f ca="1" t="shared" si="116"/>
        <v>4.42218629375857</v>
      </c>
      <c r="AI132" s="12">
        <f ca="1" t="shared" si="117"/>
        <v>4.17150410711893</v>
      </c>
      <c r="AJ132" s="12">
        <f ca="1">SUM($T132:T132)</f>
        <v>4.8882374693047</v>
      </c>
      <c r="AK132" s="12">
        <f ca="1">SUM($T132:U132)</f>
        <v>10.419580966133</v>
      </c>
      <c r="AL132" s="12">
        <f ca="1">SUM($T132:V132)</f>
        <v>14.5274684975924</v>
      </c>
      <c r="AM132" s="12">
        <f ca="1">SUM($T132:W132)</f>
        <v>20.3951125124699</v>
      </c>
      <c r="AN132" s="12">
        <f ca="1">SUM($T132:X132)</f>
        <v>25.3885299725307</v>
      </c>
      <c r="AO132" s="12">
        <f ca="1">SUM($T132:Y132)</f>
        <v>29.4112700177552</v>
      </c>
      <c r="AP132" s="12">
        <f ca="1">SUM($T132:Z132)</f>
        <v>34.2237545085952</v>
      </c>
      <c r="AQ132" s="12">
        <f ca="1">SUM($T132:AA132)</f>
        <v>40.1932399499525</v>
      </c>
      <c r="AR132" s="12">
        <f ca="1">SUM($T132:AB132)</f>
        <v>45.1034678473549</v>
      </c>
      <c r="AS132" s="12">
        <f ca="1">SUM($T132:AC132)</f>
        <v>49.806402068853</v>
      </c>
      <c r="AT132" s="12">
        <f ca="1">SUM($T132:AD132)</f>
        <v>54.379804439315</v>
      </c>
      <c r="AU132" s="12">
        <f ca="1">SUM($T132:AE132)</f>
        <v>59.4761548310013</v>
      </c>
      <c r="AV132" s="12">
        <f ca="1">SUM($T132:AF132)</f>
        <v>64.8174718625925</v>
      </c>
      <c r="AW132" s="12">
        <f ca="1">SUM($T132:AG132)</f>
        <v>69.0493568944097</v>
      </c>
      <c r="AX132" s="12">
        <f ca="1">SUM($T132:AH132)</f>
        <v>73.4715431881683</v>
      </c>
      <c r="AY132" s="12">
        <f ca="1">SUM($T132:AI132)</f>
        <v>77.6430472952872</v>
      </c>
      <c r="AZ132" s="12">
        <f ca="1" t="shared" si="118"/>
        <v>64.0487916547626</v>
      </c>
      <c r="BA132" s="12">
        <f ca="1" t="shared" si="119"/>
        <v>58.5174481579342</v>
      </c>
      <c r="BB132" s="12">
        <f ca="1" t="shared" si="120"/>
        <v>54.4095606264749</v>
      </c>
      <c r="BC132" s="12">
        <f ca="1" t="shared" si="121"/>
        <v>48.5419166115974</v>
      </c>
      <c r="BD132" s="12">
        <f ca="1" t="shared" si="122"/>
        <v>43.5484991515365</v>
      </c>
      <c r="BE132" s="12">
        <f ca="1" t="shared" si="123"/>
        <v>39.525759106312</v>
      </c>
      <c r="BF132" s="12">
        <f ca="1" t="shared" si="124"/>
        <v>34.713274615472</v>
      </c>
      <c r="BG132" s="12">
        <f ca="1" t="shared" si="125"/>
        <v>28.7437891741148</v>
      </c>
      <c r="BH132" s="12">
        <f ca="1" t="shared" si="126"/>
        <v>23.8335612767124</v>
      </c>
      <c r="BI132" s="12">
        <f ca="1" t="shared" si="127"/>
        <v>19.1306270552142</v>
      </c>
      <c r="BJ132" s="12">
        <f ca="1" t="shared" si="128"/>
        <v>14.5572246847523</v>
      </c>
      <c r="BK132" s="12">
        <f ca="1" t="shared" si="129"/>
        <v>9.46087429306596</v>
      </c>
      <c r="BL132" s="12">
        <f ca="1" t="shared" si="130"/>
        <v>4.11955726147477</v>
      </c>
      <c r="BM132" s="12">
        <f ca="1" t="shared" si="131"/>
        <v>0</v>
      </c>
      <c r="BN132" s="12">
        <f ca="1" t="shared" si="132"/>
        <v>0</v>
      </c>
      <c r="BO132" s="12">
        <f ca="1" t="shared" si="133"/>
        <v>0</v>
      </c>
    </row>
    <row r="133" spans="1:67">
      <c r="A133" s="3">
        <v>103</v>
      </c>
      <c r="B133" s="11">
        <f ca="1" t="shared" si="99"/>
        <v>0.901606767758931</v>
      </c>
      <c r="C133" s="12">
        <f ca="1" t="shared" si="100"/>
        <v>75.1004229849332</v>
      </c>
      <c r="D133" s="11">
        <f ca="1" t="shared" ref="D133:S133" si="171">RAND()</f>
        <v>0.988001313577743</v>
      </c>
      <c r="E133" s="11">
        <f ca="1" t="shared" si="171"/>
        <v>0.475995793722653</v>
      </c>
      <c r="F133" s="11">
        <f ca="1" t="shared" si="171"/>
        <v>0.974907499354068</v>
      </c>
      <c r="G133" s="11">
        <f ca="1" t="shared" si="171"/>
        <v>0.00430213396803203</v>
      </c>
      <c r="H133" s="11">
        <f ca="1" t="shared" si="171"/>
        <v>0.187222679572582</v>
      </c>
      <c r="I133" s="11">
        <f ca="1" t="shared" si="171"/>
        <v>0.588036262564025</v>
      </c>
      <c r="J133" s="11">
        <f ca="1" t="shared" si="171"/>
        <v>0.797218666646291</v>
      </c>
      <c r="K133" s="11">
        <f ca="1" t="shared" si="171"/>
        <v>0.198373315253228</v>
      </c>
      <c r="L133" s="11">
        <f ca="1" t="shared" si="171"/>
        <v>0.404857208238671</v>
      </c>
      <c r="M133" s="11">
        <f ca="1" t="shared" si="171"/>
        <v>0.831256690762666</v>
      </c>
      <c r="N133" s="11">
        <f ca="1" t="shared" si="171"/>
        <v>0.999890608123093</v>
      </c>
      <c r="O133" s="11">
        <f ca="1" t="shared" si="171"/>
        <v>0.993906190028758</v>
      </c>
      <c r="P133" s="11">
        <f ca="1" t="shared" si="171"/>
        <v>0.358732617231171</v>
      </c>
      <c r="Q133" s="11">
        <f ca="1" t="shared" si="171"/>
        <v>0.256572328846105</v>
      </c>
      <c r="R133" s="11">
        <f ca="1" t="shared" si="171"/>
        <v>0.139130905056085</v>
      </c>
      <c r="S133" s="11">
        <f ca="1" t="shared" si="171"/>
        <v>0.988001790926037</v>
      </c>
      <c r="T133" s="12">
        <f ca="1" t="shared" si="102"/>
        <v>5.94000656788872</v>
      </c>
      <c r="U133" s="12">
        <f ca="1" t="shared" si="103"/>
        <v>4.71999474215332</v>
      </c>
      <c r="V133" s="12">
        <f ca="1" t="shared" si="104"/>
        <v>5.87453749677034</v>
      </c>
      <c r="W133" s="12">
        <f ca="1" t="shared" si="105"/>
        <v>4.00717022328005</v>
      </c>
      <c r="X133" s="12">
        <f ca="1" t="shared" si="106"/>
        <v>4.31203779928764</v>
      </c>
      <c r="Y133" s="12">
        <f ca="1" t="shared" si="107"/>
        <v>4.86004532820503</v>
      </c>
      <c r="Z133" s="12">
        <f ca="1" t="shared" si="108"/>
        <v>5.24304666661573</v>
      </c>
      <c r="AA133" s="12">
        <f ca="1" t="shared" si="109"/>
        <v>4.33062219208871</v>
      </c>
      <c r="AB133" s="12">
        <f ca="1" t="shared" si="110"/>
        <v>4.63107151029834</v>
      </c>
      <c r="AC133" s="12">
        <f ca="1" t="shared" si="111"/>
        <v>5.32814172690666</v>
      </c>
      <c r="AD133" s="12">
        <f ca="1" t="shared" si="112"/>
        <v>5.99945304061546</v>
      </c>
      <c r="AE133" s="12">
        <f ca="1" t="shared" si="113"/>
        <v>5.96953095014379</v>
      </c>
      <c r="AF133" s="12">
        <f ca="1" t="shared" si="114"/>
        <v>4.57341577153896</v>
      </c>
      <c r="AG133" s="12">
        <f ca="1" t="shared" si="115"/>
        <v>4.42762054807684</v>
      </c>
      <c r="AH133" s="12">
        <f ca="1" t="shared" si="116"/>
        <v>4.23188484176014</v>
      </c>
      <c r="AI133" s="12">
        <f ca="1" t="shared" si="117"/>
        <v>5.94000895463019</v>
      </c>
      <c r="AJ133" s="12">
        <f ca="1">SUM($T133:T133)</f>
        <v>5.94000656788872</v>
      </c>
      <c r="AK133" s="12">
        <f ca="1">SUM($T133:U133)</f>
        <v>10.660001310042</v>
      </c>
      <c r="AL133" s="12">
        <f ca="1">SUM($T133:V133)</f>
        <v>16.5345388068124</v>
      </c>
      <c r="AM133" s="12">
        <f ca="1">SUM($T133:W133)</f>
        <v>20.5417090300924</v>
      </c>
      <c r="AN133" s="12">
        <f ca="1">SUM($T133:X133)</f>
        <v>24.8537468293801</v>
      </c>
      <c r="AO133" s="12">
        <f ca="1">SUM($T133:Y133)</f>
        <v>29.7137921575851</v>
      </c>
      <c r="AP133" s="12">
        <f ca="1">SUM($T133:Z133)</f>
        <v>34.9568388242008</v>
      </c>
      <c r="AQ133" s="12">
        <f ca="1">SUM($T133:AA133)</f>
        <v>39.2874610162895</v>
      </c>
      <c r="AR133" s="12">
        <f ca="1">SUM($T133:AB133)</f>
        <v>43.9185325265879</v>
      </c>
      <c r="AS133" s="12">
        <f ca="1">SUM($T133:AC133)</f>
        <v>49.2466742534945</v>
      </c>
      <c r="AT133" s="12">
        <f ca="1">SUM($T133:AD133)</f>
        <v>55.24612729411</v>
      </c>
      <c r="AU133" s="12">
        <f ca="1">SUM($T133:AE133)</f>
        <v>61.2156582442538</v>
      </c>
      <c r="AV133" s="12">
        <f ca="1">SUM($T133:AF133)</f>
        <v>65.7890740157928</v>
      </c>
      <c r="AW133" s="12">
        <f ca="1">SUM($T133:AG133)</f>
        <v>70.2166945638696</v>
      </c>
      <c r="AX133" s="12">
        <f ca="1">SUM($T133:AH133)</f>
        <v>74.4485794056297</v>
      </c>
      <c r="AY133" s="12">
        <f ca="1">SUM($T133:AI133)</f>
        <v>80.3885883602599</v>
      </c>
      <c r="AZ133" s="12">
        <f ca="1" t="shared" si="118"/>
        <v>69.1604164170445</v>
      </c>
      <c r="BA133" s="12">
        <f ca="1" t="shared" si="119"/>
        <v>64.4404216748911</v>
      </c>
      <c r="BB133" s="12">
        <f ca="1" t="shared" si="120"/>
        <v>58.5658841781208</v>
      </c>
      <c r="BC133" s="12">
        <f ca="1" t="shared" si="121"/>
        <v>54.5587139548408</v>
      </c>
      <c r="BD133" s="12">
        <f ca="1" t="shared" si="122"/>
        <v>50.2466761555531</v>
      </c>
      <c r="BE133" s="12">
        <f ca="1" t="shared" si="123"/>
        <v>45.3866308273481</v>
      </c>
      <c r="BF133" s="12">
        <f ca="1" t="shared" si="124"/>
        <v>40.1435841607324</v>
      </c>
      <c r="BG133" s="12">
        <f ca="1" t="shared" si="125"/>
        <v>35.8129619686436</v>
      </c>
      <c r="BH133" s="12">
        <f ca="1" t="shared" si="126"/>
        <v>31.1818904583453</v>
      </c>
      <c r="BI133" s="12">
        <f ca="1" t="shared" si="127"/>
        <v>25.8537487314386</v>
      </c>
      <c r="BJ133" s="12">
        <f ca="1" t="shared" si="128"/>
        <v>19.8542956908232</v>
      </c>
      <c r="BK133" s="12">
        <f ca="1" t="shared" si="129"/>
        <v>13.8847647406794</v>
      </c>
      <c r="BL133" s="12">
        <f ca="1" t="shared" si="130"/>
        <v>9.31134896914041</v>
      </c>
      <c r="BM133" s="12">
        <f ca="1" t="shared" si="131"/>
        <v>4.88372842106357</v>
      </c>
      <c r="BN133" s="12">
        <f ca="1" t="shared" si="132"/>
        <v>0.651843579303431</v>
      </c>
      <c r="BO133" s="12">
        <f ca="1" t="shared" si="133"/>
        <v>0</v>
      </c>
    </row>
    <row r="134" spans="1:67">
      <c r="A134" s="3">
        <v>104</v>
      </c>
      <c r="B134" s="11">
        <f ca="1" t="shared" si="99"/>
        <v>0.959093927826521</v>
      </c>
      <c r="C134" s="12">
        <f ca="1" t="shared" si="100"/>
        <v>78.6933704891575</v>
      </c>
      <c r="D134" s="11">
        <f ca="1" t="shared" ref="D134:S134" si="172">RAND()</f>
        <v>0.660442563155156</v>
      </c>
      <c r="E134" s="11">
        <f ca="1" t="shared" si="172"/>
        <v>0.364262504925224</v>
      </c>
      <c r="F134" s="11">
        <f ca="1" t="shared" si="172"/>
        <v>0.831240280018528</v>
      </c>
      <c r="G134" s="11">
        <f ca="1" t="shared" si="172"/>
        <v>0.208117778237818</v>
      </c>
      <c r="H134" s="11">
        <f ca="1" t="shared" si="172"/>
        <v>0.848884188142082</v>
      </c>
      <c r="I134" s="11">
        <f ca="1" t="shared" si="172"/>
        <v>0.552205662026339</v>
      </c>
      <c r="J134" s="11">
        <f ca="1" t="shared" si="172"/>
        <v>0.560427287671143</v>
      </c>
      <c r="K134" s="11">
        <f ca="1" t="shared" si="172"/>
        <v>0.848907296256047</v>
      </c>
      <c r="L134" s="11">
        <f ca="1" t="shared" si="172"/>
        <v>0.10799768122325</v>
      </c>
      <c r="M134" s="11">
        <f ca="1" t="shared" si="172"/>
        <v>0.615067181303529</v>
      </c>
      <c r="N134" s="11">
        <f ca="1" t="shared" si="172"/>
        <v>0.877807675983958</v>
      </c>
      <c r="O134" s="11">
        <f ca="1" t="shared" si="172"/>
        <v>0.623542149858671</v>
      </c>
      <c r="P134" s="11">
        <f ca="1" t="shared" si="172"/>
        <v>0.0129624628093052</v>
      </c>
      <c r="Q134" s="11">
        <f ca="1" t="shared" si="172"/>
        <v>0.287841120584958</v>
      </c>
      <c r="R134" s="11">
        <f ca="1" t="shared" si="172"/>
        <v>0.959093754605979</v>
      </c>
      <c r="S134" s="11">
        <f ca="1" t="shared" si="172"/>
        <v>0.31915045901583</v>
      </c>
      <c r="T134" s="12">
        <f ca="1" t="shared" si="102"/>
        <v>4.95055320394394</v>
      </c>
      <c r="U134" s="12">
        <f ca="1" t="shared" si="103"/>
        <v>4.58032813115653</v>
      </c>
      <c r="V134" s="12">
        <f ca="1" t="shared" si="104"/>
        <v>5.32810070004632</v>
      </c>
      <c r="W134" s="12">
        <f ca="1" t="shared" si="105"/>
        <v>4.3468629637297</v>
      </c>
      <c r="X134" s="12">
        <f ca="1" t="shared" si="106"/>
        <v>5.37221047035521</v>
      </c>
      <c r="Y134" s="12">
        <f ca="1" t="shared" si="107"/>
        <v>4.81525707753292</v>
      </c>
      <c r="Z134" s="12">
        <f ca="1" t="shared" si="108"/>
        <v>4.82553410958893</v>
      </c>
      <c r="AA134" s="12">
        <f ca="1" t="shared" si="109"/>
        <v>5.37226824064012</v>
      </c>
      <c r="AB134" s="12">
        <f ca="1" t="shared" si="110"/>
        <v>4.17999613537208</v>
      </c>
      <c r="AC134" s="12">
        <f ca="1" t="shared" si="111"/>
        <v>4.89383397662941</v>
      </c>
      <c r="AD134" s="12">
        <f ca="1" t="shared" si="112"/>
        <v>5.4445191899599</v>
      </c>
      <c r="AE134" s="12">
        <f ca="1" t="shared" si="113"/>
        <v>4.90442768732334</v>
      </c>
      <c r="AF134" s="12">
        <f ca="1" t="shared" si="114"/>
        <v>4.02160410468218</v>
      </c>
      <c r="AG134" s="12">
        <f ca="1" t="shared" si="115"/>
        <v>4.47973520097493</v>
      </c>
      <c r="AH134" s="12">
        <f ca="1" t="shared" si="116"/>
        <v>5.79546877302989</v>
      </c>
      <c r="AI134" s="12">
        <f ca="1" t="shared" si="117"/>
        <v>4.52393807376979</v>
      </c>
      <c r="AJ134" s="12">
        <f ca="1">SUM($T134:T134)</f>
        <v>4.95055320394394</v>
      </c>
      <c r="AK134" s="12">
        <f ca="1">SUM($T134:U134)</f>
        <v>9.53088133510047</v>
      </c>
      <c r="AL134" s="12">
        <f ca="1">SUM($T134:V134)</f>
        <v>14.8589820351468</v>
      </c>
      <c r="AM134" s="12">
        <f ca="1">SUM($T134:W134)</f>
        <v>19.2058449988765</v>
      </c>
      <c r="AN134" s="12">
        <f ca="1">SUM($T134:X134)</f>
        <v>24.5780554692317</v>
      </c>
      <c r="AO134" s="12">
        <f ca="1">SUM($T134:Y134)</f>
        <v>29.3933125467646</v>
      </c>
      <c r="AP134" s="12">
        <f ca="1">SUM($T134:Z134)</f>
        <v>34.2188466563535</v>
      </c>
      <c r="AQ134" s="12">
        <f ca="1">SUM($T134:AA134)</f>
        <v>39.5911148969937</v>
      </c>
      <c r="AR134" s="12">
        <f ca="1">SUM($T134:AB134)</f>
        <v>43.7711110323658</v>
      </c>
      <c r="AS134" s="12">
        <f ca="1">SUM($T134:AC134)</f>
        <v>48.6649450089952</v>
      </c>
      <c r="AT134" s="12">
        <f ca="1">SUM($T134:AD134)</f>
        <v>54.1094641989551</v>
      </c>
      <c r="AU134" s="12">
        <f ca="1">SUM($T134:AE134)</f>
        <v>59.0138918862784</v>
      </c>
      <c r="AV134" s="12">
        <f ca="1">SUM($T134:AF134)</f>
        <v>63.0354959909606</v>
      </c>
      <c r="AW134" s="12">
        <f ca="1">SUM($T134:AG134)</f>
        <v>67.5152311919355</v>
      </c>
      <c r="AX134" s="12">
        <f ca="1">SUM($T134:AH134)</f>
        <v>73.3106999649654</v>
      </c>
      <c r="AY134" s="12">
        <f ca="1">SUM($T134:AI134)</f>
        <v>77.8346380387352</v>
      </c>
      <c r="AZ134" s="12">
        <f ca="1" t="shared" si="118"/>
        <v>73.7428172852136</v>
      </c>
      <c r="BA134" s="12">
        <f ca="1" t="shared" si="119"/>
        <v>69.1624891540571</v>
      </c>
      <c r="BB134" s="12">
        <f ca="1" t="shared" si="120"/>
        <v>63.8343884540107</v>
      </c>
      <c r="BC134" s="12">
        <f ca="1" t="shared" si="121"/>
        <v>59.4875254902811</v>
      </c>
      <c r="BD134" s="12">
        <f ca="1" t="shared" si="122"/>
        <v>54.1153150199258</v>
      </c>
      <c r="BE134" s="12">
        <f ca="1" t="shared" si="123"/>
        <v>49.3000579423929</v>
      </c>
      <c r="BF134" s="12">
        <f ca="1" t="shared" si="124"/>
        <v>44.474523832804</v>
      </c>
      <c r="BG134" s="12">
        <f ca="1" t="shared" si="125"/>
        <v>39.1022555921639</v>
      </c>
      <c r="BH134" s="12">
        <f ca="1" t="shared" si="126"/>
        <v>34.9222594567918</v>
      </c>
      <c r="BI134" s="12">
        <f ca="1" t="shared" si="127"/>
        <v>30.0284254801624</v>
      </c>
      <c r="BJ134" s="12">
        <f ca="1" t="shared" si="128"/>
        <v>24.5839062902025</v>
      </c>
      <c r="BK134" s="12">
        <f ca="1" t="shared" si="129"/>
        <v>19.6794786028791</v>
      </c>
      <c r="BL134" s="12">
        <f ca="1" t="shared" si="130"/>
        <v>15.657874498197</v>
      </c>
      <c r="BM134" s="12">
        <f ca="1" t="shared" si="131"/>
        <v>11.178139297222</v>
      </c>
      <c r="BN134" s="12">
        <f ca="1" t="shared" si="132"/>
        <v>5.38267052419214</v>
      </c>
      <c r="BO134" s="12">
        <f ca="1" t="shared" si="133"/>
        <v>0.858732450422352</v>
      </c>
    </row>
    <row r="135" spans="1:67">
      <c r="A135" s="3">
        <v>105</v>
      </c>
      <c r="B135" s="11">
        <f ca="1" t="shared" si="99"/>
        <v>0.779760005093267</v>
      </c>
      <c r="C135" s="12">
        <f ca="1" t="shared" si="100"/>
        <v>68.2822857870467</v>
      </c>
      <c r="D135" s="11">
        <f ca="1" t="shared" ref="D135:S135" si="173">RAND()</f>
        <v>0.182721358954586</v>
      </c>
      <c r="E135" s="11">
        <f ca="1" t="shared" si="173"/>
        <v>0.713711354969742</v>
      </c>
      <c r="F135" s="11">
        <f ca="1" t="shared" si="173"/>
        <v>0.917572152765845</v>
      </c>
      <c r="G135" s="11">
        <f ca="1" t="shared" si="173"/>
        <v>0.262395142573734</v>
      </c>
      <c r="H135" s="11">
        <f ca="1" t="shared" si="173"/>
        <v>0.411227235547583</v>
      </c>
      <c r="I135" s="11">
        <f ca="1" t="shared" si="173"/>
        <v>0.446077989961848</v>
      </c>
      <c r="J135" s="11">
        <f ca="1" t="shared" si="173"/>
        <v>0.870900942569036</v>
      </c>
      <c r="K135" s="11">
        <f ca="1" t="shared" si="173"/>
        <v>0.463933899554137</v>
      </c>
      <c r="L135" s="11">
        <f ca="1" t="shared" si="173"/>
        <v>0.338134982173618</v>
      </c>
      <c r="M135" s="11">
        <f ca="1" t="shared" si="173"/>
        <v>0.580671843282014</v>
      </c>
      <c r="N135" s="11">
        <f ca="1" t="shared" si="173"/>
        <v>0.611899318859831</v>
      </c>
      <c r="O135" s="11">
        <f ca="1" t="shared" si="173"/>
        <v>0.379570338863046</v>
      </c>
      <c r="P135" s="11">
        <f ca="1" t="shared" si="173"/>
        <v>0.0252249280495513</v>
      </c>
      <c r="Q135" s="11">
        <f ca="1" t="shared" si="173"/>
        <v>0.798025698971575</v>
      </c>
      <c r="R135" s="11">
        <f ca="1" t="shared" si="173"/>
        <v>0.0344836432015463</v>
      </c>
      <c r="S135" s="11">
        <f ca="1" t="shared" si="173"/>
        <v>0.495223000935329</v>
      </c>
      <c r="T135" s="12">
        <f ca="1" t="shared" si="102"/>
        <v>4.30453559825764</v>
      </c>
      <c r="U135" s="12">
        <f ca="1" t="shared" si="103"/>
        <v>5.03427838742436</v>
      </c>
      <c r="V135" s="12">
        <f ca="1" t="shared" si="104"/>
        <v>5.58786076382922</v>
      </c>
      <c r="W135" s="12">
        <f ca="1" t="shared" si="105"/>
        <v>4.43732523762289</v>
      </c>
      <c r="X135" s="12">
        <f ca="1" t="shared" si="106"/>
        <v>4.63903404443448</v>
      </c>
      <c r="Y135" s="12">
        <f ca="1" t="shared" si="107"/>
        <v>4.68259748745231</v>
      </c>
      <c r="Z135" s="12">
        <f ca="1" t="shared" si="108"/>
        <v>5.42725235642259</v>
      </c>
      <c r="AA135" s="12">
        <f ca="1" t="shared" si="109"/>
        <v>4.70491737444267</v>
      </c>
      <c r="AB135" s="12">
        <f ca="1" t="shared" si="110"/>
        <v>4.54766872771702</v>
      </c>
      <c r="AC135" s="12">
        <f ca="1" t="shared" si="111"/>
        <v>4.85083980410252</v>
      </c>
      <c r="AD135" s="12">
        <f ca="1" t="shared" si="112"/>
        <v>4.88987414857479</v>
      </c>
      <c r="AE135" s="12">
        <f ca="1" t="shared" si="113"/>
        <v>4.59946292357881</v>
      </c>
      <c r="AF135" s="12">
        <f ca="1" t="shared" si="114"/>
        <v>4.04204154674925</v>
      </c>
      <c r="AG135" s="12">
        <f ca="1" t="shared" si="115"/>
        <v>5.24506424742894</v>
      </c>
      <c r="AH135" s="12">
        <f ca="1" t="shared" si="116"/>
        <v>4.05747273866924</v>
      </c>
      <c r="AI135" s="12">
        <f ca="1" t="shared" si="117"/>
        <v>4.74402875116916</v>
      </c>
      <c r="AJ135" s="12">
        <f ca="1">SUM($T135:T135)</f>
        <v>4.30453559825764</v>
      </c>
      <c r="AK135" s="12">
        <f ca="1">SUM($T135:U135)</f>
        <v>9.338813985682</v>
      </c>
      <c r="AL135" s="12">
        <f ca="1">SUM($T135:V135)</f>
        <v>14.9266747495112</v>
      </c>
      <c r="AM135" s="12">
        <f ca="1">SUM($T135:W135)</f>
        <v>19.3639999871341</v>
      </c>
      <c r="AN135" s="12">
        <f ca="1">SUM($T135:X135)</f>
        <v>24.0030340315686</v>
      </c>
      <c r="AO135" s="12">
        <f ca="1">SUM($T135:Y135)</f>
        <v>28.6856315190209</v>
      </c>
      <c r="AP135" s="12">
        <f ca="1">SUM($T135:Z135)</f>
        <v>34.1128838754435</v>
      </c>
      <c r="AQ135" s="12">
        <f ca="1">SUM($T135:AA135)</f>
        <v>38.8178012498862</v>
      </c>
      <c r="AR135" s="12">
        <f ca="1">SUM($T135:AB135)</f>
        <v>43.3654699776032</v>
      </c>
      <c r="AS135" s="12">
        <f ca="1">SUM($T135:AC135)</f>
        <v>48.2163097817057</v>
      </c>
      <c r="AT135" s="12">
        <f ca="1">SUM($T135:AD135)</f>
        <v>53.1061839302805</v>
      </c>
      <c r="AU135" s="12">
        <f ca="1">SUM($T135:AE135)</f>
        <v>57.7056468538593</v>
      </c>
      <c r="AV135" s="12">
        <f ca="1">SUM($T135:AF135)</f>
        <v>61.7476884006086</v>
      </c>
      <c r="AW135" s="12">
        <f ca="1">SUM($T135:AG135)</f>
        <v>66.9927526480375</v>
      </c>
      <c r="AX135" s="12">
        <f ca="1">SUM($T135:AH135)</f>
        <v>71.0502253867067</v>
      </c>
      <c r="AY135" s="12">
        <f ca="1">SUM($T135:AI135)</f>
        <v>75.7942541378759</v>
      </c>
      <c r="AZ135" s="12">
        <f ca="1" t="shared" si="118"/>
        <v>63.977750188789</v>
      </c>
      <c r="BA135" s="12">
        <f ca="1" t="shared" si="119"/>
        <v>58.9434718013647</v>
      </c>
      <c r="BB135" s="12">
        <f ca="1" t="shared" si="120"/>
        <v>53.3556110375354</v>
      </c>
      <c r="BC135" s="12">
        <f ca="1" t="shared" si="121"/>
        <v>48.9182857999125</v>
      </c>
      <c r="BD135" s="12">
        <f ca="1" t="shared" si="122"/>
        <v>44.2792517554781</v>
      </c>
      <c r="BE135" s="12">
        <f ca="1" t="shared" si="123"/>
        <v>39.5966542680258</v>
      </c>
      <c r="BF135" s="12">
        <f ca="1" t="shared" si="124"/>
        <v>34.1694019116032</v>
      </c>
      <c r="BG135" s="12">
        <f ca="1" t="shared" si="125"/>
        <v>29.4644845371605</v>
      </c>
      <c r="BH135" s="12">
        <f ca="1" t="shared" si="126"/>
        <v>24.9168158094435</v>
      </c>
      <c r="BI135" s="12">
        <f ca="1" t="shared" si="127"/>
        <v>20.0659760053409</v>
      </c>
      <c r="BJ135" s="12">
        <f ca="1" t="shared" si="128"/>
        <v>15.1761018567662</v>
      </c>
      <c r="BK135" s="12">
        <f ca="1" t="shared" si="129"/>
        <v>10.5766389331874</v>
      </c>
      <c r="BL135" s="12">
        <f ca="1" t="shared" si="130"/>
        <v>6.5345973864381</v>
      </c>
      <c r="BM135" s="12">
        <f ca="1" t="shared" si="131"/>
        <v>1.28953313900917</v>
      </c>
      <c r="BN135" s="12">
        <f ca="1" t="shared" si="132"/>
        <v>0</v>
      </c>
      <c r="BO135" s="12">
        <f ca="1" t="shared" si="133"/>
        <v>0</v>
      </c>
    </row>
    <row r="136" spans="1:67">
      <c r="A136" s="3">
        <v>106</v>
      </c>
      <c r="B136" s="11">
        <f ca="1" t="shared" si="99"/>
        <v>0.59361650977082</v>
      </c>
      <c r="C136" s="12">
        <f ca="1" t="shared" si="100"/>
        <v>65.623092996726</v>
      </c>
      <c r="D136" s="11">
        <f ca="1" t="shared" ref="D136:S136" si="174">RAND()</f>
        <v>0.731279520679536</v>
      </c>
      <c r="E136" s="11">
        <f ca="1" t="shared" si="174"/>
        <v>0.00430138224519516</v>
      </c>
      <c r="F136" s="11">
        <f ca="1" t="shared" si="174"/>
        <v>0.954884987260447</v>
      </c>
      <c r="G136" s="11">
        <f ca="1" t="shared" si="174"/>
        <v>0.30046112264451</v>
      </c>
      <c r="H136" s="11">
        <f ca="1" t="shared" si="174"/>
        <v>0.316780359277815</v>
      </c>
      <c r="I136" s="11">
        <f ca="1" t="shared" si="174"/>
        <v>0.893904240024451</v>
      </c>
      <c r="J136" s="11">
        <f ca="1" t="shared" si="174"/>
        <v>0.56044198549115</v>
      </c>
      <c r="K136" s="11">
        <f ca="1" t="shared" si="174"/>
        <v>0.509291004021659</v>
      </c>
      <c r="L136" s="11">
        <f ca="1" t="shared" si="174"/>
        <v>0.694741851426905</v>
      </c>
      <c r="M136" s="11">
        <f ca="1" t="shared" si="174"/>
        <v>0.18722040145752</v>
      </c>
      <c r="N136" s="11">
        <f ca="1" t="shared" si="174"/>
        <v>0.959084831380656</v>
      </c>
      <c r="O136" s="11">
        <f ca="1" t="shared" si="174"/>
        <v>0.285552911332575</v>
      </c>
      <c r="P136" s="11">
        <f ca="1" t="shared" si="174"/>
        <v>0.514271745049839</v>
      </c>
      <c r="Q136" s="11">
        <f ca="1" t="shared" si="174"/>
        <v>0.896454498261364</v>
      </c>
      <c r="R136" s="11">
        <f ca="1" t="shared" si="174"/>
        <v>0.26241506463499</v>
      </c>
      <c r="S136" s="11">
        <f ca="1" t="shared" si="174"/>
        <v>0.338149547038232</v>
      </c>
      <c r="T136" s="12">
        <f ca="1" t="shared" si="102"/>
        <v>5.07819880169884</v>
      </c>
      <c r="U136" s="12">
        <f ca="1" t="shared" si="103"/>
        <v>4.00716897040866</v>
      </c>
      <c r="V136" s="12">
        <f ca="1" t="shared" si="104"/>
        <v>5.77442493630224</v>
      </c>
      <c r="W136" s="12">
        <f ca="1" t="shared" si="105"/>
        <v>4.50057640330564</v>
      </c>
      <c r="X136" s="12">
        <f ca="1" t="shared" si="106"/>
        <v>4.52097544909727</v>
      </c>
      <c r="Y136" s="12">
        <f ca="1" t="shared" si="107"/>
        <v>5.48476060006113</v>
      </c>
      <c r="Z136" s="12">
        <f ca="1" t="shared" si="108"/>
        <v>4.82555248186394</v>
      </c>
      <c r="AA136" s="12">
        <f ca="1" t="shared" si="109"/>
        <v>4.76161375502707</v>
      </c>
      <c r="AB136" s="12">
        <f ca="1" t="shared" si="110"/>
        <v>4.99342731428363</v>
      </c>
      <c r="AC136" s="12">
        <f ca="1" t="shared" si="111"/>
        <v>4.3120340024292</v>
      </c>
      <c r="AD136" s="12">
        <f ca="1" t="shared" si="112"/>
        <v>5.79542415690328</v>
      </c>
      <c r="AE136" s="12">
        <f ca="1" t="shared" si="113"/>
        <v>4.47592151888762</v>
      </c>
      <c r="AF136" s="12">
        <f ca="1" t="shared" si="114"/>
        <v>4.7678396813123</v>
      </c>
      <c r="AG136" s="12">
        <f ca="1" t="shared" si="115"/>
        <v>5.49113624565341</v>
      </c>
      <c r="AH136" s="12">
        <f ca="1" t="shared" si="116"/>
        <v>4.43735844105832</v>
      </c>
      <c r="AI136" s="12">
        <f ca="1" t="shared" si="117"/>
        <v>4.54768693379779</v>
      </c>
      <c r="AJ136" s="12">
        <f ca="1">SUM($T136:T136)</f>
        <v>5.07819880169884</v>
      </c>
      <c r="AK136" s="12">
        <f ca="1">SUM($T136:U136)</f>
        <v>9.0853677721075</v>
      </c>
      <c r="AL136" s="12">
        <f ca="1">SUM($T136:V136)</f>
        <v>14.8597927084097</v>
      </c>
      <c r="AM136" s="12">
        <f ca="1">SUM($T136:W136)</f>
        <v>19.3603691117154</v>
      </c>
      <c r="AN136" s="12">
        <f ca="1">SUM($T136:X136)</f>
        <v>23.8813445608126</v>
      </c>
      <c r="AO136" s="12">
        <f ca="1">SUM($T136:Y136)</f>
        <v>29.3661051608738</v>
      </c>
      <c r="AP136" s="12">
        <f ca="1">SUM($T136:Z136)</f>
        <v>34.1916576427377</v>
      </c>
      <c r="AQ136" s="12">
        <f ca="1">SUM($T136:AA136)</f>
        <v>38.9532713977648</v>
      </c>
      <c r="AR136" s="12">
        <f ca="1">SUM($T136:AB136)</f>
        <v>43.9466987120484</v>
      </c>
      <c r="AS136" s="12">
        <f ca="1">SUM($T136:AC136)</f>
        <v>48.2587327144776</v>
      </c>
      <c r="AT136" s="12">
        <f ca="1">SUM($T136:AD136)</f>
        <v>54.0541568713809</v>
      </c>
      <c r="AU136" s="12">
        <f ca="1">SUM($T136:AE136)</f>
        <v>58.5300783902685</v>
      </c>
      <c r="AV136" s="12">
        <f ca="1">SUM($T136:AF136)</f>
        <v>63.2979180715808</v>
      </c>
      <c r="AW136" s="12">
        <f ca="1">SUM($T136:AG136)</f>
        <v>68.7890543172342</v>
      </c>
      <c r="AX136" s="12">
        <f ca="1">SUM($T136:AH136)</f>
        <v>73.2264127582925</v>
      </c>
      <c r="AY136" s="12">
        <f ca="1">SUM($T136:AI136)</f>
        <v>77.7740996920903</v>
      </c>
      <c r="AZ136" s="12">
        <f ca="1" t="shared" si="118"/>
        <v>60.5448941950272</v>
      </c>
      <c r="BA136" s="12">
        <f ca="1" t="shared" si="119"/>
        <v>56.5377252246185</v>
      </c>
      <c r="BB136" s="12">
        <f ca="1" t="shared" si="120"/>
        <v>50.7633002883163</v>
      </c>
      <c r="BC136" s="12">
        <f ca="1" t="shared" si="121"/>
        <v>46.2627238850106</v>
      </c>
      <c r="BD136" s="12">
        <f ca="1" t="shared" si="122"/>
        <v>41.7417484359134</v>
      </c>
      <c r="BE136" s="12">
        <f ca="1" t="shared" si="123"/>
        <v>36.2569878358522</v>
      </c>
      <c r="BF136" s="12">
        <f ca="1" t="shared" si="124"/>
        <v>31.4314353539883</v>
      </c>
      <c r="BG136" s="12">
        <f ca="1" t="shared" si="125"/>
        <v>26.6698215989612</v>
      </c>
      <c r="BH136" s="12">
        <f ca="1" t="shared" si="126"/>
        <v>21.6763942846776</v>
      </c>
      <c r="BI136" s="12">
        <f ca="1" t="shared" si="127"/>
        <v>17.3643602822484</v>
      </c>
      <c r="BJ136" s="12">
        <f ca="1" t="shared" si="128"/>
        <v>11.5689361253451</v>
      </c>
      <c r="BK136" s="12">
        <f ca="1" t="shared" si="129"/>
        <v>7.09301460645749</v>
      </c>
      <c r="BL136" s="12">
        <f ca="1" t="shared" si="130"/>
        <v>2.32517492514519</v>
      </c>
      <c r="BM136" s="12">
        <f ca="1" t="shared" si="131"/>
        <v>0</v>
      </c>
      <c r="BN136" s="12">
        <f ca="1" t="shared" si="132"/>
        <v>0</v>
      </c>
      <c r="BO136" s="12">
        <f ca="1" t="shared" si="133"/>
        <v>0</v>
      </c>
    </row>
    <row r="137" spans="1:67">
      <c r="A137" s="3">
        <v>107</v>
      </c>
      <c r="B137" s="11">
        <f ca="1" t="shared" si="99"/>
        <v>0.549133102716003</v>
      </c>
      <c r="C137" s="12">
        <f ca="1" t="shared" si="100"/>
        <v>64.9855517119334</v>
      </c>
      <c r="D137" s="11">
        <f ca="1" t="shared" ref="D137:S137" si="175">RAND()</f>
        <v>0.869164732364181</v>
      </c>
      <c r="E137" s="11">
        <f ca="1" t="shared" si="175"/>
        <v>0.0136693062288822</v>
      </c>
      <c r="F137" s="11">
        <f ca="1" t="shared" si="175"/>
        <v>0.588015423972217</v>
      </c>
      <c r="G137" s="11">
        <f ca="1" t="shared" si="175"/>
        <v>0.678040097059633</v>
      </c>
      <c r="H137" s="11">
        <f ca="1" t="shared" si="175"/>
        <v>0.556712618607215</v>
      </c>
      <c r="I137" s="11">
        <f ca="1" t="shared" si="175"/>
        <v>0.256575291403224</v>
      </c>
      <c r="J137" s="11">
        <f ca="1" t="shared" si="175"/>
        <v>0.325368120688023</v>
      </c>
      <c r="K137" s="11">
        <f ca="1" t="shared" si="175"/>
        <v>0.0252349571313013</v>
      </c>
      <c r="L137" s="11">
        <f ca="1" t="shared" si="175"/>
        <v>0.549984425373085</v>
      </c>
      <c r="M137" s="11">
        <f ca="1" t="shared" si="175"/>
        <v>0.36426955551187</v>
      </c>
      <c r="N137" s="11">
        <f ca="1" t="shared" si="175"/>
        <v>0.316785323085257</v>
      </c>
      <c r="O137" s="11">
        <f ca="1" t="shared" si="175"/>
        <v>0.837533902240065</v>
      </c>
      <c r="P137" s="11">
        <f ca="1" t="shared" si="175"/>
        <v>0.893908155091733</v>
      </c>
      <c r="Q137" s="11">
        <f ca="1" t="shared" si="175"/>
        <v>0.552214239972912</v>
      </c>
      <c r="R137" s="11">
        <f ca="1" t="shared" si="175"/>
        <v>0.384556356189584</v>
      </c>
      <c r="S137" s="11">
        <f ca="1" t="shared" si="175"/>
        <v>0.694744542283396</v>
      </c>
      <c r="T137" s="12">
        <f ca="1" t="shared" si="102"/>
        <v>5.42291183091045</v>
      </c>
      <c r="U137" s="12">
        <f ca="1" t="shared" si="103"/>
        <v>4.02278217704814</v>
      </c>
      <c r="V137" s="12">
        <f ca="1" t="shared" si="104"/>
        <v>4.86001927996527</v>
      </c>
      <c r="W137" s="12">
        <f ca="1" t="shared" si="105"/>
        <v>4.97255012132454</v>
      </c>
      <c r="X137" s="12">
        <f ca="1" t="shared" si="106"/>
        <v>4.82089077325902</v>
      </c>
      <c r="Y137" s="12">
        <f ca="1" t="shared" si="107"/>
        <v>4.42762548567204</v>
      </c>
      <c r="Z137" s="12">
        <f ca="1" t="shared" si="108"/>
        <v>4.53171015086003</v>
      </c>
      <c r="AA137" s="12">
        <f ca="1" t="shared" si="109"/>
        <v>4.0420582618855</v>
      </c>
      <c r="AB137" s="12">
        <f ca="1" t="shared" si="110"/>
        <v>4.81248053171636</v>
      </c>
      <c r="AC137" s="12">
        <f ca="1" t="shared" si="111"/>
        <v>4.58033694438984</v>
      </c>
      <c r="AD137" s="12">
        <f ca="1" t="shared" si="112"/>
        <v>4.52098165385657</v>
      </c>
      <c r="AE137" s="12">
        <f ca="1" t="shared" si="113"/>
        <v>5.34383475560016</v>
      </c>
      <c r="AF137" s="12">
        <f ca="1" t="shared" si="114"/>
        <v>5.48477038772933</v>
      </c>
      <c r="AG137" s="12">
        <f ca="1" t="shared" si="115"/>
        <v>4.81526779996614</v>
      </c>
      <c r="AH137" s="12">
        <f ca="1" t="shared" si="116"/>
        <v>4.60569544523698</v>
      </c>
      <c r="AI137" s="12">
        <f ca="1" t="shared" si="117"/>
        <v>4.99343067785424</v>
      </c>
      <c r="AJ137" s="12">
        <f ca="1">SUM($T137:T137)</f>
        <v>5.42291183091045</v>
      </c>
      <c r="AK137" s="12">
        <f ca="1">SUM($T137:U137)</f>
        <v>9.44569400795859</v>
      </c>
      <c r="AL137" s="12">
        <f ca="1">SUM($T137:V137)</f>
        <v>14.3057132879239</v>
      </c>
      <c r="AM137" s="12">
        <f ca="1">SUM($T137:W137)</f>
        <v>19.2782634092484</v>
      </c>
      <c r="AN137" s="12">
        <f ca="1">SUM($T137:X137)</f>
        <v>24.0991541825074</v>
      </c>
      <c r="AO137" s="12">
        <f ca="1">SUM($T137:Y137)</f>
        <v>28.5267796681795</v>
      </c>
      <c r="AP137" s="12">
        <f ca="1">SUM($T137:Z137)</f>
        <v>33.0584898190395</v>
      </c>
      <c r="AQ137" s="12">
        <f ca="1">SUM($T137:AA137)</f>
        <v>37.100548080925</v>
      </c>
      <c r="AR137" s="12">
        <f ca="1">SUM($T137:AB137)</f>
        <v>41.9130286126413</v>
      </c>
      <c r="AS137" s="12">
        <f ca="1">SUM($T137:AC137)</f>
        <v>46.4933655570312</v>
      </c>
      <c r="AT137" s="12">
        <f ca="1">SUM($T137:AD137)</f>
        <v>51.0143472108878</v>
      </c>
      <c r="AU137" s="12">
        <f ca="1">SUM($T137:AE137)</f>
        <v>56.3581819664879</v>
      </c>
      <c r="AV137" s="12">
        <f ca="1">SUM($T137:AF137)</f>
        <v>61.8429523542173</v>
      </c>
      <c r="AW137" s="12">
        <f ca="1">SUM($T137:AG137)</f>
        <v>66.6582201541834</v>
      </c>
      <c r="AX137" s="12">
        <f ca="1">SUM($T137:AH137)</f>
        <v>71.2639155994204</v>
      </c>
      <c r="AY137" s="12">
        <f ca="1">SUM($T137:AI137)</f>
        <v>76.2573462772746</v>
      </c>
      <c r="AZ137" s="12">
        <f ca="1" t="shared" si="118"/>
        <v>59.5626398810229</v>
      </c>
      <c r="BA137" s="12">
        <f ca="1" t="shared" si="119"/>
        <v>55.5398577039748</v>
      </c>
      <c r="BB137" s="12">
        <f ca="1" t="shared" si="120"/>
        <v>50.6798384240095</v>
      </c>
      <c r="BC137" s="12">
        <f ca="1" t="shared" si="121"/>
        <v>45.707288302685</v>
      </c>
      <c r="BD137" s="12">
        <f ca="1" t="shared" si="122"/>
        <v>40.886397529426</v>
      </c>
      <c r="BE137" s="12">
        <f ca="1" t="shared" si="123"/>
        <v>36.4587720437539</v>
      </c>
      <c r="BF137" s="12">
        <f ca="1" t="shared" si="124"/>
        <v>31.9270618928939</v>
      </c>
      <c r="BG137" s="12">
        <f ca="1" t="shared" si="125"/>
        <v>27.8850036310084</v>
      </c>
      <c r="BH137" s="12">
        <f ca="1" t="shared" si="126"/>
        <v>23.072523099292</v>
      </c>
      <c r="BI137" s="12">
        <f ca="1" t="shared" si="127"/>
        <v>18.4921861549022</v>
      </c>
      <c r="BJ137" s="12">
        <f ca="1" t="shared" si="128"/>
        <v>13.9712045010456</v>
      </c>
      <c r="BK137" s="12">
        <f ca="1" t="shared" si="129"/>
        <v>8.62736974544548</v>
      </c>
      <c r="BL137" s="12">
        <f ca="1" t="shared" si="130"/>
        <v>3.14259935771614</v>
      </c>
      <c r="BM137" s="12">
        <f ca="1" t="shared" si="131"/>
        <v>0</v>
      </c>
      <c r="BN137" s="12">
        <f ca="1" t="shared" si="132"/>
        <v>0</v>
      </c>
      <c r="BO137" s="12">
        <f ca="1" t="shared" si="133"/>
        <v>0</v>
      </c>
    </row>
    <row r="138" spans="1:67">
      <c r="A138" s="3">
        <v>108</v>
      </c>
      <c r="B138" s="11">
        <f ca="1" t="shared" si="99"/>
        <v>0.615047975851525</v>
      </c>
      <c r="C138" s="12">
        <f ca="1" t="shared" si="100"/>
        <v>65.9292567978789</v>
      </c>
      <c r="D138" s="11">
        <f ca="1" t="shared" ref="D138:S138" si="176">RAND()</f>
        <v>0.0683928511256844</v>
      </c>
      <c r="E138" s="11">
        <f ca="1" t="shared" si="176"/>
        <v>0.52255459034301</v>
      </c>
      <c r="F138" s="11">
        <f ca="1" t="shared" si="176"/>
        <v>0.107986566454028</v>
      </c>
      <c r="G138" s="11">
        <f ca="1" t="shared" si="176"/>
        <v>0.013661696399401</v>
      </c>
      <c r="H138" s="11">
        <f ca="1" t="shared" si="176"/>
        <v>0.481650808388422</v>
      </c>
      <c r="I138" s="11">
        <f ca="1" t="shared" si="176"/>
        <v>0.463946284900191</v>
      </c>
      <c r="J138" s="11">
        <f ca="1" t="shared" si="176"/>
        <v>0.628178961902842</v>
      </c>
      <c r="K138" s="11">
        <f ca="1" t="shared" si="176"/>
        <v>0.549964546933014</v>
      </c>
      <c r="L138" s="11">
        <f ca="1" t="shared" si="176"/>
        <v>0.968192811529568</v>
      </c>
      <c r="M138" s="11">
        <f ca="1" t="shared" si="176"/>
        <v>0.442068536990249</v>
      </c>
      <c r="N138" s="11">
        <f ca="1" t="shared" si="176"/>
        <v>0.611884097010805</v>
      </c>
      <c r="O138" s="11">
        <f ca="1" t="shared" si="176"/>
        <v>0.628194049399491</v>
      </c>
      <c r="P138" s="11">
        <f ca="1" t="shared" si="176"/>
        <v>0.957009318367045</v>
      </c>
      <c r="Q138" s="11">
        <f ca="1" t="shared" si="176"/>
        <v>0.738555465276606</v>
      </c>
      <c r="R138" s="11">
        <f ca="1" t="shared" si="176"/>
        <v>0.834473225763646</v>
      </c>
      <c r="S138" s="11">
        <f ca="1" t="shared" si="176"/>
        <v>0.0344693633198212</v>
      </c>
      <c r="T138" s="12">
        <f ca="1" t="shared" si="102"/>
        <v>4.11398808520947</v>
      </c>
      <c r="U138" s="12">
        <f ca="1" t="shared" si="103"/>
        <v>4.77819323792876</v>
      </c>
      <c r="V138" s="12">
        <f ca="1" t="shared" si="104"/>
        <v>4.17997761075671</v>
      </c>
      <c r="W138" s="12">
        <f ca="1" t="shared" si="105"/>
        <v>4.022769493999</v>
      </c>
      <c r="X138" s="12">
        <f ca="1" t="shared" si="106"/>
        <v>4.72706351048553</v>
      </c>
      <c r="Y138" s="12">
        <f ca="1" t="shared" si="107"/>
        <v>4.70493285612524</v>
      </c>
      <c r="Z138" s="12">
        <f ca="1" t="shared" si="108"/>
        <v>4.91022370237855</v>
      </c>
      <c r="AA138" s="12">
        <f ca="1" t="shared" si="109"/>
        <v>4.81245568366627</v>
      </c>
      <c r="AB138" s="12">
        <f ca="1" t="shared" si="110"/>
        <v>5.84096405764784</v>
      </c>
      <c r="AC138" s="12">
        <f ca="1" t="shared" si="111"/>
        <v>4.67758567123781</v>
      </c>
      <c r="AD138" s="12">
        <f ca="1" t="shared" si="112"/>
        <v>4.88985512126351</v>
      </c>
      <c r="AE138" s="12">
        <f ca="1" t="shared" si="113"/>
        <v>4.91024256174936</v>
      </c>
      <c r="AF138" s="12">
        <f ca="1" t="shared" si="114"/>
        <v>5.78504659183522</v>
      </c>
      <c r="AG138" s="12">
        <f ca="1" t="shared" si="115"/>
        <v>5.09638866319151</v>
      </c>
      <c r="AH138" s="12">
        <f ca="1" t="shared" si="116"/>
        <v>5.33618306440912</v>
      </c>
      <c r="AI138" s="12">
        <f ca="1" t="shared" si="117"/>
        <v>4.05744893886637</v>
      </c>
      <c r="AJ138" s="12">
        <f ca="1">SUM($T138:T138)</f>
        <v>4.11398808520947</v>
      </c>
      <c r="AK138" s="12">
        <f ca="1">SUM($T138:U138)</f>
        <v>8.89218132313824</v>
      </c>
      <c r="AL138" s="12">
        <f ca="1">SUM($T138:V138)</f>
        <v>13.072158933895</v>
      </c>
      <c r="AM138" s="12">
        <f ca="1">SUM($T138:W138)</f>
        <v>17.094928427894</v>
      </c>
      <c r="AN138" s="12">
        <f ca="1">SUM($T138:X138)</f>
        <v>21.8219919383795</v>
      </c>
      <c r="AO138" s="12">
        <f ca="1">SUM($T138:Y138)</f>
        <v>26.5269247945047</v>
      </c>
      <c r="AP138" s="12">
        <f ca="1">SUM($T138:Z138)</f>
        <v>31.4371484968833</v>
      </c>
      <c r="AQ138" s="12">
        <f ca="1">SUM($T138:AA138)</f>
        <v>36.2496041805495</v>
      </c>
      <c r="AR138" s="12">
        <f ca="1">SUM($T138:AB138)</f>
        <v>42.0905682381974</v>
      </c>
      <c r="AS138" s="12">
        <f ca="1">SUM($T138:AC138)</f>
        <v>46.7681539094352</v>
      </c>
      <c r="AT138" s="12">
        <f ca="1">SUM($T138:AD138)</f>
        <v>51.6580090306987</v>
      </c>
      <c r="AU138" s="12">
        <f ca="1">SUM($T138:AE138)</f>
        <v>56.5682515924481</v>
      </c>
      <c r="AV138" s="12">
        <f ca="1">SUM($T138:AF138)</f>
        <v>62.3532981842833</v>
      </c>
      <c r="AW138" s="12">
        <f ca="1">SUM($T138:AG138)</f>
        <v>67.4496868474748</v>
      </c>
      <c r="AX138" s="12">
        <f ca="1">SUM($T138:AH138)</f>
        <v>72.7858699118839</v>
      </c>
      <c r="AY138" s="12">
        <f ca="1">SUM($T138:AI138)</f>
        <v>76.8433188507503</v>
      </c>
      <c r="AZ138" s="12">
        <f ca="1" t="shared" si="118"/>
        <v>61.8152687126695</v>
      </c>
      <c r="BA138" s="12">
        <f ca="1" t="shared" si="119"/>
        <v>57.0370754747407</v>
      </c>
      <c r="BB138" s="12">
        <f ca="1" t="shared" si="120"/>
        <v>52.857097863984</v>
      </c>
      <c r="BC138" s="12">
        <f ca="1" t="shared" si="121"/>
        <v>48.834328369985</v>
      </c>
      <c r="BD138" s="12">
        <f ca="1" t="shared" si="122"/>
        <v>44.1072648594994</v>
      </c>
      <c r="BE138" s="12">
        <f ca="1" t="shared" si="123"/>
        <v>39.4023320033742</v>
      </c>
      <c r="BF138" s="12">
        <f ca="1" t="shared" si="124"/>
        <v>34.4921083009956</v>
      </c>
      <c r="BG138" s="12">
        <f ca="1" t="shared" si="125"/>
        <v>29.6796526173294</v>
      </c>
      <c r="BH138" s="12">
        <f ca="1" t="shared" si="126"/>
        <v>23.8386885596815</v>
      </c>
      <c r="BI138" s="12">
        <f ca="1" t="shared" si="127"/>
        <v>19.1611028884437</v>
      </c>
      <c r="BJ138" s="12">
        <f ca="1" t="shared" si="128"/>
        <v>14.2712477671802</v>
      </c>
      <c r="BK138" s="12">
        <f ca="1" t="shared" si="129"/>
        <v>9.36100520543085</v>
      </c>
      <c r="BL138" s="12">
        <f ca="1" t="shared" si="130"/>
        <v>3.57595861359562</v>
      </c>
      <c r="BM138" s="12">
        <f ca="1" t="shared" si="131"/>
        <v>0</v>
      </c>
      <c r="BN138" s="12">
        <f ca="1" t="shared" si="132"/>
        <v>0</v>
      </c>
      <c r="BO138" s="12">
        <f ca="1" t="shared" si="133"/>
        <v>0</v>
      </c>
    </row>
    <row r="139" spans="1:67">
      <c r="A139" s="3">
        <v>109</v>
      </c>
      <c r="B139" s="11">
        <f ca="1" t="shared" si="99"/>
        <v>0.262416144503515</v>
      </c>
      <c r="C139" s="12">
        <f ca="1" t="shared" si="100"/>
        <v>60.2069357417253</v>
      </c>
      <c r="D139" s="11">
        <f ca="1" t="shared" ref="D139:S139" si="177">RAND()</f>
        <v>0.304024960095451</v>
      </c>
      <c r="E139" s="11">
        <f ca="1" t="shared" si="177"/>
        <v>0.954868649841591</v>
      </c>
      <c r="F139" s="11">
        <f ca="1" t="shared" si="177"/>
        <v>0.25332212702517</v>
      </c>
      <c r="G139" s="11">
        <f ca="1" t="shared" si="177"/>
        <v>0.387151438646544</v>
      </c>
      <c r="H139" s="11">
        <f ca="1" t="shared" si="177"/>
        <v>0.285529336647828</v>
      </c>
      <c r="I139" s="11">
        <f ca="1" t="shared" si="177"/>
        <v>0.768827674364268</v>
      </c>
      <c r="J139" s="11">
        <f ca="1" t="shared" si="177"/>
        <v>0.690170227704621</v>
      </c>
      <c r="K139" s="11">
        <f ca="1" t="shared" si="177"/>
        <v>0.678055317027823</v>
      </c>
      <c r="L139" s="11">
        <f ca="1" t="shared" si="177"/>
        <v>0.870778276374617</v>
      </c>
      <c r="M139" s="11">
        <f ca="1" t="shared" si="177"/>
        <v>0.325372701128895</v>
      </c>
      <c r="N139" s="11">
        <f ca="1" t="shared" si="177"/>
        <v>0.151452933189624</v>
      </c>
      <c r="O139" s="11">
        <f ca="1" t="shared" si="177"/>
        <v>0.564000586430958</v>
      </c>
      <c r="P139" s="11">
        <f ca="1" t="shared" si="177"/>
        <v>0.689968514169213</v>
      </c>
      <c r="Q139" s="11">
        <f ca="1" t="shared" si="177"/>
        <v>0.0969321599638735</v>
      </c>
      <c r="R139" s="11">
        <f ca="1" t="shared" si="177"/>
        <v>0.475993253080127</v>
      </c>
      <c r="S139" s="11">
        <f ca="1" t="shared" si="177"/>
        <v>0.661548543569472</v>
      </c>
      <c r="T139" s="12">
        <f ca="1" t="shared" si="102"/>
        <v>4.50503120011931</v>
      </c>
      <c r="U139" s="12">
        <f ca="1" t="shared" si="103"/>
        <v>5.77434324920796</v>
      </c>
      <c r="V139" s="12">
        <f ca="1" t="shared" si="104"/>
        <v>4.42220354504195</v>
      </c>
      <c r="W139" s="12">
        <f ca="1" t="shared" si="105"/>
        <v>4.60893929830818</v>
      </c>
      <c r="X139" s="12">
        <f ca="1" t="shared" si="106"/>
        <v>4.47588222774638</v>
      </c>
      <c r="Y139" s="12">
        <f ca="1" t="shared" si="107"/>
        <v>5.17206918591067</v>
      </c>
      <c r="Z139" s="12">
        <f ca="1" t="shared" si="108"/>
        <v>4.98771278463078</v>
      </c>
      <c r="AA139" s="12">
        <f ca="1" t="shared" si="109"/>
        <v>4.97256914628478</v>
      </c>
      <c r="AB139" s="12">
        <f ca="1" t="shared" si="110"/>
        <v>5.42694569093654</v>
      </c>
      <c r="AC139" s="12">
        <f ca="1" t="shared" si="111"/>
        <v>4.53171587641112</v>
      </c>
      <c r="AD139" s="12">
        <f ca="1" t="shared" si="112"/>
        <v>4.25242155531604</v>
      </c>
      <c r="AE139" s="12">
        <f ca="1" t="shared" si="113"/>
        <v>4.8300007330387</v>
      </c>
      <c r="AF139" s="12">
        <f ca="1" t="shared" si="114"/>
        <v>4.98746064271152</v>
      </c>
      <c r="AG139" s="12">
        <f ca="1" t="shared" si="115"/>
        <v>4.16155359993979</v>
      </c>
      <c r="AH139" s="12">
        <f ca="1" t="shared" si="116"/>
        <v>4.71999156635016</v>
      </c>
      <c r="AI139" s="12">
        <f ca="1" t="shared" si="117"/>
        <v>4.95193567946184</v>
      </c>
      <c r="AJ139" s="12">
        <f ca="1">SUM($T139:T139)</f>
        <v>4.50503120011931</v>
      </c>
      <c r="AK139" s="12">
        <f ca="1">SUM($T139:U139)</f>
        <v>10.2793744493273</v>
      </c>
      <c r="AL139" s="12">
        <f ca="1">SUM($T139:V139)</f>
        <v>14.7015779943692</v>
      </c>
      <c r="AM139" s="12">
        <f ca="1">SUM($T139:W139)</f>
        <v>19.3105172926774</v>
      </c>
      <c r="AN139" s="12">
        <f ca="1">SUM($T139:X139)</f>
        <v>23.7863995204238</v>
      </c>
      <c r="AO139" s="12">
        <f ca="1">SUM($T139:Y139)</f>
        <v>28.9584687063344</v>
      </c>
      <c r="AP139" s="12">
        <f ca="1">SUM($T139:Z139)</f>
        <v>33.9461814909652</v>
      </c>
      <c r="AQ139" s="12">
        <f ca="1">SUM($T139:AA139)</f>
        <v>38.91875063725</v>
      </c>
      <c r="AR139" s="12">
        <f ca="1">SUM($T139:AB139)</f>
        <v>44.3456963281865</v>
      </c>
      <c r="AS139" s="12">
        <f ca="1">SUM($T139:AC139)</f>
        <v>48.8774122045977</v>
      </c>
      <c r="AT139" s="12">
        <f ca="1">SUM($T139:AD139)</f>
        <v>53.1298337599137</v>
      </c>
      <c r="AU139" s="12">
        <f ca="1">SUM($T139:AE139)</f>
        <v>57.9598344929524</v>
      </c>
      <c r="AV139" s="12">
        <f ca="1">SUM($T139:AF139)</f>
        <v>62.9472951356639</v>
      </c>
      <c r="AW139" s="12">
        <f ca="1">SUM($T139:AG139)</f>
        <v>67.1088487356037</v>
      </c>
      <c r="AX139" s="12">
        <f ca="1">SUM($T139:AH139)</f>
        <v>71.8288403019539</v>
      </c>
      <c r="AY139" s="12">
        <f ca="1">SUM($T139:AI139)</f>
        <v>76.7807759814157</v>
      </c>
      <c r="AZ139" s="12">
        <f ca="1" t="shared" si="118"/>
        <v>55.7019045416059</v>
      </c>
      <c r="BA139" s="12">
        <f ca="1" t="shared" si="119"/>
        <v>49.927561292398</v>
      </c>
      <c r="BB139" s="12">
        <f ca="1" t="shared" si="120"/>
        <v>45.505357747356</v>
      </c>
      <c r="BC139" s="12">
        <f ca="1" t="shared" si="121"/>
        <v>40.8964184490479</v>
      </c>
      <c r="BD139" s="12">
        <f ca="1" t="shared" si="122"/>
        <v>36.4205362213015</v>
      </c>
      <c r="BE139" s="12">
        <f ca="1" t="shared" si="123"/>
        <v>31.2484670353908</v>
      </c>
      <c r="BF139" s="12">
        <f ca="1" t="shared" si="124"/>
        <v>26.26075425076</v>
      </c>
      <c r="BG139" s="12">
        <f ca="1" t="shared" si="125"/>
        <v>21.2881851044753</v>
      </c>
      <c r="BH139" s="12">
        <f ca="1" t="shared" si="126"/>
        <v>15.8612394135387</v>
      </c>
      <c r="BI139" s="12">
        <f ca="1" t="shared" si="127"/>
        <v>11.3295235371276</v>
      </c>
      <c r="BJ139" s="12">
        <f ca="1" t="shared" si="128"/>
        <v>7.07710198181155</v>
      </c>
      <c r="BK139" s="12">
        <f ca="1" t="shared" si="129"/>
        <v>2.24710124877286</v>
      </c>
      <c r="BL139" s="12">
        <f ca="1" t="shared" si="130"/>
        <v>0</v>
      </c>
      <c r="BM139" s="12">
        <f ca="1" t="shared" si="131"/>
        <v>0</v>
      </c>
      <c r="BN139" s="12">
        <f ca="1" t="shared" si="132"/>
        <v>0</v>
      </c>
      <c r="BO139" s="12">
        <f ca="1" t="shared" si="133"/>
        <v>0</v>
      </c>
    </row>
    <row r="140" spans="1:67">
      <c r="A140" s="3">
        <v>110</v>
      </c>
      <c r="B140" s="11">
        <f ca="1" t="shared" si="99"/>
        <v>0.240981529468138</v>
      </c>
      <c r="C140" s="12">
        <f ca="1" t="shared" si="100"/>
        <v>59.6993843156046</v>
      </c>
      <c r="D140" s="11">
        <f ca="1" t="shared" ref="D140:S140" si="178">RAND()</f>
        <v>0.971263388658452</v>
      </c>
      <c r="E140" s="11">
        <f ca="1" t="shared" si="178"/>
        <v>0.404871858624891</v>
      </c>
      <c r="F140" s="11">
        <f ca="1" t="shared" si="178"/>
        <v>0.289779252771869</v>
      </c>
      <c r="G140" s="11">
        <f ca="1" t="shared" si="178"/>
        <v>0.533434612395004</v>
      </c>
      <c r="H140" s="11">
        <f ca="1" t="shared" si="178"/>
        <v>0.544627398317603</v>
      </c>
      <c r="I140" s="11">
        <f ca="1" t="shared" si="178"/>
        <v>0.660459675840029</v>
      </c>
      <c r="J140" s="11">
        <f ca="1" t="shared" si="178"/>
        <v>0.530407652865977</v>
      </c>
      <c r="K140" s="11">
        <f ca="1" t="shared" si="178"/>
        <v>0.596534030648117</v>
      </c>
      <c r="L140" s="11">
        <f ca="1" t="shared" si="178"/>
        <v>0.141263301730931</v>
      </c>
      <c r="M140" s="11">
        <f ca="1" t="shared" si="178"/>
        <v>0.208129820813508</v>
      </c>
      <c r="N140" s="11">
        <f ca="1" t="shared" si="178"/>
        <v>0.813501957013693</v>
      </c>
      <c r="O140" s="11">
        <f ca="1" t="shared" si="178"/>
        <v>0.895815764017881</v>
      </c>
      <c r="P140" s="11">
        <f ca="1" t="shared" si="178"/>
        <v>0.610583320709229</v>
      </c>
      <c r="Q140" s="11">
        <f ca="1" t="shared" si="178"/>
        <v>0.615061817851382</v>
      </c>
      <c r="R140" s="11">
        <f ca="1" t="shared" si="178"/>
        <v>0.406894226011942</v>
      </c>
      <c r="S140" s="11">
        <f ca="1" t="shared" si="178"/>
        <v>0.652326415314171</v>
      </c>
      <c r="T140" s="12">
        <f ca="1" t="shared" si="102"/>
        <v>5.85631694329226</v>
      </c>
      <c r="U140" s="12">
        <f ca="1" t="shared" si="103"/>
        <v>4.63108982328111</v>
      </c>
      <c r="V140" s="12">
        <f ca="1" t="shared" si="104"/>
        <v>4.48296542128645</v>
      </c>
      <c r="W140" s="12">
        <f ca="1" t="shared" si="105"/>
        <v>4.79179326549376</v>
      </c>
      <c r="X140" s="12">
        <f ca="1" t="shared" si="106"/>
        <v>4.805784247897</v>
      </c>
      <c r="Y140" s="12">
        <f ca="1" t="shared" si="107"/>
        <v>4.95057459480004</v>
      </c>
      <c r="Z140" s="12">
        <f ca="1" t="shared" si="108"/>
        <v>4.78800956608247</v>
      </c>
      <c r="AA140" s="12">
        <f ca="1" t="shared" si="109"/>
        <v>4.87066753831015</v>
      </c>
      <c r="AB140" s="12">
        <f ca="1" t="shared" si="110"/>
        <v>4.23543883621822</v>
      </c>
      <c r="AC140" s="12">
        <f ca="1" t="shared" si="111"/>
        <v>4.34688303468918</v>
      </c>
      <c r="AD140" s="12">
        <f ca="1" t="shared" si="112"/>
        <v>5.28375489253423</v>
      </c>
      <c r="AE140" s="12">
        <f ca="1" t="shared" si="113"/>
        <v>5.4895394100447</v>
      </c>
      <c r="AF140" s="12">
        <f ca="1" t="shared" si="114"/>
        <v>4.88822915088654</v>
      </c>
      <c r="AG140" s="12">
        <f ca="1" t="shared" si="115"/>
        <v>4.89382727231423</v>
      </c>
      <c r="AH140" s="12">
        <f ca="1" t="shared" si="116"/>
        <v>4.63361778251493</v>
      </c>
      <c r="AI140" s="12">
        <f ca="1" t="shared" si="117"/>
        <v>4.94040801914271</v>
      </c>
      <c r="AJ140" s="12">
        <f ca="1">SUM($T140:T140)</f>
        <v>5.85631694329226</v>
      </c>
      <c r="AK140" s="12">
        <f ca="1">SUM($T140:U140)</f>
        <v>10.4874067665734</v>
      </c>
      <c r="AL140" s="12">
        <f ca="1">SUM($T140:V140)</f>
        <v>14.9703721878598</v>
      </c>
      <c r="AM140" s="12">
        <f ca="1">SUM($T140:W140)</f>
        <v>19.7621654533536</v>
      </c>
      <c r="AN140" s="12">
        <f ca="1">SUM($T140:X140)</f>
        <v>24.5679497012506</v>
      </c>
      <c r="AO140" s="12">
        <f ca="1">SUM($T140:Y140)</f>
        <v>29.5185242960506</v>
      </c>
      <c r="AP140" s="12">
        <f ca="1">SUM($T140:Z140)</f>
        <v>34.3065338621331</v>
      </c>
      <c r="AQ140" s="12">
        <f ca="1">SUM($T140:AA140)</f>
        <v>39.1772014004432</v>
      </c>
      <c r="AR140" s="12">
        <f ca="1">SUM($T140:AB140)</f>
        <v>43.4126402366615</v>
      </c>
      <c r="AS140" s="12">
        <f ca="1">SUM($T140:AC140)</f>
        <v>47.7595232713506</v>
      </c>
      <c r="AT140" s="12">
        <f ca="1">SUM($T140:AD140)</f>
        <v>53.0432781638849</v>
      </c>
      <c r="AU140" s="12">
        <f ca="1">SUM($T140:AE140)</f>
        <v>58.5328175739296</v>
      </c>
      <c r="AV140" s="12">
        <f ca="1">SUM($T140:AF140)</f>
        <v>63.4210467248161</v>
      </c>
      <c r="AW140" s="12">
        <f ca="1">SUM($T140:AG140)</f>
        <v>68.3148739971303</v>
      </c>
      <c r="AX140" s="12">
        <f ca="1">SUM($T140:AH140)</f>
        <v>72.9484917796453</v>
      </c>
      <c r="AY140" s="12">
        <f ca="1">SUM($T140:AI140)</f>
        <v>77.888899798788</v>
      </c>
      <c r="AZ140" s="12">
        <f ca="1" t="shared" si="118"/>
        <v>53.8430673723123</v>
      </c>
      <c r="BA140" s="12">
        <f ca="1" t="shared" si="119"/>
        <v>49.2119775490312</v>
      </c>
      <c r="BB140" s="12">
        <f ca="1" t="shared" si="120"/>
        <v>44.7290121277448</v>
      </c>
      <c r="BC140" s="12">
        <f ca="1" t="shared" si="121"/>
        <v>39.937218862251</v>
      </c>
      <c r="BD140" s="12">
        <f ca="1" t="shared" si="122"/>
        <v>35.131434614354</v>
      </c>
      <c r="BE140" s="12">
        <f ca="1" t="shared" si="123"/>
        <v>30.180860019554</v>
      </c>
      <c r="BF140" s="12">
        <f ca="1" t="shared" si="124"/>
        <v>25.3928504534715</v>
      </c>
      <c r="BG140" s="12">
        <f ca="1" t="shared" si="125"/>
        <v>20.5221829151614</v>
      </c>
      <c r="BH140" s="12">
        <f ca="1" t="shared" si="126"/>
        <v>16.2867440789431</v>
      </c>
      <c r="BI140" s="12">
        <f ca="1" t="shared" si="127"/>
        <v>11.939861044254</v>
      </c>
      <c r="BJ140" s="12">
        <f ca="1" t="shared" si="128"/>
        <v>6.65610615171973</v>
      </c>
      <c r="BK140" s="12">
        <f ca="1" t="shared" si="129"/>
        <v>1.16656674167503</v>
      </c>
      <c r="BL140" s="12">
        <f ca="1" t="shared" si="130"/>
        <v>0</v>
      </c>
      <c r="BM140" s="12">
        <f ca="1" t="shared" si="131"/>
        <v>0</v>
      </c>
      <c r="BN140" s="12">
        <f ca="1" t="shared" si="132"/>
        <v>0</v>
      </c>
      <c r="BO140" s="12">
        <f ca="1" t="shared" si="133"/>
        <v>0</v>
      </c>
    </row>
    <row r="141" spans="1:67">
      <c r="A141" s="3">
        <v>111</v>
      </c>
      <c r="B141" s="11">
        <f ca="1" t="shared" si="99"/>
        <v>0.329238792126797</v>
      </c>
      <c r="C141" s="12">
        <f ca="1" t="shared" si="100"/>
        <v>61.3206465354466</v>
      </c>
      <c r="D141" s="11">
        <f ca="1" t="shared" ref="D141:S141" si="179">RAND()</f>
        <v>0.623563238106775</v>
      </c>
      <c r="E141" s="11">
        <f ca="1" t="shared" si="179"/>
        <v>0.837528462510417</v>
      </c>
      <c r="F141" s="11">
        <f ca="1" t="shared" si="179"/>
        <v>0.231556192967752</v>
      </c>
      <c r="G141" s="11">
        <f ca="1" t="shared" si="179"/>
        <v>0.738540698904345</v>
      </c>
      <c r="H141" s="11">
        <f ca="1" t="shared" si="179"/>
        <v>0.378949003440013</v>
      </c>
      <c r="I141" s="11">
        <f ca="1" t="shared" si="179"/>
        <v>0.287837541383156</v>
      </c>
      <c r="J141" s="11">
        <f ca="1" t="shared" si="179"/>
        <v>0.873893667965683</v>
      </c>
      <c r="K141" s="11">
        <f ca="1" t="shared" si="179"/>
        <v>0.253317870957401</v>
      </c>
      <c r="L141" s="11">
        <f ca="1" t="shared" si="179"/>
        <v>0.0684035889748364</v>
      </c>
      <c r="M141" s="11">
        <f ca="1" t="shared" si="179"/>
        <v>0.713694585720983</v>
      </c>
      <c r="N141" s="11">
        <f ca="1" t="shared" si="179"/>
        <v>0.476011939840213</v>
      </c>
      <c r="O141" s="11">
        <f ca="1" t="shared" si="179"/>
        <v>0.411226681923606</v>
      </c>
      <c r="P141" s="11">
        <f ca="1" t="shared" si="179"/>
        <v>0.909559152966438</v>
      </c>
      <c r="Q141" s="11">
        <f ca="1" t="shared" si="179"/>
        <v>0.329197050944046</v>
      </c>
      <c r="R141" s="11">
        <f ca="1" t="shared" si="179"/>
        <v>0.379573773271473</v>
      </c>
      <c r="S141" s="11">
        <f ca="1" t="shared" si="179"/>
        <v>0.834485156295046</v>
      </c>
      <c r="T141" s="12">
        <f ca="1" t="shared" si="102"/>
        <v>4.90445404763347</v>
      </c>
      <c r="U141" s="12">
        <f ca="1" t="shared" si="103"/>
        <v>5.34382115627604</v>
      </c>
      <c r="V141" s="12">
        <f ca="1" t="shared" si="104"/>
        <v>4.38592698827959</v>
      </c>
      <c r="W141" s="12">
        <f ca="1" t="shared" si="105"/>
        <v>5.09635174726086</v>
      </c>
      <c r="X141" s="12">
        <f ca="1" t="shared" si="106"/>
        <v>4.59868625430002</v>
      </c>
      <c r="Y141" s="12">
        <f ca="1" t="shared" si="107"/>
        <v>4.47972923563859</v>
      </c>
      <c r="Z141" s="12">
        <f ca="1" t="shared" si="108"/>
        <v>5.43473416991421</v>
      </c>
      <c r="AA141" s="12">
        <f ca="1" t="shared" si="109"/>
        <v>4.42219645159567</v>
      </c>
      <c r="AB141" s="12">
        <f ca="1" t="shared" si="110"/>
        <v>4.11400598162473</v>
      </c>
      <c r="AC141" s="12">
        <f ca="1" t="shared" si="111"/>
        <v>5.03423646430246</v>
      </c>
      <c r="AD141" s="12">
        <f ca="1" t="shared" si="112"/>
        <v>4.72001492480027</v>
      </c>
      <c r="AE141" s="12">
        <f ca="1" t="shared" si="113"/>
        <v>4.63903335240451</v>
      </c>
      <c r="AF141" s="12">
        <f ca="1" t="shared" si="114"/>
        <v>5.54779576483219</v>
      </c>
      <c r="AG141" s="12">
        <f ca="1" t="shared" si="115"/>
        <v>4.53649631368006</v>
      </c>
      <c r="AH141" s="12">
        <f ca="1" t="shared" si="116"/>
        <v>4.59946721658934</v>
      </c>
      <c r="AI141" s="12">
        <f ca="1" t="shared" si="117"/>
        <v>5.33621289073762</v>
      </c>
      <c r="AJ141" s="12">
        <f ca="1">SUM($T141:T141)</f>
        <v>4.90445404763347</v>
      </c>
      <c r="AK141" s="12">
        <f ca="1">SUM($T141:U141)</f>
        <v>10.2482752039095</v>
      </c>
      <c r="AL141" s="12">
        <f ca="1">SUM($T141:V141)</f>
        <v>14.6342021921891</v>
      </c>
      <c r="AM141" s="12">
        <f ca="1">SUM($T141:W141)</f>
        <v>19.73055393945</v>
      </c>
      <c r="AN141" s="12">
        <f ca="1">SUM($T141:X141)</f>
        <v>24.32924019375</v>
      </c>
      <c r="AO141" s="12">
        <f ca="1">SUM($T141:Y141)</f>
        <v>28.8089694293886</v>
      </c>
      <c r="AP141" s="12">
        <f ca="1">SUM($T141:Z141)</f>
        <v>34.2437035993028</v>
      </c>
      <c r="AQ141" s="12">
        <f ca="1">SUM($T141:AA141)</f>
        <v>38.6659000508985</v>
      </c>
      <c r="AR141" s="12">
        <f ca="1">SUM($T141:AB141)</f>
        <v>42.7799060325232</v>
      </c>
      <c r="AS141" s="12">
        <f ca="1">SUM($T141:AC141)</f>
        <v>47.8141424968256</v>
      </c>
      <c r="AT141" s="12">
        <f ca="1">SUM($T141:AD141)</f>
        <v>52.5341574216259</v>
      </c>
      <c r="AU141" s="12">
        <f ca="1">SUM($T141:AE141)</f>
        <v>57.1731907740304</v>
      </c>
      <c r="AV141" s="12">
        <f ca="1">SUM($T141:AF141)</f>
        <v>62.7209865388626</v>
      </c>
      <c r="AW141" s="12">
        <f ca="1">SUM($T141:AG141)</f>
        <v>67.2574828525427</v>
      </c>
      <c r="AX141" s="12">
        <f ca="1">SUM($T141:AH141)</f>
        <v>71.856950069132</v>
      </c>
      <c r="AY141" s="12">
        <f ca="1">SUM($T141:AI141)</f>
        <v>77.1931629598696</v>
      </c>
      <c r="AZ141" s="12">
        <f ca="1" t="shared" si="118"/>
        <v>56.4161924878131</v>
      </c>
      <c r="BA141" s="12">
        <f ca="1" t="shared" si="119"/>
        <v>51.0723713315371</v>
      </c>
      <c r="BB141" s="12">
        <f ca="1" t="shared" si="120"/>
        <v>46.6864443432575</v>
      </c>
      <c r="BC141" s="12">
        <f ca="1" t="shared" si="121"/>
        <v>41.5900925959967</v>
      </c>
      <c r="BD141" s="12">
        <f ca="1" t="shared" si="122"/>
        <v>36.9914063416966</v>
      </c>
      <c r="BE141" s="12">
        <f ca="1" t="shared" si="123"/>
        <v>32.511677106058</v>
      </c>
      <c r="BF141" s="12">
        <f ca="1" t="shared" si="124"/>
        <v>27.0769429361438</v>
      </c>
      <c r="BG141" s="12">
        <f ca="1" t="shared" si="125"/>
        <v>22.6547464845482</v>
      </c>
      <c r="BH141" s="12">
        <f ca="1" t="shared" si="126"/>
        <v>18.5407405029234</v>
      </c>
      <c r="BI141" s="12">
        <f ca="1" t="shared" si="127"/>
        <v>13.506504038621</v>
      </c>
      <c r="BJ141" s="12">
        <f ca="1" t="shared" si="128"/>
        <v>8.78648911382071</v>
      </c>
      <c r="BK141" s="12">
        <f ca="1" t="shared" si="129"/>
        <v>4.1474557614162</v>
      </c>
      <c r="BL141" s="12">
        <f ca="1" t="shared" si="130"/>
        <v>0</v>
      </c>
      <c r="BM141" s="12">
        <f ca="1" t="shared" si="131"/>
        <v>0</v>
      </c>
      <c r="BN141" s="12">
        <f ca="1" t="shared" si="132"/>
        <v>0</v>
      </c>
      <c r="BO141" s="12">
        <f ca="1" t="shared" si="133"/>
        <v>0</v>
      </c>
    </row>
    <row r="142" spans="1:67">
      <c r="A142" s="3">
        <v>112</v>
      </c>
      <c r="B142" s="11">
        <f ca="1" t="shared" si="99"/>
        <v>0.119189614426534</v>
      </c>
      <c r="C142" s="12">
        <f ca="1" t="shared" si="100"/>
        <v>55.6396538142178</v>
      </c>
      <c r="D142" s="11">
        <f ca="1" t="shared" ref="D142:S142" si="180">RAND()</f>
        <v>0.147201124457767</v>
      </c>
      <c r="E142" s="11">
        <f ca="1" t="shared" si="180"/>
        <v>0.798009471199582</v>
      </c>
      <c r="F142" s="11">
        <f ca="1" t="shared" si="180"/>
        <v>0.304024824018673</v>
      </c>
      <c r="G142" s="11">
        <f ca="1" t="shared" si="180"/>
        <v>0.721581677031301</v>
      </c>
      <c r="H142" s="11">
        <f ca="1" t="shared" si="180"/>
        <v>0.404864229494113</v>
      </c>
      <c r="I142" s="11">
        <f ca="1" t="shared" si="180"/>
        <v>0.870783488312222</v>
      </c>
      <c r="J142" s="11">
        <f ca="1" t="shared" si="180"/>
        <v>0.689968012220906</v>
      </c>
      <c r="K142" s="11">
        <f ca="1" t="shared" si="180"/>
        <v>0.462341470708938</v>
      </c>
      <c r="L142" s="11">
        <f ca="1" t="shared" si="180"/>
        <v>0.703611238479495</v>
      </c>
      <c r="M142" s="11">
        <f ca="1" t="shared" si="180"/>
        <v>0.0114529894071429</v>
      </c>
      <c r="N142" s="11">
        <f ca="1" t="shared" si="180"/>
        <v>0.836527768286215</v>
      </c>
      <c r="O142" s="11">
        <f ca="1" t="shared" si="180"/>
        <v>0.87133311252602</v>
      </c>
      <c r="P142" s="11">
        <f ca="1" t="shared" si="180"/>
        <v>0.971270297951458</v>
      </c>
      <c r="Q142" s="11">
        <f ca="1" t="shared" si="180"/>
        <v>0.909329541539282</v>
      </c>
      <c r="R142" s="11">
        <f ca="1" t="shared" si="180"/>
        <v>0.544640249033906</v>
      </c>
      <c r="S142" s="11">
        <f ca="1" t="shared" si="180"/>
        <v>0.762656985151064</v>
      </c>
      <c r="T142" s="12">
        <f ca="1" t="shared" si="102"/>
        <v>4.24533520742961</v>
      </c>
      <c r="U142" s="12">
        <f ca="1" t="shared" si="103"/>
        <v>5.24502367799895</v>
      </c>
      <c r="V142" s="12">
        <f ca="1" t="shared" si="104"/>
        <v>4.50503103002334</v>
      </c>
      <c r="W142" s="12">
        <f ca="1" t="shared" si="105"/>
        <v>5.05395419257825</v>
      </c>
      <c r="X142" s="12">
        <f ca="1" t="shared" si="106"/>
        <v>4.63108028686764</v>
      </c>
      <c r="Y142" s="12">
        <f ca="1" t="shared" si="107"/>
        <v>5.42695872078056</v>
      </c>
      <c r="Z142" s="12">
        <f ca="1" t="shared" si="108"/>
        <v>4.98746001527613</v>
      </c>
      <c r="AA142" s="12">
        <f ca="1" t="shared" si="109"/>
        <v>4.70292683838617</v>
      </c>
      <c r="AB142" s="12">
        <f ca="1" t="shared" si="110"/>
        <v>5.00902809619874</v>
      </c>
      <c r="AC142" s="12">
        <f ca="1" t="shared" si="111"/>
        <v>4.01908831567857</v>
      </c>
      <c r="AD142" s="12">
        <f ca="1" t="shared" si="112"/>
        <v>5.34131942071554</v>
      </c>
      <c r="AE142" s="12">
        <f ca="1" t="shared" si="113"/>
        <v>5.42833278131505</v>
      </c>
      <c r="AF142" s="12">
        <f ca="1" t="shared" si="114"/>
        <v>5.85635148975729</v>
      </c>
      <c r="AG142" s="12">
        <f ca="1" t="shared" si="115"/>
        <v>5.54664770769641</v>
      </c>
      <c r="AH142" s="12">
        <f ca="1" t="shared" si="116"/>
        <v>4.80580031129238</v>
      </c>
      <c r="AI142" s="12">
        <f ca="1" t="shared" si="117"/>
        <v>5.15664246287766</v>
      </c>
      <c r="AJ142" s="12">
        <f ca="1">SUM($T142:T142)</f>
        <v>4.24533520742961</v>
      </c>
      <c r="AK142" s="12">
        <f ca="1">SUM($T142:U142)</f>
        <v>9.49035888542857</v>
      </c>
      <c r="AL142" s="12">
        <f ca="1">SUM($T142:V142)</f>
        <v>13.9953899154519</v>
      </c>
      <c r="AM142" s="12">
        <f ca="1">SUM($T142:W142)</f>
        <v>19.0493441080302</v>
      </c>
      <c r="AN142" s="12">
        <f ca="1">SUM($T142:X142)</f>
        <v>23.6804243948978</v>
      </c>
      <c r="AO142" s="12">
        <f ca="1">SUM($T142:Y142)</f>
        <v>29.1073831156784</v>
      </c>
      <c r="AP142" s="12">
        <f ca="1">SUM($T142:Z142)</f>
        <v>34.0948431309545</v>
      </c>
      <c r="AQ142" s="12">
        <f ca="1">SUM($T142:AA142)</f>
        <v>38.7977699693407</v>
      </c>
      <c r="AR142" s="12">
        <f ca="1">SUM($T142:AB142)</f>
        <v>43.8067980655394</v>
      </c>
      <c r="AS142" s="12">
        <f ca="1">SUM($T142:AC142)</f>
        <v>47.825886381218</v>
      </c>
      <c r="AT142" s="12">
        <f ca="1">SUM($T142:AD142)</f>
        <v>53.1672058019335</v>
      </c>
      <c r="AU142" s="12">
        <f ca="1">SUM($T142:AE142)</f>
        <v>58.5955385832486</v>
      </c>
      <c r="AV142" s="12">
        <f ca="1">SUM($T142:AF142)</f>
        <v>64.4518900730059</v>
      </c>
      <c r="AW142" s="12">
        <f ca="1">SUM($T142:AG142)</f>
        <v>69.9985377807023</v>
      </c>
      <c r="AX142" s="12">
        <f ca="1">SUM($T142:AH142)</f>
        <v>74.8043380919947</v>
      </c>
      <c r="AY142" s="12">
        <f ca="1">SUM($T142:AI142)</f>
        <v>79.9609805548723</v>
      </c>
      <c r="AZ142" s="12">
        <f ca="1" t="shared" si="118"/>
        <v>51.3943186067882</v>
      </c>
      <c r="BA142" s="12">
        <f ca="1" t="shared" si="119"/>
        <v>46.1492949287892</v>
      </c>
      <c r="BB142" s="12">
        <f ca="1" t="shared" si="120"/>
        <v>41.6442638987659</v>
      </c>
      <c r="BC142" s="12">
        <f ca="1" t="shared" si="121"/>
        <v>36.5903097061876</v>
      </c>
      <c r="BD142" s="12">
        <f ca="1" t="shared" si="122"/>
        <v>31.95922941932</v>
      </c>
      <c r="BE142" s="12">
        <f ca="1" t="shared" si="123"/>
        <v>26.5322706985394</v>
      </c>
      <c r="BF142" s="12">
        <f ca="1" t="shared" si="124"/>
        <v>21.5448106832633</v>
      </c>
      <c r="BG142" s="12">
        <f ca="1" t="shared" si="125"/>
        <v>16.8418838448771</v>
      </c>
      <c r="BH142" s="12">
        <f ca="1" t="shared" si="126"/>
        <v>11.8328557486784</v>
      </c>
      <c r="BI142" s="12">
        <f ca="1" t="shared" si="127"/>
        <v>7.81376743299983</v>
      </c>
      <c r="BJ142" s="12">
        <f ca="1" t="shared" si="128"/>
        <v>2.4724480122843</v>
      </c>
      <c r="BK142" s="12">
        <f ca="1" t="shared" si="129"/>
        <v>0</v>
      </c>
      <c r="BL142" s="12">
        <f ca="1" t="shared" si="130"/>
        <v>0</v>
      </c>
      <c r="BM142" s="12">
        <f ca="1" t="shared" si="131"/>
        <v>0</v>
      </c>
      <c r="BN142" s="12">
        <f ca="1" t="shared" si="132"/>
        <v>0</v>
      </c>
      <c r="BO142" s="12">
        <f ca="1" t="shared" si="133"/>
        <v>0</v>
      </c>
    </row>
    <row r="143" spans="1:67">
      <c r="A143" s="3">
        <v>113</v>
      </c>
      <c r="B143" s="11">
        <f ca="1" t="shared" si="99"/>
        <v>0.868669731661473</v>
      </c>
      <c r="C143" s="12">
        <f ca="1" t="shared" si="100"/>
        <v>69.552424738021</v>
      </c>
      <c r="D143" s="11">
        <f ca="1" t="shared" ref="D143:S143" si="181">RAND()</f>
        <v>0.102888891072473</v>
      </c>
      <c r="E143" s="11">
        <f ca="1" t="shared" si="181"/>
        <v>0.857000918718021</v>
      </c>
      <c r="F143" s="11">
        <f ca="1" t="shared" si="181"/>
        <v>0.66043494409976</v>
      </c>
      <c r="G143" s="11">
        <f ca="1" t="shared" si="181"/>
        <v>0.14124670812197</v>
      </c>
      <c r="H143" s="11">
        <f ca="1" t="shared" si="181"/>
        <v>0.974909089416379</v>
      </c>
      <c r="I143" s="11">
        <f ca="1" t="shared" si="181"/>
        <v>0.40835168121575</v>
      </c>
      <c r="J143" s="11">
        <f ca="1" t="shared" si="181"/>
        <v>0.243718068738453</v>
      </c>
      <c r="K143" s="11">
        <f ca="1" t="shared" si="181"/>
        <v>0.795528898720977</v>
      </c>
      <c r="L143" s="11">
        <f ca="1" t="shared" si="181"/>
        <v>0.797234873168851</v>
      </c>
      <c r="M143" s="11">
        <f ca="1" t="shared" si="181"/>
        <v>0.808556007782629</v>
      </c>
      <c r="N143" s="11">
        <f ca="1" t="shared" si="181"/>
        <v>0.610579060999844</v>
      </c>
      <c r="O143" s="11">
        <f ca="1" t="shared" si="181"/>
        <v>0.208119900529153</v>
      </c>
      <c r="P143" s="11">
        <f ca="1" t="shared" si="181"/>
        <v>0.462365010887456</v>
      </c>
      <c r="Q143" s="11">
        <f ca="1" t="shared" si="181"/>
        <v>0.61507511110416</v>
      </c>
      <c r="R143" s="11">
        <f ca="1" t="shared" si="181"/>
        <v>0.371165431456087</v>
      </c>
      <c r="S143" s="11">
        <f ca="1" t="shared" si="181"/>
        <v>0.474538061704246</v>
      </c>
      <c r="T143" s="12">
        <f ca="1" t="shared" si="102"/>
        <v>4.17148148512079</v>
      </c>
      <c r="U143" s="12">
        <f ca="1" t="shared" si="103"/>
        <v>5.39250229679505</v>
      </c>
      <c r="V143" s="12">
        <f ca="1" t="shared" si="104"/>
        <v>4.9505436801247</v>
      </c>
      <c r="W143" s="12">
        <f ca="1" t="shared" si="105"/>
        <v>4.23541118020328</v>
      </c>
      <c r="X143" s="12">
        <f ca="1" t="shared" si="106"/>
        <v>5.87454544708189</v>
      </c>
      <c r="Y143" s="12">
        <f ca="1" t="shared" si="107"/>
        <v>4.63543960151969</v>
      </c>
      <c r="Z143" s="12">
        <f ca="1" t="shared" si="108"/>
        <v>4.40619678123076</v>
      </c>
      <c r="AA143" s="12">
        <f ca="1" t="shared" si="109"/>
        <v>5.23882224680244</v>
      </c>
      <c r="AB143" s="12">
        <f ca="1" t="shared" si="110"/>
        <v>5.24308718292213</v>
      </c>
      <c r="AC143" s="12">
        <f ca="1" t="shared" si="111"/>
        <v>5.27139001945657</v>
      </c>
      <c r="AD143" s="12">
        <f ca="1" t="shared" si="112"/>
        <v>4.8882238262498</v>
      </c>
      <c r="AE143" s="12">
        <f ca="1" t="shared" si="113"/>
        <v>4.34686650088192</v>
      </c>
      <c r="AF143" s="12">
        <f ca="1" t="shared" si="114"/>
        <v>4.70295626360932</v>
      </c>
      <c r="AG143" s="12">
        <f ca="1" t="shared" si="115"/>
        <v>4.8938438888802</v>
      </c>
      <c r="AH143" s="12">
        <f ca="1" t="shared" si="116"/>
        <v>4.58895678932011</v>
      </c>
      <c r="AI143" s="12">
        <f ca="1" t="shared" si="117"/>
        <v>4.71817257713031</v>
      </c>
      <c r="AJ143" s="12">
        <f ca="1">SUM($T143:T143)</f>
        <v>4.17148148512079</v>
      </c>
      <c r="AK143" s="12">
        <f ca="1">SUM($T143:U143)</f>
        <v>9.56398378191584</v>
      </c>
      <c r="AL143" s="12">
        <f ca="1">SUM($T143:V143)</f>
        <v>14.5145274620405</v>
      </c>
      <c r="AM143" s="12">
        <f ca="1">SUM($T143:W143)</f>
        <v>18.7499386422438</v>
      </c>
      <c r="AN143" s="12">
        <f ca="1">SUM($T143:X143)</f>
        <v>24.6244840893257</v>
      </c>
      <c r="AO143" s="12">
        <f ca="1">SUM($T143:Y143)</f>
        <v>29.2599236908454</v>
      </c>
      <c r="AP143" s="12">
        <f ca="1">SUM($T143:Z143)</f>
        <v>33.6661204720762</v>
      </c>
      <c r="AQ143" s="12">
        <f ca="1">SUM($T143:AA143)</f>
        <v>38.9049427188786</v>
      </c>
      <c r="AR143" s="12">
        <f ca="1">SUM($T143:AB143)</f>
        <v>44.1480299018007</v>
      </c>
      <c r="AS143" s="12">
        <f ca="1">SUM($T143:AC143)</f>
        <v>49.4194199212573</v>
      </c>
      <c r="AT143" s="12">
        <f ca="1">SUM($T143:AD143)</f>
        <v>54.3076437475071</v>
      </c>
      <c r="AU143" s="12">
        <f ca="1">SUM($T143:AE143)</f>
        <v>58.654510248389</v>
      </c>
      <c r="AV143" s="12">
        <f ca="1">SUM($T143:AF143)</f>
        <v>63.3574665119984</v>
      </c>
      <c r="AW143" s="12">
        <f ca="1">SUM($T143:AG143)</f>
        <v>68.2513104008786</v>
      </c>
      <c r="AX143" s="12">
        <f ca="1">SUM($T143:AH143)</f>
        <v>72.8402671901987</v>
      </c>
      <c r="AY143" s="12">
        <f ca="1">SUM($T143:AI143)</f>
        <v>77.558439767329</v>
      </c>
      <c r="AZ143" s="12">
        <f ca="1" t="shared" si="118"/>
        <v>65.3809432529003</v>
      </c>
      <c r="BA143" s="12">
        <f ca="1" t="shared" si="119"/>
        <v>59.9884409561052</v>
      </c>
      <c r="BB143" s="12">
        <f ca="1" t="shared" si="120"/>
        <v>55.0378972759805</v>
      </c>
      <c r="BC143" s="12">
        <f ca="1" t="shared" si="121"/>
        <v>50.8024860957772</v>
      </c>
      <c r="BD143" s="12">
        <f ca="1" t="shared" si="122"/>
        <v>44.9279406486953</v>
      </c>
      <c r="BE143" s="12">
        <f ca="1" t="shared" si="123"/>
        <v>40.2925010471756</v>
      </c>
      <c r="BF143" s="12">
        <f ca="1" t="shared" si="124"/>
        <v>35.8863042659449</v>
      </c>
      <c r="BG143" s="12">
        <f ca="1" t="shared" si="125"/>
        <v>30.6474820191424</v>
      </c>
      <c r="BH143" s="12">
        <f ca="1" t="shared" si="126"/>
        <v>25.4043948362203</v>
      </c>
      <c r="BI143" s="12">
        <f ca="1" t="shared" si="127"/>
        <v>20.1330048167637</v>
      </c>
      <c r="BJ143" s="12">
        <f ca="1" t="shared" si="128"/>
        <v>15.2447809905139</v>
      </c>
      <c r="BK143" s="12">
        <f ca="1" t="shared" si="129"/>
        <v>10.897914489632</v>
      </c>
      <c r="BL143" s="12">
        <f ca="1" t="shared" si="130"/>
        <v>6.19495822602269</v>
      </c>
      <c r="BM143" s="12">
        <f ca="1" t="shared" si="131"/>
        <v>1.30111433714249</v>
      </c>
      <c r="BN143" s="12">
        <f ca="1" t="shared" si="132"/>
        <v>0</v>
      </c>
      <c r="BO143" s="12">
        <f ca="1" t="shared" si="133"/>
        <v>0</v>
      </c>
    </row>
    <row r="144" spans="1:67">
      <c r="A144" s="3">
        <v>114</v>
      </c>
      <c r="B144" s="11">
        <f ca="1" t="shared" si="99"/>
        <v>0.338163239801109</v>
      </c>
      <c r="C144" s="12">
        <f ca="1" t="shared" si="100"/>
        <v>61.4693873300185</v>
      </c>
      <c r="D144" s="11">
        <f ca="1" t="shared" ref="D144:S144" si="182">RAND()</f>
        <v>0.556718932397651</v>
      </c>
      <c r="E144" s="11">
        <f ca="1" t="shared" si="182"/>
        <v>0.836537982328265</v>
      </c>
      <c r="F144" s="11">
        <f ca="1" t="shared" si="182"/>
        <v>0.623538666061044</v>
      </c>
      <c r="G144" s="11">
        <f ca="1" t="shared" si="182"/>
        <v>0.717187221314385</v>
      </c>
      <c r="H144" s="11">
        <f ca="1" t="shared" si="182"/>
        <v>0.439405488158135</v>
      </c>
      <c r="I144" s="11">
        <f ca="1" t="shared" si="182"/>
        <v>0.384579288205366</v>
      </c>
      <c r="J144" s="11">
        <f ca="1" t="shared" si="182"/>
        <v>0.00429085489131587</v>
      </c>
      <c r="K144" s="11">
        <f ca="1" t="shared" si="182"/>
        <v>0.102875435076533</v>
      </c>
      <c r="L144" s="11">
        <f ca="1" t="shared" si="182"/>
        <v>0.287831245120502</v>
      </c>
      <c r="M144" s="11">
        <f ca="1" t="shared" si="182"/>
        <v>0.187224624399672</v>
      </c>
      <c r="N144" s="11">
        <f ca="1" t="shared" si="182"/>
        <v>0.300607951485861</v>
      </c>
      <c r="O144" s="11">
        <f ca="1" t="shared" si="182"/>
        <v>0.974913754147402</v>
      </c>
      <c r="P144" s="11">
        <f ca="1" t="shared" si="182"/>
        <v>0.864491329370218</v>
      </c>
      <c r="Q144" s="11">
        <f ca="1" t="shared" si="182"/>
        <v>0.797236585616407</v>
      </c>
      <c r="R144" s="11">
        <f ca="1" t="shared" si="182"/>
        <v>0.713701570030931</v>
      </c>
      <c r="S144" s="11">
        <f ca="1" t="shared" si="182"/>
        <v>0.51040425374777</v>
      </c>
      <c r="T144" s="12">
        <f ca="1" t="shared" si="102"/>
        <v>4.82089866549706</v>
      </c>
      <c r="U144" s="12">
        <f ca="1" t="shared" si="103"/>
        <v>5.34134495582066</v>
      </c>
      <c r="V144" s="12">
        <f ca="1" t="shared" si="104"/>
        <v>4.9044233325763</v>
      </c>
      <c r="W144" s="12">
        <f ca="1" t="shared" si="105"/>
        <v>5.04296805328596</v>
      </c>
      <c r="X144" s="12">
        <f ca="1" t="shared" si="106"/>
        <v>4.67425686019767</v>
      </c>
      <c r="Y144" s="12">
        <f ca="1" t="shared" si="107"/>
        <v>4.60572411025671</v>
      </c>
      <c r="Z144" s="12">
        <f ca="1" t="shared" si="108"/>
        <v>4.00715142481886</v>
      </c>
      <c r="AA144" s="12">
        <f ca="1" t="shared" si="109"/>
        <v>4.17145905846089</v>
      </c>
      <c r="AB144" s="12">
        <f ca="1" t="shared" si="110"/>
        <v>4.4797187418675</v>
      </c>
      <c r="AC144" s="12">
        <f ca="1" t="shared" si="111"/>
        <v>4.31204104066612</v>
      </c>
      <c r="AD144" s="12">
        <f ca="1" t="shared" si="112"/>
        <v>4.50075993935733</v>
      </c>
      <c r="AE144" s="12">
        <f ca="1" t="shared" si="113"/>
        <v>5.87456877073701</v>
      </c>
      <c r="AF144" s="12">
        <f ca="1" t="shared" si="114"/>
        <v>5.41122832342555</v>
      </c>
      <c r="AG144" s="12">
        <f ca="1" t="shared" si="115"/>
        <v>5.24309146404102</v>
      </c>
      <c r="AH144" s="12">
        <f ca="1" t="shared" si="116"/>
        <v>5.03425392507733</v>
      </c>
      <c r="AI144" s="12">
        <f ca="1" t="shared" si="117"/>
        <v>4.76300531718471</v>
      </c>
      <c r="AJ144" s="12">
        <f ca="1">SUM($T144:T144)</f>
        <v>4.82089866549706</v>
      </c>
      <c r="AK144" s="12">
        <f ca="1">SUM($T144:U144)</f>
        <v>10.1622436213177</v>
      </c>
      <c r="AL144" s="12">
        <f ca="1">SUM($T144:V144)</f>
        <v>15.066666953894</v>
      </c>
      <c r="AM144" s="12">
        <f ca="1">SUM($T144:W144)</f>
        <v>20.10963500718</v>
      </c>
      <c r="AN144" s="12">
        <f ca="1">SUM($T144:X144)</f>
        <v>24.7838918673777</v>
      </c>
      <c r="AO144" s="12">
        <f ca="1">SUM($T144:Y144)</f>
        <v>29.3896159776344</v>
      </c>
      <c r="AP144" s="12">
        <f ca="1">SUM($T144:Z144)</f>
        <v>33.3967674024532</v>
      </c>
      <c r="AQ144" s="12">
        <f ca="1">SUM($T144:AA144)</f>
        <v>37.5682264609141</v>
      </c>
      <c r="AR144" s="12">
        <f ca="1">SUM($T144:AB144)</f>
        <v>42.0479452027816</v>
      </c>
      <c r="AS144" s="12">
        <f ca="1">SUM($T144:AC144)</f>
        <v>46.3599862434477</v>
      </c>
      <c r="AT144" s="12">
        <f ca="1">SUM($T144:AD144)</f>
        <v>50.8607461828051</v>
      </c>
      <c r="AU144" s="12">
        <f ca="1">SUM($T144:AE144)</f>
        <v>56.7353149535421</v>
      </c>
      <c r="AV144" s="12">
        <f ca="1">SUM($T144:AF144)</f>
        <v>62.1465432769676</v>
      </c>
      <c r="AW144" s="12">
        <f ca="1">SUM($T144:AG144)</f>
        <v>67.3896347410086</v>
      </c>
      <c r="AX144" s="12">
        <f ca="1">SUM($T144:AH144)</f>
        <v>72.423888666086</v>
      </c>
      <c r="AY144" s="12">
        <f ca="1">SUM($T144:AI144)</f>
        <v>77.1868939832707</v>
      </c>
      <c r="AZ144" s="12">
        <f ca="1" t="shared" si="118"/>
        <v>56.6484886645214</v>
      </c>
      <c r="BA144" s="12">
        <f ca="1" t="shared" si="119"/>
        <v>51.3071437087008</v>
      </c>
      <c r="BB144" s="12">
        <f ca="1" t="shared" si="120"/>
        <v>46.4027203761245</v>
      </c>
      <c r="BC144" s="12">
        <f ca="1" t="shared" si="121"/>
        <v>41.3597523228385</v>
      </c>
      <c r="BD144" s="12">
        <f ca="1" t="shared" si="122"/>
        <v>36.6854954626408</v>
      </c>
      <c r="BE144" s="12">
        <f ca="1" t="shared" si="123"/>
        <v>32.0797713523841</v>
      </c>
      <c r="BF144" s="12">
        <f ca="1" t="shared" si="124"/>
        <v>28.0726199275653</v>
      </c>
      <c r="BG144" s="12">
        <f ca="1" t="shared" si="125"/>
        <v>23.9011608691044</v>
      </c>
      <c r="BH144" s="12">
        <f ca="1" t="shared" si="126"/>
        <v>19.4214421272369</v>
      </c>
      <c r="BI144" s="12">
        <f ca="1" t="shared" si="127"/>
        <v>15.1094010865707</v>
      </c>
      <c r="BJ144" s="12">
        <f ca="1" t="shared" si="128"/>
        <v>10.6086411472134</v>
      </c>
      <c r="BK144" s="12">
        <f ca="1" t="shared" si="129"/>
        <v>4.73407237647642</v>
      </c>
      <c r="BL144" s="12">
        <f ca="1" t="shared" si="130"/>
        <v>0</v>
      </c>
      <c r="BM144" s="12">
        <f ca="1" t="shared" si="131"/>
        <v>0</v>
      </c>
      <c r="BN144" s="12">
        <f ca="1" t="shared" si="132"/>
        <v>0</v>
      </c>
      <c r="BO144" s="12">
        <f ca="1" t="shared" si="133"/>
        <v>0</v>
      </c>
    </row>
    <row r="145" spans="1:67">
      <c r="A145" s="3">
        <v>115</v>
      </c>
      <c r="B145" s="11">
        <f ca="1" t="shared" si="99"/>
        <v>0.277867081333262</v>
      </c>
      <c r="C145" s="12">
        <f ca="1" t="shared" si="100"/>
        <v>60.4644513555544</v>
      </c>
      <c r="D145" s="11">
        <f ca="1" t="shared" ref="D145:S145" si="183">RAND()</f>
        <v>0.556731993310912</v>
      </c>
      <c r="E145" s="11">
        <f ca="1" t="shared" si="183"/>
        <v>0.411247746712204</v>
      </c>
      <c r="F145" s="11">
        <f ca="1" t="shared" si="183"/>
        <v>0.58802048675451</v>
      </c>
      <c r="G145" s="11">
        <f ca="1" t="shared" si="183"/>
        <v>0.310702583786093</v>
      </c>
      <c r="H145" s="11">
        <f ca="1" t="shared" si="183"/>
        <v>0.256575989571375</v>
      </c>
      <c r="I145" s="11">
        <f ca="1" t="shared" si="183"/>
        <v>0.0132655739366361</v>
      </c>
      <c r="J145" s="11">
        <f ca="1" t="shared" si="183"/>
        <v>0.135393699738968</v>
      </c>
      <c r="K145" s="11">
        <f ca="1" t="shared" si="183"/>
        <v>0.384569936797213</v>
      </c>
      <c r="L145" s="11">
        <f ca="1" t="shared" si="183"/>
        <v>0.379555004384015</v>
      </c>
      <c r="M145" s="11">
        <f ca="1" t="shared" si="183"/>
        <v>0.0493335212093413</v>
      </c>
      <c r="N145" s="11">
        <f ca="1" t="shared" si="183"/>
        <v>0.364849899191291</v>
      </c>
      <c r="O145" s="11">
        <f ca="1" t="shared" si="183"/>
        <v>0.150198876267627</v>
      </c>
      <c r="P145" s="11">
        <f ca="1" t="shared" si="183"/>
        <v>0.522579863972955</v>
      </c>
      <c r="Q145" s="11">
        <f ca="1" t="shared" si="183"/>
        <v>0.364258830921332</v>
      </c>
      <c r="R145" s="11">
        <f ca="1" t="shared" si="183"/>
        <v>0.269658411689874</v>
      </c>
      <c r="S145" s="11">
        <f ca="1" t="shared" si="183"/>
        <v>0.446770895886204</v>
      </c>
      <c r="T145" s="12">
        <f ca="1" t="shared" si="102"/>
        <v>4.82091499163864</v>
      </c>
      <c r="U145" s="12">
        <f ca="1" t="shared" si="103"/>
        <v>4.63905968339026</v>
      </c>
      <c r="V145" s="12">
        <f ca="1" t="shared" si="104"/>
        <v>4.86002560844314</v>
      </c>
      <c r="W145" s="12">
        <f ca="1" t="shared" si="105"/>
        <v>4.51337822973262</v>
      </c>
      <c r="X145" s="12">
        <f ca="1" t="shared" si="106"/>
        <v>4.42762664928562</v>
      </c>
      <c r="Y145" s="12">
        <f ca="1" t="shared" si="107"/>
        <v>4.02210928989439</v>
      </c>
      <c r="Z145" s="12">
        <f ca="1" t="shared" si="108"/>
        <v>4.22565616623161</v>
      </c>
      <c r="AA145" s="12">
        <f ca="1" t="shared" si="109"/>
        <v>4.60571242099652</v>
      </c>
      <c r="AB145" s="12">
        <f ca="1" t="shared" si="110"/>
        <v>4.59944375548002</v>
      </c>
      <c r="AC145" s="12">
        <f ca="1" t="shared" si="111"/>
        <v>4.0822225353489</v>
      </c>
      <c r="AD145" s="12">
        <f ca="1" t="shared" si="112"/>
        <v>4.58106237398911</v>
      </c>
      <c r="AE145" s="12">
        <f ca="1" t="shared" si="113"/>
        <v>4.25033146044604</v>
      </c>
      <c r="AF145" s="12">
        <f ca="1" t="shared" si="114"/>
        <v>4.77822482996619</v>
      </c>
      <c r="AG145" s="12">
        <f ca="1" t="shared" si="115"/>
        <v>4.58032353865166</v>
      </c>
      <c r="AH145" s="12">
        <f ca="1" t="shared" si="116"/>
        <v>4.44943068614979</v>
      </c>
      <c r="AI145" s="12">
        <f ca="1" t="shared" si="117"/>
        <v>4.68346361985776</v>
      </c>
      <c r="AJ145" s="12">
        <f ca="1">SUM($T145:T145)</f>
        <v>4.82091499163864</v>
      </c>
      <c r="AK145" s="12">
        <f ca="1">SUM($T145:U145)</f>
        <v>9.4599746750289</v>
      </c>
      <c r="AL145" s="12">
        <f ca="1">SUM($T145:V145)</f>
        <v>14.320000283472</v>
      </c>
      <c r="AM145" s="12">
        <f ca="1">SUM($T145:W145)</f>
        <v>18.8333785132047</v>
      </c>
      <c r="AN145" s="12">
        <f ca="1">SUM($T145:X145)</f>
        <v>23.2610051624903</v>
      </c>
      <c r="AO145" s="12">
        <f ca="1">SUM($T145:Y145)</f>
        <v>27.2831144523847</v>
      </c>
      <c r="AP145" s="12">
        <f ca="1">SUM($T145:Z145)</f>
        <v>31.5087706186163</v>
      </c>
      <c r="AQ145" s="12">
        <f ca="1">SUM($T145:AA145)</f>
        <v>36.1144830396128</v>
      </c>
      <c r="AR145" s="12">
        <f ca="1">SUM($T145:AB145)</f>
        <v>40.7139267950928</v>
      </c>
      <c r="AS145" s="12">
        <f ca="1">SUM($T145:AC145)</f>
        <v>44.7961493304417</v>
      </c>
      <c r="AT145" s="12">
        <f ca="1">SUM($T145:AD145)</f>
        <v>49.3772117044308</v>
      </c>
      <c r="AU145" s="12">
        <f ca="1">SUM($T145:AE145)</f>
        <v>53.6275431648769</v>
      </c>
      <c r="AV145" s="12">
        <f ca="1">SUM($T145:AF145)</f>
        <v>58.4057679948431</v>
      </c>
      <c r="AW145" s="12">
        <f ca="1">SUM($T145:AG145)</f>
        <v>62.9860915334947</v>
      </c>
      <c r="AX145" s="12">
        <f ca="1">SUM($T145:AH145)</f>
        <v>67.4355222196445</v>
      </c>
      <c r="AY145" s="12">
        <f ca="1">SUM($T145:AI145)</f>
        <v>72.1189858395023</v>
      </c>
      <c r="AZ145" s="12">
        <f ca="1" t="shared" si="118"/>
        <v>55.6435363639157</v>
      </c>
      <c r="BA145" s="12">
        <f ca="1" t="shared" si="119"/>
        <v>51.0044766805255</v>
      </c>
      <c r="BB145" s="12">
        <f ca="1" t="shared" si="120"/>
        <v>46.1444510720823</v>
      </c>
      <c r="BC145" s="12">
        <f ca="1" t="shared" si="121"/>
        <v>41.6310728423497</v>
      </c>
      <c r="BD145" s="12">
        <f ca="1" t="shared" si="122"/>
        <v>37.2034461930641</v>
      </c>
      <c r="BE145" s="12">
        <f ca="1" t="shared" si="123"/>
        <v>33.1813369031697</v>
      </c>
      <c r="BF145" s="12">
        <f ca="1" t="shared" si="124"/>
        <v>28.9556807369381</v>
      </c>
      <c r="BG145" s="12">
        <f ca="1" t="shared" si="125"/>
        <v>24.3499683159416</v>
      </c>
      <c r="BH145" s="12">
        <f ca="1" t="shared" si="126"/>
        <v>19.7505245604615</v>
      </c>
      <c r="BI145" s="12">
        <f ca="1" t="shared" si="127"/>
        <v>15.6683020251126</v>
      </c>
      <c r="BJ145" s="12">
        <f ca="1" t="shared" si="128"/>
        <v>11.0872396511235</v>
      </c>
      <c r="BK145" s="12">
        <f ca="1" t="shared" si="129"/>
        <v>6.83690819067749</v>
      </c>
      <c r="BL145" s="12">
        <f ca="1" t="shared" si="130"/>
        <v>2.0586833607113</v>
      </c>
      <c r="BM145" s="12">
        <f ca="1" t="shared" si="131"/>
        <v>0</v>
      </c>
      <c r="BN145" s="12">
        <f ca="1" t="shared" si="132"/>
        <v>0</v>
      </c>
      <c r="BO145" s="12">
        <f ca="1" t="shared" si="133"/>
        <v>0</v>
      </c>
    </row>
    <row r="146" spans="1:67">
      <c r="A146" s="3">
        <v>116</v>
      </c>
      <c r="B146" s="11">
        <f ca="1" t="shared" si="99"/>
        <v>0.816419370571335</v>
      </c>
      <c r="C146" s="12">
        <f ca="1" t="shared" si="100"/>
        <v>68.8059910081619</v>
      </c>
      <c r="D146" s="11">
        <f ca="1" t="shared" ref="D146:S146" si="184">RAND()</f>
        <v>0.566969231437218</v>
      </c>
      <c r="E146" s="11">
        <f ca="1" t="shared" si="184"/>
        <v>0.481630831868442</v>
      </c>
      <c r="F146" s="11">
        <f ca="1" t="shared" si="184"/>
        <v>0.317831030763966</v>
      </c>
      <c r="G146" s="11">
        <f ca="1" t="shared" si="184"/>
        <v>0.833724559738163</v>
      </c>
      <c r="H146" s="11">
        <f ca="1" t="shared" si="184"/>
        <v>0.552192178785575</v>
      </c>
      <c r="I146" s="11">
        <f ca="1" t="shared" si="184"/>
        <v>0.798030182334803</v>
      </c>
      <c r="J146" s="11">
        <f ca="1" t="shared" si="184"/>
        <v>0.968181938425821</v>
      </c>
      <c r="K146" s="11">
        <f ca="1" t="shared" si="184"/>
        <v>0.107995520231097</v>
      </c>
      <c r="L146" s="11">
        <f ca="1" t="shared" si="184"/>
        <v>0.00427797797247087</v>
      </c>
      <c r="M146" s="11">
        <f ca="1" t="shared" si="184"/>
        <v>0.387151602002706</v>
      </c>
      <c r="N146" s="11">
        <f ca="1" t="shared" si="184"/>
        <v>0.690176843063492</v>
      </c>
      <c r="O146" s="11">
        <f ca="1" t="shared" si="184"/>
        <v>0.463957510691431</v>
      </c>
      <c r="P146" s="11">
        <f ca="1" t="shared" si="184"/>
        <v>0.478497962581037</v>
      </c>
      <c r="Q146" s="11">
        <f ca="1" t="shared" si="184"/>
        <v>0.721558743183798</v>
      </c>
      <c r="R146" s="11">
        <f ca="1" t="shared" si="184"/>
        <v>0.611877717482092</v>
      </c>
      <c r="S146" s="11">
        <f ca="1" t="shared" si="184"/>
        <v>0.896119124613216</v>
      </c>
      <c r="T146" s="12">
        <f ca="1" t="shared" si="102"/>
        <v>4.83371153929652</v>
      </c>
      <c r="U146" s="12">
        <f ca="1" t="shared" si="103"/>
        <v>4.72703853983555</v>
      </c>
      <c r="V146" s="12">
        <f ca="1" t="shared" si="104"/>
        <v>4.52228878845496</v>
      </c>
      <c r="W146" s="12">
        <f ca="1" t="shared" si="105"/>
        <v>5.33431139934541</v>
      </c>
      <c r="X146" s="12">
        <f ca="1" t="shared" si="106"/>
        <v>4.81524022348197</v>
      </c>
      <c r="Y146" s="12">
        <f ca="1" t="shared" si="107"/>
        <v>5.24507545583701</v>
      </c>
      <c r="Z146" s="12">
        <f ca="1" t="shared" si="108"/>
        <v>5.84090969212911</v>
      </c>
      <c r="AA146" s="12">
        <f ca="1" t="shared" si="109"/>
        <v>4.1799925337185</v>
      </c>
      <c r="AB146" s="12">
        <f ca="1" t="shared" si="110"/>
        <v>4.00712996328745</v>
      </c>
      <c r="AC146" s="12">
        <f ca="1" t="shared" si="111"/>
        <v>4.60893950250338</v>
      </c>
      <c r="AD146" s="12">
        <f ca="1" t="shared" si="112"/>
        <v>4.98772105382936</v>
      </c>
      <c r="AE146" s="12">
        <f ca="1" t="shared" si="113"/>
        <v>4.70494688836429</v>
      </c>
      <c r="AF146" s="12">
        <f ca="1" t="shared" si="114"/>
        <v>4.7231224532263</v>
      </c>
      <c r="AG146" s="12">
        <f ca="1" t="shared" si="115"/>
        <v>5.05389685795949</v>
      </c>
      <c r="AH146" s="12">
        <f ca="1" t="shared" si="116"/>
        <v>4.88984714685262</v>
      </c>
      <c r="AI146" s="12">
        <f ca="1" t="shared" si="117"/>
        <v>5.49029781153304</v>
      </c>
      <c r="AJ146" s="12">
        <f ca="1">SUM($T146:T146)</f>
        <v>4.83371153929652</v>
      </c>
      <c r="AK146" s="12">
        <f ca="1">SUM($T146:U146)</f>
        <v>9.56075007913208</v>
      </c>
      <c r="AL146" s="12">
        <f ca="1">SUM($T146:V146)</f>
        <v>14.083038867587</v>
      </c>
      <c r="AM146" s="12">
        <f ca="1">SUM($T146:W146)</f>
        <v>19.4173502669324</v>
      </c>
      <c r="AN146" s="12">
        <f ca="1">SUM($T146:X146)</f>
        <v>24.2325904904144</v>
      </c>
      <c r="AO146" s="12">
        <f ca="1">SUM($T146:Y146)</f>
        <v>29.4776659462514</v>
      </c>
      <c r="AP146" s="12">
        <f ca="1">SUM($T146:Z146)</f>
        <v>35.3185756383805</v>
      </c>
      <c r="AQ146" s="12">
        <f ca="1">SUM($T146:AA146)</f>
        <v>39.498568172099</v>
      </c>
      <c r="AR146" s="12">
        <f ca="1">SUM($T146:AB146)</f>
        <v>43.5056981353865</v>
      </c>
      <c r="AS146" s="12">
        <f ca="1">SUM($T146:AC146)</f>
        <v>48.1146376378899</v>
      </c>
      <c r="AT146" s="12">
        <f ca="1">SUM($T146:AD146)</f>
        <v>53.1023586917192</v>
      </c>
      <c r="AU146" s="12">
        <f ca="1">SUM($T146:AE146)</f>
        <v>57.8073055800835</v>
      </c>
      <c r="AV146" s="12">
        <f ca="1">SUM($T146:AF146)</f>
        <v>62.5304280333098</v>
      </c>
      <c r="AW146" s="12">
        <f ca="1">SUM($T146:AG146)</f>
        <v>67.5843248912693</v>
      </c>
      <c r="AX146" s="12">
        <f ca="1">SUM($T146:AH146)</f>
        <v>72.4741720381219</v>
      </c>
      <c r="AY146" s="12">
        <f ca="1">SUM($T146:AI146)</f>
        <v>77.964469849655</v>
      </c>
      <c r="AZ146" s="12">
        <f ca="1" t="shared" si="118"/>
        <v>63.9722794688654</v>
      </c>
      <c r="BA146" s="12">
        <f ca="1" t="shared" si="119"/>
        <v>59.2452409290298</v>
      </c>
      <c r="BB146" s="12">
        <f ca="1" t="shared" si="120"/>
        <v>54.7229521405749</v>
      </c>
      <c r="BC146" s="12">
        <f ca="1" t="shared" si="121"/>
        <v>49.3886407412295</v>
      </c>
      <c r="BD146" s="12">
        <f ca="1" t="shared" si="122"/>
        <v>44.5734005177475</v>
      </c>
      <c r="BE146" s="12">
        <f ca="1" t="shared" si="123"/>
        <v>39.3283250619105</v>
      </c>
      <c r="BF146" s="12">
        <f ca="1" t="shared" si="124"/>
        <v>33.4874153697814</v>
      </c>
      <c r="BG146" s="12">
        <f ca="1" t="shared" si="125"/>
        <v>29.3074228360629</v>
      </c>
      <c r="BH146" s="12">
        <f ca="1" t="shared" si="126"/>
        <v>25.3002928727755</v>
      </c>
      <c r="BI146" s="12">
        <f ca="1" t="shared" si="127"/>
        <v>20.6913533702721</v>
      </c>
      <c r="BJ146" s="12">
        <f ca="1" t="shared" si="128"/>
        <v>15.7036323164427</v>
      </c>
      <c r="BK146" s="12">
        <f ca="1" t="shared" si="129"/>
        <v>10.9986854280784</v>
      </c>
      <c r="BL146" s="12">
        <f ca="1" t="shared" si="130"/>
        <v>6.27556297485212</v>
      </c>
      <c r="BM146" s="12">
        <f ca="1" t="shared" si="131"/>
        <v>1.22166611689262</v>
      </c>
      <c r="BN146" s="12">
        <f ca="1" t="shared" si="132"/>
        <v>0</v>
      </c>
      <c r="BO146" s="12">
        <f ca="1" t="shared" si="133"/>
        <v>0</v>
      </c>
    </row>
    <row r="147" spans="1:67">
      <c r="A147" s="3">
        <v>117</v>
      </c>
      <c r="B147" s="11">
        <f ca="1" t="shared" si="99"/>
        <v>0.96414137616473</v>
      </c>
      <c r="C147" s="12">
        <f ca="1" t="shared" si="100"/>
        <v>79.0088360102957</v>
      </c>
      <c r="D147" s="11">
        <f ca="1" t="shared" ref="D147:S147" si="185">RAND()</f>
        <v>0.0344787970863571</v>
      </c>
      <c r="E147" s="11">
        <f ca="1" t="shared" si="185"/>
        <v>0.187206166388418</v>
      </c>
      <c r="F147" s="11">
        <f ca="1" t="shared" si="185"/>
        <v>0.186075281176245</v>
      </c>
      <c r="G147" s="11">
        <f ca="1" t="shared" si="185"/>
        <v>0.522574649423281</v>
      </c>
      <c r="H147" s="11">
        <f ca="1" t="shared" si="185"/>
        <v>0.954878533809824</v>
      </c>
      <c r="I147" s="11">
        <f ca="1" t="shared" si="185"/>
        <v>0.588023099139797</v>
      </c>
      <c r="J147" s="11">
        <f ca="1" t="shared" si="185"/>
        <v>0.730934396904408</v>
      </c>
      <c r="K147" s="11">
        <f ca="1" t="shared" si="185"/>
        <v>0.011469987866757</v>
      </c>
      <c r="L147" s="11">
        <f ca="1" t="shared" si="185"/>
        <v>0.28554507248869</v>
      </c>
      <c r="M147" s="11">
        <f ca="1" t="shared" si="185"/>
        <v>0.4938728704715</v>
      </c>
      <c r="N147" s="11">
        <f ca="1" t="shared" si="185"/>
        <v>0.150205959339605</v>
      </c>
      <c r="O147" s="11">
        <f ca="1" t="shared" si="185"/>
        <v>0.234573085447088</v>
      </c>
      <c r="P147" s="11">
        <f ca="1" t="shared" si="185"/>
        <v>0.0299500134169712</v>
      </c>
      <c r="Q147" s="11">
        <f ca="1" t="shared" si="185"/>
        <v>0.317817331130766</v>
      </c>
      <c r="R147" s="11">
        <f ca="1" t="shared" si="185"/>
        <v>0.125038258529839</v>
      </c>
      <c r="S147" s="11">
        <f ca="1" t="shared" si="185"/>
        <v>0.28905382039518</v>
      </c>
      <c r="T147" s="12">
        <f ca="1" t="shared" si="102"/>
        <v>4.0574646618106</v>
      </c>
      <c r="U147" s="12">
        <f ca="1" t="shared" si="103"/>
        <v>4.31201027731403</v>
      </c>
      <c r="V147" s="12">
        <f ca="1" t="shared" si="104"/>
        <v>4.31012546862708</v>
      </c>
      <c r="W147" s="12">
        <f ca="1" t="shared" si="105"/>
        <v>4.7782183117791</v>
      </c>
      <c r="X147" s="12">
        <f ca="1" t="shared" si="106"/>
        <v>5.77439266904912</v>
      </c>
      <c r="Y147" s="12">
        <f ca="1" t="shared" si="107"/>
        <v>4.86002887392475</v>
      </c>
      <c r="Z147" s="12">
        <f ca="1" t="shared" si="108"/>
        <v>5.07733599226102</v>
      </c>
      <c r="AA147" s="12">
        <f ca="1" t="shared" si="109"/>
        <v>4.0191166464446</v>
      </c>
      <c r="AB147" s="12">
        <f ca="1" t="shared" si="110"/>
        <v>4.47590845414782</v>
      </c>
      <c r="AC147" s="12">
        <f ca="1" t="shared" si="111"/>
        <v>4.74234108808938</v>
      </c>
      <c r="AD147" s="12">
        <f ca="1" t="shared" si="112"/>
        <v>4.25034326556601</v>
      </c>
      <c r="AE147" s="12">
        <f ca="1" t="shared" si="113"/>
        <v>4.39095514241181</v>
      </c>
      <c r="AF147" s="12">
        <f ca="1" t="shared" si="114"/>
        <v>4.04991668902829</v>
      </c>
      <c r="AG147" s="12">
        <f ca="1" t="shared" si="115"/>
        <v>4.52227166391346</v>
      </c>
      <c r="AH147" s="12">
        <f ca="1" t="shared" si="116"/>
        <v>4.20839709754973</v>
      </c>
      <c r="AI147" s="12">
        <f ca="1" t="shared" si="117"/>
        <v>4.4817563673253</v>
      </c>
      <c r="AJ147" s="12">
        <f ca="1">SUM($T147:T147)</f>
        <v>4.0574646618106</v>
      </c>
      <c r="AK147" s="12">
        <f ca="1">SUM($T147:U147)</f>
        <v>8.36947493912463</v>
      </c>
      <c r="AL147" s="12">
        <f ca="1">SUM($T147:V147)</f>
        <v>12.6796004077517</v>
      </c>
      <c r="AM147" s="12">
        <f ca="1">SUM($T147:W147)</f>
        <v>17.4578187195308</v>
      </c>
      <c r="AN147" s="12">
        <f ca="1">SUM($T147:X147)</f>
        <v>23.2322113885799</v>
      </c>
      <c r="AO147" s="12">
        <f ca="1">SUM($T147:Y147)</f>
        <v>28.0922402625047</v>
      </c>
      <c r="AP147" s="12">
        <f ca="1">SUM($T147:Z147)</f>
        <v>33.1695762547657</v>
      </c>
      <c r="AQ147" s="12">
        <f ca="1">SUM($T147:AA147)</f>
        <v>37.1886929012103</v>
      </c>
      <c r="AR147" s="12">
        <f ca="1">SUM($T147:AB147)</f>
        <v>41.6646013553581</v>
      </c>
      <c r="AS147" s="12">
        <f ca="1">SUM($T147:AC147)</f>
        <v>46.4069424434475</v>
      </c>
      <c r="AT147" s="12">
        <f ca="1">SUM($T147:AD147)</f>
        <v>50.6572857090135</v>
      </c>
      <c r="AU147" s="12">
        <f ca="1">SUM($T147:AE147)</f>
        <v>55.0482408514253</v>
      </c>
      <c r="AV147" s="12">
        <f ca="1">SUM($T147:AF147)</f>
        <v>59.0981575404536</v>
      </c>
      <c r="AW147" s="12">
        <f ca="1">SUM($T147:AG147)</f>
        <v>63.620429204367</v>
      </c>
      <c r="AX147" s="12">
        <f ca="1">SUM($T147:AH147)</f>
        <v>67.8288263019168</v>
      </c>
      <c r="AY147" s="12">
        <f ca="1">SUM($T147:AI147)</f>
        <v>72.3105826692421</v>
      </c>
      <c r="AZ147" s="12">
        <f ca="1" t="shared" si="118"/>
        <v>74.9513713484851</v>
      </c>
      <c r="BA147" s="12">
        <f ca="1" t="shared" si="119"/>
        <v>70.639361071171</v>
      </c>
      <c r="BB147" s="12">
        <f ca="1" t="shared" si="120"/>
        <v>66.3292356025439</v>
      </c>
      <c r="BC147" s="12">
        <f ca="1" t="shared" si="121"/>
        <v>61.5510172907649</v>
      </c>
      <c r="BD147" s="12">
        <f ca="1" t="shared" si="122"/>
        <v>55.7766246217157</v>
      </c>
      <c r="BE147" s="12">
        <f ca="1" t="shared" si="123"/>
        <v>50.916595747791</v>
      </c>
      <c r="BF147" s="12">
        <f ca="1" t="shared" si="124"/>
        <v>45.83925975553</v>
      </c>
      <c r="BG147" s="12">
        <f ca="1" t="shared" si="125"/>
        <v>41.8201431090854</v>
      </c>
      <c r="BH147" s="12">
        <f ca="1" t="shared" si="126"/>
        <v>37.3442346549376</v>
      </c>
      <c r="BI147" s="12">
        <f ca="1" t="shared" si="127"/>
        <v>32.6018935668482</v>
      </c>
      <c r="BJ147" s="12">
        <f ca="1" t="shared" si="128"/>
        <v>28.3515503012822</v>
      </c>
      <c r="BK147" s="12">
        <f ca="1" t="shared" si="129"/>
        <v>23.9605951588704</v>
      </c>
      <c r="BL147" s="12">
        <f ca="1" t="shared" si="130"/>
        <v>19.9106784698421</v>
      </c>
      <c r="BM147" s="12">
        <f ca="1" t="shared" si="131"/>
        <v>15.3884068059286</v>
      </c>
      <c r="BN147" s="12">
        <f ca="1" t="shared" si="132"/>
        <v>11.1800097083789</v>
      </c>
      <c r="BO147" s="12">
        <f ca="1" t="shared" si="133"/>
        <v>6.69825334105359</v>
      </c>
    </row>
    <row r="148" spans="1:67">
      <c r="A148" s="3">
        <v>118</v>
      </c>
      <c r="B148" s="11">
        <f ca="1" t="shared" si="99"/>
        <v>0.130488204186993</v>
      </c>
      <c r="C148" s="12">
        <f ca="1" t="shared" si="100"/>
        <v>56.0162734728998</v>
      </c>
      <c r="D148" s="11">
        <f ca="1" t="shared" ref="D148:S148" si="186">RAND()</f>
        <v>0.807955264641377</v>
      </c>
      <c r="E148" s="11">
        <f ca="1" t="shared" si="186"/>
        <v>0.256590603172172</v>
      </c>
      <c r="F148" s="11">
        <f ca="1" t="shared" si="186"/>
        <v>0.125034671300837</v>
      </c>
      <c r="G148" s="11">
        <f ca="1" t="shared" si="186"/>
        <v>0.733706944390063</v>
      </c>
      <c r="H148" s="11">
        <f ca="1" t="shared" si="186"/>
        <v>0.748663926299018</v>
      </c>
      <c r="I148" s="11">
        <f ca="1" t="shared" si="186"/>
        <v>0.0673494773167786</v>
      </c>
      <c r="J148" s="11">
        <f ca="1" t="shared" si="186"/>
        <v>0.624436705114259</v>
      </c>
      <c r="K148" s="11">
        <f ca="1" t="shared" si="186"/>
        <v>0.73372453800482</v>
      </c>
      <c r="L148" s="11">
        <f ca="1" t="shared" si="186"/>
        <v>0.36427622737037</v>
      </c>
      <c r="M148" s="11">
        <f ca="1" t="shared" si="186"/>
        <v>0.0547403301312881</v>
      </c>
      <c r="N148" s="11">
        <f ca="1" t="shared" si="186"/>
        <v>0.55220576308939</v>
      </c>
      <c r="O148" s="11">
        <f ca="1" t="shared" si="186"/>
        <v>0.57712556567903</v>
      </c>
      <c r="P148" s="11">
        <f ca="1" t="shared" si="186"/>
        <v>0.57757042575058</v>
      </c>
      <c r="Q148" s="11">
        <f ca="1" t="shared" si="186"/>
        <v>0.48165779892659</v>
      </c>
      <c r="R148" s="11">
        <f ca="1" t="shared" si="186"/>
        <v>0.107971284958521</v>
      </c>
      <c r="S148" s="11">
        <f ca="1" t="shared" si="186"/>
        <v>0.402802980881275</v>
      </c>
      <c r="T148" s="12">
        <f ca="1" t="shared" si="102"/>
        <v>5.26988816160344</v>
      </c>
      <c r="U148" s="12">
        <f ca="1" t="shared" si="103"/>
        <v>4.42765100528695</v>
      </c>
      <c r="V148" s="12">
        <f ca="1" t="shared" si="104"/>
        <v>4.20839111883473</v>
      </c>
      <c r="W148" s="12">
        <f ca="1" t="shared" si="105"/>
        <v>5.08426736097516</v>
      </c>
      <c r="X148" s="12">
        <f ca="1" t="shared" si="106"/>
        <v>5.12165981574755</v>
      </c>
      <c r="Y148" s="12">
        <f ca="1" t="shared" si="107"/>
        <v>4.1122491288613</v>
      </c>
      <c r="Z148" s="12">
        <f ca="1" t="shared" si="108"/>
        <v>4.90554588139282</v>
      </c>
      <c r="AA148" s="12">
        <f ca="1" t="shared" si="109"/>
        <v>5.08431134501205</v>
      </c>
      <c r="AB148" s="12">
        <f ca="1" t="shared" si="110"/>
        <v>4.58034528421296</v>
      </c>
      <c r="AC148" s="12">
        <f ca="1" t="shared" si="111"/>
        <v>4.09123388355215</v>
      </c>
      <c r="AD148" s="12">
        <f ca="1" t="shared" si="112"/>
        <v>4.81525720386174</v>
      </c>
      <c r="AE148" s="12">
        <f ca="1" t="shared" si="113"/>
        <v>4.84640695709879</v>
      </c>
      <c r="AF148" s="12">
        <f ca="1" t="shared" si="114"/>
        <v>4.84696303218823</v>
      </c>
      <c r="AG148" s="12">
        <f ca="1" t="shared" si="115"/>
        <v>4.72707224865824</v>
      </c>
      <c r="AH148" s="12">
        <f ca="1" t="shared" si="116"/>
        <v>4.17995214159753</v>
      </c>
      <c r="AI148" s="12">
        <f ca="1" t="shared" si="117"/>
        <v>4.62850372610159</v>
      </c>
      <c r="AJ148" s="12">
        <f ca="1">SUM($T148:T148)</f>
        <v>5.26988816160344</v>
      </c>
      <c r="AK148" s="12">
        <f ca="1">SUM($T148:U148)</f>
        <v>9.6975391668904</v>
      </c>
      <c r="AL148" s="12">
        <f ca="1">SUM($T148:V148)</f>
        <v>13.9059302857251</v>
      </c>
      <c r="AM148" s="12">
        <f ca="1">SUM($T148:W148)</f>
        <v>18.9901976467003</v>
      </c>
      <c r="AN148" s="12">
        <f ca="1">SUM($T148:X148)</f>
        <v>24.1118574624478</v>
      </c>
      <c r="AO148" s="12">
        <f ca="1">SUM($T148:Y148)</f>
        <v>28.2241065913091</v>
      </c>
      <c r="AP148" s="12">
        <f ca="1">SUM($T148:Z148)</f>
        <v>33.1296524727019</v>
      </c>
      <c r="AQ148" s="12">
        <f ca="1">SUM($T148:AA148)</f>
        <v>38.213963817714</v>
      </c>
      <c r="AR148" s="12">
        <f ca="1">SUM($T148:AB148)</f>
        <v>42.794309101927</v>
      </c>
      <c r="AS148" s="12">
        <f ca="1">SUM($T148:AC148)</f>
        <v>46.8855429854791</v>
      </c>
      <c r="AT148" s="12">
        <f ca="1">SUM($T148:AD148)</f>
        <v>51.7008001893408</v>
      </c>
      <c r="AU148" s="12">
        <f ca="1">SUM($T148:AE148)</f>
        <v>56.5472071464396</v>
      </c>
      <c r="AV148" s="12">
        <f ca="1">SUM($T148:AF148)</f>
        <v>61.3941701786279</v>
      </c>
      <c r="AW148" s="12">
        <f ca="1">SUM($T148:AG148)</f>
        <v>66.1212424272861</v>
      </c>
      <c r="AX148" s="12">
        <f ca="1">SUM($T148:AH148)</f>
        <v>70.3011945688836</v>
      </c>
      <c r="AY148" s="12">
        <f ca="1">SUM($T148:AI148)</f>
        <v>74.9296982949852</v>
      </c>
      <c r="AZ148" s="12">
        <f ca="1" t="shared" si="118"/>
        <v>50.7463853112963</v>
      </c>
      <c r="BA148" s="12">
        <f ca="1" t="shared" si="119"/>
        <v>46.3187343060094</v>
      </c>
      <c r="BB148" s="12">
        <f ca="1" t="shared" si="120"/>
        <v>42.1103431871746</v>
      </c>
      <c r="BC148" s="12">
        <f ca="1" t="shared" si="121"/>
        <v>37.0260758261995</v>
      </c>
      <c r="BD148" s="12">
        <f ca="1" t="shared" si="122"/>
        <v>31.9044160104519</v>
      </c>
      <c r="BE148" s="12">
        <f ca="1" t="shared" si="123"/>
        <v>27.7921668815907</v>
      </c>
      <c r="BF148" s="12">
        <f ca="1" t="shared" si="124"/>
        <v>22.8866210001978</v>
      </c>
      <c r="BG148" s="12">
        <f ca="1" t="shared" si="125"/>
        <v>17.8023096551858</v>
      </c>
      <c r="BH148" s="12">
        <f ca="1" t="shared" si="126"/>
        <v>13.2219643709728</v>
      </c>
      <c r="BI148" s="12">
        <f ca="1" t="shared" si="127"/>
        <v>9.13073048742067</v>
      </c>
      <c r="BJ148" s="12">
        <f ca="1" t="shared" si="128"/>
        <v>4.31547328355894</v>
      </c>
      <c r="BK148" s="12">
        <f ca="1" t="shared" si="129"/>
        <v>0</v>
      </c>
      <c r="BL148" s="12">
        <f ca="1" t="shared" si="130"/>
        <v>0</v>
      </c>
      <c r="BM148" s="12">
        <f ca="1" t="shared" si="131"/>
        <v>0</v>
      </c>
      <c r="BN148" s="12">
        <f ca="1" t="shared" si="132"/>
        <v>0</v>
      </c>
      <c r="BO148" s="12">
        <f ca="1" t="shared" si="133"/>
        <v>0</v>
      </c>
    </row>
    <row r="149" spans="1:67">
      <c r="A149" s="3">
        <v>119</v>
      </c>
      <c r="B149" s="11">
        <f ca="1" t="shared" si="99"/>
        <v>0.0252195007054021</v>
      </c>
      <c r="C149" s="12">
        <f ca="1" t="shared" si="100"/>
        <v>51.2609750352701</v>
      </c>
      <c r="D149" s="11">
        <f ca="1" t="shared" ref="D149:S149" si="187">RAND()</f>
        <v>0.0547368761596301</v>
      </c>
      <c r="E149" s="11">
        <f ca="1" t="shared" si="187"/>
        <v>0.463956721273677</v>
      </c>
      <c r="F149" s="11">
        <f ca="1" t="shared" si="187"/>
        <v>0.286687795837439</v>
      </c>
      <c r="G149" s="11">
        <f ca="1" t="shared" si="187"/>
        <v>0.926265813420437</v>
      </c>
      <c r="H149" s="11">
        <f ca="1" t="shared" si="187"/>
        <v>0.000364794034400928</v>
      </c>
      <c r="I149" s="11">
        <f ca="1" t="shared" si="187"/>
        <v>0.361075640776064</v>
      </c>
      <c r="J149" s="11">
        <f ca="1" t="shared" si="187"/>
        <v>0.611879232265526</v>
      </c>
      <c r="K149" s="11">
        <f ca="1" t="shared" si="187"/>
        <v>0.076588058229925</v>
      </c>
      <c r="L149" s="11">
        <f ca="1" t="shared" si="187"/>
        <v>0.577558710261927</v>
      </c>
      <c r="M149" s="11">
        <f ca="1" t="shared" si="187"/>
        <v>0.652657910369556</v>
      </c>
      <c r="N149" s="11">
        <f ca="1" t="shared" si="187"/>
        <v>0.0344558489161308</v>
      </c>
      <c r="O149" s="11">
        <f ca="1" t="shared" si="187"/>
        <v>0.79571311476951</v>
      </c>
      <c r="P149" s="11">
        <f ca="1" t="shared" si="187"/>
        <v>0.968183958127973</v>
      </c>
      <c r="Q149" s="11">
        <f ca="1" t="shared" si="187"/>
        <v>0.279293118043023</v>
      </c>
      <c r="R149" s="11">
        <f ca="1" t="shared" si="187"/>
        <v>0.402802689199048</v>
      </c>
      <c r="S149" s="11">
        <f ca="1" t="shared" si="187"/>
        <v>0.387165646219802</v>
      </c>
      <c r="T149" s="12">
        <f ca="1" t="shared" si="102"/>
        <v>4.09122812693272</v>
      </c>
      <c r="U149" s="12">
        <f ca="1" t="shared" si="103"/>
        <v>4.7049459015921</v>
      </c>
      <c r="V149" s="12">
        <f ca="1" t="shared" si="104"/>
        <v>4.4778129930624</v>
      </c>
      <c r="W149" s="12">
        <f ca="1" t="shared" si="105"/>
        <v>5.63132906710219</v>
      </c>
      <c r="X149" s="12">
        <f ca="1" t="shared" si="106"/>
        <v>4.00060799005734</v>
      </c>
      <c r="Y149" s="12">
        <f ca="1" t="shared" si="107"/>
        <v>4.57634455097008</v>
      </c>
      <c r="Z149" s="12">
        <f ca="1" t="shared" si="108"/>
        <v>4.88984904033191</v>
      </c>
      <c r="AA149" s="12">
        <f ca="1" t="shared" si="109"/>
        <v>4.12764676371654</v>
      </c>
      <c r="AB149" s="12">
        <f ca="1" t="shared" si="110"/>
        <v>4.84694838782741</v>
      </c>
      <c r="AC149" s="12">
        <f ca="1" t="shared" si="111"/>
        <v>4.94082238796195</v>
      </c>
      <c r="AD149" s="12">
        <f ca="1" t="shared" si="112"/>
        <v>4.05742641486022</v>
      </c>
      <c r="AE149" s="12">
        <f ca="1" t="shared" si="113"/>
        <v>5.23928278692377</v>
      </c>
      <c r="AF149" s="12">
        <f ca="1" t="shared" si="114"/>
        <v>5.84091979063986</v>
      </c>
      <c r="AG149" s="12">
        <f ca="1" t="shared" si="115"/>
        <v>4.4654885300717</v>
      </c>
      <c r="AH149" s="12">
        <f ca="1" t="shared" si="116"/>
        <v>4.62850336149881</v>
      </c>
      <c r="AI149" s="12">
        <f ca="1" t="shared" si="117"/>
        <v>4.60895705777475</v>
      </c>
      <c r="AJ149" s="12">
        <f ca="1">SUM($T149:T149)</f>
        <v>4.09122812693272</v>
      </c>
      <c r="AK149" s="12">
        <f ca="1">SUM($T149:U149)</f>
        <v>8.79617402852481</v>
      </c>
      <c r="AL149" s="12">
        <f ca="1">SUM($T149:V149)</f>
        <v>13.2739870215872</v>
      </c>
      <c r="AM149" s="12">
        <f ca="1">SUM($T149:W149)</f>
        <v>18.9053160886894</v>
      </c>
      <c r="AN149" s="12">
        <f ca="1">SUM($T149:X149)</f>
        <v>22.9059240787467</v>
      </c>
      <c r="AO149" s="12">
        <f ca="1">SUM($T149:Y149)</f>
        <v>27.4822686297168</v>
      </c>
      <c r="AP149" s="12">
        <f ca="1">SUM($T149:Z149)</f>
        <v>32.3721176700487</v>
      </c>
      <c r="AQ149" s="12">
        <f ca="1">SUM($T149:AA149)</f>
        <v>36.4997644337653</v>
      </c>
      <c r="AR149" s="12">
        <f ca="1">SUM($T149:AB149)</f>
        <v>41.3467128215927</v>
      </c>
      <c r="AS149" s="12">
        <f ca="1">SUM($T149:AC149)</f>
        <v>46.2875352095546</v>
      </c>
      <c r="AT149" s="12">
        <f ca="1">SUM($T149:AD149)</f>
        <v>50.3449616244148</v>
      </c>
      <c r="AU149" s="12">
        <f ca="1">SUM($T149:AE149)</f>
        <v>55.5842444113386</v>
      </c>
      <c r="AV149" s="12">
        <f ca="1">SUM($T149:AF149)</f>
        <v>61.4251642019785</v>
      </c>
      <c r="AW149" s="12">
        <f ca="1">SUM($T149:AG149)</f>
        <v>65.8906527320502</v>
      </c>
      <c r="AX149" s="12">
        <f ca="1">SUM($T149:AH149)</f>
        <v>70.519156093549</v>
      </c>
      <c r="AY149" s="12">
        <f ca="1">SUM($T149:AI149)</f>
        <v>75.1281131513238</v>
      </c>
      <c r="AZ149" s="12">
        <f ca="1" t="shared" si="118"/>
        <v>47.1697469083374</v>
      </c>
      <c r="BA149" s="12">
        <f ca="1" t="shared" si="119"/>
        <v>42.4648010067453</v>
      </c>
      <c r="BB149" s="12">
        <f ca="1" t="shared" si="120"/>
        <v>37.9869880136829</v>
      </c>
      <c r="BC149" s="12">
        <f ca="1" t="shared" si="121"/>
        <v>32.3556589465807</v>
      </c>
      <c r="BD149" s="12">
        <f ca="1" t="shared" si="122"/>
        <v>28.3550509565234</v>
      </c>
      <c r="BE149" s="12">
        <f ca="1" t="shared" si="123"/>
        <v>23.7787064055533</v>
      </c>
      <c r="BF149" s="12">
        <f ca="1" t="shared" si="124"/>
        <v>18.8888573652214</v>
      </c>
      <c r="BG149" s="12">
        <f ca="1" t="shared" si="125"/>
        <v>14.7612106015048</v>
      </c>
      <c r="BH149" s="12">
        <f ca="1" t="shared" si="126"/>
        <v>9.91426221367743</v>
      </c>
      <c r="BI149" s="12">
        <f ca="1" t="shared" si="127"/>
        <v>4.97343982571549</v>
      </c>
      <c r="BJ149" s="12">
        <f ca="1" t="shared" si="128"/>
        <v>0.916013410855271</v>
      </c>
      <c r="BK149" s="12">
        <f ca="1" t="shared" si="129"/>
        <v>0</v>
      </c>
      <c r="BL149" s="12">
        <f ca="1" t="shared" si="130"/>
        <v>0</v>
      </c>
      <c r="BM149" s="12">
        <f ca="1" t="shared" si="131"/>
        <v>0</v>
      </c>
      <c r="BN149" s="12">
        <f ca="1" t="shared" si="132"/>
        <v>0</v>
      </c>
      <c r="BO149" s="12">
        <f ca="1" t="shared" si="133"/>
        <v>0</v>
      </c>
    </row>
    <row r="150" spans="1:67">
      <c r="A150" s="3">
        <v>120</v>
      </c>
      <c r="B150" s="11">
        <f ca="1" t="shared" si="99"/>
        <v>0.0920764500003968</v>
      </c>
      <c r="C150" s="12">
        <f ca="1" t="shared" si="100"/>
        <v>54.6038225000198</v>
      </c>
      <c r="D150" s="11">
        <f ca="1" t="shared" ref="D150:S150" si="188">RAND()</f>
        <v>0.00230617819852363</v>
      </c>
      <c r="E150" s="11">
        <f ca="1" t="shared" si="188"/>
        <v>0.954877583738925</v>
      </c>
      <c r="F150" s="11">
        <f ca="1" t="shared" si="188"/>
        <v>0.448164280518635</v>
      </c>
      <c r="G150" s="11">
        <f ca="1" t="shared" si="188"/>
        <v>0.690178389742905</v>
      </c>
      <c r="H150" s="11">
        <f ca="1" t="shared" si="188"/>
        <v>0.678065459430794</v>
      </c>
      <c r="I150" s="11">
        <f ca="1" t="shared" si="188"/>
        <v>0.378447321988334</v>
      </c>
      <c r="J150" s="11">
        <f ca="1" t="shared" si="188"/>
        <v>0.325349178050697</v>
      </c>
      <c r="K150" s="11">
        <f ca="1" t="shared" si="188"/>
        <v>0.728861264609834</v>
      </c>
      <c r="L150" s="11">
        <f ca="1" t="shared" si="188"/>
        <v>0.749602972837351</v>
      </c>
      <c r="M150" s="11">
        <f ca="1" t="shared" si="188"/>
        <v>0.46258784366197</v>
      </c>
      <c r="N150" s="11">
        <f ca="1" t="shared" si="188"/>
        <v>0.778136027933056</v>
      </c>
      <c r="O150" s="11">
        <f ca="1" t="shared" si="188"/>
        <v>0.899571539866317</v>
      </c>
      <c r="P150" s="11">
        <f ca="1" t="shared" si="188"/>
        <v>0.285543469420604</v>
      </c>
      <c r="Q150" s="11">
        <f ca="1" t="shared" si="188"/>
        <v>0.994589340127248</v>
      </c>
      <c r="R150" s="11">
        <f ca="1" t="shared" si="188"/>
        <v>0.678062735685156</v>
      </c>
      <c r="S150" s="11">
        <f ca="1" t="shared" si="188"/>
        <v>0.519974616780685</v>
      </c>
      <c r="T150" s="12">
        <f ca="1" t="shared" si="102"/>
        <v>4.00384363033087</v>
      </c>
      <c r="U150" s="12">
        <f ca="1" t="shared" si="103"/>
        <v>5.77438791869463</v>
      </c>
      <c r="V150" s="12">
        <f ca="1" t="shared" si="104"/>
        <v>4.68520535064829</v>
      </c>
      <c r="W150" s="12">
        <f ca="1" t="shared" si="105"/>
        <v>4.98772298717863</v>
      </c>
      <c r="X150" s="12">
        <f ca="1" t="shared" si="106"/>
        <v>4.97258182428849</v>
      </c>
      <c r="Y150" s="12">
        <f ca="1" t="shared" si="107"/>
        <v>4.59805915248542</v>
      </c>
      <c r="Z150" s="12">
        <f ca="1" t="shared" si="108"/>
        <v>4.53168647256337</v>
      </c>
      <c r="AA150" s="12">
        <f ca="1" t="shared" si="109"/>
        <v>5.07215316152458</v>
      </c>
      <c r="AB150" s="12">
        <f ca="1" t="shared" si="110"/>
        <v>5.12400743209338</v>
      </c>
      <c r="AC150" s="12">
        <f ca="1" t="shared" si="111"/>
        <v>4.70323480457746</v>
      </c>
      <c r="AD150" s="12">
        <f ca="1" t="shared" si="112"/>
        <v>5.19534006983264</v>
      </c>
      <c r="AE150" s="12">
        <f ca="1" t="shared" si="113"/>
        <v>5.49892884966579</v>
      </c>
      <c r="AF150" s="12">
        <f ca="1" t="shared" si="114"/>
        <v>4.47590578236767</v>
      </c>
      <c r="AG150" s="12">
        <f ca="1" t="shared" si="115"/>
        <v>5.97294670063624</v>
      </c>
      <c r="AH150" s="12">
        <f ca="1" t="shared" si="116"/>
        <v>4.97257841960645</v>
      </c>
      <c r="AI150" s="12">
        <f ca="1" t="shared" si="117"/>
        <v>4.77496827097586</v>
      </c>
      <c r="AJ150" s="12">
        <f ca="1">SUM($T150:T150)</f>
        <v>4.00384363033087</v>
      </c>
      <c r="AK150" s="12">
        <f ca="1">SUM($T150:U150)</f>
        <v>9.7782315490255</v>
      </c>
      <c r="AL150" s="12">
        <f ca="1">SUM($T150:V150)</f>
        <v>14.4634368996738</v>
      </c>
      <c r="AM150" s="12">
        <f ca="1">SUM($T150:W150)</f>
        <v>19.4511598868524</v>
      </c>
      <c r="AN150" s="12">
        <f ca="1">SUM($T150:X150)</f>
        <v>24.4237417111409</v>
      </c>
      <c r="AO150" s="12">
        <f ca="1">SUM($T150:Y150)</f>
        <v>29.0218008636263</v>
      </c>
      <c r="AP150" s="12">
        <f ca="1">SUM($T150:Z150)</f>
        <v>33.5534873361897</v>
      </c>
      <c r="AQ150" s="12">
        <f ca="1">SUM($T150:AA150)</f>
        <v>38.6256404977143</v>
      </c>
      <c r="AR150" s="12">
        <f ca="1">SUM($T150:AB150)</f>
        <v>43.7496479298077</v>
      </c>
      <c r="AS150" s="12">
        <f ca="1">SUM($T150:AC150)</f>
        <v>48.4528827343851</v>
      </c>
      <c r="AT150" s="12">
        <f ca="1">SUM($T150:AD150)</f>
        <v>53.6482228042178</v>
      </c>
      <c r="AU150" s="12">
        <f ca="1">SUM($T150:AE150)</f>
        <v>59.1471516538836</v>
      </c>
      <c r="AV150" s="12">
        <f ca="1">SUM($T150:AF150)</f>
        <v>63.6230574362512</v>
      </c>
      <c r="AW150" s="12">
        <f ca="1">SUM($T150:AG150)</f>
        <v>69.5960041368875</v>
      </c>
      <c r="AX150" s="12">
        <f ca="1">SUM($T150:AH150)</f>
        <v>74.5685825564939</v>
      </c>
      <c r="AY150" s="12">
        <f ca="1">SUM($T150:AI150)</f>
        <v>79.3435508274698</v>
      </c>
      <c r="AZ150" s="12">
        <f ca="1" t="shared" si="118"/>
        <v>50.599978869689</v>
      </c>
      <c r="BA150" s="12">
        <f ca="1" t="shared" si="119"/>
        <v>44.8255909509943</v>
      </c>
      <c r="BB150" s="12">
        <f ca="1" t="shared" si="120"/>
        <v>40.140385600346</v>
      </c>
      <c r="BC150" s="12">
        <f ca="1" t="shared" si="121"/>
        <v>35.1526626131674</v>
      </c>
      <c r="BD150" s="12">
        <f ca="1" t="shared" si="122"/>
        <v>30.1800807888789</v>
      </c>
      <c r="BE150" s="12">
        <f ca="1" t="shared" si="123"/>
        <v>25.5820216363935</v>
      </c>
      <c r="BF150" s="12">
        <f ca="1" t="shared" si="124"/>
        <v>21.0503351638301</v>
      </c>
      <c r="BG150" s="12">
        <f ca="1" t="shared" si="125"/>
        <v>15.9781820023056</v>
      </c>
      <c r="BH150" s="12">
        <f ca="1" t="shared" si="126"/>
        <v>10.8541745702122</v>
      </c>
      <c r="BI150" s="12">
        <f ca="1" t="shared" si="127"/>
        <v>6.15093976563471</v>
      </c>
      <c r="BJ150" s="12">
        <f ca="1" t="shared" si="128"/>
        <v>0.955599695802071</v>
      </c>
      <c r="BK150" s="12">
        <f ca="1" t="shared" si="129"/>
        <v>0</v>
      </c>
      <c r="BL150" s="12">
        <f ca="1" t="shared" si="130"/>
        <v>0</v>
      </c>
      <c r="BM150" s="12">
        <f ca="1" t="shared" si="131"/>
        <v>0</v>
      </c>
      <c r="BN150" s="12">
        <f ca="1" t="shared" si="132"/>
        <v>0</v>
      </c>
      <c r="BO150" s="12">
        <f ca="1" t="shared" si="133"/>
        <v>0</v>
      </c>
    </row>
    <row r="151" spans="1:67">
      <c r="A151" s="3">
        <v>121</v>
      </c>
      <c r="B151" s="11">
        <f ca="1" t="shared" si="99"/>
        <v>0.626279846175112</v>
      </c>
      <c r="C151" s="12">
        <f ca="1" t="shared" si="100"/>
        <v>66.0897120882159</v>
      </c>
      <c r="D151" s="11">
        <f ca="1" t="shared" ref="D151:S151" si="189">RAND()</f>
        <v>0.93061797850909</v>
      </c>
      <c r="E151" s="11">
        <f ca="1" t="shared" si="189"/>
        <v>0.350570761716798</v>
      </c>
      <c r="F151" s="11">
        <f ca="1" t="shared" si="189"/>
        <v>0.837525537702786</v>
      </c>
      <c r="G151" s="11">
        <f ca="1" t="shared" si="189"/>
        <v>0.448161622222055</v>
      </c>
      <c r="H151" s="11">
        <f ca="1" t="shared" si="189"/>
        <v>0.745722044799743</v>
      </c>
      <c r="I151" s="11">
        <f ca="1" t="shared" si="189"/>
        <v>0.778133342155184</v>
      </c>
      <c r="J151" s="11">
        <f ca="1" t="shared" si="189"/>
        <v>0.993655263859835</v>
      </c>
      <c r="K151" s="11">
        <f ca="1" t="shared" si="189"/>
        <v>0.624276870754543</v>
      </c>
      <c r="L151" s="11">
        <f ca="1" t="shared" si="189"/>
        <v>0.0684010819363201</v>
      </c>
      <c r="M151" s="11">
        <f ca="1" t="shared" si="189"/>
        <v>0.75211047551446</v>
      </c>
      <c r="N151" s="11">
        <f ca="1" t="shared" si="189"/>
        <v>0.874821235906884</v>
      </c>
      <c r="O151" s="11">
        <f ca="1" t="shared" si="189"/>
        <v>0.816949241838437</v>
      </c>
      <c r="P151" s="11">
        <f ca="1" t="shared" si="189"/>
        <v>0.191454155708116</v>
      </c>
      <c r="Q151" s="11">
        <f ca="1" t="shared" si="189"/>
        <v>0.283718971732137</v>
      </c>
      <c r="R151" s="11">
        <f ca="1" t="shared" si="189"/>
        <v>0.834491862283245</v>
      </c>
      <c r="S151" s="11">
        <f ca="1" t="shared" si="189"/>
        <v>0.320699962005415</v>
      </c>
      <c r="T151" s="12">
        <f ca="1" t="shared" si="102"/>
        <v>5.65308989254545</v>
      </c>
      <c r="U151" s="12">
        <f ca="1" t="shared" si="103"/>
        <v>4.563213452146</v>
      </c>
      <c r="V151" s="12">
        <f ca="1" t="shared" si="104"/>
        <v>5.34381384425696</v>
      </c>
      <c r="W151" s="12">
        <f ca="1" t="shared" si="105"/>
        <v>4.68520202777757</v>
      </c>
      <c r="X151" s="12">
        <f ca="1" t="shared" si="106"/>
        <v>5.11430511199936</v>
      </c>
      <c r="Y151" s="12">
        <f ca="1" t="shared" si="107"/>
        <v>5.19533335538796</v>
      </c>
      <c r="Z151" s="12">
        <f ca="1" t="shared" si="108"/>
        <v>5.96827631929918</v>
      </c>
      <c r="AA151" s="12">
        <f ca="1" t="shared" si="109"/>
        <v>4.90534608844318</v>
      </c>
      <c r="AB151" s="12">
        <f ca="1" t="shared" si="110"/>
        <v>4.1140018032272</v>
      </c>
      <c r="AC151" s="12">
        <f ca="1" t="shared" si="111"/>
        <v>5.13027618878615</v>
      </c>
      <c r="AD151" s="12">
        <f ca="1" t="shared" si="112"/>
        <v>5.43705308976721</v>
      </c>
      <c r="AE151" s="12">
        <f ca="1" t="shared" si="113"/>
        <v>5.29237310459609</v>
      </c>
      <c r="AF151" s="12">
        <f ca="1" t="shared" si="114"/>
        <v>4.31909025951353</v>
      </c>
      <c r="AG151" s="12">
        <f ca="1" t="shared" si="115"/>
        <v>4.4728649528869</v>
      </c>
      <c r="AH151" s="12">
        <f ca="1" t="shared" si="116"/>
        <v>5.33622965570811</v>
      </c>
      <c r="AI151" s="12">
        <f ca="1" t="shared" si="117"/>
        <v>4.52587495250677</v>
      </c>
      <c r="AJ151" s="12">
        <f ca="1">SUM($T151:T151)</f>
        <v>5.65308989254545</v>
      </c>
      <c r="AK151" s="12">
        <f ca="1">SUM($T151:U151)</f>
        <v>10.2163033446915</v>
      </c>
      <c r="AL151" s="12">
        <f ca="1">SUM($T151:V151)</f>
        <v>15.5601171889484</v>
      </c>
      <c r="AM151" s="12">
        <f ca="1">SUM($T151:W151)</f>
        <v>20.245319216726</v>
      </c>
      <c r="AN151" s="12">
        <f ca="1">SUM($T151:X151)</f>
        <v>25.3596243287253</v>
      </c>
      <c r="AO151" s="12">
        <f ca="1">SUM($T151:Y151)</f>
        <v>30.5549576841133</v>
      </c>
      <c r="AP151" s="12">
        <f ca="1">SUM($T151:Z151)</f>
        <v>36.5232340034125</v>
      </c>
      <c r="AQ151" s="12">
        <f ca="1">SUM($T151:AA151)</f>
        <v>41.4285800918557</v>
      </c>
      <c r="AR151" s="12">
        <f ca="1">SUM($T151:AB151)</f>
        <v>45.5425818950829</v>
      </c>
      <c r="AS151" s="12">
        <f ca="1">SUM($T151:AC151)</f>
        <v>50.672858083869</v>
      </c>
      <c r="AT151" s="12">
        <f ca="1">SUM($T151:AD151)</f>
        <v>56.1099111736362</v>
      </c>
      <c r="AU151" s="12">
        <f ca="1">SUM($T151:AE151)</f>
        <v>61.4022842782323</v>
      </c>
      <c r="AV151" s="12">
        <f ca="1">SUM($T151:AF151)</f>
        <v>65.7213745377458</v>
      </c>
      <c r="AW151" s="12">
        <f ca="1">SUM($T151:AG151)</f>
        <v>70.1942394906327</v>
      </c>
      <c r="AX151" s="12">
        <f ca="1">SUM($T151:AH151)</f>
        <v>75.5304691463408</v>
      </c>
      <c r="AY151" s="12">
        <f ca="1">SUM($T151:AI151)</f>
        <v>80.0563440988476</v>
      </c>
      <c r="AZ151" s="12">
        <f ca="1" t="shared" si="118"/>
        <v>60.4366221956704</v>
      </c>
      <c r="BA151" s="12">
        <f ca="1" t="shared" si="119"/>
        <v>55.8734087435244</v>
      </c>
      <c r="BB151" s="12">
        <f ca="1" t="shared" si="120"/>
        <v>50.5295948992675</v>
      </c>
      <c r="BC151" s="12">
        <f ca="1" t="shared" si="121"/>
        <v>45.8443928714899</v>
      </c>
      <c r="BD151" s="12">
        <f ca="1" t="shared" si="122"/>
        <v>40.7300877594905</v>
      </c>
      <c r="BE151" s="12">
        <f ca="1" t="shared" si="123"/>
        <v>35.5347544041026</v>
      </c>
      <c r="BF151" s="12">
        <f ca="1" t="shared" si="124"/>
        <v>29.5664780848034</v>
      </c>
      <c r="BG151" s="12">
        <f ca="1" t="shared" si="125"/>
        <v>24.6611319963602</v>
      </c>
      <c r="BH151" s="12">
        <f ca="1" t="shared" si="126"/>
        <v>20.547130193133</v>
      </c>
      <c r="BI151" s="12">
        <f ca="1" t="shared" si="127"/>
        <v>15.4168540043469</v>
      </c>
      <c r="BJ151" s="12">
        <f ca="1" t="shared" si="128"/>
        <v>9.97980091457966</v>
      </c>
      <c r="BK151" s="12">
        <f ca="1" t="shared" si="129"/>
        <v>4.68742780998356</v>
      </c>
      <c r="BL151" s="12">
        <f ca="1" t="shared" si="130"/>
        <v>0.368337550470031</v>
      </c>
      <c r="BM151" s="12">
        <f ca="1" t="shared" si="131"/>
        <v>0</v>
      </c>
      <c r="BN151" s="12">
        <f ca="1" t="shared" si="132"/>
        <v>0</v>
      </c>
      <c r="BO151" s="12">
        <f ca="1" t="shared" si="133"/>
        <v>0</v>
      </c>
    </row>
    <row r="152" spans="1:67">
      <c r="A152" s="3">
        <v>122</v>
      </c>
      <c r="B152" s="11">
        <f ca="1" t="shared" si="99"/>
        <v>0.316778676292431</v>
      </c>
      <c r="C152" s="12">
        <f ca="1" t="shared" si="100"/>
        <v>61.1129779382072</v>
      </c>
      <c r="D152" s="11">
        <f ca="1" t="shared" ref="D152:S152" si="190">RAND()</f>
        <v>0.752122299733206</v>
      </c>
      <c r="E152" s="11">
        <f ca="1" t="shared" si="190"/>
        <v>0.0687080033270644</v>
      </c>
      <c r="F152" s="11">
        <f ca="1" t="shared" si="190"/>
        <v>0.94255012607974</v>
      </c>
      <c r="G152" s="11">
        <f ca="1" t="shared" si="190"/>
        <v>0.781084035138314</v>
      </c>
      <c r="H152" s="11">
        <f ca="1" t="shared" si="190"/>
        <v>0.320702001234418</v>
      </c>
      <c r="I152" s="11">
        <f ca="1" t="shared" si="190"/>
        <v>0.721561490663609</v>
      </c>
      <c r="J152" s="11">
        <f ca="1" t="shared" si="190"/>
        <v>0.892560404042182</v>
      </c>
      <c r="K152" s="11">
        <f ca="1" t="shared" si="190"/>
        <v>0.868536030962791</v>
      </c>
      <c r="L152" s="11">
        <f ca="1" t="shared" si="190"/>
        <v>0.011453334598581</v>
      </c>
      <c r="M152" s="11">
        <f ca="1" t="shared" si="190"/>
        <v>0.0687020863837273</v>
      </c>
      <c r="N152" s="11">
        <f ca="1" t="shared" si="190"/>
        <v>0.444293685157992</v>
      </c>
      <c r="O152" s="11">
        <f ca="1" t="shared" si="190"/>
        <v>0.389023101712566</v>
      </c>
      <c r="P152" s="11">
        <f ca="1" t="shared" si="190"/>
        <v>0.203270474797942</v>
      </c>
      <c r="Q152" s="11">
        <f ca="1" t="shared" si="190"/>
        <v>0.0363136014254655</v>
      </c>
      <c r="R152" s="11">
        <f ca="1" t="shared" si="190"/>
        <v>0.367077727839145</v>
      </c>
      <c r="S152" s="11">
        <f ca="1" t="shared" si="190"/>
        <v>0.226198322407726</v>
      </c>
      <c r="T152" s="12">
        <f ca="1" t="shared" si="102"/>
        <v>5.13030574933301</v>
      </c>
      <c r="U152" s="12">
        <f ca="1" t="shared" si="103"/>
        <v>4.11451333887844</v>
      </c>
      <c r="V152" s="12">
        <f ca="1" t="shared" si="104"/>
        <v>5.7127506303987</v>
      </c>
      <c r="W152" s="12">
        <f ca="1" t="shared" si="105"/>
        <v>5.20271008784579</v>
      </c>
      <c r="X152" s="12">
        <f ca="1" t="shared" si="106"/>
        <v>4.52587750154302</v>
      </c>
      <c r="Y152" s="12">
        <f ca="1" t="shared" si="107"/>
        <v>5.05390372665902</v>
      </c>
      <c r="Z152" s="12">
        <f ca="1" t="shared" si="108"/>
        <v>5.48140101010546</v>
      </c>
      <c r="AA152" s="12">
        <f ca="1" t="shared" si="109"/>
        <v>5.42134007740698</v>
      </c>
      <c r="AB152" s="12">
        <f ca="1" t="shared" si="110"/>
        <v>4.01908889099763</v>
      </c>
      <c r="AC152" s="12">
        <f ca="1" t="shared" si="111"/>
        <v>4.11450347730621</v>
      </c>
      <c r="AD152" s="12">
        <f ca="1" t="shared" si="112"/>
        <v>4.68036710644749</v>
      </c>
      <c r="AE152" s="12">
        <f ca="1" t="shared" si="113"/>
        <v>4.61127887714071</v>
      </c>
      <c r="AF152" s="12">
        <f ca="1" t="shared" si="114"/>
        <v>4.33878412466324</v>
      </c>
      <c r="AG152" s="12">
        <f ca="1" t="shared" si="115"/>
        <v>4.06052266904244</v>
      </c>
      <c r="AH152" s="12">
        <f ca="1" t="shared" si="116"/>
        <v>4.58384715979893</v>
      </c>
      <c r="AI152" s="12">
        <f ca="1" t="shared" si="117"/>
        <v>4.37699720401288</v>
      </c>
      <c r="AJ152" s="12">
        <f ca="1">SUM($T152:T152)</f>
        <v>5.13030574933301</v>
      </c>
      <c r="AK152" s="12">
        <f ca="1">SUM($T152:U152)</f>
        <v>9.24481908821145</v>
      </c>
      <c r="AL152" s="12">
        <f ca="1">SUM($T152:V152)</f>
        <v>14.9575697186102</v>
      </c>
      <c r="AM152" s="12">
        <f ca="1">SUM($T152:W152)</f>
        <v>20.1602798064559</v>
      </c>
      <c r="AN152" s="12">
        <f ca="1">SUM($T152:X152)</f>
        <v>24.686157307999</v>
      </c>
      <c r="AO152" s="12">
        <f ca="1">SUM($T152:Y152)</f>
        <v>29.740061034658</v>
      </c>
      <c r="AP152" s="12">
        <f ca="1">SUM($T152:Z152)</f>
        <v>35.2214620447634</v>
      </c>
      <c r="AQ152" s="12">
        <f ca="1">SUM($T152:AA152)</f>
        <v>40.6428021221704</v>
      </c>
      <c r="AR152" s="12">
        <f ca="1">SUM($T152:AB152)</f>
        <v>44.6618910131681</v>
      </c>
      <c r="AS152" s="12">
        <f ca="1">SUM($T152:AC152)</f>
        <v>48.7763944904743</v>
      </c>
      <c r="AT152" s="12">
        <f ca="1">SUM($T152:AD152)</f>
        <v>53.4567615969218</v>
      </c>
      <c r="AU152" s="12">
        <f ca="1">SUM($T152:AE152)</f>
        <v>58.0680404740625</v>
      </c>
      <c r="AV152" s="12">
        <f ca="1">SUM($T152:AF152)</f>
        <v>62.4068245987257</v>
      </c>
      <c r="AW152" s="12">
        <f ca="1">SUM($T152:AG152)</f>
        <v>66.4673472677681</v>
      </c>
      <c r="AX152" s="12">
        <f ca="1">SUM($T152:AH152)</f>
        <v>71.0511944275671</v>
      </c>
      <c r="AY152" s="12">
        <f ca="1">SUM($T152:AI152)</f>
        <v>75.42819163158</v>
      </c>
      <c r="AZ152" s="12">
        <f ca="1" t="shared" si="118"/>
        <v>55.9826721888742</v>
      </c>
      <c r="BA152" s="12">
        <f ca="1" t="shared" si="119"/>
        <v>51.8681588499957</v>
      </c>
      <c r="BB152" s="12">
        <f ca="1" t="shared" si="120"/>
        <v>46.155408219597</v>
      </c>
      <c r="BC152" s="12">
        <f ca="1" t="shared" si="121"/>
        <v>40.9526981317512</v>
      </c>
      <c r="BD152" s="12">
        <f ca="1" t="shared" si="122"/>
        <v>36.4268206302082</v>
      </c>
      <c r="BE152" s="12">
        <f ca="1" t="shared" si="123"/>
        <v>31.3729169035492</v>
      </c>
      <c r="BF152" s="12">
        <f ca="1" t="shared" si="124"/>
        <v>25.8915158934437</v>
      </c>
      <c r="BG152" s="12">
        <f ca="1" t="shared" si="125"/>
        <v>20.4701758160368</v>
      </c>
      <c r="BH152" s="12">
        <f ca="1" t="shared" si="126"/>
        <v>16.4510869250391</v>
      </c>
      <c r="BI152" s="12">
        <f ca="1" t="shared" si="127"/>
        <v>12.3365834477329</v>
      </c>
      <c r="BJ152" s="12">
        <f ca="1" t="shared" si="128"/>
        <v>7.65621634128541</v>
      </c>
      <c r="BK152" s="12">
        <f ca="1" t="shared" si="129"/>
        <v>3.0449374641447</v>
      </c>
      <c r="BL152" s="12">
        <f ca="1" t="shared" si="130"/>
        <v>0</v>
      </c>
      <c r="BM152" s="12">
        <f ca="1" t="shared" si="131"/>
        <v>0</v>
      </c>
      <c r="BN152" s="12">
        <f ca="1" t="shared" si="132"/>
        <v>0</v>
      </c>
      <c r="BO152" s="12">
        <f ca="1" t="shared" si="133"/>
        <v>0</v>
      </c>
    </row>
    <row r="153" spans="1:67">
      <c r="A153" s="3">
        <v>123</v>
      </c>
      <c r="B153" s="11">
        <f ca="1" t="shared" si="99"/>
        <v>0.377189547344474</v>
      </c>
      <c r="C153" s="12">
        <f ca="1" t="shared" si="100"/>
        <v>62.1198257890746</v>
      </c>
      <c r="D153" s="11">
        <f ca="1" t="shared" ref="D153:S153" si="191">RAND()</f>
        <v>0.547035010595057</v>
      </c>
      <c r="E153" s="11">
        <f ca="1" t="shared" si="191"/>
        <v>0.868542297868776</v>
      </c>
      <c r="F153" s="11">
        <f ca="1" t="shared" si="191"/>
        <v>0.474438682306732</v>
      </c>
      <c r="G153" s="11">
        <f ca="1" t="shared" si="191"/>
        <v>0.936512161599518</v>
      </c>
      <c r="H153" s="11">
        <f ca="1" t="shared" si="191"/>
        <v>0.35591366523038</v>
      </c>
      <c r="I153" s="11">
        <f ca="1" t="shared" si="191"/>
        <v>0.150179991998033</v>
      </c>
      <c r="J153" s="11">
        <f ca="1" t="shared" si="191"/>
        <v>0.317820418403255</v>
      </c>
      <c r="K153" s="11">
        <f ca="1" t="shared" si="191"/>
        <v>0.884167353295104</v>
      </c>
      <c r="L153" s="11">
        <f ca="1" t="shared" si="191"/>
        <v>0.125051402552726</v>
      </c>
      <c r="M153" s="11">
        <f ca="1" t="shared" si="191"/>
        <v>0.203262955126671</v>
      </c>
      <c r="N153" s="11">
        <f ca="1" t="shared" si="191"/>
        <v>0.757306030134844</v>
      </c>
      <c r="O153" s="11">
        <f ca="1" t="shared" si="191"/>
        <v>0.609473554593435</v>
      </c>
      <c r="P153" s="11">
        <f ca="1" t="shared" si="191"/>
        <v>0.733718290509271</v>
      </c>
      <c r="Q153" s="11">
        <f ca="1" t="shared" si="191"/>
        <v>0.0363102399585136</v>
      </c>
      <c r="R153" s="11">
        <f ca="1" t="shared" si="191"/>
        <v>0.260291917960382</v>
      </c>
      <c r="S153" s="11">
        <f ca="1" t="shared" si="191"/>
        <v>0.469957747311249</v>
      </c>
      <c r="T153" s="12">
        <f ca="1" t="shared" si="102"/>
        <v>4.80879376324382</v>
      </c>
      <c r="U153" s="12">
        <f ca="1" t="shared" si="103"/>
        <v>5.42135574467194</v>
      </c>
      <c r="V153" s="12">
        <f ca="1" t="shared" si="104"/>
        <v>4.71804835288342</v>
      </c>
      <c r="W153" s="12">
        <f ca="1" t="shared" si="105"/>
        <v>5.68256080799759</v>
      </c>
      <c r="X153" s="12">
        <f ca="1" t="shared" si="106"/>
        <v>4.56989208153798</v>
      </c>
      <c r="Y153" s="12">
        <f ca="1" t="shared" si="107"/>
        <v>4.25029998666339</v>
      </c>
      <c r="Z153" s="12">
        <f ca="1" t="shared" si="108"/>
        <v>4.52227552300407</v>
      </c>
      <c r="AA153" s="12">
        <f ca="1" t="shared" si="109"/>
        <v>5.46041838323776</v>
      </c>
      <c r="AB153" s="12">
        <f ca="1" t="shared" si="110"/>
        <v>4.20841900425454</v>
      </c>
      <c r="AC153" s="12">
        <f ca="1" t="shared" si="111"/>
        <v>4.33877159187778</v>
      </c>
      <c r="AD153" s="12">
        <f ca="1" t="shared" si="112"/>
        <v>5.14326507533711</v>
      </c>
      <c r="AE153" s="12">
        <f ca="1" t="shared" si="113"/>
        <v>4.88684194324179</v>
      </c>
      <c r="AF153" s="12">
        <f ca="1" t="shared" si="114"/>
        <v>5.08429572627318</v>
      </c>
      <c r="AG153" s="12">
        <f ca="1" t="shared" si="115"/>
        <v>4.06051706659752</v>
      </c>
      <c r="AH153" s="12">
        <f ca="1" t="shared" si="116"/>
        <v>4.4338198632673</v>
      </c>
      <c r="AI153" s="12">
        <f ca="1" t="shared" si="117"/>
        <v>4.71244718413906</v>
      </c>
      <c r="AJ153" s="12">
        <f ca="1">SUM($T153:T153)</f>
        <v>4.80879376324382</v>
      </c>
      <c r="AK153" s="12">
        <f ca="1">SUM($T153:U153)</f>
        <v>10.2301495079158</v>
      </c>
      <c r="AL153" s="12">
        <f ca="1">SUM($T153:V153)</f>
        <v>14.9481978607992</v>
      </c>
      <c r="AM153" s="12">
        <f ca="1">SUM($T153:W153)</f>
        <v>20.6307586687968</v>
      </c>
      <c r="AN153" s="12">
        <f ca="1">SUM($T153:X153)</f>
        <v>25.2006507503347</v>
      </c>
      <c r="AO153" s="12">
        <f ca="1">SUM($T153:Y153)</f>
        <v>29.4509507369981</v>
      </c>
      <c r="AP153" s="12">
        <f ca="1">SUM($T153:Z153)</f>
        <v>33.9732262600022</v>
      </c>
      <c r="AQ153" s="12">
        <f ca="1">SUM($T153:AA153)</f>
        <v>39.43364464324</v>
      </c>
      <c r="AR153" s="12">
        <f ca="1">SUM($T153:AB153)</f>
        <v>43.6420636474945</v>
      </c>
      <c r="AS153" s="12">
        <f ca="1">SUM($T153:AC153)</f>
        <v>47.9808352393723</v>
      </c>
      <c r="AT153" s="12">
        <f ca="1">SUM($T153:AD153)</f>
        <v>53.1241003147094</v>
      </c>
      <c r="AU153" s="12">
        <f ca="1">SUM($T153:AE153)</f>
        <v>58.0109422579512</v>
      </c>
      <c r="AV153" s="12">
        <f ca="1">SUM($T153:AF153)</f>
        <v>63.0952379842244</v>
      </c>
      <c r="AW153" s="12">
        <f ca="1">SUM($T153:AG153)</f>
        <v>67.1557550508219</v>
      </c>
      <c r="AX153" s="12">
        <f ca="1">SUM($T153:AH153)</f>
        <v>71.5895749140892</v>
      </c>
      <c r="AY153" s="12">
        <f ca="1">SUM($T153:AI153)</f>
        <v>76.3020220982282</v>
      </c>
      <c r="AZ153" s="12">
        <f ca="1" t="shared" si="118"/>
        <v>57.3110320258307</v>
      </c>
      <c r="BA153" s="12">
        <f ca="1" t="shared" si="119"/>
        <v>51.8896762811588</v>
      </c>
      <c r="BB153" s="12">
        <f ca="1" t="shared" si="120"/>
        <v>47.1716279282754</v>
      </c>
      <c r="BC153" s="12">
        <f ca="1" t="shared" si="121"/>
        <v>41.4890671202778</v>
      </c>
      <c r="BD153" s="12">
        <f ca="1" t="shared" si="122"/>
        <v>36.9191750387398</v>
      </c>
      <c r="BE153" s="12">
        <f ca="1" t="shared" si="123"/>
        <v>32.6688750520764</v>
      </c>
      <c r="BF153" s="12">
        <f ca="1" t="shared" si="124"/>
        <v>28.1465995290724</v>
      </c>
      <c r="BG153" s="12">
        <f ca="1" t="shared" si="125"/>
        <v>22.6861811458346</v>
      </c>
      <c r="BH153" s="12">
        <f ca="1" t="shared" si="126"/>
        <v>18.4777621415801</v>
      </c>
      <c r="BI153" s="12">
        <f ca="1" t="shared" si="127"/>
        <v>14.1389905497023</v>
      </c>
      <c r="BJ153" s="12">
        <f ca="1" t="shared" si="128"/>
        <v>8.99572547436517</v>
      </c>
      <c r="BK153" s="12">
        <f ca="1" t="shared" si="129"/>
        <v>4.10888353112338</v>
      </c>
      <c r="BL153" s="12">
        <f ca="1" t="shared" si="130"/>
        <v>0</v>
      </c>
      <c r="BM153" s="12">
        <f ca="1" t="shared" si="131"/>
        <v>0</v>
      </c>
      <c r="BN153" s="12">
        <f ca="1" t="shared" si="132"/>
        <v>0</v>
      </c>
      <c r="BO153" s="12">
        <f ca="1" t="shared" si="133"/>
        <v>0</v>
      </c>
    </row>
    <row r="154" spans="1:67">
      <c r="A154" s="3">
        <v>124</v>
      </c>
      <c r="B154" s="11">
        <f ca="1" t="shared" si="99"/>
        <v>0.927362940236136</v>
      </c>
      <c r="C154" s="12">
        <f ca="1" t="shared" si="100"/>
        <v>76.7101837647585</v>
      </c>
      <c r="D154" s="11">
        <f ca="1" t="shared" ref="D154:S154" si="192">RAND()</f>
        <v>0.304040174264704</v>
      </c>
      <c r="E154" s="11">
        <f ca="1" t="shared" si="192"/>
        <v>0.0899920730630011</v>
      </c>
      <c r="F154" s="11">
        <f ca="1" t="shared" si="192"/>
        <v>0.966673918358184</v>
      </c>
      <c r="G154" s="11">
        <f ca="1" t="shared" si="192"/>
        <v>0.0483503611956264</v>
      </c>
      <c r="H154" s="11">
        <f ca="1" t="shared" si="192"/>
        <v>0.478507722004527</v>
      </c>
      <c r="I154" s="11">
        <f ca="1" t="shared" si="192"/>
        <v>0.870765367456111</v>
      </c>
      <c r="J154" s="11">
        <f ca="1" t="shared" si="192"/>
        <v>0.650737778693609</v>
      </c>
      <c r="K154" s="11">
        <f ca="1" t="shared" si="192"/>
        <v>0.156971422903627</v>
      </c>
      <c r="L154" s="11">
        <f ca="1" t="shared" si="192"/>
        <v>0.491573194324407</v>
      </c>
      <c r="M154" s="11">
        <f ca="1" t="shared" si="192"/>
        <v>0.41826728573556</v>
      </c>
      <c r="N154" s="11">
        <f ca="1" t="shared" si="192"/>
        <v>0.856990581249387</v>
      </c>
      <c r="O154" s="11">
        <f ca="1" t="shared" si="192"/>
        <v>0.519371323166934</v>
      </c>
      <c r="P154" s="11">
        <f ca="1" t="shared" si="192"/>
        <v>0.757024397866134</v>
      </c>
      <c r="Q154" s="11">
        <f ca="1" t="shared" si="192"/>
        <v>0.0547396672351608</v>
      </c>
      <c r="R154" s="11">
        <f ca="1" t="shared" si="192"/>
        <v>0.634886123769054</v>
      </c>
      <c r="S154" s="11">
        <f ca="1" t="shared" si="192"/>
        <v>0.193474800228756</v>
      </c>
      <c r="T154" s="12">
        <f ca="1" t="shared" si="102"/>
        <v>4.50505021783088</v>
      </c>
      <c r="U154" s="12">
        <f ca="1" t="shared" si="103"/>
        <v>4.14998678843834</v>
      </c>
      <c r="V154" s="12">
        <f ca="1" t="shared" si="104"/>
        <v>5.83336959179092</v>
      </c>
      <c r="W154" s="12">
        <f ca="1" t="shared" si="105"/>
        <v>4.08058393532604</v>
      </c>
      <c r="X154" s="12">
        <f ca="1" t="shared" si="106"/>
        <v>4.72313465250566</v>
      </c>
      <c r="Y154" s="12">
        <f ca="1" t="shared" si="107"/>
        <v>5.42691341864028</v>
      </c>
      <c r="Z154" s="12">
        <f ca="1" t="shared" si="108"/>
        <v>4.93842222336701</v>
      </c>
      <c r="AA154" s="12">
        <f ca="1" t="shared" si="109"/>
        <v>4.26161903817271</v>
      </c>
      <c r="AB154" s="12">
        <f ca="1" t="shared" si="110"/>
        <v>4.73946649290551</v>
      </c>
      <c r="AC154" s="12">
        <f ca="1" t="shared" si="111"/>
        <v>4.64783410716945</v>
      </c>
      <c r="AD154" s="12">
        <f ca="1" t="shared" si="112"/>
        <v>5.39247645312347</v>
      </c>
      <c r="AE154" s="12">
        <f ca="1" t="shared" si="113"/>
        <v>4.77421415395867</v>
      </c>
      <c r="AF154" s="12">
        <f ca="1" t="shared" si="114"/>
        <v>5.14256099466534</v>
      </c>
      <c r="AG154" s="12">
        <f ca="1" t="shared" si="115"/>
        <v>4.09123277872527</v>
      </c>
      <c r="AH154" s="12">
        <f ca="1" t="shared" si="116"/>
        <v>4.91860765471132</v>
      </c>
      <c r="AI154" s="12">
        <f ca="1" t="shared" si="117"/>
        <v>4.32245800038126</v>
      </c>
      <c r="AJ154" s="12">
        <f ca="1">SUM($T154:T154)</f>
        <v>4.50505021783088</v>
      </c>
      <c r="AK154" s="12">
        <f ca="1">SUM($T154:U154)</f>
        <v>8.65503700626921</v>
      </c>
      <c r="AL154" s="12">
        <f ca="1">SUM($T154:V154)</f>
        <v>14.4884065980601</v>
      </c>
      <c r="AM154" s="12">
        <f ca="1">SUM($T154:W154)</f>
        <v>18.5689905333862</v>
      </c>
      <c r="AN154" s="12">
        <f ca="1">SUM($T154:X154)</f>
        <v>23.2921251858918</v>
      </c>
      <c r="AO154" s="12">
        <f ca="1">SUM($T154:Y154)</f>
        <v>28.7190386045321</v>
      </c>
      <c r="AP154" s="12">
        <f ca="1">SUM($T154:Z154)</f>
        <v>33.6574608278991</v>
      </c>
      <c r="AQ154" s="12">
        <f ca="1">SUM($T154:AA154)</f>
        <v>37.9190798660718</v>
      </c>
      <c r="AR154" s="12">
        <f ca="1">SUM($T154:AB154)</f>
        <v>42.6585463589773</v>
      </c>
      <c r="AS154" s="12">
        <f ca="1">SUM($T154:AC154)</f>
        <v>47.3063804661468</v>
      </c>
      <c r="AT154" s="12">
        <f ca="1">SUM($T154:AD154)</f>
        <v>52.6988569192703</v>
      </c>
      <c r="AU154" s="12">
        <f ca="1">SUM($T154:AE154)</f>
        <v>57.4730710732289</v>
      </c>
      <c r="AV154" s="12">
        <f ca="1">SUM($T154:AF154)</f>
        <v>62.6156320678943</v>
      </c>
      <c r="AW154" s="12">
        <f ca="1">SUM($T154:AG154)</f>
        <v>66.7068648466195</v>
      </c>
      <c r="AX154" s="12">
        <f ca="1">SUM($T154:AH154)</f>
        <v>71.6254725013309</v>
      </c>
      <c r="AY154" s="12">
        <f ca="1">SUM($T154:AI154)</f>
        <v>75.9479305017121</v>
      </c>
      <c r="AZ154" s="12">
        <f ca="1" t="shared" si="118"/>
        <v>72.2051335469276</v>
      </c>
      <c r="BA154" s="12">
        <f ca="1" t="shared" si="119"/>
        <v>68.0551467584893</v>
      </c>
      <c r="BB154" s="12">
        <f ca="1" t="shared" si="120"/>
        <v>62.2217771666983</v>
      </c>
      <c r="BC154" s="12">
        <f ca="1" t="shared" si="121"/>
        <v>58.1411932313723</v>
      </c>
      <c r="BD154" s="12">
        <f ca="1" t="shared" si="122"/>
        <v>53.4180585788666</v>
      </c>
      <c r="BE154" s="12">
        <f ca="1" t="shared" si="123"/>
        <v>47.9911451602264</v>
      </c>
      <c r="BF154" s="12">
        <f ca="1" t="shared" si="124"/>
        <v>43.0527229368594</v>
      </c>
      <c r="BG154" s="12">
        <f ca="1" t="shared" si="125"/>
        <v>38.7911038986866</v>
      </c>
      <c r="BH154" s="12">
        <f ca="1" t="shared" si="126"/>
        <v>34.0516374057811</v>
      </c>
      <c r="BI154" s="12">
        <f ca="1" t="shared" si="127"/>
        <v>29.4038032986117</v>
      </c>
      <c r="BJ154" s="12">
        <f ca="1" t="shared" si="128"/>
        <v>24.0113268454882</v>
      </c>
      <c r="BK154" s="12">
        <f ca="1" t="shared" si="129"/>
        <v>19.2371126915295</v>
      </c>
      <c r="BL154" s="12">
        <f ca="1" t="shared" si="130"/>
        <v>14.0945516968642</v>
      </c>
      <c r="BM154" s="12">
        <f ca="1" t="shared" si="131"/>
        <v>10.0033189181389</v>
      </c>
      <c r="BN154" s="12">
        <f ca="1" t="shared" si="132"/>
        <v>5.08471126342762</v>
      </c>
      <c r="BO154" s="12">
        <f ca="1" t="shared" si="133"/>
        <v>0.762253263046361</v>
      </c>
    </row>
    <row r="155" spans="1:67">
      <c r="A155" s="3">
        <v>125</v>
      </c>
      <c r="B155" s="11">
        <f ca="1" t="shared" si="99"/>
        <v>0.126928133985601</v>
      </c>
      <c r="C155" s="12">
        <f ca="1" t="shared" si="100"/>
        <v>55.8976044661867</v>
      </c>
      <c r="D155" s="11">
        <f ca="1" t="shared" ref="D155:S155" si="193">RAND()</f>
        <v>0.577556364706014</v>
      </c>
      <c r="E155" s="11">
        <f ca="1" t="shared" si="193"/>
        <v>0.706620387446815</v>
      </c>
      <c r="F155" s="11">
        <f ca="1" t="shared" si="193"/>
        <v>0.53818045021247</v>
      </c>
      <c r="G155" s="11">
        <f ca="1" t="shared" si="193"/>
        <v>0.908606851237514</v>
      </c>
      <c r="H155" s="11">
        <f ca="1" t="shared" si="193"/>
        <v>0.325352007037605</v>
      </c>
      <c r="I155" s="11">
        <f ca="1" t="shared" si="193"/>
        <v>0.126910360906579</v>
      </c>
      <c r="J155" s="11">
        <f ca="1" t="shared" si="193"/>
        <v>0.837529296484317</v>
      </c>
      <c r="K155" s="11">
        <f ca="1" t="shared" si="193"/>
        <v>0.402823966718456</v>
      </c>
      <c r="L155" s="11">
        <f ca="1" t="shared" si="193"/>
        <v>0.445564639030194</v>
      </c>
      <c r="M155" s="11">
        <f ca="1" t="shared" si="193"/>
        <v>0.0683961109929831</v>
      </c>
      <c r="N155" s="11">
        <f ca="1" t="shared" si="193"/>
        <v>0.448167679180283</v>
      </c>
      <c r="O155" s="11">
        <f ca="1" t="shared" si="193"/>
        <v>0.680973963759425</v>
      </c>
      <c r="P155" s="11">
        <f ca="1" t="shared" si="193"/>
        <v>0.834476644383245</v>
      </c>
      <c r="Q155" s="11">
        <f ca="1" t="shared" si="193"/>
        <v>0.77812872636589</v>
      </c>
      <c r="R155" s="11">
        <f ca="1" t="shared" si="193"/>
        <v>0.335037743662933</v>
      </c>
      <c r="S155" s="11">
        <f ca="1" t="shared" si="193"/>
        <v>0.304037090313689</v>
      </c>
      <c r="T155" s="12">
        <f ca="1" t="shared" si="102"/>
        <v>4.84694545588252</v>
      </c>
      <c r="U155" s="12">
        <f ca="1" t="shared" si="103"/>
        <v>5.01655096861704</v>
      </c>
      <c r="V155" s="12">
        <f ca="1" t="shared" si="104"/>
        <v>4.79772556276559</v>
      </c>
      <c r="W155" s="12">
        <f ca="1" t="shared" si="105"/>
        <v>5.54303425618757</v>
      </c>
      <c r="X155" s="12">
        <f ca="1" t="shared" si="106"/>
        <v>4.53169000879701</v>
      </c>
      <c r="Y155" s="12">
        <f ca="1" t="shared" si="107"/>
        <v>4.21151726817763</v>
      </c>
      <c r="Z155" s="12">
        <f ca="1" t="shared" si="108"/>
        <v>5.34382324121079</v>
      </c>
      <c r="AA155" s="12">
        <f ca="1" t="shared" si="109"/>
        <v>4.62852995839807</v>
      </c>
      <c r="AB155" s="12">
        <f ca="1" t="shared" si="110"/>
        <v>4.68195579878774</v>
      </c>
      <c r="AC155" s="12">
        <f ca="1" t="shared" si="111"/>
        <v>4.11399351832164</v>
      </c>
      <c r="AD155" s="12">
        <f ca="1" t="shared" si="112"/>
        <v>4.68520959897535</v>
      </c>
      <c r="AE155" s="12">
        <f ca="1" t="shared" si="113"/>
        <v>4.97621745469928</v>
      </c>
      <c r="AF155" s="12">
        <f ca="1" t="shared" si="114"/>
        <v>5.33619161095811</v>
      </c>
      <c r="AG155" s="12">
        <f ca="1" t="shared" si="115"/>
        <v>5.19532181591472</v>
      </c>
      <c r="AH155" s="12">
        <f ca="1" t="shared" si="116"/>
        <v>4.54379717957867</v>
      </c>
      <c r="AI155" s="12">
        <f ca="1" t="shared" si="117"/>
        <v>4.50504636289211</v>
      </c>
      <c r="AJ155" s="12">
        <f ca="1">SUM($T155:T155)</f>
        <v>4.84694545588252</v>
      </c>
      <c r="AK155" s="12">
        <f ca="1">SUM($T155:U155)</f>
        <v>9.86349642449956</v>
      </c>
      <c r="AL155" s="12">
        <f ca="1">SUM($T155:V155)</f>
        <v>14.6612219872651</v>
      </c>
      <c r="AM155" s="12">
        <f ca="1">SUM($T155:W155)</f>
        <v>20.2042562434527</v>
      </c>
      <c r="AN155" s="12">
        <f ca="1">SUM($T155:X155)</f>
        <v>24.7359462522497</v>
      </c>
      <c r="AO155" s="12">
        <f ca="1">SUM($T155:Y155)</f>
        <v>28.9474635204274</v>
      </c>
      <c r="AP155" s="12">
        <f ca="1">SUM($T155:Z155)</f>
        <v>34.2912867616381</v>
      </c>
      <c r="AQ155" s="12">
        <f ca="1">SUM($T155:AA155)</f>
        <v>38.9198167200362</v>
      </c>
      <c r="AR155" s="12">
        <f ca="1">SUM($T155:AB155)</f>
        <v>43.601772518824</v>
      </c>
      <c r="AS155" s="12">
        <f ca="1">SUM($T155:AC155)</f>
        <v>47.7157660371456</v>
      </c>
      <c r="AT155" s="12">
        <f ca="1">SUM($T155:AD155)</f>
        <v>52.400975636121</v>
      </c>
      <c r="AU155" s="12">
        <f ca="1">SUM($T155:AE155)</f>
        <v>57.3771930908202</v>
      </c>
      <c r="AV155" s="12">
        <f ca="1">SUM($T155:AF155)</f>
        <v>62.7133847017783</v>
      </c>
      <c r="AW155" s="12">
        <f ca="1">SUM($T155:AG155)</f>
        <v>67.9087065176931</v>
      </c>
      <c r="AX155" s="12">
        <f ca="1">SUM($T155:AH155)</f>
        <v>72.4525036972717</v>
      </c>
      <c r="AY155" s="12">
        <f ca="1">SUM($T155:AI155)</f>
        <v>76.9575500601639</v>
      </c>
      <c r="AZ155" s="12">
        <f ca="1" t="shared" si="118"/>
        <v>51.0506590103042</v>
      </c>
      <c r="BA155" s="12">
        <f ca="1" t="shared" si="119"/>
        <v>46.0341080416871</v>
      </c>
      <c r="BB155" s="12">
        <f ca="1" t="shared" si="120"/>
        <v>41.2363824789216</v>
      </c>
      <c r="BC155" s="12">
        <f ca="1" t="shared" si="121"/>
        <v>35.693348222734</v>
      </c>
      <c r="BD155" s="12">
        <f ca="1" t="shared" si="122"/>
        <v>31.161658213937</v>
      </c>
      <c r="BE155" s="12">
        <f ca="1" t="shared" si="123"/>
        <v>26.9501409457594</v>
      </c>
      <c r="BF155" s="12">
        <f ca="1" t="shared" si="124"/>
        <v>21.6063177045486</v>
      </c>
      <c r="BG155" s="12">
        <f ca="1" t="shared" si="125"/>
        <v>16.9777877461505</v>
      </c>
      <c r="BH155" s="12">
        <f ca="1" t="shared" si="126"/>
        <v>12.2958319473627</v>
      </c>
      <c r="BI155" s="12">
        <f ca="1" t="shared" si="127"/>
        <v>8.18183842904111</v>
      </c>
      <c r="BJ155" s="12">
        <f ca="1" t="shared" si="128"/>
        <v>3.49662883006575</v>
      </c>
      <c r="BK155" s="12">
        <f ca="1" t="shared" si="129"/>
        <v>0</v>
      </c>
      <c r="BL155" s="12">
        <f ca="1" t="shared" si="130"/>
        <v>0</v>
      </c>
      <c r="BM155" s="12">
        <f ca="1" t="shared" si="131"/>
        <v>0</v>
      </c>
      <c r="BN155" s="12">
        <f ca="1" t="shared" si="132"/>
        <v>0</v>
      </c>
      <c r="BO155" s="12">
        <f ca="1" t="shared" si="133"/>
        <v>0</v>
      </c>
    </row>
    <row r="156" spans="1:67">
      <c r="A156" s="3">
        <v>126</v>
      </c>
      <c r="B156" s="11">
        <f ca="1" t="shared" si="99"/>
        <v>0.451631608549024</v>
      </c>
      <c r="C156" s="12">
        <f ca="1" t="shared" si="100"/>
        <v>63.3605268091504</v>
      </c>
      <c r="D156" s="11">
        <f ca="1" t="shared" ref="D156:S156" si="194">RAND()</f>
        <v>0.752135217517466</v>
      </c>
      <c r="E156" s="11">
        <f ca="1" t="shared" si="194"/>
        <v>0.870767899131019</v>
      </c>
      <c r="F156" s="11">
        <f ca="1" t="shared" si="194"/>
        <v>0.547049803540933</v>
      </c>
      <c r="G156" s="11">
        <f ca="1" t="shared" si="194"/>
        <v>0.689966759331928</v>
      </c>
      <c r="H156" s="11">
        <f ca="1" t="shared" si="194"/>
        <v>0.320693766873115</v>
      </c>
      <c r="I156" s="11">
        <f ca="1" t="shared" si="194"/>
        <v>0.757296190799154</v>
      </c>
      <c r="J156" s="11">
        <f ca="1" t="shared" si="194"/>
        <v>0.971268042741111</v>
      </c>
      <c r="K156" s="11">
        <f ca="1" t="shared" si="194"/>
        <v>0.210986351781186</v>
      </c>
      <c r="L156" s="11">
        <f ca="1" t="shared" si="194"/>
        <v>0.950911929800527</v>
      </c>
      <c r="M156" s="11">
        <f ca="1" t="shared" si="194"/>
        <v>0.0687106258623129</v>
      </c>
      <c r="N156" s="11">
        <f ca="1" t="shared" si="194"/>
        <v>0.689959688278013</v>
      </c>
      <c r="O156" s="11">
        <f ca="1" t="shared" si="194"/>
        <v>0.260292222524692</v>
      </c>
      <c r="P156" s="11">
        <f ca="1" t="shared" si="194"/>
        <v>0.544643246672054</v>
      </c>
      <c r="Q156" s="11">
        <f ca="1" t="shared" si="194"/>
        <v>0.143005705122495</v>
      </c>
      <c r="R156" s="11">
        <f ca="1" t="shared" si="194"/>
        <v>0.971279675402082</v>
      </c>
      <c r="S156" s="11">
        <f ca="1" t="shared" si="194"/>
        <v>0.654950465717438</v>
      </c>
      <c r="T156" s="12">
        <f ca="1" t="shared" si="102"/>
        <v>5.13033804379367</v>
      </c>
      <c r="U156" s="12">
        <f ca="1" t="shared" si="103"/>
        <v>5.42691974782755</v>
      </c>
      <c r="V156" s="12">
        <f ca="1" t="shared" si="104"/>
        <v>4.80881225442617</v>
      </c>
      <c r="W156" s="12">
        <f ca="1" t="shared" si="105"/>
        <v>4.98745844916491</v>
      </c>
      <c r="X156" s="12">
        <f ca="1" t="shared" si="106"/>
        <v>4.52586720859139</v>
      </c>
      <c r="Y156" s="12">
        <f ca="1" t="shared" si="107"/>
        <v>5.14324047699789</v>
      </c>
      <c r="Z156" s="12">
        <f ca="1" t="shared" si="108"/>
        <v>5.85634021370556</v>
      </c>
      <c r="AA156" s="12">
        <f ca="1" t="shared" si="109"/>
        <v>4.35164391963531</v>
      </c>
      <c r="AB156" s="12">
        <f ca="1" t="shared" si="110"/>
        <v>5.75455964900264</v>
      </c>
      <c r="AC156" s="12">
        <f ca="1" t="shared" si="111"/>
        <v>4.11451770977052</v>
      </c>
      <c r="AD156" s="12">
        <f ca="1" t="shared" si="112"/>
        <v>4.98744961034752</v>
      </c>
      <c r="AE156" s="12">
        <f ca="1" t="shared" si="113"/>
        <v>4.43382037087449</v>
      </c>
      <c r="AF156" s="12">
        <f ca="1" t="shared" si="114"/>
        <v>4.80580405834007</v>
      </c>
      <c r="AG156" s="12">
        <f ca="1" t="shared" si="115"/>
        <v>4.23834284187083</v>
      </c>
      <c r="AH156" s="12">
        <f ca="1" t="shared" si="116"/>
        <v>5.85639837701041</v>
      </c>
      <c r="AI156" s="12">
        <f ca="1" t="shared" si="117"/>
        <v>4.9436880821468</v>
      </c>
      <c r="AJ156" s="12">
        <f ca="1">SUM($T156:T156)</f>
        <v>5.13033804379367</v>
      </c>
      <c r="AK156" s="12">
        <f ca="1">SUM($T156:U156)</f>
        <v>10.5572577916212</v>
      </c>
      <c r="AL156" s="12">
        <f ca="1">SUM($T156:V156)</f>
        <v>15.3660700460474</v>
      </c>
      <c r="AM156" s="12">
        <f ca="1">SUM($T156:W156)</f>
        <v>20.3535284952123</v>
      </c>
      <c r="AN156" s="12">
        <f ca="1">SUM($T156:X156)</f>
        <v>24.8793957038037</v>
      </c>
      <c r="AO156" s="12">
        <f ca="1">SUM($T156:Y156)</f>
        <v>30.0226361808016</v>
      </c>
      <c r="AP156" s="12">
        <f ca="1">SUM($T156:Z156)</f>
        <v>35.8789763945071</v>
      </c>
      <c r="AQ156" s="12">
        <f ca="1">SUM($T156:AA156)</f>
        <v>40.2306203141424</v>
      </c>
      <c r="AR156" s="12">
        <f ca="1">SUM($T156:AB156)</f>
        <v>45.9851799631451</v>
      </c>
      <c r="AS156" s="12">
        <f ca="1">SUM($T156:AC156)</f>
        <v>50.0996976729156</v>
      </c>
      <c r="AT156" s="12">
        <f ca="1">SUM($T156:AD156)</f>
        <v>55.0871472832631</v>
      </c>
      <c r="AU156" s="12">
        <f ca="1">SUM($T156:AE156)</f>
        <v>59.5209676541376</v>
      </c>
      <c r="AV156" s="12">
        <f ca="1">SUM($T156:AF156)</f>
        <v>64.3267717124777</v>
      </c>
      <c r="AW156" s="12">
        <f ca="1">SUM($T156:AG156)</f>
        <v>68.5651145543485</v>
      </c>
      <c r="AX156" s="12">
        <f ca="1">SUM($T156:AH156)</f>
        <v>74.4215129313589</v>
      </c>
      <c r="AY156" s="12">
        <f ca="1">SUM($T156:AI156)</f>
        <v>79.3652010135057</v>
      </c>
      <c r="AZ156" s="12">
        <f ca="1" t="shared" si="118"/>
        <v>58.2301887653567</v>
      </c>
      <c r="BA156" s="12">
        <f ca="1" t="shared" si="119"/>
        <v>52.8032690175292</v>
      </c>
      <c r="BB156" s="12">
        <f ca="1" t="shared" si="120"/>
        <v>47.994456763103</v>
      </c>
      <c r="BC156" s="12">
        <f ca="1" t="shared" si="121"/>
        <v>43.0069983139381</v>
      </c>
      <c r="BD156" s="12">
        <f ca="1" t="shared" si="122"/>
        <v>38.4811311053467</v>
      </c>
      <c r="BE156" s="12">
        <f ca="1" t="shared" si="123"/>
        <v>33.3378906283488</v>
      </c>
      <c r="BF156" s="12">
        <f ca="1" t="shared" si="124"/>
        <v>27.4815504146433</v>
      </c>
      <c r="BG156" s="12">
        <f ca="1" t="shared" si="125"/>
        <v>23.129906495008</v>
      </c>
      <c r="BH156" s="12">
        <f ca="1" t="shared" si="126"/>
        <v>17.3753468460053</v>
      </c>
      <c r="BI156" s="12">
        <f ca="1" t="shared" si="127"/>
        <v>13.2608291362348</v>
      </c>
      <c r="BJ156" s="12">
        <f ca="1" t="shared" si="128"/>
        <v>8.27337952588729</v>
      </c>
      <c r="BK156" s="12">
        <f ca="1" t="shared" si="129"/>
        <v>3.8395591550128</v>
      </c>
      <c r="BL156" s="12">
        <f ca="1" t="shared" si="130"/>
        <v>0</v>
      </c>
      <c r="BM156" s="12">
        <f ca="1" t="shared" si="131"/>
        <v>0</v>
      </c>
      <c r="BN156" s="12">
        <f ca="1" t="shared" si="132"/>
        <v>0</v>
      </c>
      <c r="BO156" s="12">
        <f ca="1" t="shared" si="133"/>
        <v>0</v>
      </c>
    </row>
    <row r="157" spans="1:67">
      <c r="A157" s="3">
        <v>127</v>
      </c>
      <c r="B157" s="11">
        <f ca="1" t="shared" si="99"/>
        <v>0.893915329566109</v>
      </c>
      <c r="C157" s="12">
        <f ca="1" t="shared" si="100"/>
        <v>69.9130761366587</v>
      </c>
      <c r="D157" s="11">
        <f ca="1" t="shared" ref="D157:S157" si="195">RAND()</f>
        <v>0.544619181265803</v>
      </c>
      <c r="E157" s="11">
        <f ca="1" t="shared" si="195"/>
        <v>0.524340117862645</v>
      </c>
      <c r="F157" s="11">
        <f ca="1" t="shared" si="195"/>
        <v>0.4784888994969</v>
      </c>
      <c r="G157" s="11">
        <f ca="1" t="shared" si="195"/>
        <v>0.141258915332572</v>
      </c>
      <c r="H157" s="11">
        <f ca="1" t="shared" si="195"/>
        <v>0.141235447711723</v>
      </c>
      <c r="I157" s="11">
        <f ca="1" t="shared" si="195"/>
        <v>0.091015183562601</v>
      </c>
      <c r="J157" s="11">
        <f ca="1" t="shared" si="195"/>
        <v>0.908623671046903</v>
      </c>
      <c r="K157" s="11">
        <f ca="1" t="shared" si="195"/>
        <v>0.610573714398815</v>
      </c>
      <c r="L157" s="11">
        <f ca="1" t="shared" si="195"/>
        <v>0.126914731788959</v>
      </c>
      <c r="M157" s="11">
        <f ca="1" t="shared" si="195"/>
        <v>0.462351444085956</v>
      </c>
      <c r="N157" s="11">
        <f ca="1" t="shared" si="195"/>
        <v>0.207073422422254</v>
      </c>
      <c r="O157" s="11">
        <f ca="1" t="shared" si="195"/>
        <v>0.445573249678559</v>
      </c>
      <c r="P157" s="11">
        <f ca="1" t="shared" si="195"/>
        <v>0.836521326324329</v>
      </c>
      <c r="Q157" s="11">
        <f ca="1" t="shared" si="195"/>
        <v>0.683291226368292</v>
      </c>
      <c r="R157" s="11">
        <f ca="1" t="shared" si="195"/>
        <v>0.680976702368025</v>
      </c>
      <c r="S157" s="11">
        <f ca="1" t="shared" si="195"/>
        <v>0.102879616489338</v>
      </c>
      <c r="T157" s="12">
        <f ca="1" t="shared" si="102"/>
        <v>4.80577397658225</v>
      </c>
      <c r="U157" s="12">
        <f ca="1" t="shared" si="103"/>
        <v>4.78042514732831</v>
      </c>
      <c r="V157" s="12">
        <f ca="1" t="shared" si="104"/>
        <v>4.72311112437113</v>
      </c>
      <c r="W157" s="12">
        <f ca="1" t="shared" si="105"/>
        <v>4.23543152555429</v>
      </c>
      <c r="X157" s="12">
        <f ca="1" t="shared" si="106"/>
        <v>4.23539241285287</v>
      </c>
      <c r="Y157" s="12">
        <f ca="1" t="shared" si="107"/>
        <v>4.15169197260434</v>
      </c>
      <c r="Z157" s="12">
        <f ca="1" t="shared" si="108"/>
        <v>5.54311835523452</v>
      </c>
      <c r="AA157" s="12">
        <f ca="1" t="shared" si="109"/>
        <v>4.88821714299852</v>
      </c>
      <c r="AB157" s="12">
        <f ca="1" t="shared" si="110"/>
        <v>4.2115245529816</v>
      </c>
      <c r="AC157" s="12">
        <f ca="1" t="shared" si="111"/>
        <v>4.70293930510745</v>
      </c>
      <c r="AD157" s="12">
        <f ca="1" t="shared" si="112"/>
        <v>4.34512237070376</v>
      </c>
      <c r="AE157" s="12">
        <f ca="1" t="shared" si="113"/>
        <v>4.6819665620982</v>
      </c>
      <c r="AF157" s="12">
        <f ca="1" t="shared" si="114"/>
        <v>5.34130331581082</v>
      </c>
      <c r="AG157" s="12">
        <f ca="1" t="shared" si="115"/>
        <v>4.97911403296037</v>
      </c>
      <c r="AH157" s="12">
        <f ca="1" t="shared" si="116"/>
        <v>4.97622087796003</v>
      </c>
      <c r="AI157" s="12">
        <f ca="1" t="shared" si="117"/>
        <v>4.17146602748223</v>
      </c>
      <c r="AJ157" s="12">
        <f ca="1">SUM($T157:T157)</f>
        <v>4.80577397658225</v>
      </c>
      <c r="AK157" s="12">
        <f ca="1">SUM($T157:U157)</f>
        <v>9.58619912391056</v>
      </c>
      <c r="AL157" s="12">
        <f ca="1">SUM($T157:V157)</f>
        <v>14.3093102482817</v>
      </c>
      <c r="AM157" s="12">
        <f ca="1">SUM($T157:W157)</f>
        <v>18.544741773836</v>
      </c>
      <c r="AN157" s="12">
        <f ca="1">SUM($T157:X157)</f>
        <v>22.7801341866888</v>
      </c>
      <c r="AO157" s="12">
        <f ca="1">SUM($T157:Y157)</f>
        <v>26.9318261592932</v>
      </c>
      <c r="AP157" s="12">
        <f ca="1">SUM($T157:Z157)</f>
        <v>32.4749445145277</v>
      </c>
      <c r="AQ157" s="12">
        <f ca="1">SUM($T157:AA157)</f>
        <v>37.3631616575262</v>
      </c>
      <c r="AR157" s="12">
        <f ca="1">SUM($T157:AB157)</f>
        <v>41.5746862105078</v>
      </c>
      <c r="AS157" s="12">
        <f ca="1">SUM($T157:AC157)</f>
        <v>46.2776255156153</v>
      </c>
      <c r="AT157" s="12">
        <f ca="1">SUM($T157:AD157)</f>
        <v>50.622747886319</v>
      </c>
      <c r="AU157" s="12">
        <f ca="1">SUM($T157:AE157)</f>
        <v>55.3047144484172</v>
      </c>
      <c r="AV157" s="12">
        <f ca="1">SUM($T157:AF157)</f>
        <v>60.646017764228</v>
      </c>
      <c r="AW157" s="12">
        <f ca="1">SUM($T157:AG157)</f>
        <v>65.6251317971884</v>
      </c>
      <c r="AX157" s="12">
        <f ca="1">SUM($T157:AH157)</f>
        <v>70.6013526751484</v>
      </c>
      <c r="AY157" s="12">
        <f ca="1">SUM($T157:AI157)</f>
        <v>74.7728187026307</v>
      </c>
      <c r="AZ157" s="12">
        <f ca="1" t="shared" si="118"/>
        <v>65.1073021600764</v>
      </c>
      <c r="BA157" s="12">
        <f ca="1" t="shared" si="119"/>
        <v>60.3268770127481</v>
      </c>
      <c r="BB157" s="12">
        <f ca="1" t="shared" si="120"/>
        <v>55.603765888377</v>
      </c>
      <c r="BC157" s="12">
        <f ca="1" t="shared" si="121"/>
        <v>51.3683343628227</v>
      </c>
      <c r="BD157" s="12">
        <f ca="1" t="shared" si="122"/>
        <v>47.1329419499699</v>
      </c>
      <c r="BE157" s="12">
        <f ca="1" t="shared" si="123"/>
        <v>42.9812499773655</v>
      </c>
      <c r="BF157" s="12">
        <f ca="1" t="shared" si="124"/>
        <v>37.438131622131</v>
      </c>
      <c r="BG157" s="12">
        <f ca="1" t="shared" si="125"/>
        <v>32.5499144791325</v>
      </c>
      <c r="BH157" s="12">
        <f ca="1" t="shared" si="126"/>
        <v>28.3383899261509</v>
      </c>
      <c r="BI157" s="12">
        <f ca="1" t="shared" si="127"/>
        <v>23.6354506210434</v>
      </c>
      <c r="BJ157" s="12">
        <f ca="1" t="shared" si="128"/>
        <v>19.2903282503397</v>
      </c>
      <c r="BK157" s="12">
        <f ca="1" t="shared" si="129"/>
        <v>14.6083616882415</v>
      </c>
      <c r="BL157" s="12">
        <f ca="1" t="shared" si="130"/>
        <v>9.26705837243066</v>
      </c>
      <c r="BM157" s="12">
        <f ca="1" t="shared" si="131"/>
        <v>4.2879443394703</v>
      </c>
      <c r="BN157" s="12">
        <f ca="1" t="shared" si="132"/>
        <v>0</v>
      </c>
      <c r="BO157" s="12">
        <f ca="1" t="shared" si="133"/>
        <v>0</v>
      </c>
    </row>
    <row r="158" spans="1:67">
      <c r="A158" s="3">
        <v>128</v>
      </c>
      <c r="B158" s="11">
        <f ca="1" t="shared" si="99"/>
        <v>0.727485350797812</v>
      </c>
      <c r="C158" s="12">
        <f ca="1" t="shared" si="100"/>
        <v>67.5355050113973</v>
      </c>
      <c r="D158" s="11">
        <f ca="1" t="shared" ref="D158:S158" si="196">RAND()</f>
        <v>0.9787902837693</v>
      </c>
      <c r="E158" s="11">
        <f ca="1" t="shared" si="196"/>
        <v>0.335051544504704</v>
      </c>
      <c r="F158" s="11">
        <f ca="1" t="shared" si="196"/>
        <v>0.974911935167093</v>
      </c>
      <c r="G158" s="11">
        <f ca="1" t="shared" si="196"/>
        <v>0.460730435806088</v>
      </c>
      <c r="H158" s="11">
        <f ca="1" t="shared" si="196"/>
        <v>0.0129490409685287</v>
      </c>
      <c r="I158" s="11">
        <f ca="1" t="shared" si="196"/>
        <v>0.824432877997201</v>
      </c>
      <c r="J158" s="11">
        <f ca="1" t="shared" si="196"/>
        <v>0.182731550250173</v>
      </c>
      <c r="K158" s="11">
        <f ca="1" t="shared" si="196"/>
        <v>0.610593614532154</v>
      </c>
      <c r="L158" s="11">
        <f ca="1" t="shared" si="196"/>
        <v>0.917589910578956</v>
      </c>
      <c r="M158" s="11">
        <f ca="1" t="shared" si="196"/>
        <v>0.462346670000929</v>
      </c>
      <c r="N158" s="11">
        <f ca="1" t="shared" si="196"/>
        <v>0.399411547140275</v>
      </c>
      <c r="O158" s="11">
        <f ca="1" t="shared" si="196"/>
        <v>0.868548886042849</v>
      </c>
      <c r="P158" s="11">
        <f ca="1" t="shared" si="196"/>
        <v>0.446102725911257</v>
      </c>
      <c r="Q158" s="11">
        <f ca="1" t="shared" si="196"/>
        <v>0.836526945631886</v>
      </c>
      <c r="R158" s="11">
        <f ca="1" t="shared" si="196"/>
        <v>0.950900688205907</v>
      </c>
      <c r="S158" s="11">
        <f ca="1" t="shared" si="196"/>
        <v>0.57816462835144</v>
      </c>
      <c r="T158" s="12">
        <f ca="1" t="shared" si="102"/>
        <v>5.8939514188465</v>
      </c>
      <c r="U158" s="12">
        <f ca="1" t="shared" si="103"/>
        <v>4.54381443063088</v>
      </c>
      <c r="V158" s="12">
        <f ca="1" t="shared" si="104"/>
        <v>5.87455967583547</v>
      </c>
      <c r="W158" s="12">
        <f ca="1" t="shared" si="105"/>
        <v>4.70091304475761</v>
      </c>
      <c r="X158" s="12">
        <f ca="1" t="shared" si="106"/>
        <v>4.02158173494755</v>
      </c>
      <c r="Y158" s="12">
        <f ca="1" t="shared" si="107"/>
        <v>5.311082194993</v>
      </c>
      <c r="Z158" s="12">
        <f ca="1" t="shared" si="108"/>
        <v>4.30455258375029</v>
      </c>
      <c r="AA158" s="12">
        <f ca="1" t="shared" si="109"/>
        <v>4.88824201816519</v>
      </c>
      <c r="AB158" s="12">
        <f ca="1" t="shared" si="110"/>
        <v>5.58794955289478</v>
      </c>
      <c r="AC158" s="12">
        <f ca="1" t="shared" si="111"/>
        <v>4.70293333750116</v>
      </c>
      <c r="AD158" s="12">
        <f ca="1" t="shared" si="112"/>
        <v>4.62426443392534</v>
      </c>
      <c r="AE158" s="12">
        <f ca="1" t="shared" si="113"/>
        <v>5.42137221510712</v>
      </c>
      <c r="AF158" s="12">
        <f ca="1" t="shared" si="114"/>
        <v>4.68262840738907</v>
      </c>
      <c r="AG158" s="12">
        <f ca="1" t="shared" si="115"/>
        <v>5.34131736407972</v>
      </c>
      <c r="AH158" s="12">
        <f ca="1" t="shared" si="116"/>
        <v>5.75450344102953</v>
      </c>
      <c r="AI158" s="12">
        <f ca="1" t="shared" si="117"/>
        <v>4.8477057854393</v>
      </c>
      <c r="AJ158" s="12">
        <f ca="1">SUM($T158:T158)</f>
        <v>5.8939514188465</v>
      </c>
      <c r="AK158" s="12">
        <f ca="1">SUM($T158:U158)</f>
        <v>10.4377658494774</v>
      </c>
      <c r="AL158" s="12">
        <f ca="1">SUM($T158:V158)</f>
        <v>16.3123255253128</v>
      </c>
      <c r="AM158" s="12">
        <f ca="1">SUM($T158:W158)</f>
        <v>21.0132385700705</v>
      </c>
      <c r="AN158" s="12">
        <f ca="1">SUM($T158:X158)</f>
        <v>25.034820305018</v>
      </c>
      <c r="AO158" s="12">
        <f ca="1">SUM($T158:Y158)</f>
        <v>30.345902500011</v>
      </c>
      <c r="AP158" s="12">
        <f ca="1">SUM($T158:Z158)</f>
        <v>34.6504550837613</v>
      </c>
      <c r="AQ158" s="12">
        <f ca="1">SUM($T158:AA158)</f>
        <v>39.5386971019265</v>
      </c>
      <c r="AR158" s="12">
        <f ca="1">SUM($T158:AB158)</f>
        <v>45.1266466548213</v>
      </c>
      <c r="AS158" s="12">
        <f ca="1">SUM($T158:AC158)</f>
        <v>49.8295799923224</v>
      </c>
      <c r="AT158" s="12">
        <f ca="1">SUM($T158:AD158)</f>
        <v>54.4538444262478</v>
      </c>
      <c r="AU158" s="12">
        <f ca="1">SUM($T158:AE158)</f>
        <v>59.8752166413549</v>
      </c>
      <c r="AV158" s="12">
        <f ca="1">SUM($T158:AF158)</f>
        <v>64.557845048744</v>
      </c>
      <c r="AW158" s="12">
        <f ca="1">SUM($T158:AG158)</f>
        <v>69.8991624128237</v>
      </c>
      <c r="AX158" s="12">
        <f ca="1">SUM($T158:AH158)</f>
        <v>75.6536658538532</v>
      </c>
      <c r="AY158" s="12">
        <f ca="1">SUM($T158:AI158)</f>
        <v>80.5013716392925</v>
      </c>
      <c r="AZ158" s="12">
        <f ca="1" t="shared" si="118"/>
        <v>61.6415535925508</v>
      </c>
      <c r="BA158" s="12">
        <f ca="1" t="shared" si="119"/>
        <v>57.0977391619199</v>
      </c>
      <c r="BB158" s="12">
        <f ca="1" t="shared" si="120"/>
        <v>51.2231794860845</v>
      </c>
      <c r="BC158" s="12">
        <f ca="1" t="shared" si="121"/>
        <v>46.5222664413269</v>
      </c>
      <c r="BD158" s="12">
        <f ca="1" t="shared" si="122"/>
        <v>42.5006847063793</v>
      </c>
      <c r="BE158" s="12">
        <f ca="1" t="shared" si="123"/>
        <v>37.1896025113863</v>
      </c>
      <c r="BF158" s="12">
        <f ca="1" t="shared" si="124"/>
        <v>32.885049927636</v>
      </c>
      <c r="BG158" s="12">
        <f ca="1" t="shared" si="125"/>
        <v>27.9968079094708</v>
      </c>
      <c r="BH158" s="12">
        <f ca="1" t="shared" si="126"/>
        <v>22.408858356576</v>
      </c>
      <c r="BI158" s="12">
        <f ca="1" t="shared" si="127"/>
        <v>17.7059250190749</v>
      </c>
      <c r="BJ158" s="12">
        <f ca="1" t="shared" si="128"/>
        <v>13.0816605851495</v>
      </c>
      <c r="BK158" s="12">
        <f ca="1" t="shared" si="129"/>
        <v>7.66028837004242</v>
      </c>
      <c r="BL158" s="12">
        <f ca="1" t="shared" si="130"/>
        <v>2.97765996265335</v>
      </c>
      <c r="BM158" s="12">
        <f ca="1" t="shared" si="131"/>
        <v>0</v>
      </c>
      <c r="BN158" s="12">
        <f ca="1" t="shared" si="132"/>
        <v>0</v>
      </c>
      <c r="BO158" s="12">
        <f ca="1" t="shared" si="133"/>
        <v>0</v>
      </c>
    </row>
    <row r="159" spans="1:67">
      <c r="A159" s="3">
        <v>129</v>
      </c>
      <c r="B159" s="11">
        <f ca="1" t="shared" ref="B159:B222" si="197">RAND()</f>
        <v>0.248204302419206</v>
      </c>
      <c r="C159" s="12">
        <f ca="1" t="shared" ref="C159:C222" si="198">LOOKUP(B159,$E$12:$E$17,$A$12:$A$17)+LOOKUP(B159,$E$12:$E$17,$D$12:$D$17)*(B159-LOOKUP(B159,$E$12:$E$17))/LOOKUP(B159,$E$12:$E$17,$C$12:$C$17)</f>
        <v>59.9401434139735</v>
      </c>
      <c r="D159" s="11">
        <f ca="1" t="shared" ref="D159:S159" si="199">RAND()</f>
        <v>0.889740467678022</v>
      </c>
      <c r="E159" s="11">
        <f ca="1" t="shared" si="199"/>
        <v>0.870903118205873</v>
      </c>
      <c r="F159" s="11">
        <f ca="1" t="shared" si="199"/>
        <v>0.203259751140546</v>
      </c>
      <c r="G159" s="11">
        <f ca="1" t="shared" si="199"/>
        <v>0.102889135319095</v>
      </c>
      <c r="H159" s="11">
        <f ca="1" t="shared" si="199"/>
        <v>0.207069158692902</v>
      </c>
      <c r="I159" s="11">
        <f ca="1" t="shared" si="199"/>
        <v>0.905057736121292</v>
      </c>
      <c r="J159" s="11">
        <f ca="1" t="shared" si="199"/>
        <v>0.974903944141097</v>
      </c>
      <c r="K159" s="11">
        <f ca="1" t="shared" si="199"/>
        <v>0.683316197694931</v>
      </c>
      <c r="L159" s="11">
        <f ca="1" t="shared" si="199"/>
        <v>0.481833646760059</v>
      </c>
      <c r="M159" s="11">
        <f ca="1" t="shared" si="199"/>
        <v>0.859109251310999</v>
      </c>
      <c r="N159" s="11">
        <f ca="1" t="shared" si="199"/>
        <v>0.797216765138433</v>
      </c>
      <c r="O159" s="11">
        <f ca="1" t="shared" si="199"/>
        <v>0.97881663210184</v>
      </c>
      <c r="P159" s="11">
        <f ca="1" t="shared" si="199"/>
        <v>0.175416606920583</v>
      </c>
      <c r="Q159" s="11">
        <f ca="1" t="shared" si="199"/>
        <v>0.036308082109574</v>
      </c>
      <c r="R159" s="11">
        <f ca="1" t="shared" si="199"/>
        <v>0.1511332100256</v>
      </c>
      <c r="S159" s="11">
        <f ca="1" t="shared" si="199"/>
        <v>0.556727278173874</v>
      </c>
      <c r="T159" s="12">
        <f ca="1" t="shared" ref="T159:T222" si="200">LOOKUP(D159,$E$23:$E$26,$A$23:$A$26)+LOOKUP(D159,$E$23:$E$26,$D$23:$D$26)*(D159-LOOKUP(D159,$E$23:$E$26))/LOOKUP(D159,$E$23:$E$26,$C$23:$C$26)</f>
        <v>5.47435116919505</v>
      </c>
      <c r="U159" s="12">
        <f ca="1" t="shared" ref="U159:U222" si="201">LOOKUP(E159,$E$23:$E$26,$A$23:$A$26)+LOOKUP(E159,$E$23:$E$26,$D$23:$D$26)*(E159-LOOKUP(E159,$E$23:$E$26))/LOOKUP(E159,$E$23:$E$26,$C$23:$C$26)</f>
        <v>5.42725779551468</v>
      </c>
      <c r="V159" s="12">
        <f ca="1" t="shared" ref="V159:V222" si="202">LOOKUP(F159,$E$23:$E$26,$A$23:$A$26)+LOOKUP(F159,$E$23:$E$26,$D$23:$D$26)*(F159-LOOKUP(F159,$E$23:$E$26))/LOOKUP(F159,$E$23:$E$26,$C$23:$C$26)</f>
        <v>4.33876625190091</v>
      </c>
      <c r="W159" s="12">
        <f ca="1" t="shared" ref="W159:W222" si="203">LOOKUP(G159,$E$23:$E$26,$A$23:$A$26)+LOOKUP(G159,$E$23:$E$26,$D$23:$D$26)*(G159-LOOKUP(G159,$E$23:$E$26))/LOOKUP(G159,$E$23:$E$26,$C$23:$C$26)</f>
        <v>4.17148189219849</v>
      </c>
      <c r="X159" s="12">
        <f ca="1" t="shared" ref="X159:X222" si="204">LOOKUP(H159,$E$23:$E$26,$A$23:$A$26)+LOOKUP(H159,$E$23:$E$26,$D$23:$D$26)*(H159-LOOKUP(H159,$E$23:$E$26))/LOOKUP(H159,$E$23:$E$26,$C$23:$C$26)</f>
        <v>4.34511526448817</v>
      </c>
      <c r="Y159" s="12">
        <f ca="1" t="shared" ref="Y159:Y222" si="205">LOOKUP(I159,$E$23:$E$26,$A$23:$A$26)+LOOKUP(I159,$E$23:$E$26,$D$23:$D$26)*(I159-LOOKUP(I159,$E$23:$E$26))/LOOKUP(I159,$E$23:$E$26,$C$23:$C$26)</f>
        <v>5.52528868060646</v>
      </c>
      <c r="Z159" s="12">
        <f ca="1" t="shared" ref="Z159:Z222" si="206">LOOKUP(J159,$E$23:$E$26,$A$23:$A$26)+LOOKUP(J159,$E$23:$E$26,$D$23:$D$26)*(J159-LOOKUP(J159,$E$23:$E$26))/LOOKUP(J159,$E$23:$E$26,$C$23:$C$26)</f>
        <v>5.87451972070549</v>
      </c>
      <c r="AA159" s="12">
        <f ca="1" t="shared" ref="AA159:AA222" si="207">LOOKUP(K159,$E$23:$E$26,$A$23:$A$26)+LOOKUP(K159,$E$23:$E$26,$D$23:$D$26)*(K159-LOOKUP(K159,$E$23:$E$26))/LOOKUP(K159,$E$23:$E$26,$C$23:$C$26)</f>
        <v>4.97914524711866</v>
      </c>
      <c r="AB159" s="12">
        <f ca="1" t="shared" ref="AB159:AB222" si="208">LOOKUP(L159,$E$23:$E$26,$A$23:$A$26)+LOOKUP(L159,$E$23:$E$26,$D$23:$D$26)*(L159-LOOKUP(L159,$E$23:$E$26))/LOOKUP(L159,$E$23:$E$26,$C$23:$C$26)</f>
        <v>4.72729205845007</v>
      </c>
      <c r="AC159" s="12">
        <f ca="1" t="shared" ref="AC159:AC222" si="209">LOOKUP(M159,$E$23:$E$26,$A$23:$A$26)+LOOKUP(M159,$E$23:$E$26,$D$23:$D$26)*(M159-LOOKUP(M159,$E$23:$E$26))/LOOKUP(M159,$E$23:$E$26,$C$23:$C$26)</f>
        <v>5.3977731282775</v>
      </c>
      <c r="AD159" s="12">
        <f ca="1" t="shared" ref="AD159:AD222" si="210">LOOKUP(N159,$E$23:$E$26,$A$23:$A$26)+LOOKUP(N159,$E$23:$E$26,$D$23:$D$26)*(N159-LOOKUP(N159,$E$23:$E$26))/LOOKUP(N159,$E$23:$E$26,$C$23:$C$26)</f>
        <v>5.24304191284608</v>
      </c>
      <c r="AE159" s="12">
        <f ca="1" t="shared" ref="AE159:AE222" si="211">LOOKUP(O159,$E$23:$E$26,$A$23:$A$26)+LOOKUP(O159,$E$23:$E$26,$D$23:$D$26)*(O159-LOOKUP(O159,$E$23:$E$26))/LOOKUP(O159,$E$23:$E$26,$C$23:$C$26)</f>
        <v>5.8940831605092</v>
      </c>
      <c r="AF159" s="12">
        <f ca="1" t="shared" ref="AF159:AF222" si="212">LOOKUP(P159,$E$23:$E$26,$A$23:$A$26)+LOOKUP(P159,$E$23:$E$26,$D$23:$D$26)*(P159-LOOKUP(P159,$E$23:$E$26))/LOOKUP(P159,$E$23:$E$26,$C$23:$C$26)</f>
        <v>4.29236101153431</v>
      </c>
      <c r="AG159" s="12">
        <f ca="1" t="shared" ref="AG159:AG222" si="213">LOOKUP(Q159,$E$23:$E$26,$A$23:$A$26)+LOOKUP(Q159,$E$23:$E$26,$D$23:$D$26)*(Q159-LOOKUP(Q159,$E$23:$E$26))/LOOKUP(Q159,$E$23:$E$26,$C$23:$C$26)</f>
        <v>4.06051347018262</v>
      </c>
      <c r="AH159" s="12">
        <f ca="1" t="shared" ref="AH159:AH222" si="214">LOOKUP(R159,$E$23:$E$26,$A$23:$A$26)+LOOKUP(R159,$E$23:$E$26,$D$23:$D$26)*(R159-LOOKUP(R159,$E$23:$E$26))/LOOKUP(R159,$E$23:$E$26,$C$23:$C$26)</f>
        <v>4.251888683376</v>
      </c>
      <c r="AI159" s="12">
        <f ca="1" t="shared" ref="AI159:AI222" si="215">LOOKUP(S159,$E$23:$E$26,$A$23:$A$26)+LOOKUP(S159,$E$23:$E$26,$D$23:$D$26)*(S159-LOOKUP(S159,$E$23:$E$26))/LOOKUP(S159,$E$23:$E$26,$C$23:$C$26)</f>
        <v>4.82090909771734</v>
      </c>
      <c r="AJ159" s="12">
        <f ca="1">SUM($T159:T159)</f>
        <v>5.47435116919505</v>
      </c>
      <c r="AK159" s="12">
        <f ca="1">SUM($T159:U159)</f>
        <v>10.9016089647097</v>
      </c>
      <c r="AL159" s="12">
        <f ca="1">SUM($T159:V159)</f>
        <v>15.2403752166106</v>
      </c>
      <c r="AM159" s="12">
        <f ca="1">SUM($T159:W159)</f>
        <v>19.4118571088091</v>
      </c>
      <c r="AN159" s="12">
        <f ca="1">SUM($T159:X159)</f>
        <v>23.7569723732973</v>
      </c>
      <c r="AO159" s="12">
        <f ca="1">SUM($T159:Y159)</f>
        <v>29.2822610539038</v>
      </c>
      <c r="AP159" s="12">
        <f ca="1">SUM($T159:Z159)</f>
        <v>35.1567807746093</v>
      </c>
      <c r="AQ159" s="12">
        <f ca="1">SUM($T159:AA159)</f>
        <v>40.1359260217279</v>
      </c>
      <c r="AR159" s="12">
        <f ca="1">SUM($T159:AB159)</f>
        <v>44.863218080178</v>
      </c>
      <c r="AS159" s="12">
        <f ca="1">SUM($T159:AC159)</f>
        <v>50.2609912084555</v>
      </c>
      <c r="AT159" s="12">
        <f ca="1">SUM($T159:AD159)</f>
        <v>55.5040331213016</v>
      </c>
      <c r="AU159" s="12">
        <f ca="1">SUM($T159:AE159)</f>
        <v>61.3981162818108</v>
      </c>
      <c r="AV159" s="12">
        <f ca="1">SUM($T159:AF159)</f>
        <v>65.6904772933451</v>
      </c>
      <c r="AW159" s="12">
        <f ca="1">SUM($T159:AG159)</f>
        <v>69.7509907635277</v>
      </c>
      <c r="AX159" s="12">
        <f ca="1">SUM($T159:AH159)</f>
        <v>74.0028794469037</v>
      </c>
      <c r="AY159" s="12">
        <f ca="1">SUM($T159:AI159)</f>
        <v>78.8237885446211</v>
      </c>
      <c r="AZ159" s="12">
        <f ca="1" t="shared" ref="AZ159:AZ222" si="216">MAX(C159-AJ159,0)</f>
        <v>54.4657922447785</v>
      </c>
      <c r="BA159" s="12">
        <f ca="1" t="shared" ref="BA159:BA222" si="217">MAX(C159-AK159,0)</f>
        <v>49.0385344492638</v>
      </c>
      <c r="BB159" s="12">
        <f ca="1" t="shared" ref="BB159:BB222" si="218">MAX(C159-AL159,0)</f>
        <v>44.6997681973629</v>
      </c>
      <c r="BC159" s="12">
        <f ca="1" t="shared" ref="BC159:BC222" si="219">MAX(C159-AM159,0)</f>
        <v>40.5282863051644</v>
      </c>
      <c r="BD159" s="12">
        <f ca="1" t="shared" ref="BD159:BD222" si="220">MAX(C159-AN159,0)</f>
        <v>36.1831710406762</v>
      </c>
      <c r="BE159" s="12">
        <f ca="1" t="shared" ref="BE159:BE222" si="221">MAX(C159-AO159,0)</f>
        <v>30.6578823600698</v>
      </c>
      <c r="BF159" s="12">
        <f ca="1" t="shared" ref="BF159:BF222" si="222">MAX(C159-AP159,0)</f>
        <v>24.7833626393643</v>
      </c>
      <c r="BG159" s="12">
        <f ca="1" t="shared" ref="BG159:BG222" si="223">MAX(C159-AQ159,0)</f>
        <v>19.8042173922456</v>
      </c>
      <c r="BH159" s="12">
        <f ca="1" t="shared" ref="BH159:BH222" si="224">MAX(C159-AR159,0)</f>
        <v>15.0769253337955</v>
      </c>
      <c r="BI159" s="12">
        <f ca="1" t="shared" ref="BI159:BI222" si="225">MAX(C159-AS159,0)</f>
        <v>9.67915220551803</v>
      </c>
      <c r="BJ159" s="12">
        <f ca="1" t="shared" ref="BJ159:BJ222" si="226">MAX(C159-AT159,0)</f>
        <v>4.43611029267195</v>
      </c>
      <c r="BK159" s="12">
        <f ca="1" t="shared" ref="BK159:BK222" si="227">MAX(C159-AU159,0)</f>
        <v>0</v>
      </c>
      <c r="BL159" s="12">
        <f ca="1" t="shared" ref="BL159:BL222" si="228">MAX(C159-AV159,0)</f>
        <v>0</v>
      </c>
      <c r="BM159" s="12">
        <f ca="1" t="shared" ref="BM159:BM222" si="229">MAX(C159-AW159,0)</f>
        <v>0</v>
      </c>
      <c r="BN159" s="12">
        <f ca="1" t="shared" ref="BN159:BN222" si="230">MAX(C159-AX159,0)</f>
        <v>0</v>
      </c>
      <c r="BO159" s="12">
        <f ca="1" t="shared" ref="BO159:BO222" si="231">MAX(C159-AY159,0)</f>
        <v>0</v>
      </c>
    </row>
    <row r="160" spans="1:67">
      <c r="A160" s="3">
        <v>130</v>
      </c>
      <c r="B160" s="11">
        <f ca="1" t="shared" si="197"/>
        <v>0.267609518273748</v>
      </c>
      <c r="C160" s="12">
        <f ca="1" t="shared" si="198"/>
        <v>60.2934919712291</v>
      </c>
      <c r="D160" s="11">
        <f ca="1" t="shared" ref="D160:S160" si="232">RAND()</f>
        <v>0.824439312490317</v>
      </c>
      <c r="E160" s="11">
        <f ca="1" t="shared" si="232"/>
        <v>0.61424946853564</v>
      </c>
      <c r="F160" s="11">
        <f ca="1" t="shared" si="232"/>
        <v>0.547034683842714</v>
      </c>
      <c r="G160" s="11">
        <f ca="1" t="shared" si="232"/>
        <v>0.384555830097831</v>
      </c>
      <c r="H160" s="11">
        <f ca="1" t="shared" si="232"/>
        <v>0.245565774238567</v>
      </c>
      <c r="I160" s="11">
        <f ca="1" t="shared" si="232"/>
        <v>0.889749971000894</v>
      </c>
      <c r="J160" s="11">
        <f ca="1" t="shared" si="232"/>
        <v>0.480287310760043</v>
      </c>
      <c r="K160" s="11">
        <f ca="1" t="shared" si="232"/>
        <v>0.757318138461544</v>
      </c>
      <c r="L160" s="11">
        <f ca="1" t="shared" si="232"/>
        <v>0.859107551268951</v>
      </c>
      <c r="M160" s="11">
        <f ca="1" t="shared" si="232"/>
        <v>0.65191377174105</v>
      </c>
      <c r="N160" s="11">
        <f ca="1" t="shared" si="232"/>
        <v>0.151142896999099</v>
      </c>
      <c r="O160" s="11">
        <f ca="1" t="shared" si="232"/>
        <v>0.738018046117608</v>
      </c>
      <c r="P160" s="11">
        <f ca="1" t="shared" si="232"/>
        <v>0.955869025508915</v>
      </c>
      <c r="Q160" s="11">
        <f ca="1" t="shared" si="232"/>
        <v>0.923573000953042</v>
      </c>
      <c r="R160" s="11">
        <f ca="1" t="shared" si="232"/>
        <v>0.522582157482124</v>
      </c>
      <c r="S160" s="11">
        <f ca="1" t="shared" si="232"/>
        <v>0.260309119597474</v>
      </c>
      <c r="T160" s="12">
        <f ca="1" t="shared" si="200"/>
        <v>5.31109828122579</v>
      </c>
      <c r="U160" s="12">
        <f ca="1" t="shared" si="201"/>
        <v>4.89281183566955</v>
      </c>
      <c r="V160" s="12">
        <f ca="1" t="shared" si="202"/>
        <v>4.80879335480339</v>
      </c>
      <c r="W160" s="12">
        <f ca="1" t="shared" si="203"/>
        <v>4.60569478762229</v>
      </c>
      <c r="X160" s="12">
        <f ca="1" t="shared" si="204"/>
        <v>4.40927629039761</v>
      </c>
      <c r="Y160" s="12">
        <f ca="1" t="shared" si="205"/>
        <v>5.47437492750223</v>
      </c>
      <c r="Z160" s="12">
        <f ca="1" t="shared" si="206"/>
        <v>4.72535913845005</v>
      </c>
      <c r="AA160" s="12">
        <f ca="1" t="shared" si="207"/>
        <v>5.14329534615386</v>
      </c>
      <c r="AB160" s="12">
        <f ca="1" t="shared" si="208"/>
        <v>5.39776887817238</v>
      </c>
      <c r="AC160" s="12">
        <f ca="1" t="shared" si="209"/>
        <v>4.93989221467631</v>
      </c>
      <c r="AD160" s="12">
        <f ca="1" t="shared" si="210"/>
        <v>4.25190482833183</v>
      </c>
      <c r="AE160" s="12">
        <f ca="1" t="shared" si="211"/>
        <v>5.09504511529402</v>
      </c>
      <c r="AF160" s="12">
        <f ca="1" t="shared" si="212"/>
        <v>5.77934512754457</v>
      </c>
      <c r="AG160" s="12">
        <f ca="1" t="shared" si="213"/>
        <v>5.61786500476521</v>
      </c>
      <c r="AH160" s="12">
        <f ca="1" t="shared" si="214"/>
        <v>4.77822769685265</v>
      </c>
      <c r="AI160" s="12">
        <f ca="1" t="shared" si="215"/>
        <v>4.43384853266246</v>
      </c>
      <c r="AJ160" s="12">
        <f ca="1">SUM($T160:T160)</f>
        <v>5.31109828122579</v>
      </c>
      <c r="AK160" s="12">
        <f ca="1">SUM($T160:U160)</f>
        <v>10.2039101168953</v>
      </c>
      <c r="AL160" s="12">
        <f ca="1">SUM($T160:V160)</f>
        <v>15.0127034716987</v>
      </c>
      <c r="AM160" s="12">
        <f ca="1">SUM($T160:W160)</f>
        <v>19.618398259321</v>
      </c>
      <c r="AN160" s="12">
        <f ca="1">SUM($T160:X160)</f>
        <v>24.0276745497186</v>
      </c>
      <c r="AO160" s="12">
        <f ca="1">SUM($T160:Y160)</f>
        <v>29.5020494772209</v>
      </c>
      <c r="AP160" s="12">
        <f ca="1">SUM($T160:Z160)</f>
        <v>34.2274086156709</v>
      </c>
      <c r="AQ160" s="12">
        <f ca="1">SUM($T160:AA160)</f>
        <v>39.3707039618248</v>
      </c>
      <c r="AR160" s="12">
        <f ca="1">SUM($T160:AB160)</f>
        <v>44.7684728399972</v>
      </c>
      <c r="AS160" s="12">
        <f ca="1">SUM($T160:AC160)</f>
        <v>49.7083650546735</v>
      </c>
      <c r="AT160" s="12">
        <f ca="1">SUM($T160:AD160)</f>
        <v>53.9602698830053</v>
      </c>
      <c r="AU160" s="12">
        <f ca="1">SUM($T160:AE160)</f>
        <v>59.0553149982993</v>
      </c>
      <c r="AV160" s="12">
        <f ca="1">SUM($T160:AF160)</f>
        <v>64.8346601258439</v>
      </c>
      <c r="AW160" s="12">
        <f ca="1">SUM($T160:AG160)</f>
        <v>70.4525251306091</v>
      </c>
      <c r="AX160" s="12">
        <f ca="1">SUM($T160:AH160)</f>
        <v>75.2307528274618</v>
      </c>
      <c r="AY160" s="12">
        <f ca="1">SUM($T160:AI160)</f>
        <v>79.6646013601242</v>
      </c>
      <c r="AZ160" s="12">
        <f ca="1" t="shared" si="216"/>
        <v>54.9823936900033</v>
      </c>
      <c r="BA160" s="12">
        <f ca="1" t="shared" si="217"/>
        <v>50.0895818543338</v>
      </c>
      <c r="BB160" s="12">
        <f ca="1" t="shared" si="218"/>
        <v>45.2807884995304</v>
      </c>
      <c r="BC160" s="12">
        <f ca="1" t="shared" si="219"/>
        <v>40.6750937119081</v>
      </c>
      <c r="BD160" s="12">
        <f ca="1" t="shared" si="220"/>
        <v>36.2658174215105</v>
      </c>
      <c r="BE160" s="12">
        <f ca="1" t="shared" si="221"/>
        <v>30.7914424940083</v>
      </c>
      <c r="BF160" s="12">
        <f ca="1" t="shared" si="222"/>
        <v>26.0660833555582</v>
      </c>
      <c r="BG160" s="12">
        <f ca="1" t="shared" si="223"/>
        <v>20.9227880094043</v>
      </c>
      <c r="BH160" s="12">
        <f ca="1" t="shared" si="224"/>
        <v>15.525019131232</v>
      </c>
      <c r="BI160" s="12">
        <f ca="1" t="shared" si="225"/>
        <v>10.5851269165557</v>
      </c>
      <c r="BJ160" s="12">
        <f ca="1" t="shared" si="226"/>
        <v>6.33322208822382</v>
      </c>
      <c r="BK160" s="12">
        <f ca="1" t="shared" si="227"/>
        <v>1.2381769729298</v>
      </c>
      <c r="BL160" s="12">
        <f ca="1" t="shared" si="228"/>
        <v>0</v>
      </c>
      <c r="BM160" s="12">
        <f ca="1" t="shared" si="229"/>
        <v>0</v>
      </c>
      <c r="BN160" s="12">
        <f ca="1" t="shared" si="230"/>
        <v>0</v>
      </c>
      <c r="BO160" s="12">
        <f ca="1" t="shared" si="231"/>
        <v>0</v>
      </c>
    </row>
    <row r="161" spans="1:67">
      <c r="A161" s="3">
        <v>131</v>
      </c>
      <c r="B161" s="11">
        <f ca="1" t="shared" si="197"/>
        <v>0.694734935223559</v>
      </c>
      <c r="C161" s="12">
        <f ca="1" t="shared" si="198"/>
        <v>67.0676419317651</v>
      </c>
      <c r="D161" s="11">
        <f ca="1" t="shared" ref="D161:S161" si="233">RAND()</f>
        <v>0.957628339764421</v>
      </c>
      <c r="E161" s="11">
        <f ca="1" t="shared" si="233"/>
        <v>0.478487646069501</v>
      </c>
      <c r="F161" s="11">
        <f ca="1" t="shared" si="233"/>
        <v>0.797214858861185</v>
      </c>
      <c r="G161" s="11">
        <f ca="1" t="shared" si="233"/>
        <v>0.919939432633484</v>
      </c>
      <c r="H161" s="11">
        <f ca="1" t="shared" si="233"/>
        <v>0.934132315990348</v>
      </c>
      <c r="I161" s="11">
        <f ca="1" t="shared" si="233"/>
        <v>0.897063246825609</v>
      </c>
      <c r="J161" s="11">
        <f ca="1" t="shared" si="233"/>
        <v>0.107564102717943</v>
      </c>
      <c r="K161" s="11">
        <f ca="1" t="shared" si="233"/>
        <v>0.908607345406004</v>
      </c>
      <c r="L161" s="11">
        <f ca="1" t="shared" si="233"/>
        <v>0.665143634126884</v>
      </c>
      <c r="M161" s="11">
        <f ca="1" t="shared" si="233"/>
        <v>0.556725836297354</v>
      </c>
      <c r="N161" s="11">
        <f ca="1" t="shared" si="233"/>
        <v>0.113327887394775</v>
      </c>
      <c r="O161" s="11">
        <f ca="1" t="shared" si="233"/>
        <v>0.598733948424584</v>
      </c>
      <c r="P161" s="11">
        <f ca="1" t="shared" si="233"/>
        <v>0.384562348493652</v>
      </c>
      <c r="Q161" s="11">
        <f ca="1" t="shared" si="233"/>
        <v>0.41412010595336</v>
      </c>
      <c r="R161" s="11">
        <f ca="1" t="shared" si="233"/>
        <v>0.126900159328245</v>
      </c>
      <c r="S161" s="11">
        <f ca="1" t="shared" si="233"/>
        <v>0.684246975138149</v>
      </c>
      <c r="T161" s="12">
        <f ca="1" t="shared" si="200"/>
        <v>5.78814169882211</v>
      </c>
      <c r="U161" s="12">
        <f ca="1" t="shared" si="201"/>
        <v>4.72310955758688</v>
      </c>
      <c r="V161" s="12">
        <f ca="1" t="shared" si="202"/>
        <v>5.24303714715296</v>
      </c>
      <c r="W161" s="12">
        <f ca="1" t="shared" si="203"/>
        <v>5.59969716316742</v>
      </c>
      <c r="X161" s="12">
        <f ca="1" t="shared" si="204"/>
        <v>5.67066157995174</v>
      </c>
      <c r="Y161" s="12">
        <f ca="1" t="shared" si="205"/>
        <v>5.49265811706402</v>
      </c>
      <c r="Z161" s="12">
        <f ca="1" t="shared" si="206"/>
        <v>4.17927350452991</v>
      </c>
      <c r="AA161" s="12">
        <f ca="1" t="shared" si="207"/>
        <v>5.54303672703002</v>
      </c>
      <c r="AB161" s="12">
        <f ca="1" t="shared" si="208"/>
        <v>4.95642954265861</v>
      </c>
      <c r="AC161" s="12">
        <f ca="1" t="shared" si="209"/>
        <v>4.82090729537169</v>
      </c>
      <c r="AD161" s="12">
        <f ca="1" t="shared" si="210"/>
        <v>4.18887981232462</v>
      </c>
      <c r="AE161" s="12">
        <f ca="1" t="shared" si="211"/>
        <v>4.87341743553073</v>
      </c>
      <c r="AF161" s="12">
        <f ca="1" t="shared" si="212"/>
        <v>4.60570293561707</v>
      </c>
      <c r="AG161" s="12">
        <f ca="1" t="shared" si="213"/>
        <v>4.6426501324417</v>
      </c>
      <c r="AH161" s="12">
        <f ca="1" t="shared" si="214"/>
        <v>4.21150026554708</v>
      </c>
      <c r="AI161" s="12">
        <f ca="1" t="shared" si="215"/>
        <v>4.98030871892269</v>
      </c>
      <c r="AJ161" s="12">
        <f ca="1">SUM($T161:T161)</f>
        <v>5.78814169882211</v>
      </c>
      <c r="AK161" s="12">
        <f ca="1">SUM($T161:U161)</f>
        <v>10.511251256409</v>
      </c>
      <c r="AL161" s="12">
        <f ca="1">SUM($T161:V161)</f>
        <v>15.7542884035619</v>
      </c>
      <c r="AM161" s="12">
        <f ca="1">SUM($T161:W161)</f>
        <v>21.3539855667294</v>
      </c>
      <c r="AN161" s="12">
        <f ca="1">SUM($T161:X161)</f>
        <v>27.0246471466811</v>
      </c>
      <c r="AO161" s="12">
        <f ca="1">SUM($T161:Y161)</f>
        <v>32.5173052637451</v>
      </c>
      <c r="AP161" s="12">
        <f ca="1">SUM($T161:Z161)</f>
        <v>36.696578768275</v>
      </c>
      <c r="AQ161" s="12">
        <f ca="1">SUM($T161:AA161)</f>
        <v>42.2396154953051</v>
      </c>
      <c r="AR161" s="12">
        <f ca="1">SUM($T161:AB161)</f>
        <v>47.1960450379637</v>
      </c>
      <c r="AS161" s="12">
        <f ca="1">SUM($T161:AC161)</f>
        <v>52.0169523333353</v>
      </c>
      <c r="AT161" s="12">
        <f ca="1">SUM($T161:AD161)</f>
        <v>56.20583214566</v>
      </c>
      <c r="AU161" s="12">
        <f ca="1">SUM($T161:AE161)</f>
        <v>61.0792495811907</v>
      </c>
      <c r="AV161" s="12">
        <f ca="1">SUM($T161:AF161)</f>
        <v>65.6849525168078</v>
      </c>
      <c r="AW161" s="12">
        <f ca="1">SUM($T161:AG161)</f>
        <v>70.3276026492495</v>
      </c>
      <c r="AX161" s="12">
        <f ca="1">SUM($T161:AH161)</f>
        <v>74.5391029147965</v>
      </c>
      <c r="AY161" s="12">
        <f ca="1">SUM($T161:AI161)</f>
        <v>79.5194116337192</v>
      </c>
      <c r="AZ161" s="12">
        <f ca="1" t="shared" si="216"/>
        <v>61.279500232943</v>
      </c>
      <c r="BA161" s="12">
        <f ca="1" t="shared" si="217"/>
        <v>56.5563906753561</v>
      </c>
      <c r="BB161" s="12">
        <f ca="1" t="shared" si="218"/>
        <v>51.3133535282032</v>
      </c>
      <c r="BC161" s="12">
        <f ca="1" t="shared" si="219"/>
        <v>45.7136563650358</v>
      </c>
      <c r="BD161" s="12">
        <f ca="1" t="shared" si="220"/>
        <v>40.042994785084</v>
      </c>
      <c r="BE161" s="12">
        <f ca="1" t="shared" si="221"/>
        <v>34.55033666802</v>
      </c>
      <c r="BF161" s="12">
        <f ca="1" t="shared" si="222"/>
        <v>30.3710631634901</v>
      </c>
      <c r="BG161" s="12">
        <f ca="1" t="shared" si="223"/>
        <v>24.8280264364601</v>
      </c>
      <c r="BH161" s="12">
        <f ca="1" t="shared" si="224"/>
        <v>19.8715968938015</v>
      </c>
      <c r="BI161" s="12">
        <f ca="1" t="shared" si="225"/>
        <v>15.0506895984298</v>
      </c>
      <c r="BJ161" s="12">
        <f ca="1" t="shared" si="226"/>
        <v>10.8618097861052</v>
      </c>
      <c r="BK161" s="12">
        <f ca="1" t="shared" si="227"/>
        <v>5.98839235057442</v>
      </c>
      <c r="BL161" s="12">
        <f ca="1" t="shared" si="228"/>
        <v>1.38268941495735</v>
      </c>
      <c r="BM161" s="12">
        <f ca="1" t="shared" si="229"/>
        <v>0</v>
      </c>
      <c r="BN161" s="12">
        <f ca="1" t="shared" si="230"/>
        <v>0</v>
      </c>
      <c r="BO161" s="12">
        <f ca="1" t="shared" si="231"/>
        <v>0</v>
      </c>
    </row>
    <row r="162" spans="1:67">
      <c r="A162" s="3">
        <v>132</v>
      </c>
      <c r="B162" s="11">
        <f ca="1" t="shared" si="197"/>
        <v>0.11469206202455</v>
      </c>
      <c r="C162" s="12">
        <f ca="1" t="shared" si="198"/>
        <v>55.4897354008183</v>
      </c>
      <c r="D162" s="11">
        <f ca="1" t="shared" ref="D162:S162" si="234">RAND()</f>
        <v>0.245564590116483</v>
      </c>
      <c r="E162" s="11">
        <f ca="1" t="shared" si="234"/>
        <v>0.135490620886345</v>
      </c>
      <c r="F162" s="11">
        <f ca="1" t="shared" si="234"/>
        <v>0.067302094058419</v>
      </c>
      <c r="G162" s="11">
        <f ca="1" t="shared" si="234"/>
        <v>0.522572311296121</v>
      </c>
      <c r="H162" s="11">
        <f ca="1" t="shared" si="234"/>
        <v>0.651886046422618</v>
      </c>
      <c r="I162" s="11">
        <f ca="1" t="shared" si="234"/>
        <v>0.673221569656848</v>
      </c>
      <c r="J162" s="11">
        <f ca="1" t="shared" si="234"/>
        <v>0.621482222563542</v>
      </c>
      <c r="K162" s="11">
        <f ca="1" t="shared" si="234"/>
        <v>0.975127161241688</v>
      </c>
      <c r="L162" s="11">
        <f ca="1" t="shared" si="234"/>
        <v>0.738026787851445</v>
      </c>
      <c r="M162" s="11">
        <f ca="1" t="shared" si="234"/>
        <v>0.481628835240171</v>
      </c>
      <c r="N162" s="11">
        <f ca="1" t="shared" si="234"/>
        <v>0.873144909650504</v>
      </c>
      <c r="O162" s="11">
        <f ca="1" t="shared" si="234"/>
        <v>0.44557056918667</v>
      </c>
      <c r="P162" s="11">
        <f ca="1" t="shared" si="234"/>
        <v>0.934140721656797</v>
      </c>
      <c r="Q162" s="11">
        <f ca="1" t="shared" si="234"/>
        <v>0.720152413576606</v>
      </c>
      <c r="R162" s="11">
        <f ca="1" t="shared" si="234"/>
        <v>0.968192776688645</v>
      </c>
      <c r="S162" s="11">
        <f ca="1" t="shared" si="234"/>
        <v>0.605897414552091</v>
      </c>
      <c r="T162" s="12">
        <f ca="1" t="shared" si="200"/>
        <v>4.40927431686081</v>
      </c>
      <c r="U162" s="12">
        <f ca="1" t="shared" si="201"/>
        <v>4.22581770147724</v>
      </c>
      <c r="V162" s="12">
        <f ca="1" t="shared" si="202"/>
        <v>4.11217015676403</v>
      </c>
      <c r="W162" s="12">
        <f ca="1" t="shared" si="203"/>
        <v>4.77821538912015</v>
      </c>
      <c r="X162" s="12">
        <f ca="1" t="shared" si="204"/>
        <v>4.93985755802827</v>
      </c>
      <c r="Y162" s="12">
        <f ca="1" t="shared" si="205"/>
        <v>4.96652696207106</v>
      </c>
      <c r="Z162" s="12">
        <f ca="1" t="shared" si="206"/>
        <v>4.90185277820443</v>
      </c>
      <c r="AA162" s="12">
        <f ca="1" t="shared" si="207"/>
        <v>5.87563580620844</v>
      </c>
      <c r="AB162" s="12">
        <f ca="1" t="shared" si="208"/>
        <v>5.09506696962861</v>
      </c>
      <c r="AC162" s="12">
        <f ca="1" t="shared" si="209"/>
        <v>4.72703604405021</v>
      </c>
      <c r="AD162" s="12">
        <f ca="1" t="shared" si="210"/>
        <v>5.43286227412626</v>
      </c>
      <c r="AE162" s="12">
        <f ca="1" t="shared" si="211"/>
        <v>4.68196321148334</v>
      </c>
      <c r="AF162" s="12">
        <f ca="1" t="shared" si="212"/>
        <v>5.67070360828399</v>
      </c>
      <c r="AG162" s="12">
        <f ca="1" t="shared" si="213"/>
        <v>5.05038103394152</v>
      </c>
      <c r="AH162" s="12">
        <f ca="1" t="shared" si="214"/>
        <v>5.84096388344323</v>
      </c>
      <c r="AI162" s="12">
        <f ca="1" t="shared" si="215"/>
        <v>4.88237176819011</v>
      </c>
      <c r="AJ162" s="12">
        <f ca="1">SUM($T162:T162)</f>
        <v>4.40927431686081</v>
      </c>
      <c r="AK162" s="12">
        <f ca="1">SUM($T162:U162)</f>
        <v>8.63509201833805</v>
      </c>
      <c r="AL162" s="12">
        <f ca="1">SUM($T162:V162)</f>
        <v>12.7472621751021</v>
      </c>
      <c r="AM162" s="12">
        <f ca="1">SUM($T162:W162)</f>
        <v>17.5254775642222</v>
      </c>
      <c r="AN162" s="12">
        <f ca="1">SUM($T162:X162)</f>
        <v>22.4653351222505</v>
      </c>
      <c r="AO162" s="12">
        <f ca="1">SUM($T162:Y162)</f>
        <v>27.4318620843216</v>
      </c>
      <c r="AP162" s="12">
        <f ca="1">SUM($T162:Z162)</f>
        <v>32.333714862526</v>
      </c>
      <c r="AQ162" s="12">
        <f ca="1">SUM($T162:AA162)</f>
        <v>38.2093506687344</v>
      </c>
      <c r="AR162" s="12">
        <f ca="1">SUM($T162:AB162)</f>
        <v>43.304417638363</v>
      </c>
      <c r="AS162" s="12">
        <f ca="1">SUM($T162:AC162)</f>
        <v>48.0314536824133</v>
      </c>
      <c r="AT162" s="12">
        <f ca="1">SUM($T162:AD162)</f>
        <v>53.4643159565395</v>
      </c>
      <c r="AU162" s="12">
        <f ca="1">SUM($T162:AE162)</f>
        <v>58.1462791680229</v>
      </c>
      <c r="AV162" s="12">
        <f ca="1">SUM($T162:AF162)</f>
        <v>63.8169827763068</v>
      </c>
      <c r="AW162" s="12">
        <f ca="1">SUM($T162:AG162)</f>
        <v>68.8673638102483</v>
      </c>
      <c r="AX162" s="12">
        <f ca="1">SUM($T162:AH162)</f>
        <v>74.7083276936916</v>
      </c>
      <c r="AY162" s="12">
        <f ca="1">SUM($T162:AI162)</f>
        <v>79.5906994618817</v>
      </c>
      <c r="AZ162" s="12">
        <f ca="1" t="shared" si="216"/>
        <v>51.0804610839575</v>
      </c>
      <c r="BA162" s="12">
        <f ca="1" t="shared" si="217"/>
        <v>46.8546433824803</v>
      </c>
      <c r="BB162" s="12">
        <f ca="1" t="shared" si="218"/>
        <v>42.7424732257162</v>
      </c>
      <c r="BC162" s="12">
        <f ca="1" t="shared" si="219"/>
        <v>37.9642578365961</v>
      </c>
      <c r="BD162" s="12">
        <f ca="1" t="shared" si="220"/>
        <v>33.0244002785678</v>
      </c>
      <c r="BE162" s="12">
        <f ca="1" t="shared" si="221"/>
        <v>28.0578733164968</v>
      </c>
      <c r="BF162" s="12">
        <f ca="1" t="shared" si="222"/>
        <v>23.1560205382923</v>
      </c>
      <c r="BG162" s="12">
        <f ca="1" t="shared" si="223"/>
        <v>17.2803847320839</v>
      </c>
      <c r="BH162" s="12">
        <f ca="1" t="shared" si="224"/>
        <v>12.1853177624553</v>
      </c>
      <c r="BI162" s="12">
        <f ca="1" t="shared" si="225"/>
        <v>7.45828171840507</v>
      </c>
      <c r="BJ162" s="12">
        <f ca="1" t="shared" si="226"/>
        <v>2.02541944427881</v>
      </c>
      <c r="BK162" s="12">
        <f ca="1" t="shared" si="227"/>
        <v>0</v>
      </c>
      <c r="BL162" s="12">
        <f ca="1" t="shared" si="228"/>
        <v>0</v>
      </c>
      <c r="BM162" s="12">
        <f ca="1" t="shared" si="229"/>
        <v>0</v>
      </c>
      <c r="BN162" s="12">
        <f ca="1" t="shared" si="230"/>
        <v>0</v>
      </c>
      <c r="BO162" s="12">
        <f ca="1" t="shared" si="231"/>
        <v>0</v>
      </c>
    </row>
    <row r="163" spans="1:67">
      <c r="A163" s="3">
        <v>133</v>
      </c>
      <c r="B163" s="11">
        <f ca="1" t="shared" si="197"/>
        <v>0.601994729225359</v>
      </c>
      <c r="C163" s="12">
        <f ca="1" t="shared" si="198"/>
        <v>65.7427818460766</v>
      </c>
      <c r="D163" s="11">
        <f ca="1" t="shared" ref="D163:S163" si="235">RAND()</f>
        <v>0.387159116904588</v>
      </c>
      <c r="E163" s="11">
        <f ca="1" t="shared" si="235"/>
        <v>0.795266738418344</v>
      </c>
      <c r="F163" s="11">
        <f ca="1" t="shared" si="235"/>
        <v>0.680991298182744</v>
      </c>
      <c r="G163" s="11">
        <f ca="1" t="shared" si="235"/>
        <v>0.690169922163514</v>
      </c>
      <c r="H163" s="11">
        <f ca="1" t="shared" si="235"/>
        <v>0.35583445518516</v>
      </c>
      <c r="I163" s="11">
        <f ca="1" t="shared" si="235"/>
        <v>0.580678212537075</v>
      </c>
      <c r="J163" s="11">
        <f ca="1" t="shared" si="235"/>
        <v>0.721565240630318</v>
      </c>
      <c r="K163" s="11">
        <f ca="1" t="shared" si="235"/>
        <v>0.0114719914362913</v>
      </c>
      <c r="L163" s="11">
        <f ca="1" t="shared" si="235"/>
        <v>0.897042377738443</v>
      </c>
      <c r="M163" s="11">
        <f ca="1" t="shared" si="235"/>
        <v>0.481649336820537</v>
      </c>
      <c r="N163" s="11">
        <f ca="1" t="shared" si="235"/>
        <v>0.335050962604537</v>
      </c>
      <c r="O163" s="11">
        <f ca="1" t="shared" si="235"/>
        <v>0.150182321897905</v>
      </c>
      <c r="P163" s="11">
        <f ca="1" t="shared" si="235"/>
        <v>0.358505674487237</v>
      </c>
      <c r="Q163" s="11">
        <f ca="1" t="shared" si="235"/>
        <v>0.460513930521808</v>
      </c>
      <c r="R163" s="11">
        <f ca="1" t="shared" si="235"/>
        <v>0.749972232617563</v>
      </c>
      <c r="S163" s="11">
        <f ca="1" t="shared" si="235"/>
        <v>0.968198744243544</v>
      </c>
      <c r="T163" s="12">
        <f ca="1" t="shared" si="200"/>
        <v>4.60894889613073</v>
      </c>
      <c r="U163" s="12">
        <f ca="1" t="shared" si="201"/>
        <v>5.23816684604586</v>
      </c>
      <c r="V163" s="12">
        <f ca="1" t="shared" si="202"/>
        <v>4.97623912272843</v>
      </c>
      <c r="W163" s="12">
        <f ca="1" t="shared" si="203"/>
        <v>4.98771240270439</v>
      </c>
      <c r="X163" s="12">
        <f ca="1" t="shared" si="204"/>
        <v>4.56979306898145</v>
      </c>
      <c r="Y163" s="12">
        <f ca="1" t="shared" si="205"/>
        <v>4.85084776567134</v>
      </c>
      <c r="Z163" s="12">
        <f ca="1" t="shared" si="206"/>
        <v>5.0539131015758</v>
      </c>
      <c r="AA163" s="12">
        <f ca="1" t="shared" si="207"/>
        <v>4.01911998572715</v>
      </c>
      <c r="AB163" s="12">
        <f ca="1" t="shared" si="208"/>
        <v>5.49260594434611</v>
      </c>
      <c r="AC163" s="12">
        <f ca="1" t="shared" si="209"/>
        <v>4.72706167102567</v>
      </c>
      <c r="AD163" s="12">
        <f ca="1" t="shared" si="210"/>
        <v>4.54381370325567</v>
      </c>
      <c r="AE163" s="12">
        <f ca="1" t="shared" si="211"/>
        <v>4.25030386982984</v>
      </c>
      <c r="AF163" s="12">
        <f ca="1" t="shared" si="212"/>
        <v>4.57313209310905</v>
      </c>
      <c r="AG163" s="12">
        <f ca="1" t="shared" si="213"/>
        <v>4.70064241315226</v>
      </c>
      <c r="AH163" s="12">
        <f ca="1" t="shared" si="214"/>
        <v>5.12493058154391</v>
      </c>
      <c r="AI163" s="12">
        <f ca="1" t="shared" si="215"/>
        <v>5.84099372121772</v>
      </c>
      <c r="AJ163" s="12">
        <f ca="1">SUM($T163:T163)</f>
        <v>4.60894889613073</v>
      </c>
      <c r="AK163" s="12">
        <f ca="1">SUM($T163:U163)</f>
        <v>9.84711574217659</v>
      </c>
      <c r="AL163" s="12">
        <f ca="1">SUM($T163:V163)</f>
        <v>14.823354864905</v>
      </c>
      <c r="AM163" s="12">
        <f ca="1">SUM($T163:W163)</f>
        <v>19.8110672676094</v>
      </c>
      <c r="AN163" s="12">
        <f ca="1">SUM($T163:X163)</f>
        <v>24.3808603365909</v>
      </c>
      <c r="AO163" s="12">
        <f ca="1">SUM($T163:Y163)</f>
        <v>29.2317081022622</v>
      </c>
      <c r="AP163" s="12">
        <f ca="1">SUM($T163:Z163)</f>
        <v>34.285621203838</v>
      </c>
      <c r="AQ163" s="12">
        <f ca="1">SUM($T163:AA163)</f>
        <v>38.3047411895652</v>
      </c>
      <c r="AR163" s="12">
        <f ca="1">SUM($T163:AB163)</f>
        <v>43.7973471339113</v>
      </c>
      <c r="AS163" s="12">
        <f ca="1">SUM($T163:AC163)</f>
        <v>48.5244088049369</v>
      </c>
      <c r="AT163" s="12">
        <f ca="1">SUM($T163:AD163)</f>
        <v>53.0682225081926</v>
      </c>
      <c r="AU163" s="12">
        <f ca="1">SUM($T163:AE163)</f>
        <v>57.3185263780225</v>
      </c>
      <c r="AV163" s="12">
        <f ca="1">SUM($T163:AF163)</f>
        <v>61.8916584711315</v>
      </c>
      <c r="AW163" s="12">
        <f ca="1">SUM($T163:AG163)</f>
        <v>66.5923008842838</v>
      </c>
      <c r="AX163" s="12">
        <f ca="1">SUM($T163:AH163)</f>
        <v>71.7172314658277</v>
      </c>
      <c r="AY163" s="12">
        <f ca="1">SUM($T163:AI163)</f>
        <v>77.5582251870454</v>
      </c>
      <c r="AZ163" s="12">
        <f ca="1" t="shared" si="216"/>
        <v>61.1338329499458</v>
      </c>
      <c r="BA163" s="12">
        <f ca="1" t="shared" si="217"/>
        <v>55.8956661039</v>
      </c>
      <c r="BB163" s="12">
        <f ca="1" t="shared" si="218"/>
        <v>50.9194269811715</v>
      </c>
      <c r="BC163" s="12">
        <f ca="1" t="shared" si="219"/>
        <v>45.9317145784671</v>
      </c>
      <c r="BD163" s="12">
        <f ca="1" t="shared" si="220"/>
        <v>41.3619215094857</v>
      </c>
      <c r="BE163" s="12">
        <f ca="1" t="shared" si="221"/>
        <v>36.5110737438143</v>
      </c>
      <c r="BF163" s="12">
        <f ca="1" t="shared" si="222"/>
        <v>31.4571606422385</v>
      </c>
      <c r="BG163" s="12">
        <f ca="1" t="shared" si="223"/>
        <v>27.4380406565114</v>
      </c>
      <c r="BH163" s="12">
        <f ca="1" t="shared" si="224"/>
        <v>21.9454347121653</v>
      </c>
      <c r="BI163" s="12">
        <f ca="1" t="shared" si="225"/>
        <v>17.2183730411396</v>
      </c>
      <c r="BJ163" s="12">
        <f ca="1" t="shared" si="226"/>
        <v>12.6745593378839</v>
      </c>
      <c r="BK163" s="12">
        <f ca="1" t="shared" si="227"/>
        <v>8.4242554680541</v>
      </c>
      <c r="BL163" s="12">
        <f ca="1" t="shared" si="228"/>
        <v>3.85112337494505</v>
      </c>
      <c r="BM163" s="12">
        <f ca="1" t="shared" si="229"/>
        <v>0</v>
      </c>
      <c r="BN163" s="12">
        <f ca="1" t="shared" si="230"/>
        <v>0</v>
      </c>
      <c r="BO163" s="12">
        <f ca="1" t="shared" si="231"/>
        <v>0</v>
      </c>
    </row>
    <row r="164" spans="1:67">
      <c r="A164" s="3">
        <v>134</v>
      </c>
      <c r="B164" s="11">
        <f ca="1" t="shared" si="197"/>
        <v>0.795707142082329</v>
      </c>
      <c r="C164" s="12">
        <f ca="1" t="shared" si="198"/>
        <v>68.5101020297476</v>
      </c>
      <c r="D164" s="11">
        <f ca="1" t="shared" ref="D164:S164" si="236">RAND()</f>
        <v>0.286339004573003</v>
      </c>
      <c r="E164" s="11">
        <f ca="1" t="shared" si="236"/>
        <v>0.950924498460695</v>
      </c>
      <c r="F164" s="11">
        <f ca="1" t="shared" si="236"/>
        <v>0.0111498188901697</v>
      </c>
      <c r="G164" s="11">
        <f ca="1" t="shared" si="236"/>
        <v>0.387159812075044</v>
      </c>
      <c r="H164" s="11">
        <f ca="1" t="shared" si="236"/>
        <v>0.403969599448155</v>
      </c>
      <c r="I164" s="11">
        <f ca="1" t="shared" si="236"/>
        <v>0.224275323353173</v>
      </c>
      <c r="J164" s="11">
        <f ca="1" t="shared" si="236"/>
        <v>0.690163156979943</v>
      </c>
      <c r="K164" s="11">
        <f ca="1" t="shared" si="236"/>
        <v>0.600959478469328</v>
      </c>
      <c r="L164" s="11">
        <f ca="1" t="shared" si="236"/>
        <v>0.311906141258081</v>
      </c>
      <c r="M164" s="11">
        <f ca="1" t="shared" si="236"/>
        <v>0.701188891506541</v>
      </c>
      <c r="N164" s="11">
        <f ca="1" t="shared" si="236"/>
        <v>0.106460599985957</v>
      </c>
      <c r="O164" s="11">
        <f ca="1" t="shared" si="236"/>
        <v>0.540908465687333</v>
      </c>
      <c r="P164" s="11">
        <f ca="1" t="shared" si="236"/>
        <v>0.317811747459029</v>
      </c>
      <c r="Q164" s="11">
        <f ca="1" t="shared" si="236"/>
        <v>0.721584681841725</v>
      </c>
      <c r="R164" s="11">
        <f ca="1" t="shared" si="236"/>
        <v>0.030485350685499</v>
      </c>
      <c r="S164" s="11">
        <f ca="1" t="shared" si="236"/>
        <v>0.125044395952882</v>
      </c>
      <c r="T164" s="12">
        <f ca="1" t="shared" si="200"/>
        <v>4.47723167428834</v>
      </c>
      <c r="U164" s="12">
        <f ca="1" t="shared" si="201"/>
        <v>5.75462249230348</v>
      </c>
      <c r="V164" s="12">
        <f ca="1" t="shared" si="202"/>
        <v>4.01858303148362</v>
      </c>
      <c r="W164" s="12">
        <f ca="1" t="shared" si="203"/>
        <v>4.60894976509381</v>
      </c>
      <c r="X164" s="12">
        <f ca="1" t="shared" si="204"/>
        <v>4.62996199931019</v>
      </c>
      <c r="Y164" s="12">
        <f ca="1" t="shared" si="205"/>
        <v>4.37379220558862</v>
      </c>
      <c r="Z164" s="12">
        <f ca="1" t="shared" si="206"/>
        <v>4.98770394622493</v>
      </c>
      <c r="AA164" s="12">
        <f ca="1" t="shared" si="207"/>
        <v>4.87619934808666</v>
      </c>
      <c r="AB164" s="12">
        <f ca="1" t="shared" si="208"/>
        <v>4.5148826765726</v>
      </c>
      <c r="AC164" s="12">
        <f ca="1" t="shared" si="209"/>
        <v>5.00297222876635</v>
      </c>
      <c r="AD164" s="12">
        <f ca="1" t="shared" si="210"/>
        <v>4.17743433330993</v>
      </c>
      <c r="AE164" s="12">
        <f ca="1" t="shared" si="211"/>
        <v>4.80113558210917</v>
      </c>
      <c r="AF164" s="12">
        <f ca="1" t="shared" si="212"/>
        <v>4.52226468432379</v>
      </c>
      <c r="AG164" s="12">
        <f ca="1" t="shared" si="213"/>
        <v>5.05396170460431</v>
      </c>
      <c r="AH164" s="12">
        <f ca="1" t="shared" si="214"/>
        <v>4.05080891780916</v>
      </c>
      <c r="AI164" s="12">
        <f ca="1" t="shared" si="215"/>
        <v>4.20840732658814</v>
      </c>
      <c r="AJ164" s="12">
        <f ca="1">SUM($T164:T164)</f>
        <v>4.47723167428834</v>
      </c>
      <c r="AK164" s="12">
        <f ca="1">SUM($T164:U164)</f>
        <v>10.2318541665918</v>
      </c>
      <c r="AL164" s="12">
        <f ca="1">SUM($T164:V164)</f>
        <v>14.2504371980754</v>
      </c>
      <c r="AM164" s="12">
        <f ca="1">SUM($T164:W164)</f>
        <v>18.8593869631692</v>
      </c>
      <c r="AN164" s="12">
        <f ca="1">SUM($T164:X164)</f>
        <v>23.4893489624794</v>
      </c>
      <c r="AO164" s="12">
        <f ca="1">SUM($T164:Y164)</f>
        <v>27.8631411680681</v>
      </c>
      <c r="AP164" s="12">
        <f ca="1">SUM($T164:Z164)</f>
        <v>32.850845114293</v>
      </c>
      <c r="AQ164" s="12">
        <f ca="1">SUM($T164:AA164)</f>
        <v>37.7270444623796</v>
      </c>
      <c r="AR164" s="12">
        <f ca="1">SUM($T164:AB164)</f>
        <v>42.2419271389522</v>
      </c>
      <c r="AS164" s="12">
        <f ca="1">SUM($T164:AC164)</f>
        <v>47.2448993677186</v>
      </c>
      <c r="AT164" s="12">
        <f ca="1">SUM($T164:AD164)</f>
        <v>51.4223337010285</v>
      </c>
      <c r="AU164" s="12">
        <f ca="1">SUM($T164:AE164)</f>
        <v>56.2234692831377</v>
      </c>
      <c r="AV164" s="12">
        <f ca="1">SUM($T164:AF164)</f>
        <v>60.7457339674615</v>
      </c>
      <c r="AW164" s="12">
        <f ca="1">SUM($T164:AG164)</f>
        <v>65.7996956720658</v>
      </c>
      <c r="AX164" s="12">
        <f ca="1">SUM($T164:AH164)</f>
        <v>69.850504589875</v>
      </c>
      <c r="AY164" s="12">
        <f ca="1">SUM($T164:AI164)</f>
        <v>74.0589119164631</v>
      </c>
      <c r="AZ164" s="12">
        <f ca="1" t="shared" si="216"/>
        <v>64.0328703554592</v>
      </c>
      <c r="BA164" s="12">
        <f ca="1" t="shared" si="217"/>
        <v>58.2782478631557</v>
      </c>
      <c r="BB164" s="12">
        <f ca="1" t="shared" si="218"/>
        <v>54.2596648316721</v>
      </c>
      <c r="BC164" s="12">
        <f ca="1" t="shared" si="219"/>
        <v>49.6507150665783</v>
      </c>
      <c r="BD164" s="12">
        <f ca="1" t="shared" si="220"/>
        <v>45.0207530672681</v>
      </c>
      <c r="BE164" s="12">
        <f ca="1" t="shared" si="221"/>
        <v>40.6469608616795</v>
      </c>
      <c r="BF164" s="12">
        <f ca="1" t="shared" si="222"/>
        <v>35.6592569154546</v>
      </c>
      <c r="BG164" s="12">
        <f ca="1" t="shared" si="223"/>
        <v>30.7830575673679</v>
      </c>
      <c r="BH164" s="12">
        <f ca="1" t="shared" si="224"/>
        <v>26.2681748907953</v>
      </c>
      <c r="BI164" s="12">
        <f ca="1" t="shared" si="225"/>
        <v>21.265202662029</v>
      </c>
      <c r="BJ164" s="12">
        <f ca="1" t="shared" si="226"/>
        <v>17.087768328719</v>
      </c>
      <c r="BK164" s="12">
        <f ca="1" t="shared" si="227"/>
        <v>12.2866327466099</v>
      </c>
      <c r="BL164" s="12">
        <f ca="1" t="shared" si="228"/>
        <v>7.76436806228608</v>
      </c>
      <c r="BM164" s="12">
        <f ca="1" t="shared" si="229"/>
        <v>2.71040635768176</v>
      </c>
      <c r="BN164" s="12">
        <f ca="1" t="shared" si="230"/>
        <v>0</v>
      </c>
      <c r="BO164" s="12">
        <f ca="1" t="shared" si="231"/>
        <v>0</v>
      </c>
    </row>
    <row r="165" spans="1:67">
      <c r="A165" s="3">
        <v>135</v>
      </c>
      <c r="B165" s="11">
        <f ca="1" t="shared" si="197"/>
        <v>0.478917394122778</v>
      </c>
      <c r="C165" s="12">
        <f ca="1" t="shared" si="198"/>
        <v>63.8152899020463</v>
      </c>
      <c r="D165" s="11">
        <f ca="1" t="shared" ref="D165:S165" si="237">RAND()</f>
        <v>0.870387255372107</v>
      </c>
      <c r="E165" s="11">
        <f ca="1" t="shared" si="237"/>
        <v>0.207070674236674</v>
      </c>
      <c r="F165" s="11">
        <f ca="1" t="shared" si="237"/>
        <v>0.733710376473821</v>
      </c>
      <c r="G165" s="11">
        <f ca="1" t="shared" si="237"/>
        <v>0.591882874720315</v>
      </c>
      <c r="H165" s="11">
        <f ca="1" t="shared" si="237"/>
        <v>0.68330139359865</v>
      </c>
      <c r="I165" s="11">
        <f ca="1" t="shared" si="237"/>
        <v>0.0547273724074768</v>
      </c>
      <c r="J165" s="11">
        <f ca="1" t="shared" si="237"/>
        <v>0.331636300215557</v>
      </c>
      <c r="K165" s="11">
        <f ca="1" t="shared" si="237"/>
        <v>0.978804099865116</v>
      </c>
      <c r="L165" s="11">
        <f ca="1" t="shared" si="237"/>
        <v>0.577573670400214</v>
      </c>
      <c r="M165" s="11">
        <f ca="1" t="shared" si="237"/>
        <v>0.0446671518504174</v>
      </c>
      <c r="N165" s="11">
        <f ca="1" t="shared" si="237"/>
        <v>0.256625301196318</v>
      </c>
      <c r="O165" s="11">
        <f ca="1" t="shared" si="237"/>
        <v>0.824435049952403</v>
      </c>
      <c r="P165" s="11">
        <f ca="1" t="shared" si="237"/>
        <v>0.365089440595314</v>
      </c>
      <c r="Q165" s="11">
        <f ca="1" t="shared" si="237"/>
        <v>0.206913682156974</v>
      </c>
      <c r="R165" s="11">
        <f ca="1" t="shared" si="237"/>
        <v>0.402831735538525</v>
      </c>
      <c r="S165" s="11">
        <f ca="1" t="shared" si="237"/>
        <v>0.889763707963394</v>
      </c>
      <c r="T165" s="12">
        <f ca="1" t="shared" si="200"/>
        <v>5.42596813843027</v>
      </c>
      <c r="U165" s="12">
        <f ca="1" t="shared" si="201"/>
        <v>4.34511779039446</v>
      </c>
      <c r="V165" s="12">
        <f ca="1" t="shared" si="202"/>
        <v>5.08427594118455</v>
      </c>
      <c r="W165" s="12">
        <f ca="1" t="shared" si="203"/>
        <v>4.86485359340039</v>
      </c>
      <c r="X165" s="12">
        <f ca="1" t="shared" si="204"/>
        <v>4.97912674199831</v>
      </c>
      <c r="Y165" s="12">
        <f ca="1" t="shared" si="205"/>
        <v>4.09121228734579</v>
      </c>
      <c r="Z165" s="12">
        <f ca="1" t="shared" si="206"/>
        <v>4.53954537526945</v>
      </c>
      <c r="AA165" s="12">
        <f ca="1" t="shared" si="207"/>
        <v>5.89402049932558</v>
      </c>
      <c r="AB165" s="12">
        <f ca="1" t="shared" si="208"/>
        <v>4.84696708800027</v>
      </c>
      <c r="AC165" s="12">
        <f ca="1" t="shared" si="209"/>
        <v>4.07444525308403</v>
      </c>
      <c r="AD165" s="12">
        <f ca="1" t="shared" si="210"/>
        <v>4.4277088353272</v>
      </c>
      <c r="AE165" s="12">
        <f ca="1" t="shared" si="211"/>
        <v>5.31108762488101</v>
      </c>
      <c r="AF165" s="12">
        <f ca="1" t="shared" si="212"/>
        <v>4.58136180074414</v>
      </c>
      <c r="AG165" s="12">
        <f ca="1" t="shared" si="213"/>
        <v>4.34485613692829</v>
      </c>
      <c r="AH165" s="12">
        <f ca="1" t="shared" si="214"/>
        <v>4.62853966942316</v>
      </c>
      <c r="AI165" s="12">
        <f ca="1" t="shared" si="215"/>
        <v>5.47440926990849</v>
      </c>
      <c r="AJ165" s="12">
        <f ca="1">SUM($T165:T165)</f>
        <v>5.42596813843027</v>
      </c>
      <c r="AK165" s="12">
        <f ca="1">SUM($T165:U165)</f>
        <v>9.77108592882472</v>
      </c>
      <c r="AL165" s="12">
        <f ca="1">SUM($T165:V165)</f>
        <v>14.8553618700093</v>
      </c>
      <c r="AM165" s="12">
        <f ca="1">SUM($T165:W165)</f>
        <v>19.7202154634097</v>
      </c>
      <c r="AN165" s="12">
        <f ca="1">SUM($T165:X165)</f>
        <v>24.699342205408</v>
      </c>
      <c r="AO165" s="12">
        <f ca="1">SUM($T165:Y165)</f>
        <v>28.7905544927538</v>
      </c>
      <c r="AP165" s="12">
        <f ca="1">SUM($T165:Z165)</f>
        <v>33.3300998680232</v>
      </c>
      <c r="AQ165" s="12">
        <f ca="1">SUM($T165:AA165)</f>
        <v>39.2241203673488</v>
      </c>
      <c r="AR165" s="12">
        <f ca="1">SUM($T165:AB165)</f>
        <v>44.0710874553491</v>
      </c>
      <c r="AS165" s="12">
        <f ca="1">SUM($T165:AC165)</f>
        <v>48.1455327084331</v>
      </c>
      <c r="AT165" s="12">
        <f ca="1">SUM($T165:AD165)</f>
        <v>52.5732415437603</v>
      </c>
      <c r="AU165" s="12">
        <f ca="1">SUM($T165:AE165)</f>
        <v>57.8843291686413</v>
      </c>
      <c r="AV165" s="12">
        <f ca="1">SUM($T165:AF165)</f>
        <v>62.4656909693854</v>
      </c>
      <c r="AW165" s="12">
        <f ca="1">SUM($T165:AG165)</f>
        <v>66.8105471063137</v>
      </c>
      <c r="AX165" s="12">
        <f ca="1">SUM($T165:AH165)</f>
        <v>71.4390867757369</v>
      </c>
      <c r="AY165" s="12">
        <f ca="1">SUM($T165:AI165)</f>
        <v>76.9134960456454</v>
      </c>
      <c r="AZ165" s="12">
        <f ca="1" t="shared" si="216"/>
        <v>58.389321763616</v>
      </c>
      <c r="BA165" s="12">
        <f ca="1" t="shared" si="217"/>
        <v>54.0442039732216</v>
      </c>
      <c r="BB165" s="12">
        <f ca="1" t="shared" si="218"/>
        <v>48.959928032037</v>
      </c>
      <c r="BC165" s="12">
        <f ca="1" t="shared" si="219"/>
        <v>44.0950744386366</v>
      </c>
      <c r="BD165" s="12">
        <f ca="1" t="shared" si="220"/>
        <v>39.1159476966383</v>
      </c>
      <c r="BE165" s="12">
        <f ca="1" t="shared" si="221"/>
        <v>35.0247354092925</v>
      </c>
      <c r="BF165" s="12">
        <f ca="1" t="shared" si="222"/>
        <v>30.4851900340231</v>
      </c>
      <c r="BG165" s="12">
        <f ca="1" t="shared" si="223"/>
        <v>24.5911695346975</v>
      </c>
      <c r="BH165" s="12">
        <f ca="1" t="shared" si="224"/>
        <v>19.7442024466972</v>
      </c>
      <c r="BI165" s="12">
        <f ca="1" t="shared" si="225"/>
        <v>15.6697571936132</v>
      </c>
      <c r="BJ165" s="12">
        <f ca="1" t="shared" si="226"/>
        <v>11.242048358286</v>
      </c>
      <c r="BK165" s="12">
        <f ca="1" t="shared" si="227"/>
        <v>5.93096073340499</v>
      </c>
      <c r="BL165" s="12">
        <f ca="1" t="shared" si="228"/>
        <v>1.34959893266085</v>
      </c>
      <c r="BM165" s="12">
        <f ca="1" t="shared" si="229"/>
        <v>0</v>
      </c>
      <c r="BN165" s="12">
        <f ca="1" t="shared" si="230"/>
        <v>0</v>
      </c>
      <c r="BO165" s="12">
        <f ca="1" t="shared" si="231"/>
        <v>0</v>
      </c>
    </row>
    <row r="166" spans="1:67">
      <c r="A166" s="3">
        <v>136</v>
      </c>
      <c r="B166" s="11">
        <f ca="1" t="shared" si="197"/>
        <v>0.497473999746502</v>
      </c>
      <c r="C166" s="12">
        <f ca="1" t="shared" si="198"/>
        <v>64.1245666624417</v>
      </c>
      <c r="D166" s="11">
        <f ca="1" t="shared" ref="D166:S166" si="238">RAND()</f>
        <v>0.996518271394206</v>
      </c>
      <c r="E166" s="11">
        <f ca="1" t="shared" si="238"/>
        <v>0.448177383519673</v>
      </c>
      <c r="F166" s="11">
        <f ca="1" t="shared" si="238"/>
        <v>0.859120192826938</v>
      </c>
      <c r="G166" s="11">
        <f ca="1" t="shared" si="238"/>
        <v>0.271072106371799</v>
      </c>
      <c r="H166" s="11">
        <f ca="1" t="shared" si="238"/>
        <v>0.62052952479999</v>
      </c>
      <c r="I166" s="11">
        <f ca="1" t="shared" si="238"/>
        <v>0.113320427662842</v>
      </c>
      <c r="J166" s="11">
        <f ca="1" t="shared" si="238"/>
        <v>0.0207962919886762</v>
      </c>
      <c r="K166" s="11">
        <f ca="1" t="shared" si="238"/>
        <v>0.875611546716679</v>
      </c>
      <c r="L166" s="11">
        <f ca="1" t="shared" si="238"/>
        <v>0.778108363550769</v>
      </c>
      <c r="M166" s="11">
        <f ca="1" t="shared" si="238"/>
        <v>0.151146070488048</v>
      </c>
      <c r="N166" s="11">
        <f ca="1" t="shared" si="238"/>
        <v>0.752111595875508</v>
      </c>
      <c r="O166" s="11">
        <f ca="1" t="shared" si="238"/>
        <v>0.414098436750963</v>
      </c>
      <c r="P166" s="11">
        <f ca="1" t="shared" si="238"/>
        <v>0.245553498093724</v>
      </c>
      <c r="Q166" s="11">
        <f ca="1" t="shared" si="238"/>
        <v>0.685989826526111</v>
      </c>
      <c r="R166" s="11">
        <f ca="1" t="shared" si="238"/>
        <v>0.320707990879123</v>
      </c>
      <c r="S166" s="11">
        <f ca="1" t="shared" si="238"/>
        <v>0.0673191751583597</v>
      </c>
      <c r="T166" s="12">
        <f ca="1" t="shared" si="200"/>
        <v>5.98259135697103</v>
      </c>
      <c r="U166" s="12">
        <f ca="1" t="shared" si="201"/>
        <v>4.68522172939959</v>
      </c>
      <c r="V166" s="12">
        <f ca="1" t="shared" si="202"/>
        <v>5.39780048206734</v>
      </c>
      <c r="W166" s="12">
        <f ca="1" t="shared" si="203"/>
        <v>4.451786843953</v>
      </c>
      <c r="X166" s="12">
        <f ca="1" t="shared" si="204"/>
        <v>4.90066190599999</v>
      </c>
      <c r="Y166" s="12">
        <f ca="1" t="shared" si="205"/>
        <v>4.18886737943807</v>
      </c>
      <c r="Z166" s="12">
        <f ca="1" t="shared" si="206"/>
        <v>4.03466048664779</v>
      </c>
      <c r="AA166" s="12">
        <f ca="1" t="shared" si="207"/>
        <v>5.4390288667917</v>
      </c>
      <c r="AB166" s="12">
        <f ca="1" t="shared" si="208"/>
        <v>5.19527090887692</v>
      </c>
      <c r="AC166" s="12">
        <f ca="1" t="shared" si="209"/>
        <v>4.25191011748008</v>
      </c>
      <c r="AD166" s="12">
        <f ca="1" t="shared" si="210"/>
        <v>5.13027898968877</v>
      </c>
      <c r="AE166" s="12">
        <f ca="1" t="shared" si="211"/>
        <v>4.6426230459387</v>
      </c>
      <c r="AF166" s="12">
        <f ca="1" t="shared" si="212"/>
        <v>4.40925583015621</v>
      </c>
      <c r="AG166" s="12">
        <f ca="1" t="shared" si="213"/>
        <v>4.98248728315764</v>
      </c>
      <c r="AH166" s="12">
        <f ca="1" t="shared" si="214"/>
        <v>4.5258849885989</v>
      </c>
      <c r="AI166" s="12">
        <f ca="1" t="shared" si="215"/>
        <v>4.11219862526393</v>
      </c>
      <c r="AJ166" s="12">
        <f ca="1">SUM($T166:T166)</f>
        <v>5.98259135697103</v>
      </c>
      <c r="AK166" s="12">
        <f ca="1">SUM($T166:U166)</f>
        <v>10.6678130863706</v>
      </c>
      <c r="AL166" s="12">
        <f ca="1">SUM($T166:V166)</f>
        <v>16.065613568438</v>
      </c>
      <c r="AM166" s="12">
        <f ca="1">SUM($T166:W166)</f>
        <v>20.517400412391</v>
      </c>
      <c r="AN166" s="12">
        <f ca="1">SUM($T166:X166)</f>
        <v>25.418062318391</v>
      </c>
      <c r="AO166" s="12">
        <f ca="1">SUM($T166:Y166)</f>
        <v>29.606929697829</v>
      </c>
      <c r="AP166" s="12">
        <f ca="1">SUM($T166:Z166)</f>
        <v>33.6415901844768</v>
      </c>
      <c r="AQ166" s="12">
        <f ca="1">SUM($T166:AA166)</f>
        <v>39.0806190512685</v>
      </c>
      <c r="AR166" s="12">
        <f ca="1">SUM($T166:AB166)</f>
        <v>44.2758899601454</v>
      </c>
      <c r="AS166" s="12">
        <f ca="1">SUM($T166:AC166)</f>
        <v>48.5278000776255</v>
      </c>
      <c r="AT166" s="12">
        <f ca="1">SUM($T166:AD166)</f>
        <v>53.6580790673143</v>
      </c>
      <c r="AU166" s="12">
        <f ca="1">SUM($T166:AE166)</f>
        <v>58.300702113253</v>
      </c>
      <c r="AV166" s="12">
        <f ca="1">SUM($T166:AF166)</f>
        <v>62.7099579434092</v>
      </c>
      <c r="AW166" s="12">
        <f ca="1">SUM($T166:AG166)</f>
        <v>67.6924452265668</v>
      </c>
      <c r="AX166" s="12">
        <f ca="1">SUM($T166:AH166)</f>
        <v>72.2183302151657</v>
      </c>
      <c r="AY166" s="12">
        <f ca="1">SUM($T166:AI166)</f>
        <v>76.3305288404297</v>
      </c>
      <c r="AZ166" s="12">
        <f ca="1" t="shared" si="216"/>
        <v>58.1419753054707</v>
      </c>
      <c r="BA166" s="12">
        <f ca="1" t="shared" si="217"/>
        <v>53.4567535760711</v>
      </c>
      <c r="BB166" s="12">
        <f ca="1" t="shared" si="218"/>
        <v>48.0589530940037</v>
      </c>
      <c r="BC166" s="12">
        <f ca="1" t="shared" si="219"/>
        <v>43.6071662500507</v>
      </c>
      <c r="BD166" s="12">
        <f ca="1" t="shared" si="220"/>
        <v>38.7065043440508</v>
      </c>
      <c r="BE166" s="12">
        <f ca="1" t="shared" si="221"/>
        <v>34.5176369646127</v>
      </c>
      <c r="BF166" s="12">
        <f ca="1" t="shared" si="222"/>
        <v>30.4829764779649</v>
      </c>
      <c r="BG166" s="12">
        <f ca="1" t="shared" si="223"/>
        <v>25.0439476111732</v>
      </c>
      <c r="BH166" s="12">
        <f ca="1" t="shared" si="224"/>
        <v>19.8486767022963</v>
      </c>
      <c r="BI166" s="12">
        <f ca="1" t="shared" si="225"/>
        <v>15.5967665848162</v>
      </c>
      <c r="BJ166" s="12">
        <f ca="1" t="shared" si="226"/>
        <v>10.4664875951274</v>
      </c>
      <c r="BK166" s="12">
        <f ca="1" t="shared" si="227"/>
        <v>5.82386454918872</v>
      </c>
      <c r="BL166" s="12">
        <f ca="1" t="shared" si="228"/>
        <v>1.41460871903251</v>
      </c>
      <c r="BM166" s="12">
        <f ca="1" t="shared" si="229"/>
        <v>0</v>
      </c>
      <c r="BN166" s="12">
        <f ca="1" t="shared" si="230"/>
        <v>0</v>
      </c>
      <c r="BO166" s="12">
        <f ca="1" t="shared" si="231"/>
        <v>0</v>
      </c>
    </row>
    <row r="167" spans="1:67">
      <c r="A167" s="3">
        <v>137</v>
      </c>
      <c r="B167" s="11">
        <f ca="1" t="shared" si="197"/>
        <v>0.533708687960914</v>
      </c>
      <c r="C167" s="12">
        <f ca="1" t="shared" si="198"/>
        <v>64.7284781326819</v>
      </c>
      <c r="D167" s="11">
        <f ca="1" t="shared" ref="D167:S167" si="239">RAND()</f>
        <v>0.651909324004549</v>
      </c>
      <c r="E167" s="11">
        <f ca="1" t="shared" si="239"/>
        <v>0.0114497155645485</v>
      </c>
      <c r="F167" s="11">
        <f ca="1" t="shared" si="239"/>
        <v>0.491090405524737</v>
      </c>
      <c r="G167" s="11">
        <f ca="1" t="shared" si="239"/>
        <v>0.0687029060985691</v>
      </c>
      <c r="H167" s="11">
        <f ca="1" t="shared" si="239"/>
        <v>0.358502431296433</v>
      </c>
      <c r="I167" s="11">
        <f ca="1" t="shared" si="239"/>
        <v>0.738036744899395</v>
      </c>
      <c r="J167" s="11">
        <f ca="1" t="shared" si="239"/>
        <v>0.286333098016095</v>
      </c>
      <c r="K167" s="11">
        <f ca="1" t="shared" si="239"/>
        <v>0.150179935536602</v>
      </c>
      <c r="L167" s="11">
        <f ca="1" t="shared" si="239"/>
        <v>0.93413660821235</v>
      </c>
      <c r="M167" s="11">
        <f ca="1" t="shared" si="239"/>
        <v>0.022238832491756</v>
      </c>
      <c r="N167" s="11">
        <f ca="1" t="shared" si="239"/>
        <v>0.30313029554932</v>
      </c>
      <c r="O167" s="11">
        <f ca="1" t="shared" si="239"/>
        <v>0.317832046696833</v>
      </c>
      <c r="P167" s="11">
        <f ca="1" t="shared" si="239"/>
        <v>0.868546273770339</v>
      </c>
      <c r="Q167" s="11">
        <f ca="1" t="shared" si="239"/>
        <v>0.94017165871554</v>
      </c>
      <c r="R167" s="11">
        <f ca="1" t="shared" si="239"/>
        <v>0.125052792728111</v>
      </c>
      <c r="S167" s="11">
        <f ca="1" t="shared" si="239"/>
        <v>0.203260250673235</v>
      </c>
      <c r="T167" s="12">
        <f ca="1" t="shared" si="200"/>
        <v>4.93988665500569</v>
      </c>
      <c r="U167" s="12">
        <f ca="1" t="shared" si="201"/>
        <v>4.01908285927425</v>
      </c>
      <c r="V167" s="12">
        <f ca="1" t="shared" si="202"/>
        <v>4.73886300690592</v>
      </c>
      <c r="W167" s="12">
        <f ca="1" t="shared" si="203"/>
        <v>4.11450484349762</v>
      </c>
      <c r="X167" s="12">
        <f ca="1" t="shared" si="204"/>
        <v>4.57312803912054</v>
      </c>
      <c r="Y167" s="12">
        <f ca="1" t="shared" si="205"/>
        <v>5.09509186224849</v>
      </c>
      <c r="Z167" s="12">
        <f ca="1" t="shared" si="206"/>
        <v>4.47722183002683</v>
      </c>
      <c r="AA167" s="12">
        <f ca="1" t="shared" si="207"/>
        <v>4.250299892561</v>
      </c>
      <c r="AB167" s="12">
        <f ca="1" t="shared" si="208"/>
        <v>5.67068304106175</v>
      </c>
      <c r="AC167" s="12">
        <f ca="1" t="shared" si="209"/>
        <v>4.03706472081959</v>
      </c>
      <c r="AD167" s="12">
        <f ca="1" t="shared" si="210"/>
        <v>4.50391286943665</v>
      </c>
      <c r="AE167" s="12">
        <f ca="1" t="shared" si="211"/>
        <v>4.52229005837104</v>
      </c>
      <c r="AF167" s="12">
        <f ca="1" t="shared" si="212"/>
        <v>5.42136568442585</v>
      </c>
      <c r="AG167" s="12">
        <f ca="1" t="shared" si="213"/>
        <v>5.7008582935777</v>
      </c>
      <c r="AH167" s="12">
        <f ca="1" t="shared" si="214"/>
        <v>4.20842132121352</v>
      </c>
      <c r="AI167" s="12">
        <f ca="1" t="shared" si="215"/>
        <v>4.33876708445539</v>
      </c>
      <c r="AJ167" s="12">
        <f ca="1">SUM($T167:T167)</f>
        <v>4.93988665500569</v>
      </c>
      <c r="AK167" s="12">
        <f ca="1">SUM($T167:U167)</f>
        <v>8.95896951427993</v>
      </c>
      <c r="AL167" s="12">
        <f ca="1">SUM($T167:V167)</f>
        <v>13.6978325211859</v>
      </c>
      <c r="AM167" s="12">
        <f ca="1">SUM($T167:W167)</f>
        <v>17.8123373646835</v>
      </c>
      <c r="AN167" s="12">
        <f ca="1">SUM($T167:X167)</f>
        <v>22.385465403804</v>
      </c>
      <c r="AO167" s="12">
        <f ca="1">SUM($T167:Y167)</f>
        <v>27.4805572660525</v>
      </c>
      <c r="AP167" s="12">
        <f ca="1">SUM($T167:Z167)</f>
        <v>31.9577790960793</v>
      </c>
      <c r="AQ167" s="12">
        <f ca="1">SUM($T167:AA167)</f>
        <v>36.2080789886403</v>
      </c>
      <c r="AR167" s="12">
        <f ca="1">SUM($T167:AB167)</f>
        <v>41.8787620297021</v>
      </c>
      <c r="AS167" s="12">
        <f ca="1">SUM($T167:AC167)</f>
        <v>45.9158267505217</v>
      </c>
      <c r="AT167" s="12">
        <f ca="1">SUM($T167:AD167)</f>
        <v>50.4197396199583</v>
      </c>
      <c r="AU167" s="12">
        <f ca="1">SUM($T167:AE167)</f>
        <v>54.9420296783294</v>
      </c>
      <c r="AV167" s="12">
        <f ca="1">SUM($T167:AF167)</f>
        <v>60.3633953627552</v>
      </c>
      <c r="AW167" s="12">
        <f ca="1">SUM($T167:AG167)</f>
        <v>66.0642536563329</v>
      </c>
      <c r="AX167" s="12">
        <f ca="1">SUM($T167:AH167)</f>
        <v>70.2726749775464</v>
      </c>
      <c r="AY167" s="12">
        <f ca="1">SUM($T167:AI167)</f>
        <v>74.6114420620018</v>
      </c>
      <c r="AZ167" s="12">
        <f ca="1" t="shared" si="216"/>
        <v>59.7885914776762</v>
      </c>
      <c r="BA167" s="12">
        <f ca="1" t="shared" si="217"/>
        <v>55.769508618402</v>
      </c>
      <c r="BB167" s="12">
        <f ca="1" t="shared" si="218"/>
        <v>51.030645611496</v>
      </c>
      <c r="BC167" s="12">
        <f ca="1" t="shared" si="219"/>
        <v>46.9161407679984</v>
      </c>
      <c r="BD167" s="12">
        <f ca="1" t="shared" si="220"/>
        <v>42.3430127288779</v>
      </c>
      <c r="BE167" s="12">
        <f ca="1" t="shared" si="221"/>
        <v>37.2479208666294</v>
      </c>
      <c r="BF167" s="12">
        <f ca="1" t="shared" si="222"/>
        <v>32.7706990366026</v>
      </c>
      <c r="BG167" s="12">
        <f ca="1" t="shared" si="223"/>
        <v>28.5203991440416</v>
      </c>
      <c r="BH167" s="12">
        <f ca="1" t="shared" si="224"/>
        <v>22.8497161029798</v>
      </c>
      <c r="BI167" s="12">
        <f ca="1" t="shared" si="225"/>
        <v>18.8126513821602</v>
      </c>
      <c r="BJ167" s="12">
        <f ca="1" t="shared" si="226"/>
        <v>14.3087385127236</v>
      </c>
      <c r="BK167" s="12">
        <f ca="1" t="shared" si="227"/>
        <v>9.78644845435254</v>
      </c>
      <c r="BL167" s="12">
        <f ca="1" t="shared" si="228"/>
        <v>4.36508276992669</v>
      </c>
      <c r="BM167" s="12">
        <f ca="1" t="shared" si="229"/>
        <v>0</v>
      </c>
      <c r="BN167" s="12">
        <f ca="1" t="shared" si="230"/>
        <v>0</v>
      </c>
      <c r="BO167" s="12">
        <f ca="1" t="shared" si="231"/>
        <v>0</v>
      </c>
    </row>
    <row r="168" spans="1:67">
      <c r="A168" s="3">
        <v>138</v>
      </c>
      <c r="B168" s="11">
        <f ca="1" t="shared" si="197"/>
        <v>0.251404159640244</v>
      </c>
      <c r="C168" s="12">
        <f ca="1" t="shared" si="198"/>
        <v>60.0234026606707</v>
      </c>
      <c r="D168" s="11">
        <f ca="1" t="shared" ref="D168:S168" si="240">RAND()</f>
        <v>0.733704603408908</v>
      </c>
      <c r="E168" s="11">
        <f ca="1" t="shared" si="240"/>
        <v>0.461779440935666</v>
      </c>
      <c r="F168" s="11">
        <f ca="1" t="shared" si="240"/>
        <v>0.679702383520459</v>
      </c>
      <c r="G168" s="11">
        <f ca="1" t="shared" si="240"/>
        <v>0.140515993781778</v>
      </c>
      <c r="H168" s="11">
        <f ca="1" t="shared" si="240"/>
        <v>0.0362898402342784</v>
      </c>
      <c r="I168" s="11">
        <f ca="1" t="shared" si="240"/>
        <v>0.0547471093811038</v>
      </c>
      <c r="J168" s="11">
        <f ca="1" t="shared" si="240"/>
        <v>0.897059715739714</v>
      </c>
      <c r="K168" s="11">
        <f ca="1" t="shared" si="240"/>
        <v>0.547051832836434</v>
      </c>
      <c r="L168" s="11">
        <f ca="1" t="shared" si="240"/>
        <v>0.234586893639552</v>
      </c>
      <c r="M168" s="11">
        <f ca="1" t="shared" si="240"/>
        <v>0.577570614072372</v>
      </c>
      <c r="N168" s="11">
        <f ca="1" t="shared" si="240"/>
        <v>0.47508702491062</v>
      </c>
      <c r="O168" s="11">
        <f ca="1" t="shared" si="240"/>
        <v>0.113326641741736</v>
      </c>
      <c r="P168" s="11">
        <f ca="1" t="shared" si="240"/>
        <v>0.960271897788255</v>
      </c>
      <c r="Q168" s="11">
        <f ca="1" t="shared" si="240"/>
        <v>0.140767264417161</v>
      </c>
      <c r="R168" s="11">
        <f ca="1" t="shared" si="240"/>
        <v>0.414122950459886</v>
      </c>
      <c r="S168" s="11">
        <f ca="1" t="shared" si="240"/>
        <v>0.841720886249619</v>
      </c>
      <c r="T168" s="12">
        <f ca="1" t="shared" si="200"/>
        <v>5.08426150852227</v>
      </c>
      <c r="U168" s="12">
        <f ca="1" t="shared" si="201"/>
        <v>4.70222430116958</v>
      </c>
      <c r="V168" s="12">
        <f ca="1" t="shared" si="202"/>
        <v>4.97462797940057</v>
      </c>
      <c r="W168" s="12">
        <f ca="1" t="shared" si="203"/>
        <v>4.23419332296963</v>
      </c>
      <c r="X168" s="12">
        <f ca="1" t="shared" si="204"/>
        <v>4.06048306705713</v>
      </c>
      <c r="Y168" s="12">
        <f ca="1" t="shared" si="205"/>
        <v>4.09124518230184</v>
      </c>
      <c r="Z168" s="12">
        <f ca="1" t="shared" si="206"/>
        <v>5.49264928934929</v>
      </c>
      <c r="AA168" s="12">
        <f ca="1" t="shared" si="207"/>
        <v>4.80881479104554</v>
      </c>
      <c r="AB168" s="12">
        <f ca="1" t="shared" si="208"/>
        <v>4.39097815606592</v>
      </c>
      <c r="AC168" s="12">
        <f ca="1" t="shared" si="209"/>
        <v>4.84696326759047</v>
      </c>
      <c r="AD168" s="12">
        <f ca="1" t="shared" si="210"/>
        <v>4.71885878113827</v>
      </c>
      <c r="AE168" s="12">
        <f ca="1" t="shared" si="211"/>
        <v>4.18887773623623</v>
      </c>
      <c r="AF168" s="12">
        <f ca="1" t="shared" si="212"/>
        <v>5.80135948894127</v>
      </c>
      <c r="AG168" s="12">
        <f ca="1" t="shared" si="213"/>
        <v>4.23461210736194</v>
      </c>
      <c r="AH168" s="12">
        <f ca="1" t="shared" si="214"/>
        <v>4.64265368807486</v>
      </c>
      <c r="AI168" s="12">
        <f ca="1" t="shared" si="215"/>
        <v>5.35430221562405</v>
      </c>
      <c r="AJ168" s="12">
        <f ca="1">SUM($T168:T168)</f>
        <v>5.08426150852227</v>
      </c>
      <c r="AK168" s="12">
        <f ca="1">SUM($T168:U168)</f>
        <v>9.78648580969185</v>
      </c>
      <c r="AL168" s="12">
        <f ca="1">SUM($T168:V168)</f>
        <v>14.7611137890924</v>
      </c>
      <c r="AM168" s="12">
        <f ca="1">SUM($T168:W168)</f>
        <v>18.9953071120621</v>
      </c>
      <c r="AN168" s="12">
        <f ca="1">SUM($T168:X168)</f>
        <v>23.0557901791192</v>
      </c>
      <c r="AO168" s="12">
        <f ca="1">SUM($T168:Y168)</f>
        <v>27.147035361421</v>
      </c>
      <c r="AP168" s="12">
        <f ca="1">SUM($T168:Z168)</f>
        <v>32.6396846507703</v>
      </c>
      <c r="AQ168" s="12">
        <f ca="1">SUM($T168:AA168)</f>
        <v>37.4484994418159</v>
      </c>
      <c r="AR168" s="12">
        <f ca="1">SUM($T168:AB168)</f>
        <v>41.8394775978818</v>
      </c>
      <c r="AS168" s="12">
        <f ca="1">SUM($T168:AC168)</f>
        <v>46.6864408654722</v>
      </c>
      <c r="AT168" s="12">
        <f ca="1">SUM($T168:AD168)</f>
        <v>51.4052996466105</v>
      </c>
      <c r="AU168" s="12">
        <f ca="1">SUM($T168:AE168)</f>
        <v>55.5941773828467</v>
      </c>
      <c r="AV168" s="12">
        <f ca="1">SUM($T168:AF168)</f>
        <v>61.395536871788</v>
      </c>
      <c r="AW168" s="12">
        <f ca="1">SUM($T168:AG168)</f>
        <v>65.63014897915</v>
      </c>
      <c r="AX168" s="12">
        <f ca="1">SUM($T168:AH168)</f>
        <v>70.2728026672248</v>
      </c>
      <c r="AY168" s="12">
        <f ca="1">SUM($T168:AI168)</f>
        <v>75.6271048828489</v>
      </c>
      <c r="AZ168" s="12">
        <f ca="1" t="shared" si="216"/>
        <v>54.9391411521485</v>
      </c>
      <c r="BA168" s="12">
        <f ca="1" t="shared" si="217"/>
        <v>50.2369168509789</v>
      </c>
      <c r="BB168" s="12">
        <f ca="1" t="shared" si="218"/>
        <v>45.2622888715783</v>
      </c>
      <c r="BC168" s="12">
        <f ca="1" t="shared" si="219"/>
        <v>41.0280955486087</v>
      </c>
      <c r="BD168" s="12">
        <f ca="1" t="shared" si="220"/>
        <v>36.9676124815516</v>
      </c>
      <c r="BE168" s="12">
        <f ca="1" t="shared" si="221"/>
        <v>32.8763672992497</v>
      </c>
      <c r="BF168" s="12">
        <f ca="1" t="shared" si="222"/>
        <v>27.3837180099004</v>
      </c>
      <c r="BG168" s="12">
        <f ca="1" t="shared" si="223"/>
        <v>22.5749032188549</v>
      </c>
      <c r="BH168" s="12">
        <f ca="1" t="shared" si="224"/>
        <v>18.183925062789</v>
      </c>
      <c r="BI168" s="12">
        <f ca="1" t="shared" si="225"/>
        <v>13.3369617951985</v>
      </c>
      <c r="BJ168" s="12">
        <f ca="1" t="shared" si="226"/>
        <v>8.61810301406022</v>
      </c>
      <c r="BK168" s="12">
        <f ca="1" t="shared" si="227"/>
        <v>4.429225277824</v>
      </c>
      <c r="BL168" s="12">
        <f ca="1" t="shared" si="228"/>
        <v>0</v>
      </c>
      <c r="BM168" s="12">
        <f ca="1" t="shared" si="229"/>
        <v>0</v>
      </c>
      <c r="BN168" s="12">
        <f ca="1" t="shared" si="230"/>
        <v>0</v>
      </c>
      <c r="BO168" s="12">
        <f ca="1" t="shared" si="231"/>
        <v>0</v>
      </c>
    </row>
    <row r="169" spans="1:67">
      <c r="A169" s="3">
        <v>139</v>
      </c>
      <c r="B169" s="11">
        <f ca="1" t="shared" si="197"/>
        <v>0.870785418181692</v>
      </c>
      <c r="C169" s="12">
        <f ca="1" t="shared" si="198"/>
        <v>69.582648831167</v>
      </c>
      <c r="D169" s="11">
        <f ca="1" t="shared" ref="D169:S169" si="241">RAND()</f>
        <v>0.0273086083077494</v>
      </c>
      <c r="E169" s="11">
        <f ca="1" t="shared" si="241"/>
        <v>0.402823245925715</v>
      </c>
      <c r="F169" s="11">
        <f ca="1" t="shared" si="241"/>
        <v>0.0673167201629492</v>
      </c>
      <c r="G169" s="11">
        <f ca="1" t="shared" si="241"/>
        <v>0.54587089261569</v>
      </c>
      <c r="H169" s="11">
        <f ca="1" t="shared" si="241"/>
        <v>0.100834108755776</v>
      </c>
      <c r="I169" s="11">
        <f ca="1" t="shared" si="241"/>
        <v>0.757304258970309</v>
      </c>
      <c r="J169" s="11">
        <f ca="1" t="shared" si="241"/>
        <v>0.65621421180296</v>
      </c>
      <c r="K169" s="11">
        <f ca="1" t="shared" si="241"/>
        <v>0.375591387759872</v>
      </c>
      <c r="L169" s="11">
        <f ca="1" t="shared" si="241"/>
        <v>0.878139437252117</v>
      </c>
      <c r="M169" s="11">
        <f ca="1" t="shared" si="241"/>
        <v>0.0858994721202078</v>
      </c>
      <c r="N169" s="11">
        <f ca="1" t="shared" si="241"/>
        <v>0.113881645708241</v>
      </c>
      <c r="O169" s="11">
        <f ca="1" t="shared" si="241"/>
        <v>0.448171485350126</v>
      </c>
      <c r="P169" s="11">
        <f ca="1" t="shared" si="241"/>
        <v>0.672606941887436</v>
      </c>
      <c r="Q169" s="11">
        <f ca="1" t="shared" si="241"/>
        <v>0.260296577709193</v>
      </c>
      <c r="R169" s="11">
        <f ca="1" t="shared" si="241"/>
        <v>0.444049335577902</v>
      </c>
      <c r="S169" s="11">
        <f ca="1" t="shared" si="241"/>
        <v>0.478506476113201</v>
      </c>
      <c r="T169" s="12">
        <f ca="1" t="shared" si="200"/>
        <v>4.04551434717958</v>
      </c>
      <c r="U169" s="12">
        <f ca="1" t="shared" si="201"/>
        <v>4.62852905740714</v>
      </c>
      <c r="V169" s="12">
        <f ca="1" t="shared" si="202"/>
        <v>4.11219453360492</v>
      </c>
      <c r="W169" s="12">
        <f ca="1" t="shared" si="203"/>
        <v>4.80733861576961</v>
      </c>
      <c r="X169" s="12">
        <f ca="1" t="shared" si="204"/>
        <v>4.16805684792629</v>
      </c>
      <c r="Y169" s="12">
        <f ca="1" t="shared" si="205"/>
        <v>5.14326064742577</v>
      </c>
      <c r="Z169" s="12">
        <f ca="1" t="shared" si="206"/>
        <v>4.9452677647537</v>
      </c>
      <c r="AA169" s="12">
        <f ca="1" t="shared" si="207"/>
        <v>4.59448923469984</v>
      </c>
      <c r="AB169" s="12">
        <f ca="1" t="shared" si="208"/>
        <v>5.44534859313029</v>
      </c>
      <c r="AC169" s="12">
        <f ca="1" t="shared" si="209"/>
        <v>4.14316578686701</v>
      </c>
      <c r="AD169" s="12">
        <f ca="1" t="shared" si="210"/>
        <v>4.18980274284707</v>
      </c>
      <c r="AE169" s="12">
        <f ca="1" t="shared" si="211"/>
        <v>4.68521435668766</v>
      </c>
      <c r="AF169" s="12">
        <f ca="1" t="shared" si="212"/>
        <v>4.96575867735929</v>
      </c>
      <c r="AG169" s="12">
        <f ca="1" t="shared" si="213"/>
        <v>4.43382762951532</v>
      </c>
      <c r="AH169" s="12">
        <f ca="1" t="shared" si="214"/>
        <v>4.68006166947238</v>
      </c>
      <c r="AI169" s="12">
        <f ca="1" t="shared" si="215"/>
        <v>4.7231330951415</v>
      </c>
      <c r="AJ169" s="12">
        <f ca="1">SUM($T169:T169)</f>
        <v>4.04551434717958</v>
      </c>
      <c r="AK169" s="12">
        <f ca="1">SUM($T169:U169)</f>
        <v>8.67404340458673</v>
      </c>
      <c r="AL169" s="12">
        <f ca="1">SUM($T169:V169)</f>
        <v>12.7862379381916</v>
      </c>
      <c r="AM169" s="12">
        <f ca="1">SUM($T169:W169)</f>
        <v>17.5935765539613</v>
      </c>
      <c r="AN169" s="12">
        <f ca="1">SUM($T169:X169)</f>
        <v>21.7616334018875</v>
      </c>
      <c r="AO169" s="12">
        <f ca="1">SUM($T169:Y169)</f>
        <v>26.9048940493133</v>
      </c>
      <c r="AP169" s="12">
        <f ca="1">SUM($T169:Z169)</f>
        <v>31.850161814067</v>
      </c>
      <c r="AQ169" s="12">
        <f ca="1">SUM($T169:AA169)</f>
        <v>36.4446510487669</v>
      </c>
      <c r="AR169" s="12">
        <f ca="1">SUM($T169:AB169)</f>
        <v>41.8899996418971</v>
      </c>
      <c r="AS169" s="12">
        <f ca="1">SUM($T169:AC169)</f>
        <v>46.0331654287642</v>
      </c>
      <c r="AT169" s="12">
        <f ca="1">SUM($T169:AD169)</f>
        <v>50.2229681716112</v>
      </c>
      <c r="AU169" s="12">
        <f ca="1">SUM($T169:AE169)</f>
        <v>54.9081825282989</v>
      </c>
      <c r="AV169" s="12">
        <f ca="1">SUM($T169:AF169)</f>
        <v>59.8739412056582</v>
      </c>
      <c r="AW169" s="12">
        <f ca="1">SUM($T169:AG169)</f>
        <v>64.3077688351735</v>
      </c>
      <c r="AX169" s="12">
        <f ca="1">SUM($T169:AH169)</f>
        <v>68.9878305046459</v>
      </c>
      <c r="AY169" s="12">
        <f ca="1">SUM($T169:AI169)</f>
        <v>73.7109635997874</v>
      </c>
      <c r="AZ169" s="12">
        <f ca="1" t="shared" si="216"/>
        <v>65.5371344839874</v>
      </c>
      <c r="BA169" s="12">
        <f ca="1" t="shared" si="217"/>
        <v>60.9086054265803</v>
      </c>
      <c r="BB169" s="12">
        <f ca="1" t="shared" si="218"/>
        <v>56.7964108929754</v>
      </c>
      <c r="BC169" s="12">
        <f ca="1" t="shared" si="219"/>
        <v>51.9890722772058</v>
      </c>
      <c r="BD169" s="12">
        <f ca="1" t="shared" si="220"/>
        <v>47.8210154292795</v>
      </c>
      <c r="BE169" s="12">
        <f ca="1" t="shared" si="221"/>
        <v>42.6777547818537</v>
      </c>
      <c r="BF169" s="12">
        <f ca="1" t="shared" si="222"/>
        <v>37.7324870171</v>
      </c>
      <c r="BG169" s="12">
        <f ca="1" t="shared" si="223"/>
        <v>33.1379977824002</v>
      </c>
      <c r="BH169" s="12">
        <f ca="1" t="shared" si="224"/>
        <v>27.6926491892699</v>
      </c>
      <c r="BI169" s="12">
        <f ca="1" t="shared" si="225"/>
        <v>23.5494834024029</v>
      </c>
      <c r="BJ169" s="12">
        <f ca="1" t="shared" si="226"/>
        <v>19.3596806595558</v>
      </c>
      <c r="BK169" s="12">
        <f ca="1" t="shared" si="227"/>
        <v>14.6744663028681</v>
      </c>
      <c r="BL169" s="12">
        <f ca="1" t="shared" si="228"/>
        <v>9.70870762550884</v>
      </c>
      <c r="BM169" s="12">
        <f ca="1" t="shared" si="229"/>
        <v>5.27487999599352</v>
      </c>
      <c r="BN169" s="12">
        <f ca="1" t="shared" si="230"/>
        <v>0.594818326521136</v>
      </c>
      <c r="BO169" s="12">
        <f ca="1" t="shared" si="231"/>
        <v>0</v>
      </c>
    </row>
    <row r="170" spans="1:67">
      <c r="A170" s="3">
        <v>140</v>
      </c>
      <c r="B170" s="11">
        <f ca="1" t="shared" si="197"/>
        <v>0.201306391352705</v>
      </c>
      <c r="C170" s="12">
        <f ca="1" t="shared" si="198"/>
        <v>58.3768797117568</v>
      </c>
      <c r="D170" s="11">
        <f ca="1" t="shared" ref="D170:S170" si="242">RAND()</f>
        <v>0.267850995663894</v>
      </c>
      <c r="E170" s="11">
        <f ca="1" t="shared" si="242"/>
        <v>0.778117004281581</v>
      </c>
      <c r="F170" s="11">
        <f ca="1" t="shared" si="242"/>
        <v>0.908610515637142</v>
      </c>
      <c r="G170" s="11">
        <f ca="1" t="shared" si="242"/>
        <v>0.851002348384825</v>
      </c>
      <c r="H170" s="11">
        <f ca="1" t="shared" si="242"/>
        <v>0.752130302144256</v>
      </c>
      <c r="I170" s="11">
        <f ca="1" t="shared" si="242"/>
        <v>0.126906391209588</v>
      </c>
      <c r="J170" s="11">
        <f ca="1" t="shared" si="242"/>
        <v>0.873878657889229</v>
      </c>
      <c r="K170" s="11">
        <f ca="1" t="shared" si="242"/>
        <v>0.32069647651249</v>
      </c>
      <c r="L170" s="11">
        <f ca="1" t="shared" si="242"/>
        <v>0.445559809442343</v>
      </c>
      <c r="M170" s="11">
        <f ca="1" t="shared" si="242"/>
        <v>0.114177400499374</v>
      </c>
      <c r="N170" s="11">
        <f ca="1" t="shared" si="242"/>
        <v>0.06870556084812</v>
      </c>
      <c r="O170" s="11">
        <f ca="1" t="shared" si="242"/>
        <v>0.863925310941566</v>
      </c>
      <c r="P170" s="11">
        <f ca="1" t="shared" si="242"/>
        <v>0.680997457535522</v>
      </c>
      <c r="Q170" s="11">
        <f ca="1" t="shared" si="242"/>
        <v>0.868551613753884</v>
      </c>
      <c r="R170" s="11">
        <f ca="1" t="shared" si="242"/>
        <v>0.358508983680071</v>
      </c>
      <c r="S170" s="11">
        <f ca="1" t="shared" si="242"/>
        <v>0.203253277248119</v>
      </c>
      <c r="T170" s="12">
        <f ca="1" t="shared" si="200"/>
        <v>4.44641832610649</v>
      </c>
      <c r="U170" s="12">
        <f ca="1" t="shared" si="201"/>
        <v>5.19529251070395</v>
      </c>
      <c r="V170" s="12">
        <f ca="1" t="shared" si="202"/>
        <v>5.54305257818571</v>
      </c>
      <c r="W170" s="12">
        <f ca="1" t="shared" si="203"/>
        <v>5.37750587096206</v>
      </c>
      <c r="X170" s="12">
        <f ca="1" t="shared" si="204"/>
        <v>5.13032575536064</v>
      </c>
      <c r="Y170" s="12">
        <f ca="1" t="shared" si="205"/>
        <v>4.21151065201598</v>
      </c>
      <c r="Z170" s="12">
        <f ca="1" t="shared" si="206"/>
        <v>5.43469664472307</v>
      </c>
      <c r="AA170" s="12">
        <f ca="1" t="shared" si="207"/>
        <v>4.52587059564061</v>
      </c>
      <c r="AB170" s="12">
        <f ca="1" t="shared" si="208"/>
        <v>4.68194976180293</v>
      </c>
      <c r="AC170" s="12">
        <f ca="1" t="shared" si="209"/>
        <v>4.19029566749896</v>
      </c>
      <c r="AD170" s="12">
        <f ca="1" t="shared" si="210"/>
        <v>4.1145092680802</v>
      </c>
      <c r="AE170" s="12">
        <f ca="1" t="shared" si="211"/>
        <v>5.40981327735392</v>
      </c>
      <c r="AF170" s="12">
        <f ca="1" t="shared" si="212"/>
        <v>4.9762468219194</v>
      </c>
      <c r="AG170" s="12">
        <f ca="1" t="shared" si="213"/>
        <v>5.42137903438471</v>
      </c>
      <c r="AH170" s="12">
        <f ca="1" t="shared" si="214"/>
        <v>4.57313622960009</v>
      </c>
      <c r="AI170" s="12">
        <f ca="1" t="shared" si="215"/>
        <v>4.3387554620802</v>
      </c>
      <c r="AJ170" s="12">
        <f ca="1">SUM($T170:T170)</f>
        <v>4.44641832610649</v>
      </c>
      <c r="AK170" s="12">
        <f ca="1">SUM($T170:U170)</f>
        <v>9.64171083681044</v>
      </c>
      <c r="AL170" s="12">
        <f ca="1">SUM($T170:V170)</f>
        <v>15.1847634149962</v>
      </c>
      <c r="AM170" s="12">
        <f ca="1">SUM($T170:W170)</f>
        <v>20.5622692859582</v>
      </c>
      <c r="AN170" s="12">
        <f ca="1">SUM($T170:X170)</f>
        <v>25.6925950413189</v>
      </c>
      <c r="AO170" s="12">
        <f ca="1">SUM($T170:Y170)</f>
        <v>29.9041056933348</v>
      </c>
      <c r="AP170" s="12">
        <f ca="1">SUM($T170:Z170)</f>
        <v>35.3388023380579</v>
      </c>
      <c r="AQ170" s="12">
        <f ca="1">SUM($T170:AA170)</f>
        <v>39.8646729336985</v>
      </c>
      <c r="AR170" s="12">
        <f ca="1">SUM($T170:AB170)</f>
        <v>44.5466226955014</v>
      </c>
      <c r="AS170" s="12">
        <f ca="1">SUM($T170:AC170)</f>
        <v>48.7369183630004</v>
      </c>
      <c r="AT170" s="12">
        <f ca="1">SUM($T170:AD170)</f>
        <v>52.8514276310806</v>
      </c>
      <c r="AU170" s="12">
        <f ca="1">SUM($T170:AE170)</f>
        <v>58.2612409084345</v>
      </c>
      <c r="AV170" s="12">
        <f ca="1">SUM($T170:AF170)</f>
        <v>63.2374877303539</v>
      </c>
      <c r="AW170" s="12">
        <f ca="1">SUM($T170:AG170)</f>
        <v>68.6588667647386</v>
      </c>
      <c r="AX170" s="12">
        <f ca="1">SUM($T170:AH170)</f>
        <v>73.2320029943387</v>
      </c>
      <c r="AY170" s="12">
        <f ca="1">SUM($T170:AI170)</f>
        <v>77.5707584564189</v>
      </c>
      <c r="AZ170" s="12">
        <f ca="1" t="shared" si="216"/>
        <v>53.9304613856503</v>
      </c>
      <c r="BA170" s="12">
        <f ca="1" t="shared" si="217"/>
        <v>48.7351688749464</v>
      </c>
      <c r="BB170" s="12">
        <f ca="1" t="shared" si="218"/>
        <v>43.1921162967607</v>
      </c>
      <c r="BC170" s="12">
        <f ca="1" t="shared" si="219"/>
        <v>37.8146104257986</v>
      </c>
      <c r="BD170" s="12">
        <f ca="1" t="shared" si="220"/>
        <v>32.684284670438</v>
      </c>
      <c r="BE170" s="12">
        <f ca="1" t="shared" si="221"/>
        <v>28.472774018422</v>
      </c>
      <c r="BF170" s="12">
        <f ca="1" t="shared" si="222"/>
        <v>23.0380773736989</v>
      </c>
      <c r="BG170" s="12">
        <f ca="1" t="shared" si="223"/>
        <v>18.5122067780583</v>
      </c>
      <c r="BH170" s="12">
        <f ca="1" t="shared" si="224"/>
        <v>13.8302570162554</v>
      </c>
      <c r="BI170" s="12">
        <f ca="1" t="shared" si="225"/>
        <v>9.63996134875642</v>
      </c>
      <c r="BJ170" s="12">
        <f ca="1" t="shared" si="226"/>
        <v>5.52545208067622</v>
      </c>
      <c r="BK170" s="12">
        <f ca="1" t="shared" si="227"/>
        <v>0.115638803322312</v>
      </c>
      <c r="BL170" s="12">
        <f ca="1" t="shared" si="228"/>
        <v>0</v>
      </c>
      <c r="BM170" s="12">
        <f ca="1" t="shared" si="229"/>
        <v>0</v>
      </c>
      <c r="BN170" s="12">
        <f ca="1" t="shared" si="230"/>
        <v>0</v>
      </c>
      <c r="BO170" s="12">
        <f ca="1" t="shared" si="231"/>
        <v>0</v>
      </c>
    </row>
    <row r="171" spans="1:67">
      <c r="A171" s="3">
        <v>141</v>
      </c>
      <c r="B171" s="11">
        <f ca="1" t="shared" si="197"/>
        <v>0.72126413804279</v>
      </c>
      <c r="C171" s="12">
        <f ca="1" t="shared" si="198"/>
        <v>67.4466305434684</v>
      </c>
      <c r="D171" s="11">
        <f ca="1" t="shared" ref="D171:S171" si="243">RAND()</f>
        <v>0.823389652869795</v>
      </c>
      <c r="E171" s="11">
        <f ca="1" t="shared" si="243"/>
        <v>0.4039721465008</v>
      </c>
      <c r="F171" s="11">
        <f ca="1" t="shared" si="243"/>
        <v>0.33502655441519</v>
      </c>
      <c r="G171" s="11">
        <f ca="1" t="shared" si="243"/>
        <v>0.95092587841154</v>
      </c>
      <c r="H171" s="11">
        <f ca="1" t="shared" si="243"/>
        <v>0.286343965550097</v>
      </c>
      <c r="I171" s="11">
        <f ca="1" t="shared" si="243"/>
        <v>0.519465051759088</v>
      </c>
      <c r="J171" s="11">
        <f ca="1" t="shared" si="243"/>
        <v>0.0363029531415326</v>
      </c>
      <c r="K171" s="11">
        <f ca="1" t="shared" si="243"/>
        <v>0.207066423705909</v>
      </c>
      <c r="L171" s="11">
        <f ca="1" t="shared" si="243"/>
        <v>0.830580588626544</v>
      </c>
      <c r="M171" s="11">
        <f ca="1" t="shared" si="243"/>
        <v>0.22427699283438</v>
      </c>
      <c r="N171" s="11">
        <f ca="1" t="shared" si="243"/>
        <v>0.403964495161981</v>
      </c>
      <c r="O171" s="11">
        <f ca="1" t="shared" si="243"/>
        <v>0.701175084156427</v>
      </c>
      <c r="P171" s="11">
        <f ca="1" t="shared" si="243"/>
        <v>0.857636551439043</v>
      </c>
      <c r="Q171" s="11">
        <f ca="1" t="shared" si="243"/>
        <v>0.976027560542815</v>
      </c>
      <c r="R171" s="11">
        <f ca="1" t="shared" si="243"/>
        <v>0.224280987136841</v>
      </c>
      <c r="S171" s="11">
        <f ca="1" t="shared" si="243"/>
        <v>0.106457269196261</v>
      </c>
      <c r="T171" s="12">
        <f ca="1" t="shared" si="200"/>
        <v>5.30847413217449</v>
      </c>
      <c r="U171" s="12">
        <f ca="1" t="shared" si="201"/>
        <v>4.629965183126</v>
      </c>
      <c r="V171" s="12">
        <f ca="1" t="shared" si="202"/>
        <v>4.54378319301899</v>
      </c>
      <c r="W171" s="12">
        <f ca="1" t="shared" si="203"/>
        <v>5.7546293920577</v>
      </c>
      <c r="X171" s="12">
        <f ca="1" t="shared" si="204"/>
        <v>4.47723994258349</v>
      </c>
      <c r="Y171" s="12">
        <f ca="1" t="shared" si="205"/>
        <v>4.77433131469886</v>
      </c>
      <c r="Z171" s="12">
        <f ca="1" t="shared" si="206"/>
        <v>4.06050492190255</v>
      </c>
      <c r="AA171" s="12">
        <f ca="1" t="shared" si="207"/>
        <v>4.34511070617652</v>
      </c>
      <c r="AB171" s="12">
        <f ca="1" t="shared" si="208"/>
        <v>5.32645147156636</v>
      </c>
      <c r="AC171" s="12">
        <f ca="1" t="shared" si="209"/>
        <v>4.3737949880573</v>
      </c>
      <c r="AD171" s="12">
        <f ca="1" t="shared" si="210"/>
        <v>4.62995561895248</v>
      </c>
      <c r="AE171" s="12">
        <f ca="1" t="shared" si="211"/>
        <v>5.00293771039107</v>
      </c>
      <c r="AF171" s="12">
        <f ca="1" t="shared" si="212"/>
        <v>5.39409137859761</v>
      </c>
      <c r="AG171" s="12">
        <f ca="1" t="shared" si="213"/>
        <v>5.88013780271408</v>
      </c>
      <c r="AH171" s="12">
        <f ca="1" t="shared" si="214"/>
        <v>4.37380164522807</v>
      </c>
      <c r="AI171" s="12">
        <f ca="1" t="shared" si="215"/>
        <v>4.17742878199377</v>
      </c>
      <c r="AJ171" s="12">
        <f ca="1">SUM($T171:T171)</f>
        <v>5.30847413217449</v>
      </c>
      <c r="AK171" s="12">
        <f ca="1">SUM($T171:U171)</f>
        <v>9.93843931530049</v>
      </c>
      <c r="AL171" s="12">
        <f ca="1">SUM($T171:V171)</f>
        <v>14.4822225083195</v>
      </c>
      <c r="AM171" s="12">
        <f ca="1">SUM($T171:W171)</f>
        <v>20.2368519003772</v>
      </c>
      <c r="AN171" s="12">
        <f ca="1">SUM($T171:X171)</f>
        <v>24.7140918429607</v>
      </c>
      <c r="AO171" s="12">
        <f ca="1">SUM($T171:Y171)</f>
        <v>29.4884231576595</v>
      </c>
      <c r="AP171" s="12">
        <f ca="1">SUM($T171:Z171)</f>
        <v>33.5489280795621</v>
      </c>
      <c r="AQ171" s="12">
        <f ca="1">SUM($T171:AA171)</f>
        <v>37.8940387857386</v>
      </c>
      <c r="AR171" s="12">
        <f ca="1">SUM($T171:AB171)</f>
        <v>43.220490257305</v>
      </c>
      <c r="AS171" s="12">
        <f ca="1">SUM($T171:AC171)</f>
        <v>47.5942852453623</v>
      </c>
      <c r="AT171" s="12">
        <f ca="1">SUM($T171:AD171)</f>
        <v>52.2242408643147</v>
      </c>
      <c r="AU171" s="12">
        <f ca="1">SUM($T171:AE171)</f>
        <v>57.2271785747058</v>
      </c>
      <c r="AV171" s="12">
        <f ca="1">SUM($T171:AF171)</f>
        <v>62.6212699533034</v>
      </c>
      <c r="AW171" s="12">
        <f ca="1">SUM($T171:AG171)</f>
        <v>68.5014077560175</v>
      </c>
      <c r="AX171" s="12">
        <f ca="1">SUM($T171:AH171)</f>
        <v>72.8752094012456</v>
      </c>
      <c r="AY171" s="12">
        <f ca="1">SUM($T171:AI171)</f>
        <v>77.0526381832393</v>
      </c>
      <c r="AZ171" s="12">
        <f ca="1" t="shared" si="216"/>
        <v>62.1381564112939</v>
      </c>
      <c r="BA171" s="12">
        <f ca="1" t="shared" si="217"/>
        <v>57.5081912281679</v>
      </c>
      <c r="BB171" s="12">
        <f ca="1" t="shared" si="218"/>
        <v>52.964408035149</v>
      </c>
      <c r="BC171" s="12">
        <f ca="1" t="shared" si="219"/>
        <v>47.2097786430913</v>
      </c>
      <c r="BD171" s="12">
        <f ca="1" t="shared" si="220"/>
        <v>42.7325387005078</v>
      </c>
      <c r="BE171" s="12">
        <f ca="1" t="shared" si="221"/>
        <v>37.9582073858089</v>
      </c>
      <c r="BF171" s="12">
        <f ca="1" t="shared" si="222"/>
        <v>33.8977024639063</v>
      </c>
      <c r="BG171" s="12">
        <f ca="1" t="shared" si="223"/>
        <v>29.5525917577298</v>
      </c>
      <c r="BH171" s="12">
        <f ca="1" t="shared" si="224"/>
        <v>24.2261402861635</v>
      </c>
      <c r="BI171" s="12">
        <f ca="1" t="shared" si="225"/>
        <v>19.8523452981062</v>
      </c>
      <c r="BJ171" s="12">
        <f ca="1" t="shared" si="226"/>
        <v>15.2223896791537</v>
      </c>
      <c r="BK171" s="12">
        <f ca="1" t="shared" si="227"/>
        <v>10.2194519687626</v>
      </c>
      <c r="BL171" s="12">
        <f ca="1" t="shared" si="228"/>
        <v>4.82536059016502</v>
      </c>
      <c r="BM171" s="12">
        <f ca="1" t="shared" si="229"/>
        <v>0</v>
      </c>
      <c r="BN171" s="12">
        <f ca="1" t="shared" si="230"/>
        <v>0</v>
      </c>
      <c r="BO171" s="12">
        <f ca="1" t="shared" si="231"/>
        <v>0</v>
      </c>
    </row>
    <row r="172" spans="1:67">
      <c r="A172" s="3">
        <v>142</v>
      </c>
      <c r="B172" s="11">
        <f ca="1" t="shared" si="197"/>
        <v>0.756655927652311</v>
      </c>
      <c r="C172" s="12">
        <f ca="1" t="shared" si="198"/>
        <v>67.9522275378902</v>
      </c>
      <c r="D172" s="11">
        <f ca="1" t="shared" ref="D172:S172" si="244">RAND()</f>
        <v>0.06968810042705</v>
      </c>
      <c r="E172" s="11">
        <f ca="1" t="shared" si="244"/>
        <v>0.870381193973726</v>
      </c>
      <c r="F172" s="11">
        <f ca="1" t="shared" si="244"/>
        <v>0.613345484288471</v>
      </c>
      <c r="G172" s="11">
        <f ca="1" t="shared" si="244"/>
        <v>0.936611779750247</v>
      </c>
      <c r="H172" s="11">
        <f ca="1" t="shared" si="244"/>
        <v>0.701193707693898</v>
      </c>
      <c r="I172" s="11">
        <f ca="1" t="shared" si="244"/>
        <v>0.11986453563537</v>
      </c>
      <c r="J172" s="11">
        <f ca="1" t="shared" si="244"/>
        <v>0.45641433874508</v>
      </c>
      <c r="K172" s="11">
        <f ca="1" t="shared" si="244"/>
        <v>0.106459685387171</v>
      </c>
      <c r="L172" s="11">
        <f ca="1" t="shared" si="244"/>
        <v>0.54705239747803</v>
      </c>
      <c r="M172" s="11">
        <f ca="1" t="shared" si="244"/>
        <v>0.591882679046168</v>
      </c>
      <c r="N172" s="11">
        <f ca="1" t="shared" si="244"/>
        <v>0.535947598500193</v>
      </c>
      <c r="O172" s="11">
        <f ca="1" t="shared" si="244"/>
        <v>0.870381759532093</v>
      </c>
      <c r="P172" s="11">
        <f ca="1" t="shared" si="244"/>
        <v>0.757312552215937</v>
      </c>
      <c r="Q172" s="11">
        <f ca="1" t="shared" si="244"/>
        <v>0.281457081648381</v>
      </c>
      <c r="R172" s="11">
        <f ca="1" t="shared" si="244"/>
        <v>0.931775273481162</v>
      </c>
      <c r="S172" s="11">
        <f ca="1" t="shared" si="244"/>
        <v>0.260302231228303</v>
      </c>
      <c r="T172" s="12">
        <f ca="1" t="shared" si="200"/>
        <v>4.11614683404508</v>
      </c>
      <c r="U172" s="12">
        <f ca="1" t="shared" si="201"/>
        <v>5.42595298493432</v>
      </c>
      <c r="V172" s="12">
        <f ca="1" t="shared" si="202"/>
        <v>4.89168185536059</v>
      </c>
      <c r="W172" s="12">
        <f ca="1" t="shared" si="203"/>
        <v>5.68305889875124</v>
      </c>
      <c r="X172" s="12">
        <f ca="1" t="shared" si="204"/>
        <v>5.00298426923474</v>
      </c>
      <c r="Y172" s="12">
        <f ca="1" t="shared" si="205"/>
        <v>4.19977422605895</v>
      </c>
      <c r="Z172" s="12">
        <f ca="1" t="shared" si="206"/>
        <v>4.69551792343135</v>
      </c>
      <c r="AA172" s="12">
        <f ca="1" t="shared" si="207"/>
        <v>4.17743280897862</v>
      </c>
      <c r="AB172" s="12">
        <f ca="1" t="shared" si="208"/>
        <v>4.80881549684754</v>
      </c>
      <c r="AC172" s="12">
        <f ca="1" t="shared" si="209"/>
        <v>4.86485334880771</v>
      </c>
      <c r="AD172" s="12">
        <f ca="1" t="shared" si="210"/>
        <v>4.79493449812524</v>
      </c>
      <c r="AE172" s="12">
        <f ca="1" t="shared" si="211"/>
        <v>5.42595439883023</v>
      </c>
      <c r="AF172" s="12">
        <f ca="1" t="shared" si="212"/>
        <v>5.14328138053984</v>
      </c>
      <c r="AG172" s="12">
        <f ca="1" t="shared" si="213"/>
        <v>4.46909513608064</v>
      </c>
      <c r="AH172" s="12">
        <f ca="1" t="shared" si="214"/>
        <v>5.65887636740581</v>
      </c>
      <c r="AI172" s="12">
        <f ca="1" t="shared" si="215"/>
        <v>4.43383705204717</v>
      </c>
      <c r="AJ172" s="12">
        <f ca="1">SUM($T172:T172)</f>
        <v>4.11614683404508</v>
      </c>
      <c r="AK172" s="12">
        <f ca="1">SUM($T172:U172)</f>
        <v>9.5420998189794</v>
      </c>
      <c r="AL172" s="12">
        <f ca="1">SUM($T172:V172)</f>
        <v>14.43378167434</v>
      </c>
      <c r="AM172" s="12">
        <f ca="1">SUM($T172:W172)</f>
        <v>20.1168405730912</v>
      </c>
      <c r="AN172" s="12">
        <f ca="1">SUM($T172:X172)</f>
        <v>25.119824842326</v>
      </c>
      <c r="AO172" s="12">
        <f ca="1">SUM($T172:Y172)</f>
        <v>29.3195990683849</v>
      </c>
      <c r="AP172" s="12">
        <f ca="1">SUM($T172:Z172)</f>
        <v>34.0151169918163</v>
      </c>
      <c r="AQ172" s="12">
        <f ca="1">SUM($T172:AA172)</f>
        <v>38.1925498007949</v>
      </c>
      <c r="AR172" s="12">
        <f ca="1">SUM($T172:AB172)</f>
        <v>43.0013652976424</v>
      </c>
      <c r="AS172" s="12">
        <f ca="1">SUM($T172:AC172)</f>
        <v>47.8662186464501</v>
      </c>
      <c r="AT172" s="12">
        <f ca="1">SUM($T172:AD172)</f>
        <v>52.6611531445754</v>
      </c>
      <c r="AU172" s="12">
        <f ca="1">SUM($T172:AE172)</f>
        <v>58.0871075434056</v>
      </c>
      <c r="AV172" s="12">
        <f ca="1">SUM($T172:AF172)</f>
        <v>63.2303889239455</v>
      </c>
      <c r="AW172" s="12">
        <f ca="1">SUM($T172:AG172)</f>
        <v>67.6994840600261</v>
      </c>
      <c r="AX172" s="12">
        <f ca="1">SUM($T172:AH172)</f>
        <v>73.3583604274319</v>
      </c>
      <c r="AY172" s="12">
        <f ca="1">SUM($T172:AI172)</f>
        <v>77.7921974794791</v>
      </c>
      <c r="AZ172" s="12">
        <f ca="1" t="shared" si="216"/>
        <v>63.8360807038451</v>
      </c>
      <c r="BA172" s="12">
        <f ca="1" t="shared" si="217"/>
        <v>58.4101277189108</v>
      </c>
      <c r="BB172" s="12">
        <f ca="1" t="shared" si="218"/>
        <v>53.5184458635502</v>
      </c>
      <c r="BC172" s="12">
        <f ca="1" t="shared" si="219"/>
        <v>47.8353869647989</v>
      </c>
      <c r="BD172" s="12">
        <f ca="1" t="shared" si="220"/>
        <v>42.8324026955642</v>
      </c>
      <c r="BE172" s="12">
        <f ca="1" t="shared" si="221"/>
        <v>38.6326284695052</v>
      </c>
      <c r="BF172" s="12">
        <f ca="1" t="shared" si="222"/>
        <v>33.9371105460739</v>
      </c>
      <c r="BG172" s="12">
        <f ca="1" t="shared" si="223"/>
        <v>29.7596777370953</v>
      </c>
      <c r="BH172" s="12">
        <f ca="1" t="shared" si="224"/>
        <v>24.9508622402477</v>
      </c>
      <c r="BI172" s="12">
        <f ca="1" t="shared" si="225"/>
        <v>20.08600889144</v>
      </c>
      <c r="BJ172" s="12">
        <f ca="1" t="shared" si="226"/>
        <v>15.2910743933148</v>
      </c>
      <c r="BK172" s="12">
        <f ca="1" t="shared" si="227"/>
        <v>9.86511999448456</v>
      </c>
      <c r="BL172" s="12">
        <f ca="1" t="shared" si="228"/>
        <v>4.72183861394471</v>
      </c>
      <c r="BM172" s="12">
        <f ca="1" t="shared" si="229"/>
        <v>0.252743477864072</v>
      </c>
      <c r="BN172" s="12">
        <f ca="1" t="shared" si="230"/>
        <v>0</v>
      </c>
      <c r="BO172" s="12">
        <f ca="1" t="shared" si="231"/>
        <v>0</v>
      </c>
    </row>
    <row r="173" spans="1:67">
      <c r="A173" s="3">
        <v>143</v>
      </c>
      <c r="B173" s="11">
        <f ca="1" t="shared" si="197"/>
        <v>0.779781336769447</v>
      </c>
      <c r="C173" s="12">
        <f ca="1" t="shared" si="198"/>
        <v>68.2825905252778</v>
      </c>
      <c r="D173" s="11">
        <f ca="1" t="shared" ref="D173:S173" si="245">RAND()</f>
        <v>0.331652983251495</v>
      </c>
      <c r="E173" s="11">
        <f ca="1" t="shared" si="245"/>
        <v>0.766283687253253</v>
      </c>
      <c r="F173" s="11">
        <f ca="1" t="shared" si="245"/>
        <v>0.47849767068927</v>
      </c>
      <c r="G173" s="11">
        <f ca="1" t="shared" si="245"/>
        <v>0.568463898354058</v>
      </c>
      <c r="H173" s="11">
        <f ca="1" t="shared" si="245"/>
        <v>0.428650536363286</v>
      </c>
      <c r="I173" s="11">
        <f ca="1" t="shared" si="245"/>
        <v>0.339973482897477</v>
      </c>
      <c r="J173" s="11">
        <f ca="1" t="shared" si="245"/>
        <v>0.044674601617926</v>
      </c>
      <c r="K173" s="11">
        <f ca="1" t="shared" si="245"/>
        <v>0.908608209333202</v>
      </c>
      <c r="L173" s="11">
        <f ca="1" t="shared" si="245"/>
        <v>0.12504506156143</v>
      </c>
      <c r="M173" s="11">
        <f ca="1" t="shared" si="245"/>
        <v>0.683300765421573</v>
      </c>
      <c r="N173" s="11">
        <f ca="1" t="shared" si="245"/>
        <v>0.591869643946185</v>
      </c>
      <c r="O173" s="11">
        <f ca="1" t="shared" si="245"/>
        <v>0.126903670339773</v>
      </c>
      <c r="P173" s="11">
        <f ca="1" t="shared" si="245"/>
        <v>0.256626851582832</v>
      </c>
      <c r="Q173" s="11">
        <f ca="1" t="shared" si="245"/>
        <v>0.774848614703492</v>
      </c>
      <c r="R173" s="11">
        <f ca="1" t="shared" si="245"/>
        <v>0.445579532469778</v>
      </c>
      <c r="S173" s="11">
        <f ca="1" t="shared" si="245"/>
        <v>0.206918024506686</v>
      </c>
      <c r="T173" s="12">
        <f ca="1" t="shared" si="200"/>
        <v>4.53956622906437</v>
      </c>
      <c r="U173" s="12">
        <f ca="1" t="shared" si="201"/>
        <v>5.16570921813313</v>
      </c>
      <c r="V173" s="12">
        <f ca="1" t="shared" si="202"/>
        <v>4.72312208836159</v>
      </c>
      <c r="W173" s="12">
        <f ca="1" t="shared" si="203"/>
        <v>4.83557987294257</v>
      </c>
      <c r="X173" s="12">
        <f ca="1" t="shared" si="204"/>
        <v>4.66081317045411</v>
      </c>
      <c r="Y173" s="12">
        <f ca="1" t="shared" si="205"/>
        <v>4.54996685362185</v>
      </c>
      <c r="Z173" s="12">
        <f ca="1" t="shared" si="206"/>
        <v>4.07445766936321</v>
      </c>
      <c r="AA173" s="12">
        <f ca="1" t="shared" si="207"/>
        <v>5.54304104666601</v>
      </c>
      <c r="AB173" s="12">
        <f ca="1" t="shared" si="208"/>
        <v>4.20840843593572</v>
      </c>
      <c r="AC173" s="12">
        <f ca="1" t="shared" si="209"/>
        <v>4.97912595677697</v>
      </c>
      <c r="AD173" s="12">
        <f ca="1" t="shared" si="210"/>
        <v>4.86483705493273</v>
      </c>
      <c r="AE173" s="12">
        <f ca="1" t="shared" si="211"/>
        <v>4.21150611723295</v>
      </c>
      <c r="AF173" s="12">
        <f ca="1" t="shared" si="212"/>
        <v>4.42771141930472</v>
      </c>
      <c r="AG173" s="12">
        <f ca="1" t="shared" si="213"/>
        <v>5.18712153675873</v>
      </c>
      <c r="AH173" s="12">
        <f ca="1" t="shared" si="214"/>
        <v>4.68197441558722</v>
      </c>
      <c r="AI173" s="12">
        <f ca="1" t="shared" si="215"/>
        <v>4.34486337417781</v>
      </c>
      <c r="AJ173" s="12">
        <f ca="1">SUM($T173:T173)</f>
        <v>4.53956622906437</v>
      </c>
      <c r="AK173" s="12">
        <f ca="1">SUM($T173:U173)</f>
        <v>9.7052754471975</v>
      </c>
      <c r="AL173" s="12">
        <f ca="1">SUM($T173:V173)</f>
        <v>14.4283975355591</v>
      </c>
      <c r="AM173" s="12">
        <f ca="1">SUM($T173:W173)</f>
        <v>19.2639774085017</v>
      </c>
      <c r="AN173" s="12">
        <f ca="1">SUM($T173:X173)</f>
        <v>23.9247905789558</v>
      </c>
      <c r="AO173" s="12">
        <f ca="1">SUM($T173:Y173)</f>
        <v>28.4747574325776</v>
      </c>
      <c r="AP173" s="12">
        <f ca="1">SUM($T173:Z173)</f>
        <v>32.5492151019408</v>
      </c>
      <c r="AQ173" s="12">
        <f ca="1">SUM($T173:AA173)</f>
        <v>38.0922561486068</v>
      </c>
      <c r="AR173" s="12">
        <f ca="1">SUM($T173:AB173)</f>
        <v>42.3006645845426</v>
      </c>
      <c r="AS173" s="12">
        <f ca="1">SUM($T173:AC173)</f>
        <v>47.2797905413195</v>
      </c>
      <c r="AT173" s="12">
        <f ca="1">SUM($T173:AD173)</f>
        <v>52.1446275962522</v>
      </c>
      <c r="AU173" s="12">
        <f ca="1">SUM($T173:AE173)</f>
        <v>56.3561337134852</v>
      </c>
      <c r="AV173" s="12">
        <f ca="1">SUM($T173:AF173)</f>
        <v>60.7838451327899</v>
      </c>
      <c r="AW173" s="12">
        <f ca="1">SUM($T173:AG173)</f>
        <v>65.9709666695487</v>
      </c>
      <c r="AX173" s="12">
        <f ca="1">SUM($T173:AH173)</f>
        <v>70.6529410851359</v>
      </c>
      <c r="AY173" s="12">
        <f ca="1">SUM($T173:AI173)</f>
        <v>74.9978044593137</v>
      </c>
      <c r="AZ173" s="12">
        <f ca="1" t="shared" si="216"/>
        <v>63.7430242962134</v>
      </c>
      <c r="BA173" s="12">
        <f ca="1" t="shared" si="217"/>
        <v>58.5773150780803</v>
      </c>
      <c r="BB173" s="12">
        <f ca="1" t="shared" si="218"/>
        <v>53.8541929897187</v>
      </c>
      <c r="BC173" s="12">
        <f ca="1" t="shared" si="219"/>
        <v>49.0186131167762</v>
      </c>
      <c r="BD173" s="12">
        <f ca="1" t="shared" si="220"/>
        <v>44.357799946322</v>
      </c>
      <c r="BE173" s="12">
        <f ca="1" t="shared" si="221"/>
        <v>39.8078330927002</v>
      </c>
      <c r="BF173" s="12">
        <f ca="1" t="shared" si="222"/>
        <v>35.733375423337</v>
      </c>
      <c r="BG173" s="12">
        <f ca="1" t="shared" si="223"/>
        <v>30.190334376671</v>
      </c>
      <c r="BH173" s="12">
        <f ca="1" t="shared" si="224"/>
        <v>25.9819259407353</v>
      </c>
      <c r="BI173" s="12">
        <f ca="1" t="shared" si="225"/>
        <v>21.0027999839583</v>
      </c>
      <c r="BJ173" s="12">
        <f ca="1" t="shared" si="226"/>
        <v>16.1379629290256</v>
      </c>
      <c r="BK173" s="12">
        <f ca="1" t="shared" si="227"/>
        <v>11.9264568117926</v>
      </c>
      <c r="BL173" s="12">
        <f ca="1" t="shared" si="228"/>
        <v>7.49874539248788</v>
      </c>
      <c r="BM173" s="12">
        <f ca="1" t="shared" si="229"/>
        <v>2.31162385572915</v>
      </c>
      <c r="BN173" s="12">
        <f ca="1" t="shared" si="230"/>
        <v>0</v>
      </c>
      <c r="BO173" s="12">
        <f ca="1" t="shared" si="231"/>
        <v>0</v>
      </c>
    </row>
    <row r="174" spans="1:67">
      <c r="A174" s="3">
        <v>144</v>
      </c>
      <c r="B174" s="11">
        <f ca="1" t="shared" si="197"/>
        <v>0.013663731772146</v>
      </c>
      <c r="C174" s="12">
        <f ca="1" t="shared" si="198"/>
        <v>50.6831865886073</v>
      </c>
      <c r="D174" s="11">
        <f ca="1" t="shared" ref="D174:S174" si="246">RAND()</f>
        <v>0.99649205203529</v>
      </c>
      <c r="E174" s="11">
        <f ca="1" t="shared" si="246"/>
        <v>0.331643880120843</v>
      </c>
      <c r="F174" s="11">
        <f ca="1" t="shared" si="246"/>
        <v>0.875637344044587</v>
      </c>
      <c r="G174" s="11">
        <f ca="1" t="shared" si="246"/>
        <v>0.0446606604847786</v>
      </c>
      <c r="H174" s="11">
        <f ca="1" t="shared" si="246"/>
        <v>0.0384941967433101</v>
      </c>
      <c r="I174" s="11">
        <f ca="1" t="shared" si="246"/>
        <v>0.256624243213873</v>
      </c>
      <c r="J174" s="11">
        <f ca="1" t="shared" si="246"/>
        <v>0.680989857397617</v>
      </c>
      <c r="K174" s="11">
        <f ca="1" t="shared" si="246"/>
        <v>0.206925337544399</v>
      </c>
      <c r="L174" s="11">
        <f ca="1" t="shared" si="246"/>
        <v>0.889580535190636</v>
      </c>
      <c r="M174" s="11">
        <f ca="1" t="shared" si="246"/>
        <v>0.143890182617904</v>
      </c>
      <c r="N174" s="11">
        <f ca="1" t="shared" si="246"/>
        <v>0.530762127184981</v>
      </c>
      <c r="O174" s="11">
        <f ca="1" t="shared" si="246"/>
        <v>0.335050099803293</v>
      </c>
      <c r="P174" s="11">
        <f ca="1" t="shared" si="246"/>
        <v>0.111044044599629</v>
      </c>
      <c r="Q174" s="11">
        <f ca="1" t="shared" si="246"/>
        <v>0.813320287260304</v>
      </c>
      <c r="R174" s="11">
        <f ca="1" t="shared" si="246"/>
        <v>0.749635322796454</v>
      </c>
      <c r="S174" s="11">
        <f ca="1" t="shared" si="246"/>
        <v>0.996494844085799</v>
      </c>
      <c r="T174" s="12">
        <f ca="1" t="shared" si="200"/>
        <v>5.98246026017645</v>
      </c>
      <c r="U174" s="12">
        <f ca="1" t="shared" si="201"/>
        <v>4.53955485015105</v>
      </c>
      <c r="V174" s="12">
        <f ca="1" t="shared" si="202"/>
        <v>5.43909336011147</v>
      </c>
      <c r="W174" s="12">
        <f ca="1" t="shared" si="203"/>
        <v>4.0744344341413</v>
      </c>
      <c r="X174" s="12">
        <f ca="1" t="shared" si="204"/>
        <v>4.06415699457218</v>
      </c>
      <c r="Y174" s="12">
        <f ca="1" t="shared" si="205"/>
        <v>4.42770707202312</v>
      </c>
      <c r="Z174" s="12">
        <f ca="1" t="shared" si="206"/>
        <v>4.97623732174702</v>
      </c>
      <c r="AA174" s="12">
        <f ca="1" t="shared" si="207"/>
        <v>4.344875562574</v>
      </c>
      <c r="AB174" s="12">
        <f ca="1" t="shared" si="208"/>
        <v>5.47395133797659</v>
      </c>
      <c r="AC174" s="12">
        <f ca="1" t="shared" si="209"/>
        <v>4.23981697102984</v>
      </c>
      <c r="AD174" s="12">
        <f ca="1" t="shared" si="210"/>
        <v>4.78845265898123</v>
      </c>
      <c r="AE174" s="12">
        <f ca="1" t="shared" si="211"/>
        <v>4.54381262475412</v>
      </c>
      <c r="AF174" s="12">
        <f ca="1" t="shared" si="212"/>
        <v>4.18507340766605</v>
      </c>
      <c r="AG174" s="12">
        <f ca="1" t="shared" si="213"/>
        <v>5.28330071815076</v>
      </c>
      <c r="AH174" s="12">
        <f ca="1" t="shared" si="214"/>
        <v>5.12408830699113</v>
      </c>
      <c r="AI174" s="12">
        <f ca="1" t="shared" si="215"/>
        <v>5.982474220429</v>
      </c>
      <c r="AJ174" s="12">
        <f ca="1">SUM($T174:T174)</f>
        <v>5.98246026017645</v>
      </c>
      <c r="AK174" s="12">
        <f ca="1">SUM($T174:U174)</f>
        <v>10.5220151103275</v>
      </c>
      <c r="AL174" s="12">
        <f ca="1">SUM($T174:V174)</f>
        <v>15.961108470439</v>
      </c>
      <c r="AM174" s="12">
        <f ca="1">SUM($T174:W174)</f>
        <v>20.0355429045803</v>
      </c>
      <c r="AN174" s="12">
        <f ca="1">SUM($T174:X174)</f>
        <v>24.0996998991525</v>
      </c>
      <c r="AO174" s="12">
        <f ca="1">SUM($T174:Y174)</f>
        <v>28.5274069711756</v>
      </c>
      <c r="AP174" s="12">
        <f ca="1">SUM($T174:Z174)</f>
        <v>33.5036442929226</v>
      </c>
      <c r="AQ174" s="12">
        <f ca="1">SUM($T174:AA174)</f>
        <v>37.8485198554966</v>
      </c>
      <c r="AR174" s="12">
        <f ca="1">SUM($T174:AB174)</f>
        <v>43.3224711934732</v>
      </c>
      <c r="AS174" s="12">
        <f ca="1">SUM($T174:AC174)</f>
        <v>47.562288164503</v>
      </c>
      <c r="AT174" s="12">
        <f ca="1">SUM($T174:AD174)</f>
        <v>52.3507408234843</v>
      </c>
      <c r="AU174" s="12">
        <f ca="1">SUM($T174:AE174)</f>
        <v>56.8945534482384</v>
      </c>
      <c r="AV174" s="12">
        <f ca="1">SUM($T174:AF174)</f>
        <v>61.0796268559044</v>
      </c>
      <c r="AW174" s="12">
        <f ca="1">SUM($T174:AG174)</f>
        <v>66.3629275740552</v>
      </c>
      <c r="AX174" s="12">
        <f ca="1">SUM($T174:AH174)</f>
        <v>71.4870158810463</v>
      </c>
      <c r="AY174" s="12">
        <f ca="1">SUM($T174:AI174)</f>
        <v>77.4694901014753</v>
      </c>
      <c r="AZ174" s="12">
        <f ca="1" t="shared" si="216"/>
        <v>44.7007263284308</v>
      </c>
      <c r="BA174" s="12">
        <f ca="1" t="shared" si="217"/>
        <v>40.1611714782798</v>
      </c>
      <c r="BB174" s="12">
        <f ca="1" t="shared" si="218"/>
        <v>34.7220781181683</v>
      </c>
      <c r="BC174" s="12">
        <f ca="1" t="shared" si="219"/>
        <v>30.647643684027</v>
      </c>
      <c r="BD174" s="12">
        <f ca="1" t="shared" si="220"/>
        <v>26.5834866894548</v>
      </c>
      <c r="BE174" s="12">
        <f ca="1" t="shared" si="221"/>
        <v>22.1557796174317</v>
      </c>
      <c r="BF174" s="12">
        <f ca="1" t="shared" si="222"/>
        <v>17.1795422956847</v>
      </c>
      <c r="BG174" s="12">
        <f ca="1" t="shared" si="223"/>
        <v>12.8346667331107</v>
      </c>
      <c r="BH174" s="12">
        <f ca="1" t="shared" si="224"/>
        <v>7.36071539513411</v>
      </c>
      <c r="BI174" s="12">
        <f ca="1" t="shared" si="225"/>
        <v>3.12089842410427</v>
      </c>
      <c r="BJ174" s="12">
        <f ca="1" t="shared" si="226"/>
        <v>0</v>
      </c>
      <c r="BK174" s="12">
        <f ca="1" t="shared" si="227"/>
        <v>0</v>
      </c>
      <c r="BL174" s="12">
        <f ca="1" t="shared" si="228"/>
        <v>0</v>
      </c>
      <c r="BM174" s="12">
        <f ca="1" t="shared" si="229"/>
        <v>0</v>
      </c>
      <c r="BN174" s="12">
        <f ca="1" t="shared" si="230"/>
        <v>0</v>
      </c>
      <c r="BO174" s="12">
        <f ca="1" t="shared" si="231"/>
        <v>0</v>
      </c>
    </row>
    <row r="175" spans="1:67">
      <c r="A175" s="3">
        <v>145</v>
      </c>
      <c r="B175" s="11">
        <f ca="1" t="shared" si="197"/>
        <v>0.970483107037209</v>
      </c>
      <c r="C175" s="12">
        <f ca="1" t="shared" si="198"/>
        <v>79.4051941898255</v>
      </c>
      <c r="D175" s="11">
        <f ca="1" t="shared" ref="D175:S175" si="247">RAND()</f>
        <v>0.591170917390114</v>
      </c>
      <c r="E175" s="11">
        <f ca="1" t="shared" si="247"/>
        <v>0.875612835952704</v>
      </c>
      <c r="F175" s="11">
        <f ca="1" t="shared" si="247"/>
        <v>0.616979466143357</v>
      </c>
      <c r="G175" s="11">
        <f ca="1" t="shared" si="247"/>
        <v>0.950921069079955</v>
      </c>
      <c r="H175" s="11">
        <f ca="1" t="shared" si="247"/>
        <v>0.114368533100078</v>
      </c>
      <c r="I175" s="11">
        <f ca="1" t="shared" si="247"/>
        <v>0.140747709160576</v>
      </c>
      <c r="J175" s="11">
        <f ca="1" t="shared" si="247"/>
        <v>0.414841659177855</v>
      </c>
      <c r="K175" s="11">
        <f ca="1" t="shared" si="247"/>
        <v>0.27878798799481</v>
      </c>
      <c r="L175" s="11">
        <f ca="1" t="shared" si="247"/>
        <v>0.801303801176797</v>
      </c>
      <c r="M175" s="11">
        <f ca="1" t="shared" si="247"/>
        <v>0.0762921950707416</v>
      </c>
      <c r="N175" s="11">
        <f ca="1" t="shared" si="247"/>
        <v>0.64778637116205</v>
      </c>
      <c r="O175" s="11">
        <f ca="1" t="shared" si="247"/>
        <v>0.953221174118292</v>
      </c>
      <c r="P175" s="11">
        <f ca="1" t="shared" si="247"/>
        <v>0.375608404995094</v>
      </c>
      <c r="Q175" s="11">
        <f ca="1" t="shared" si="247"/>
        <v>0.11515066014865</v>
      </c>
      <c r="R175" s="11">
        <f ca="1" t="shared" si="247"/>
        <v>0.785168099656167</v>
      </c>
      <c r="S175" s="11">
        <f ca="1" t="shared" si="247"/>
        <v>0.207081418266752</v>
      </c>
      <c r="T175" s="12">
        <f ca="1" t="shared" si="200"/>
        <v>4.86396364673764</v>
      </c>
      <c r="U175" s="12">
        <f ca="1" t="shared" si="201"/>
        <v>5.43903208988176</v>
      </c>
      <c r="V175" s="12">
        <f ca="1" t="shared" si="202"/>
        <v>4.8962243326792</v>
      </c>
      <c r="W175" s="12">
        <f ca="1" t="shared" si="203"/>
        <v>5.75460534539977</v>
      </c>
      <c r="X175" s="12">
        <f ca="1" t="shared" si="204"/>
        <v>4.19061422183346</v>
      </c>
      <c r="Y175" s="12">
        <f ca="1" t="shared" si="205"/>
        <v>4.23457951526763</v>
      </c>
      <c r="Z175" s="12">
        <f ca="1" t="shared" si="206"/>
        <v>4.64355207397232</v>
      </c>
      <c r="AA175" s="12">
        <f ca="1" t="shared" si="207"/>
        <v>4.46464664665802</v>
      </c>
      <c r="AB175" s="12">
        <f ca="1" t="shared" si="208"/>
        <v>5.25325950294199</v>
      </c>
      <c r="AC175" s="12">
        <f ca="1" t="shared" si="209"/>
        <v>4.12715365845124</v>
      </c>
      <c r="AD175" s="12">
        <f ca="1" t="shared" si="210"/>
        <v>4.93473296395256</v>
      </c>
      <c r="AE175" s="12">
        <f ca="1" t="shared" si="211"/>
        <v>5.76610587059146</v>
      </c>
      <c r="AF175" s="12">
        <f ca="1" t="shared" si="212"/>
        <v>4.59451050624387</v>
      </c>
      <c r="AG175" s="12">
        <f ca="1" t="shared" si="213"/>
        <v>4.19191776691442</v>
      </c>
      <c r="AH175" s="12">
        <f ca="1" t="shared" si="214"/>
        <v>5.21292024914042</v>
      </c>
      <c r="AI175" s="12">
        <f ca="1" t="shared" si="215"/>
        <v>4.34513569711125</v>
      </c>
      <c r="AJ175" s="12">
        <f ca="1">SUM($T175:T175)</f>
        <v>4.86396364673764</v>
      </c>
      <c r="AK175" s="12">
        <f ca="1">SUM($T175:U175)</f>
        <v>10.3029957366194</v>
      </c>
      <c r="AL175" s="12">
        <f ca="1">SUM($T175:V175)</f>
        <v>15.1992200692986</v>
      </c>
      <c r="AM175" s="12">
        <f ca="1">SUM($T175:W175)</f>
        <v>20.9538254146984</v>
      </c>
      <c r="AN175" s="12">
        <f ca="1">SUM($T175:X175)</f>
        <v>25.1444396365318</v>
      </c>
      <c r="AO175" s="12">
        <f ca="1">SUM($T175:Y175)</f>
        <v>29.3790191517995</v>
      </c>
      <c r="AP175" s="12">
        <f ca="1">SUM($T175:Z175)</f>
        <v>34.0225712257718</v>
      </c>
      <c r="AQ175" s="12">
        <f ca="1">SUM($T175:AA175)</f>
        <v>38.4872178724298</v>
      </c>
      <c r="AR175" s="12">
        <f ca="1">SUM($T175:AB175)</f>
        <v>43.7404773753718</v>
      </c>
      <c r="AS175" s="12">
        <f ca="1">SUM($T175:AC175)</f>
        <v>47.867631033823</v>
      </c>
      <c r="AT175" s="12">
        <f ca="1">SUM($T175:AD175)</f>
        <v>52.8023639977756</v>
      </c>
      <c r="AU175" s="12">
        <f ca="1">SUM($T175:AE175)</f>
        <v>58.568469868367</v>
      </c>
      <c r="AV175" s="12">
        <f ca="1">SUM($T175:AF175)</f>
        <v>63.1629803746109</v>
      </c>
      <c r="AW175" s="12">
        <f ca="1">SUM($T175:AG175)</f>
        <v>67.3548981415253</v>
      </c>
      <c r="AX175" s="12">
        <f ca="1">SUM($T175:AH175)</f>
        <v>72.5678183906657</v>
      </c>
      <c r="AY175" s="12">
        <f ca="1">SUM($T175:AI175)</f>
        <v>76.912954087777</v>
      </c>
      <c r="AZ175" s="12">
        <f ca="1" t="shared" si="216"/>
        <v>74.5412305430879</v>
      </c>
      <c r="BA175" s="12">
        <f ca="1" t="shared" si="217"/>
        <v>69.1021984532061</v>
      </c>
      <c r="BB175" s="12">
        <f ca="1" t="shared" si="218"/>
        <v>64.2059741205269</v>
      </c>
      <c r="BC175" s="12">
        <f ca="1" t="shared" si="219"/>
        <v>58.4513687751272</v>
      </c>
      <c r="BD175" s="12">
        <f ca="1" t="shared" si="220"/>
        <v>54.2607545532937</v>
      </c>
      <c r="BE175" s="12">
        <f ca="1" t="shared" si="221"/>
        <v>50.0261750380261</v>
      </c>
      <c r="BF175" s="12">
        <f ca="1" t="shared" si="222"/>
        <v>45.3826229640538</v>
      </c>
      <c r="BG175" s="12">
        <f ca="1" t="shared" si="223"/>
        <v>40.9179763173957</v>
      </c>
      <c r="BH175" s="12">
        <f ca="1" t="shared" si="224"/>
        <v>35.6647168144537</v>
      </c>
      <c r="BI175" s="12">
        <f ca="1" t="shared" si="225"/>
        <v>31.5375631560025</v>
      </c>
      <c r="BJ175" s="12">
        <f ca="1" t="shared" si="226"/>
        <v>26.60283019205</v>
      </c>
      <c r="BK175" s="12">
        <f ca="1" t="shared" si="227"/>
        <v>20.8367243214585</v>
      </c>
      <c r="BL175" s="12">
        <f ca="1" t="shared" si="228"/>
        <v>16.2422138152146</v>
      </c>
      <c r="BM175" s="12">
        <f ca="1" t="shared" si="229"/>
        <v>12.0502960483002</v>
      </c>
      <c r="BN175" s="12">
        <f ca="1" t="shared" si="230"/>
        <v>6.83737579915979</v>
      </c>
      <c r="BO175" s="12">
        <f ca="1" t="shared" si="231"/>
        <v>2.49224010204853</v>
      </c>
    </row>
    <row r="176" spans="1:67">
      <c r="A176" s="3">
        <v>146</v>
      </c>
      <c r="B176" s="11">
        <f ca="1" t="shared" si="197"/>
        <v>0.226764378243237</v>
      </c>
      <c r="C176" s="12">
        <f ca="1" t="shared" si="198"/>
        <v>59.2254792747746</v>
      </c>
      <c r="D176" s="11">
        <f ca="1" t="shared" ref="D176:S176" si="248">RAND()</f>
        <v>0.113865479248923</v>
      </c>
      <c r="E176" s="11">
        <f ca="1" t="shared" si="248"/>
        <v>0.541769337789887</v>
      </c>
      <c r="F176" s="11">
        <f ca="1" t="shared" si="248"/>
        <v>0.97880040428619</v>
      </c>
      <c r="G176" s="11">
        <f ca="1" t="shared" si="248"/>
        <v>0.229917806375737</v>
      </c>
      <c r="H176" s="11">
        <f ca="1" t="shared" si="248"/>
        <v>0.683305403971881</v>
      </c>
      <c r="I176" s="11">
        <f ca="1" t="shared" si="248"/>
        <v>0.194794666989414</v>
      </c>
      <c r="J176" s="11">
        <f ca="1" t="shared" si="248"/>
        <v>0.824443264470351</v>
      </c>
      <c r="K176" s="11">
        <f ca="1" t="shared" si="248"/>
        <v>0.631325437375758</v>
      </c>
      <c r="L176" s="11">
        <f ca="1" t="shared" si="248"/>
        <v>0.74244648757628</v>
      </c>
      <c r="M176" s="11">
        <f ca="1" t="shared" si="248"/>
        <v>0.609457425610169</v>
      </c>
      <c r="N176" s="11">
        <f ca="1" t="shared" si="248"/>
        <v>0.0696894550793905</v>
      </c>
      <c r="O176" s="11">
        <f ca="1" t="shared" si="248"/>
        <v>0.374681020466783</v>
      </c>
      <c r="P176" s="11">
        <f ca="1" t="shared" si="248"/>
        <v>0.978808056430822</v>
      </c>
      <c r="Q176" s="11">
        <f ca="1" t="shared" si="248"/>
        <v>0.119866065691039</v>
      </c>
      <c r="R176" s="11">
        <f ca="1" t="shared" si="248"/>
        <v>0.0918187266461465</v>
      </c>
      <c r="S176" s="11">
        <f ca="1" t="shared" si="248"/>
        <v>0.53593023875836</v>
      </c>
      <c r="T176" s="12">
        <f ca="1" t="shared" si="200"/>
        <v>4.1897757987482</v>
      </c>
      <c r="U176" s="12">
        <f ca="1" t="shared" si="201"/>
        <v>4.80221167223736</v>
      </c>
      <c r="V176" s="12">
        <f ca="1" t="shared" si="202"/>
        <v>5.89400202143095</v>
      </c>
      <c r="W176" s="12">
        <f ca="1" t="shared" si="203"/>
        <v>4.38319634395956</v>
      </c>
      <c r="X176" s="12">
        <f ca="1" t="shared" si="204"/>
        <v>4.97913175496485</v>
      </c>
      <c r="Y176" s="12">
        <f ca="1" t="shared" si="205"/>
        <v>4.32465777831569</v>
      </c>
      <c r="Z176" s="12">
        <f ca="1" t="shared" si="206"/>
        <v>5.31110816117588</v>
      </c>
      <c r="AA176" s="12">
        <f ca="1" t="shared" si="207"/>
        <v>4.9141567967197</v>
      </c>
      <c r="AB176" s="12">
        <f ca="1" t="shared" si="208"/>
        <v>5.1061162189407</v>
      </c>
      <c r="AC176" s="12">
        <f ca="1" t="shared" si="209"/>
        <v>4.88682178201271</v>
      </c>
      <c r="AD176" s="12">
        <f ca="1" t="shared" si="210"/>
        <v>4.11614909179898</v>
      </c>
      <c r="AE176" s="12">
        <f ca="1" t="shared" si="211"/>
        <v>4.59335127558348</v>
      </c>
      <c r="AF176" s="12">
        <f ca="1" t="shared" si="212"/>
        <v>5.89404028215411</v>
      </c>
      <c r="AG176" s="12">
        <f ca="1" t="shared" si="213"/>
        <v>4.19977677615173</v>
      </c>
      <c r="AH176" s="12">
        <f ca="1" t="shared" si="214"/>
        <v>4.15303121107691</v>
      </c>
      <c r="AI176" s="12">
        <f ca="1" t="shared" si="215"/>
        <v>4.79491279844795</v>
      </c>
      <c r="AJ176" s="12">
        <f ca="1">SUM($T176:T176)</f>
        <v>4.1897757987482</v>
      </c>
      <c r="AK176" s="12">
        <f ca="1">SUM($T176:U176)</f>
        <v>8.99198747098556</v>
      </c>
      <c r="AL176" s="12">
        <f ca="1">SUM($T176:V176)</f>
        <v>14.8859894924165</v>
      </c>
      <c r="AM176" s="12">
        <f ca="1">SUM($T176:W176)</f>
        <v>19.2691858363761</v>
      </c>
      <c r="AN176" s="12">
        <f ca="1">SUM($T176:X176)</f>
        <v>24.2483175913409</v>
      </c>
      <c r="AO176" s="12">
        <f ca="1">SUM($T176:Y176)</f>
        <v>28.5729753696566</v>
      </c>
      <c r="AP176" s="12">
        <f ca="1">SUM($T176:Z176)</f>
        <v>33.8840835308325</v>
      </c>
      <c r="AQ176" s="12">
        <f ca="1">SUM($T176:AA176)</f>
        <v>38.7982403275522</v>
      </c>
      <c r="AR176" s="12">
        <f ca="1">SUM($T176:AB176)</f>
        <v>43.9043565464929</v>
      </c>
      <c r="AS176" s="12">
        <f ca="1">SUM($T176:AC176)</f>
        <v>48.7911783285056</v>
      </c>
      <c r="AT176" s="12">
        <f ca="1">SUM($T176:AD176)</f>
        <v>52.9073274203046</v>
      </c>
      <c r="AU176" s="12">
        <f ca="1">SUM($T176:AE176)</f>
        <v>57.5006786958881</v>
      </c>
      <c r="AV176" s="12">
        <f ca="1">SUM($T176:AF176)</f>
        <v>63.3947189780422</v>
      </c>
      <c r="AW176" s="12">
        <f ca="1">SUM($T176:AG176)</f>
        <v>67.5944957541939</v>
      </c>
      <c r="AX176" s="12">
        <f ca="1">SUM($T176:AH176)</f>
        <v>71.7475269652708</v>
      </c>
      <c r="AY176" s="12">
        <f ca="1">SUM($T176:AI176)</f>
        <v>76.5424397637188</v>
      </c>
      <c r="AZ176" s="12">
        <f ca="1" t="shared" si="216"/>
        <v>55.0357034760264</v>
      </c>
      <c r="BA176" s="12">
        <f ca="1" t="shared" si="217"/>
        <v>50.233491803789</v>
      </c>
      <c r="BB176" s="12">
        <f ca="1" t="shared" si="218"/>
        <v>44.3394897823581</v>
      </c>
      <c r="BC176" s="12">
        <f ca="1" t="shared" si="219"/>
        <v>39.9562934383985</v>
      </c>
      <c r="BD176" s="12">
        <f ca="1" t="shared" si="220"/>
        <v>34.9771616834336</v>
      </c>
      <c r="BE176" s="12">
        <f ca="1" t="shared" si="221"/>
        <v>30.652503905118</v>
      </c>
      <c r="BF176" s="12">
        <f ca="1" t="shared" si="222"/>
        <v>25.3413957439421</v>
      </c>
      <c r="BG176" s="12">
        <f ca="1" t="shared" si="223"/>
        <v>20.4272389472224</v>
      </c>
      <c r="BH176" s="12">
        <f ca="1" t="shared" si="224"/>
        <v>15.3211227282817</v>
      </c>
      <c r="BI176" s="12">
        <f ca="1" t="shared" si="225"/>
        <v>10.434300946269</v>
      </c>
      <c r="BJ176" s="12">
        <f ca="1" t="shared" si="226"/>
        <v>6.31815185447</v>
      </c>
      <c r="BK176" s="12">
        <f ca="1" t="shared" si="227"/>
        <v>1.72480057888652</v>
      </c>
      <c r="BL176" s="12">
        <f ca="1" t="shared" si="228"/>
        <v>0</v>
      </c>
      <c r="BM176" s="12">
        <f ca="1" t="shared" si="229"/>
        <v>0</v>
      </c>
      <c r="BN176" s="12">
        <f ca="1" t="shared" si="230"/>
        <v>0</v>
      </c>
      <c r="BO176" s="12">
        <f ca="1" t="shared" si="231"/>
        <v>0</v>
      </c>
    </row>
    <row r="177" spans="1:67">
      <c r="A177" s="3">
        <v>147</v>
      </c>
      <c r="B177" s="11">
        <f ca="1" t="shared" si="197"/>
        <v>0.122697684919705</v>
      </c>
      <c r="C177" s="12">
        <f ca="1" t="shared" si="198"/>
        <v>55.7565894973235</v>
      </c>
      <c r="D177" s="11">
        <f ca="1" t="shared" ref="D177:S177" si="249">RAND()</f>
        <v>0.889751228919378</v>
      </c>
      <c r="E177" s="11">
        <f ca="1" t="shared" si="249"/>
        <v>0.824445576422254</v>
      </c>
      <c r="F177" s="11">
        <f ca="1" t="shared" si="249"/>
        <v>0.242803995137401</v>
      </c>
      <c r="G177" s="11">
        <f ca="1" t="shared" si="249"/>
        <v>0.591163473667107</v>
      </c>
      <c r="H177" s="11">
        <f ca="1" t="shared" si="249"/>
        <v>0.53298559028342</v>
      </c>
      <c r="I177" s="11">
        <f ca="1" t="shared" si="249"/>
        <v>0.85910473006368</v>
      </c>
      <c r="J177" s="11">
        <f ca="1" t="shared" si="249"/>
        <v>0.42021014720677</v>
      </c>
      <c r="K177" s="11">
        <f ca="1" t="shared" si="249"/>
        <v>0.140767968555235</v>
      </c>
      <c r="L177" s="11">
        <f ca="1" t="shared" si="249"/>
        <v>0.151132561243012</v>
      </c>
      <c r="M177" s="11">
        <f ca="1" t="shared" si="249"/>
        <v>0.414845397079207</v>
      </c>
      <c r="N177" s="11">
        <f ca="1" t="shared" si="249"/>
        <v>0.889757789261095</v>
      </c>
      <c r="O177" s="11">
        <f ca="1" t="shared" si="249"/>
        <v>0.115168092640964</v>
      </c>
      <c r="P177" s="11">
        <f ca="1" t="shared" si="249"/>
        <v>0.85911906452782</v>
      </c>
      <c r="Q177" s="11">
        <f ca="1" t="shared" si="249"/>
        <v>0.258217367560682</v>
      </c>
      <c r="R177" s="11">
        <f ca="1" t="shared" si="249"/>
        <v>0.437968142683024</v>
      </c>
      <c r="S177" s="11">
        <f ca="1" t="shared" si="249"/>
        <v>0.37558363901417</v>
      </c>
      <c r="T177" s="12">
        <f ca="1" t="shared" si="200"/>
        <v>5.47437807229844</v>
      </c>
      <c r="U177" s="12">
        <f ca="1" t="shared" si="201"/>
        <v>5.31111394105563</v>
      </c>
      <c r="V177" s="12">
        <f ca="1" t="shared" si="202"/>
        <v>4.404673325229</v>
      </c>
      <c r="W177" s="12">
        <f ca="1" t="shared" si="203"/>
        <v>4.86395434208388</v>
      </c>
      <c r="X177" s="12">
        <f ca="1" t="shared" si="204"/>
        <v>4.79123198785428</v>
      </c>
      <c r="Y177" s="12">
        <f ca="1" t="shared" si="205"/>
        <v>5.3977618251592</v>
      </c>
      <c r="Z177" s="12">
        <f ca="1" t="shared" si="206"/>
        <v>4.65026268400846</v>
      </c>
      <c r="AA177" s="12">
        <f ca="1" t="shared" si="207"/>
        <v>4.23461328092539</v>
      </c>
      <c r="AB177" s="12">
        <f ca="1" t="shared" si="208"/>
        <v>4.25188760207169</v>
      </c>
      <c r="AC177" s="12">
        <f ca="1" t="shared" si="209"/>
        <v>4.64355674634901</v>
      </c>
      <c r="AD177" s="12">
        <f ca="1" t="shared" si="210"/>
        <v>5.47439447315274</v>
      </c>
      <c r="AE177" s="12">
        <f ca="1" t="shared" si="211"/>
        <v>4.19194682106827</v>
      </c>
      <c r="AF177" s="12">
        <f ca="1" t="shared" si="212"/>
        <v>5.39779766131955</v>
      </c>
      <c r="AG177" s="12">
        <f ca="1" t="shared" si="213"/>
        <v>4.4303622792678</v>
      </c>
      <c r="AH177" s="12">
        <f ca="1" t="shared" si="214"/>
        <v>4.67246017835378</v>
      </c>
      <c r="AI177" s="12">
        <f ca="1" t="shared" si="215"/>
        <v>4.59447954876771</v>
      </c>
      <c r="AJ177" s="12">
        <f ca="1">SUM($T177:T177)</f>
        <v>5.47437807229844</v>
      </c>
      <c r="AK177" s="12">
        <f ca="1">SUM($T177:U177)</f>
        <v>10.7854920133541</v>
      </c>
      <c r="AL177" s="12">
        <f ca="1">SUM($T177:V177)</f>
        <v>15.1901653385831</v>
      </c>
      <c r="AM177" s="12">
        <f ca="1">SUM($T177:W177)</f>
        <v>20.054119680667</v>
      </c>
      <c r="AN177" s="12">
        <f ca="1">SUM($T177:X177)</f>
        <v>24.8453516685212</v>
      </c>
      <c r="AO177" s="12">
        <f ca="1">SUM($T177:Y177)</f>
        <v>30.2431134936804</v>
      </c>
      <c r="AP177" s="12">
        <f ca="1">SUM($T177:Z177)</f>
        <v>34.8933761776889</v>
      </c>
      <c r="AQ177" s="12">
        <f ca="1">SUM($T177:AA177)</f>
        <v>39.1279894586143</v>
      </c>
      <c r="AR177" s="12">
        <f ca="1">SUM($T177:AB177)</f>
        <v>43.379877060686</v>
      </c>
      <c r="AS177" s="12">
        <f ca="1">SUM($T177:AC177)</f>
        <v>48.023433807035</v>
      </c>
      <c r="AT177" s="12">
        <f ca="1">SUM($T177:AD177)</f>
        <v>53.4978282801877</v>
      </c>
      <c r="AU177" s="12">
        <f ca="1">SUM($T177:AE177)</f>
        <v>57.689775101256</v>
      </c>
      <c r="AV177" s="12">
        <f ca="1">SUM($T177:AF177)</f>
        <v>63.0875727625755</v>
      </c>
      <c r="AW177" s="12">
        <f ca="1">SUM($T177:AG177)</f>
        <v>67.5179350418433</v>
      </c>
      <c r="AX177" s="12">
        <f ca="1">SUM($T177:AH177)</f>
        <v>72.1903952201971</v>
      </c>
      <c r="AY177" s="12">
        <f ca="1">SUM($T177:AI177)</f>
        <v>76.7848747689648</v>
      </c>
      <c r="AZ177" s="12">
        <f ca="1" t="shared" si="216"/>
        <v>50.2822114250251</v>
      </c>
      <c r="BA177" s="12">
        <f ca="1" t="shared" si="217"/>
        <v>44.9710974839694</v>
      </c>
      <c r="BB177" s="12">
        <f ca="1" t="shared" si="218"/>
        <v>40.5664241587404</v>
      </c>
      <c r="BC177" s="12">
        <f ca="1" t="shared" si="219"/>
        <v>35.7024698166565</v>
      </c>
      <c r="BD177" s="12">
        <f ca="1" t="shared" si="220"/>
        <v>30.9112378288023</v>
      </c>
      <c r="BE177" s="12">
        <f ca="1" t="shared" si="221"/>
        <v>25.5134760036431</v>
      </c>
      <c r="BF177" s="12">
        <f ca="1" t="shared" si="222"/>
        <v>20.8632133196346</v>
      </c>
      <c r="BG177" s="12">
        <f ca="1" t="shared" si="223"/>
        <v>16.6286000387092</v>
      </c>
      <c r="BH177" s="12">
        <f ca="1" t="shared" si="224"/>
        <v>12.3767124366375</v>
      </c>
      <c r="BI177" s="12">
        <f ca="1" t="shared" si="225"/>
        <v>7.73315569028851</v>
      </c>
      <c r="BJ177" s="12">
        <f ca="1" t="shared" si="226"/>
        <v>2.25876121713578</v>
      </c>
      <c r="BK177" s="12">
        <f ca="1" t="shared" si="227"/>
        <v>0</v>
      </c>
      <c r="BL177" s="12">
        <f ca="1" t="shared" si="228"/>
        <v>0</v>
      </c>
      <c r="BM177" s="12">
        <f ca="1" t="shared" si="229"/>
        <v>0</v>
      </c>
      <c r="BN177" s="12">
        <f ca="1" t="shared" si="230"/>
        <v>0</v>
      </c>
      <c r="BO177" s="12">
        <f ca="1" t="shared" si="231"/>
        <v>0</v>
      </c>
    </row>
    <row r="178" spans="1:67">
      <c r="A178" s="3">
        <v>148</v>
      </c>
      <c r="B178" s="11">
        <f ca="1" t="shared" si="197"/>
        <v>0.451943090124952</v>
      </c>
      <c r="C178" s="12">
        <f ca="1" t="shared" si="198"/>
        <v>63.3657181687492</v>
      </c>
      <c r="D178" s="11">
        <f ca="1" t="shared" ref="D178:S178" si="250">RAND()</f>
        <v>0.245574524772674</v>
      </c>
      <c r="E178" s="11">
        <f ca="1" t="shared" si="250"/>
        <v>0.777648081271191</v>
      </c>
      <c r="F178" s="11">
        <f ca="1" t="shared" si="250"/>
        <v>0.113888435228071</v>
      </c>
      <c r="G178" s="11">
        <f ca="1" t="shared" si="250"/>
        <v>0.651912408486709</v>
      </c>
      <c r="H178" s="11">
        <f ca="1" t="shared" si="250"/>
        <v>0.374877650640801</v>
      </c>
      <c r="I178" s="11">
        <f ca="1" t="shared" si="250"/>
        <v>0.480509584891649</v>
      </c>
      <c r="J178" s="11">
        <f ca="1" t="shared" si="250"/>
        <v>0.0696749823356759</v>
      </c>
      <c r="K178" s="11">
        <f ca="1" t="shared" si="250"/>
        <v>0.738020811798228</v>
      </c>
      <c r="L178" s="11">
        <f ca="1" t="shared" si="250"/>
        <v>0.159765831245867</v>
      </c>
      <c r="M178" s="11">
        <f ca="1" t="shared" si="250"/>
        <v>0.912293878400578</v>
      </c>
      <c r="N178" s="11">
        <f ca="1" t="shared" si="250"/>
        <v>0.119869020391943</v>
      </c>
      <c r="O178" s="11">
        <f ca="1" t="shared" si="250"/>
        <v>0.934118739939288</v>
      </c>
      <c r="P178" s="11">
        <f ca="1" t="shared" si="250"/>
        <v>0.162376035212855</v>
      </c>
      <c r="Q178" s="11">
        <f ca="1" t="shared" si="250"/>
        <v>0.541777682414689</v>
      </c>
      <c r="R178" s="11">
        <f ca="1" t="shared" si="250"/>
        <v>0.808473520789922</v>
      </c>
      <c r="S178" s="11">
        <f ca="1" t="shared" si="250"/>
        <v>0.186457422869535</v>
      </c>
      <c r="T178" s="12">
        <f ca="1" t="shared" si="200"/>
        <v>4.40929087462112</v>
      </c>
      <c r="U178" s="12">
        <f ca="1" t="shared" si="201"/>
        <v>5.19412020317798</v>
      </c>
      <c r="V178" s="12">
        <f ca="1" t="shared" si="202"/>
        <v>4.18981405871345</v>
      </c>
      <c r="W178" s="12">
        <f ca="1" t="shared" si="203"/>
        <v>4.93989051060839</v>
      </c>
      <c r="X178" s="12">
        <f ca="1" t="shared" si="204"/>
        <v>4.593597063301</v>
      </c>
      <c r="Y178" s="12">
        <f ca="1" t="shared" si="205"/>
        <v>4.72563698111456</v>
      </c>
      <c r="Z178" s="12">
        <f ca="1" t="shared" si="206"/>
        <v>4.11612497055946</v>
      </c>
      <c r="AA178" s="12">
        <f ca="1" t="shared" si="207"/>
        <v>5.09505202949557</v>
      </c>
      <c r="AB178" s="12">
        <f ca="1" t="shared" si="208"/>
        <v>4.26627638540978</v>
      </c>
      <c r="AC178" s="12">
        <f ca="1" t="shared" si="209"/>
        <v>5.56146939200289</v>
      </c>
      <c r="AD178" s="12">
        <f ca="1" t="shared" si="210"/>
        <v>4.19978170065324</v>
      </c>
      <c r="AE178" s="12">
        <f ca="1" t="shared" si="211"/>
        <v>5.67059369969644</v>
      </c>
      <c r="AF178" s="12">
        <f ca="1" t="shared" si="212"/>
        <v>4.27062672535476</v>
      </c>
      <c r="AG178" s="12">
        <f ca="1" t="shared" si="213"/>
        <v>4.80222210301836</v>
      </c>
      <c r="AH178" s="12">
        <f ca="1" t="shared" si="214"/>
        <v>5.27118380197481</v>
      </c>
      <c r="AI178" s="12">
        <f ca="1" t="shared" si="215"/>
        <v>4.31076237144922</v>
      </c>
      <c r="AJ178" s="12">
        <f ca="1">SUM($T178:T178)</f>
        <v>4.40929087462112</v>
      </c>
      <c r="AK178" s="12">
        <f ca="1">SUM($T178:U178)</f>
        <v>9.6034110777991</v>
      </c>
      <c r="AL178" s="12">
        <f ca="1">SUM($T178:V178)</f>
        <v>13.7932251365126</v>
      </c>
      <c r="AM178" s="12">
        <f ca="1">SUM($T178:W178)</f>
        <v>18.7331156471209</v>
      </c>
      <c r="AN178" s="12">
        <f ca="1">SUM($T178:X178)</f>
        <v>23.3267127104219</v>
      </c>
      <c r="AO178" s="12">
        <f ca="1">SUM($T178:Y178)</f>
        <v>28.0523496915365</v>
      </c>
      <c r="AP178" s="12">
        <f ca="1">SUM($T178:Z178)</f>
        <v>32.168474662096</v>
      </c>
      <c r="AQ178" s="12">
        <f ca="1">SUM($T178:AA178)</f>
        <v>37.2635266915915</v>
      </c>
      <c r="AR178" s="12">
        <f ca="1">SUM($T178:AB178)</f>
        <v>41.5298030770013</v>
      </c>
      <c r="AS178" s="12">
        <f ca="1">SUM($T178:AC178)</f>
        <v>47.0912724690042</v>
      </c>
      <c r="AT178" s="12">
        <f ca="1">SUM($T178:AD178)</f>
        <v>51.2910541696574</v>
      </c>
      <c r="AU178" s="12">
        <f ca="1">SUM($T178:AE178)</f>
        <v>56.9616478693539</v>
      </c>
      <c r="AV178" s="12">
        <f ca="1">SUM($T178:AF178)</f>
        <v>61.2322745947086</v>
      </c>
      <c r="AW178" s="12">
        <f ca="1">SUM($T178:AG178)</f>
        <v>66.034496697727</v>
      </c>
      <c r="AX178" s="12">
        <f ca="1">SUM($T178:AH178)</f>
        <v>71.3056804997018</v>
      </c>
      <c r="AY178" s="12">
        <f ca="1">SUM($T178:AI178)</f>
        <v>75.616442871151</v>
      </c>
      <c r="AZ178" s="12">
        <f ca="1" t="shared" si="216"/>
        <v>58.9564272941281</v>
      </c>
      <c r="BA178" s="12">
        <f ca="1" t="shared" si="217"/>
        <v>53.7623070909501</v>
      </c>
      <c r="BB178" s="12">
        <f ca="1" t="shared" si="218"/>
        <v>49.5724930322367</v>
      </c>
      <c r="BC178" s="12">
        <f ca="1" t="shared" si="219"/>
        <v>44.6326025216283</v>
      </c>
      <c r="BD178" s="12">
        <f ca="1" t="shared" si="220"/>
        <v>40.0390054583273</v>
      </c>
      <c r="BE178" s="12">
        <f ca="1" t="shared" si="221"/>
        <v>35.3133684772127</v>
      </c>
      <c r="BF178" s="12">
        <f ca="1" t="shared" si="222"/>
        <v>31.1972435066532</v>
      </c>
      <c r="BG178" s="12">
        <f ca="1" t="shared" si="223"/>
        <v>26.1021914771577</v>
      </c>
      <c r="BH178" s="12">
        <f ca="1" t="shared" si="224"/>
        <v>21.8359150917479</v>
      </c>
      <c r="BI178" s="12">
        <f ca="1" t="shared" si="225"/>
        <v>16.274445699745</v>
      </c>
      <c r="BJ178" s="12">
        <f ca="1" t="shared" si="226"/>
        <v>12.0746639990918</v>
      </c>
      <c r="BK178" s="12">
        <f ca="1" t="shared" si="227"/>
        <v>6.40407029939532</v>
      </c>
      <c r="BL178" s="12">
        <f ca="1" t="shared" si="228"/>
        <v>2.13344357404056</v>
      </c>
      <c r="BM178" s="12">
        <f ca="1" t="shared" si="229"/>
        <v>0</v>
      </c>
      <c r="BN178" s="12">
        <f ca="1" t="shared" si="230"/>
        <v>0</v>
      </c>
      <c r="BO178" s="12">
        <f ca="1" t="shared" si="231"/>
        <v>0</v>
      </c>
    </row>
    <row r="179" spans="1:67">
      <c r="A179" s="3">
        <v>149</v>
      </c>
      <c r="B179" s="11">
        <f ca="1" t="shared" si="197"/>
        <v>0.549974434875738</v>
      </c>
      <c r="C179" s="12">
        <f ca="1" t="shared" si="198"/>
        <v>64.9995739145956</v>
      </c>
      <c r="D179" s="11">
        <f ca="1" t="shared" ref="D179:S179" si="251">RAND()</f>
        <v>0.535948321559395</v>
      </c>
      <c r="E179" s="11">
        <f ca="1" t="shared" si="251"/>
        <v>0.742443129521752</v>
      </c>
      <c r="F179" s="11">
        <f ca="1" t="shared" si="251"/>
        <v>0.37468572421149</v>
      </c>
      <c r="G179" s="11">
        <f ca="1" t="shared" si="251"/>
        <v>0.905273755440464</v>
      </c>
      <c r="H179" s="11">
        <f ca="1" t="shared" si="251"/>
        <v>0.897053727490174</v>
      </c>
      <c r="I179" s="11">
        <f ca="1" t="shared" si="251"/>
        <v>0.15245114595653</v>
      </c>
      <c r="J179" s="11">
        <f ca="1" t="shared" si="251"/>
        <v>0.0733992238227772</v>
      </c>
      <c r="K179" s="11">
        <f ca="1" t="shared" si="251"/>
        <v>0.113316444834567</v>
      </c>
      <c r="L179" s="11">
        <f ca="1" t="shared" si="251"/>
        <v>0.532981857269693</v>
      </c>
      <c r="M179" s="11">
        <f ca="1" t="shared" si="251"/>
        <v>0.235356392693427</v>
      </c>
      <c r="N179" s="11">
        <f ca="1" t="shared" si="251"/>
        <v>0.407252677616535</v>
      </c>
      <c r="O179" s="11">
        <f ca="1" t="shared" si="251"/>
        <v>0.396297149077883</v>
      </c>
      <c r="P179" s="11">
        <f ca="1" t="shared" si="251"/>
        <v>0.820080237091469</v>
      </c>
      <c r="Q179" s="11">
        <f ca="1" t="shared" si="251"/>
        <v>0.591162351698072</v>
      </c>
      <c r="R179" s="11">
        <f ca="1" t="shared" si="251"/>
        <v>0.283400899482723</v>
      </c>
      <c r="S179" s="11">
        <f ca="1" t="shared" si="251"/>
        <v>0.605716932933314</v>
      </c>
      <c r="T179" s="12">
        <f ca="1" t="shared" si="200"/>
        <v>4.79493540194924</v>
      </c>
      <c r="U179" s="12">
        <f ca="1" t="shared" si="201"/>
        <v>5.10610782380438</v>
      </c>
      <c r="V179" s="12">
        <f ca="1" t="shared" si="202"/>
        <v>4.59335715526436</v>
      </c>
      <c r="W179" s="12">
        <f ca="1" t="shared" si="203"/>
        <v>5.52636877720232</v>
      </c>
      <c r="X179" s="12">
        <f ca="1" t="shared" si="204"/>
        <v>5.49263431872543</v>
      </c>
      <c r="Y179" s="12">
        <f ca="1" t="shared" si="205"/>
        <v>4.25408524326088</v>
      </c>
      <c r="Z179" s="12">
        <f ca="1" t="shared" si="206"/>
        <v>4.12233203970463</v>
      </c>
      <c r="AA179" s="12">
        <f ca="1" t="shared" si="207"/>
        <v>4.18886074139095</v>
      </c>
      <c r="AB179" s="12">
        <f ca="1" t="shared" si="208"/>
        <v>4.79122732158712</v>
      </c>
      <c r="AC179" s="12">
        <f ca="1" t="shared" si="209"/>
        <v>4.39226065448904</v>
      </c>
      <c r="AD179" s="12">
        <f ca="1" t="shared" si="210"/>
        <v>4.63406584702067</v>
      </c>
      <c r="AE179" s="12">
        <f ca="1" t="shared" si="211"/>
        <v>4.62037143634735</v>
      </c>
      <c r="AF179" s="12">
        <f ca="1" t="shared" si="212"/>
        <v>5.30020059272867</v>
      </c>
      <c r="AG179" s="12">
        <f ca="1" t="shared" si="213"/>
        <v>4.86395293962259</v>
      </c>
      <c r="AH179" s="12">
        <f ca="1" t="shared" si="214"/>
        <v>4.47233483247121</v>
      </c>
      <c r="AI179" s="12">
        <f ca="1" t="shared" si="215"/>
        <v>4.88214616616664</v>
      </c>
      <c r="AJ179" s="12">
        <f ca="1">SUM($T179:T179)</f>
        <v>4.79493540194924</v>
      </c>
      <c r="AK179" s="12">
        <f ca="1">SUM($T179:U179)</f>
        <v>9.90104322575363</v>
      </c>
      <c r="AL179" s="12">
        <f ca="1">SUM($T179:V179)</f>
        <v>14.494400381018</v>
      </c>
      <c r="AM179" s="12">
        <f ca="1">SUM($T179:W179)</f>
        <v>20.0207691582203</v>
      </c>
      <c r="AN179" s="12">
        <f ca="1">SUM($T179:X179)</f>
        <v>25.5134034769457</v>
      </c>
      <c r="AO179" s="12">
        <f ca="1">SUM($T179:Y179)</f>
        <v>29.7674887202066</v>
      </c>
      <c r="AP179" s="12">
        <f ca="1">SUM($T179:Z179)</f>
        <v>33.8898207599113</v>
      </c>
      <c r="AQ179" s="12">
        <f ca="1">SUM($T179:AA179)</f>
        <v>38.0786815013022</v>
      </c>
      <c r="AR179" s="12">
        <f ca="1">SUM($T179:AB179)</f>
        <v>42.8699088228893</v>
      </c>
      <c r="AS179" s="12">
        <f ca="1">SUM($T179:AC179)</f>
        <v>47.2621694773784</v>
      </c>
      <c r="AT179" s="12">
        <f ca="1">SUM($T179:AD179)</f>
        <v>51.896235324399</v>
      </c>
      <c r="AU179" s="12">
        <f ca="1">SUM($T179:AE179)</f>
        <v>56.5166067607464</v>
      </c>
      <c r="AV179" s="12">
        <f ca="1">SUM($T179:AF179)</f>
        <v>61.8168073534751</v>
      </c>
      <c r="AW179" s="12">
        <f ca="1">SUM($T179:AG179)</f>
        <v>66.6807602930976</v>
      </c>
      <c r="AX179" s="12">
        <f ca="1">SUM($T179:AH179)</f>
        <v>71.1530951255689</v>
      </c>
      <c r="AY179" s="12">
        <f ca="1">SUM($T179:AI179)</f>
        <v>76.0352412917355</v>
      </c>
      <c r="AZ179" s="12">
        <f ca="1" t="shared" si="216"/>
        <v>60.2046385126464</v>
      </c>
      <c r="BA179" s="12">
        <f ca="1" t="shared" si="217"/>
        <v>55.098530688842</v>
      </c>
      <c r="BB179" s="12">
        <f ca="1" t="shared" si="218"/>
        <v>50.5051735335777</v>
      </c>
      <c r="BC179" s="12">
        <f ca="1" t="shared" si="219"/>
        <v>44.9788047563753</v>
      </c>
      <c r="BD179" s="12">
        <f ca="1" t="shared" si="220"/>
        <v>39.4861704376499</v>
      </c>
      <c r="BE179" s="12">
        <f ca="1" t="shared" si="221"/>
        <v>35.232085194389</v>
      </c>
      <c r="BF179" s="12">
        <f ca="1" t="shared" si="222"/>
        <v>31.1097531546844</v>
      </c>
      <c r="BG179" s="12">
        <f ca="1" t="shared" si="223"/>
        <v>26.9208924132934</v>
      </c>
      <c r="BH179" s="12">
        <f ca="1" t="shared" si="224"/>
        <v>22.1296650917063</v>
      </c>
      <c r="BI179" s="12">
        <f ca="1" t="shared" si="225"/>
        <v>17.7374044372173</v>
      </c>
      <c r="BJ179" s="12">
        <f ca="1" t="shared" si="226"/>
        <v>13.1033385901966</v>
      </c>
      <c r="BK179" s="12">
        <f ca="1" t="shared" si="227"/>
        <v>8.48296715384925</v>
      </c>
      <c r="BL179" s="12">
        <f ca="1" t="shared" si="228"/>
        <v>3.18276656112058</v>
      </c>
      <c r="BM179" s="12">
        <f ca="1" t="shared" si="229"/>
        <v>0</v>
      </c>
      <c r="BN179" s="12">
        <f ca="1" t="shared" si="230"/>
        <v>0</v>
      </c>
      <c r="BO179" s="12">
        <f ca="1" t="shared" si="231"/>
        <v>0</v>
      </c>
    </row>
    <row r="180" spans="1:67">
      <c r="A180" s="3">
        <v>150</v>
      </c>
      <c r="B180" s="11">
        <f ca="1" t="shared" si="197"/>
        <v>0.329226865553518</v>
      </c>
      <c r="C180" s="12">
        <f ca="1" t="shared" si="198"/>
        <v>61.3204477592253</v>
      </c>
      <c r="D180" s="11">
        <f ca="1" t="shared" ref="D180:S180" si="252">RAND()</f>
        <v>0.584685376273872</v>
      </c>
      <c r="E180" s="11">
        <f ca="1" t="shared" si="252"/>
        <v>0.258239611641947</v>
      </c>
      <c r="F180" s="11">
        <f ca="1" t="shared" si="252"/>
        <v>0.414108535958393</v>
      </c>
      <c r="G180" s="11">
        <f ca="1" t="shared" si="252"/>
        <v>0.566401417153689</v>
      </c>
      <c r="H180" s="11">
        <f ca="1" t="shared" si="252"/>
        <v>0.83896748781947</v>
      </c>
      <c r="I180" s="11">
        <f ca="1" t="shared" si="252"/>
        <v>0.151134484216763</v>
      </c>
      <c r="J180" s="11">
        <f ca="1" t="shared" si="252"/>
        <v>0.566639791039486</v>
      </c>
      <c r="K180" s="11">
        <f ca="1" t="shared" si="252"/>
        <v>0.245551867600735</v>
      </c>
      <c r="L180" s="11">
        <f ca="1" t="shared" si="252"/>
        <v>0.595327346746039</v>
      </c>
      <c r="M180" s="11">
        <f ca="1" t="shared" si="252"/>
        <v>0.957296863943875</v>
      </c>
      <c r="N180" s="11">
        <f ca="1" t="shared" si="252"/>
        <v>0.278578543414659</v>
      </c>
      <c r="O180" s="11">
        <f ca="1" t="shared" si="252"/>
        <v>0.885995954431187</v>
      </c>
      <c r="P180" s="11">
        <f ca="1" t="shared" si="252"/>
        <v>0.0673217515185622</v>
      </c>
      <c r="Q180" s="11">
        <f ca="1" t="shared" si="252"/>
        <v>0.437966980423374</v>
      </c>
      <c r="R180" s="11">
        <f ca="1" t="shared" si="252"/>
        <v>0.325569176959261</v>
      </c>
      <c r="S180" s="11">
        <f ca="1" t="shared" si="252"/>
        <v>0.651909702616279</v>
      </c>
      <c r="T180" s="12">
        <f ca="1" t="shared" si="200"/>
        <v>4.85585672034234</v>
      </c>
      <c r="U180" s="12">
        <f ca="1" t="shared" si="201"/>
        <v>4.43039935273658</v>
      </c>
      <c r="V180" s="12">
        <f ca="1" t="shared" si="202"/>
        <v>4.64263566994799</v>
      </c>
      <c r="W180" s="12">
        <f ca="1" t="shared" si="203"/>
        <v>4.83300177144211</v>
      </c>
      <c r="X180" s="12">
        <f ca="1" t="shared" si="204"/>
        <v>5.34741871954868</v>
      </c>
      <c r="Y180" s="12">
        <f ca="1" t="shared" si="205"/>
        <v>4.25189080702794</v>
      </c>
      <c r="Z180" s="12">
        <f ca="1" t="shared" si="206"/>
        <v>4.83329973879936</v>
      </c>
      <c r="AA180" s="12">
        <f ca="1" t="shared" si="207"/>
        <v>4.40925311266789</v>
      </c>
      <c r="AB180" s="12">
        <f ca="1" t="shared" si="208"/>
        <v>4.86915918343255</v>
      </c>
      <c r="AC180" s="12">
        <f ca="1" t="shared" si="209"/>
        <v>5.78648431971938</v>
      </c>
      <c r="AD180" s="12">
        <f ca="1" t="shared" si="210"/>
        <v>4.46429757235776</v>
      </c>
      <c r="AE180" s="12">
        <f ca="1" t="shared" si="211"/>
        <v>5.46498988607797</v>
      </c>
      <c r="AF180" s="12">
        <f ca="1" t="shared" si="212"/>
        <v>4.1122029191976</v>
      </c>
      <c r="AG180" s="12">
        <f ca="1" t="shared" si="213"/>
        <v>4.67245872552922</v>
      </c>
      <c r="AH180" s="12">
        <f ca="1" t="shared" si="214"/>
        <v>4.53196147119908</v>
      </c>
      <c r="AI180" s="12">
        <f ca="1" t="shared" si="215"/>
        <v>4.93988712827035</v>
      </c>
      <c r="AJ180" s="12">
        <f ca="1">SUM($T180:T180)</f>
        <v>4.85585672034234</v>
      </c>
      <c r="AK180" s="12">
        <f ca="1">SUM($T180:U180)</f>
        <v>9.28625607307892</v>
      </c>
      <c r="AL180" s="12">
        <f ca="1">SUM($T180:V180)</f>
        <v>13.9288917430269</v>
      </c>
      <c r="AM180" s="12">
        <f ca="1">SUM($T180:W180)</f>
        <v>18.761893514469</v>
      </c>
      <c r="AN180" s="12">
        <f ca="1">SUM($T180:X180)</f>
        <v>24.1093122340177</v>
      </c>
      <c r="AO180" s="12">
        <f ca="1">SUM($T180:Y180)</f>
        <v>28.3612030410456</v>
      </c>
      <c r="AP180" s="12">
        <f ca="1">SUM($T180:Z180)</f>
        <v>33.194502779845</v>
      </c>
      <c r="AQ180" s="12">
        <f ca="1">SUM($T180:AA180)</f>
        <v>37.6037558925129</v>
      </c>
      <c r="AR180" s="12">
        <f ca="1">SUM($T180:AB180)</f>
        <v>42.4729150759454</v>
      </c>
      <c r="AS180" s="12">
        <f ca="1">SUM($T180:AC180)</f>
        <v>48.2593993956648</v>
      </c>
      <c r="AT180" s="12">
        <f ca="1">SUM($T180:AD180)</f>
        <v>52.7236969680226</v>
      </c>
      <c r="AU180" s="12">
        <f ca="1">SUM($T180:AE180)</f>
        <v>58.1886868541005</v>
      </c>
      <c r="AV180" s="12">
        <f ca="1">SUM($T180:AF180)</f>
        <v>62.3008897732982</v>
      </c>
      <c r="AW180" s="12">
        <f ca="1">SUM($T180:AG180)</f>
        <v>66.9733484988274</v>
      </c>
      <c r="AX180" s="12">
        <f ca="1">SUM($T180:AH180)</f>
        <v>71.5053099700264</v>
      </c>
      <c r="AY180" s="12">
        <f ca="1">SUM($T180:AI180)</f>
        <v>76.4451970982968</v>
      </c>
      <c r="AZ180" s="12">
        <f ca="1" t="shared" si="216"/>
        <v>56.464591038883</v>
      </c>
      <c r="BA180" s="12">
        <f ca="1" t="shared" si="217"/>
        <v>52.0341916861464</v>
      </c>
      <c r="BB180" s="12">
        <f ca="1" t="shared" si="218"/>
        <v>47.3915560161984</v>
      </c>
      <c r="BC180" s="12">
        <f ca="1" t="shared" si="219"/>
        <v>42.5585542447563</v>
      </c>
      <c r="BD180" s="12">
        <f ca="1" t="shared" si="220"/>
        <v>37.2111355252076</v>
      </c>
      <c r="BE180" s="12">
        <f ca="1" t="shared" si="221"/>
        <v>32.9592447181797</v>
      </c>
      <c r="BF180" s="12">
        <f ca="1" t="shared" si="222"/>
        <v>28.1259449793803</v>
      </c>
      <c r="BG180" s="12">
        <f ca="1" t="shared" si="223"/>
        <v>23.7166918667124</v>
      </c>
      <c r="BH180" s="12">
        <f ca="1" t="shared" si="224"/>
        <v>18.8475326832799</v>
      </c>
      <c r="BI180" s="12">
        <f ca="1" t="shared" si="225"/>
        <v>13.0610483635605</v>
      </c>
      <c r="BJ180" s="12">
        <f ca="1" t="shared" si="226"/>
        <v>8.59675079120272</v>
      </c>
      <c r="BK180" s="12">
        <f ca="1" t="shared" si="227"/>
        <v>3.13176090512475</v>
      </c>
      <c r="BL180" s="12">
        <f ca="1" t="shared" si="228"/>
        <v>0</v>
      </c>
      <c r="BM180" s="12">
        <f ca="1" t="shared" si="229"/>
        <v>0</v>
      </c>
      <c r="BN180" s="12">
        <f ca="1" t="shared" si="230"/>
        <v>0</v>
      </c>
      <c r="BO180" s="12">
        <f ca="1" t="shared" si="231"/>
        <v>0</v>
      </c>
    </row>
    <row r="181" spans="1:67">
      <c r="A181" s="3">
        <v>151</v>
      </c>
      <c r="B181" s="11">
        <f ca="1" t="shared" si="197"/>
        <v>0.0577917622251878</v>
      </c>
      <c r="C181" s="12">
        <f ca="1" t="shared" si="198"/>
        <v>52.8895881112594</v>
      </c>
      <c r="D181" s="11">
        <f ca="1" t="shared" ref="D181:S181" si="253">RAND()</f>
        <v>0.420265847930526</v>
      </c>
      <c r="E181" s="11">
        <f ca="1" t="shared" si="253"/>
        <v>0.777630639689387</v>
      </c>
      <c r="F181" s="11">
        <f ca="1" t="shared" si="253"/>
        <v>0.414844017610394</v>
      </c>
      <c r="G181" s="11">
        <f ca="1" t="shared" si="253"/>
        <v>0.697180830429833</v>
      </c>
      <c r="H181" s="11">
        <f ca="1" t="shared" si="253"/>
        <v>0.968652402361223</v>
      </c>
      <c r="I181" s="11">
        <f ca="1" t="shared" si="253"/>
        <v>0.358514131807528</v>
      </c>
      <c r="J181" s="11">
        <f ca="1" t="shared" si="253"/>
        <v>0.979236130054135</v>
      </c>
      <c r="K181" s="11">
        <f ca="1" t="shared" si="253"/>
        <v>0.154884403592962</v>
      </c>
      <c r="L181" s="11">
        <f ca="1" t="shared" si="253"/>
        <v>0.165057537021065</v>
      </c>
      <c r="M181" s="11">
        <f ca="1" t="shared" si="253"/>
        <v>0.115167851717637</v>
      </c>
      <c r="N181" s="11">
        <f ca="1" t="shared" si="253"/>
        <v>0.286323519476193</v>
      </c>
      <c r="O181" s="11">
        <f ca="1" t="shared" si="253"/>
        <v>0.738009848665419</v>
      </c>
      <c r="P181" s="11">
        <f ca="1" t="shared" si="253"/>
        <v>0.964378026130068</v>
      </c>
      <c r="Q181" s="11">
        <f ca="1" t="shared" si="253"/>
        <v>0.93413396156094</v>
      </c>
      <c r="R181" s="11">
        <f ca="1" t="shared" si="253"/>
        <v>0.374853061660278</v>
      </c>
      <c r="S181" s="11">
        <f ca="1" t="shared" si="253"/>
        <v>0.541750769538779</v>
      </c>
      <c r="T181" s="12">
        <f ca="1" t="shared" si="200"/>
        <v>4.65033230991316</v>
      </c>
      <c r="U181" s="12">
        <f ca="1" t="shared" si="201"/>
        <v>5.19407659922347</v>
      </c>
      <c r="V181" s="12">
        <f ca="1" t="shared" si="202"/>
        <v>4.64355502201299</v>
      </c>
      <c r="W181" s="12">
        <f ca="1" t="shared" si="203"/>
        <v>4.99647603803729</v>
      </c>
      <c r="X181" s="12">
        <f ca="1" t="shared" si="204"/>
        <v>5.84326201180612</v>
      </c>
      <c r="Y181" s="12">
        <f ca="1" t="shared" si="205"/>
        <v>4.57314266475941</v>
      </c>
      <c r="Z181" s="12">
        <f ca="1" t="shared" si="206"/>
        <v>5.89618065027068</v>
      </c>
      <c r="AA181" s="12">
        <f ca="1" t="shared" si="207"/>
        <v>4.25814067265494</v>
      </c>
      <c r="AB181" s="12">
        <f ca="1" t="shared" si="208"/>
        <v>4.27509589503511</v>
      </c>
      <c r="AC181" s="12">
        <f ca="1" t="shared" si="209"/>
        <v>4.19194641952939</v>
      </c>
      <c r="AD181" s="12">
        <f ca="1" t="shared" si="210"/>
        <v>4.47720586579366</v>
      </c>
      <c r="AE181" s="12">
        <f ca="1" t="shared" si="211"/>
        <v>5.09502462166355</v>
      </c>
      <c r="AF181" s="12">
        <f ca="1" t="shared" si="212"/>
        <v>5.82189013065034</v>
      </c>
      <c r="AG181" s="12">
        <f ca="1" t="shared" si="213"/>
        <v>5.6706698078047</v>
      </c>
      <c r="AH181" s="12">
        <f ca="1" t="shared" si="214"/>
        <v>4.59356632707535</v>
      </c>
      <c r="AI181" s="12">
        <f ca="1" t="shared" si="215"/>
        <v>4.80218846192347</v>
      </c>
      <c r="AJ181" s="12">
        <f ca="1">SUM($T181:T181)</f>
        <v>4.65033230991316</v>
      </c>
      <c r="AK181" s="12">
        <f ca="1">SUM($T181:U181)</f>
        <v>9.84440890913663</v>
      </c>
      <c r="AL181" s="12">
        <f ca="1">SUM($T181:V181)</f>
        <v>14.4879639311496</v>
      </c>
      <c r="AM181" s="12">
        <f ca="1">SUM($T181:W181)</f>
        <v>19.4844399691869</v>
      </c>
      <c r="AN181" s="12">
        <f ca="1">SUM($T181:X181)</f>
        <v>25.327701980993</v>
      </c>
      <c r="AO181" s="12">
        <f ca="1">SUM($T181:Y181)</f>
        <v>29.9008446457524</v>
      </c>
      <c r="AP181" s="12">
        <f ca="1">SUM($T181:Z181)</f>
        <v>35.7970252960231</v>
      </c>
      <c r="AQ181" s="12">
        <f ca="1">SUM($T181:AA181)</f>
        <v>40.055165968678</v>
      </c>
      <c r="AR181" s="12">
        <f ca="1">SUM($T181:AB181)</f>
        <v>44.3302618637132</v>
      </c>
      <c r="AS181" s="12">
        <f ca="1">SUM($T181:AC181)</f>
        <v>48.5222082832425</v>
      </c>
      <c r="AT181" s="12">
        <f ca="1">SUM($T181:AD181)</f>
        <v>52.9994141490362</v>
      </c>
      <c r="AU181" s="12">
        <f ca="1">SUM($T181:AE181)</f>
        <v>58.0944387706998</v>
      </c>
      <c r="AV181" s="12">
        <f ca="1">SUM($T181:AF181)</f>
        <v>63.9163289013501</v>
      </c>
      <c r="AW181" s="12">
        <f ca="1">SUM($T181:AG181)</f>
        <v>69.5869987091548</v>
      </c>
      <c r="AX181" s="12">
        <f ca="1">SUM($T181:AH181)</f>
        <v>74.1805650362301</v>
      </c>
      <c r="AY181" s="12">
        <f ca="1">SUM($T181:AI181)</f>
        <v>78.9827534981536</v>
      </c>
      <c r="AZ181" s="12">
        <f ca="1" t="shared" si="216"/>
        <v>48.2392558013462</v>
      </c>
      <c r="BA181" s="12">
        <f ca="1" t="shared" si="217"/>
        <v>43.0451792021228</v>
      </c>
      <c r="BB181" s="12">
        <f ca="1" t="shared" si="218"/>
        <v>38.4016241801098</v>
      </c>
      <c r="BC181" s="12">
        <f ca="1" t="shared" si="219"/>
        <v>33.4051481420725</v>
      </c>
      <c r="BD181" s="12">
        <f ca="1" t="shared" si="220"/>
        <v>27.5618861302664</v>
      </c>
      <c r="BE181" s="12">
        <f ca="1" t="shared" si="221"/>
        <v>22.9887434655069</v>
      </c>
      <c r="BF181" s="12">
        <f ca="1" t="shared" si="222"/>
        <v>17.0925628152363</v>
      </c>
      <c r="BG181" s="12">
        <f ca="1" t="shared" si="223"/>
        <v>12.8344221425813</v>
      </c>
      <c r="BH181" s="12">
        <f ca="1" t="shared" si="224"/>
        <v>8.55932624754623</v>
      </c>
      <c r="BI181" s="12">
        <f ca="1" t="shared" si="225"/>
        <v>4.36737982801684</v>
      </c>
      <c r="BJ181" s="12">
        <f ca="1" t="shared" si="226"/>
        <v>0</v>
      </c>
      <c r="BK181" s="12">
        <f ca="1" t="shared" si="227"/>
        <v>0</v>
      </c>
      <c r="BL181" s="12">
        <f ca="1" t="shared" si="228"/>
        <v>0</v>
      </c>
      <c r="BM181" s="12">
        <f ca="1" t="shared" si="229"/>
        <v>0</v>
      </c>
      <c r="BN181" s="12">
        <f ca="1" t="shared" si="230"/>
        <v>0</v>
      </c>
      <c r="BO181" s="12">
        <f ca="1" t="shared" si="231"/>
        <v>0</v>
      </c>
    </row>
    <row r="182" spans="1:67">
      <c r="A182" s="3">
        <v>152</v>
      </c>
      <c r="B182" s="11">
        <f ca="1" t="shared" si="197"/>
        <v>0.355130129801725</v>
      </c>
      <c r="C182" s="12">
        <f ca="1" t="shared" si="198"/>
        <v>61.7521688300288</v>
      </c>
      <c r="D182" s="11">
        <f ca="1" t="shared" ref="D182:S182" si="254">RAND()</f>
        <v>0.159772553868724</v>
      </c>
      <c r="E182" s="11">
        <f ca="1" t="shared" si="254"/>
        <v>0.953794733546875</v>
      </c>
      <c r="F182" s="11">
        <f ca="1" t="shared" si="254"/>
        <v>0.742460648507012</v>
      </c>
      <c r="G182" s="11">
        <f ca="1" t="shared" si="254"/>
        <v>0.162360903814896</v>
      </c>
      <c r="H182" s="11">
        <f ca="1" t="shared" si="254"/>
        <v>0.403976393360844</v>
      </c>
      <c r="I182" s="11">
        <f ca="1" t="shared" si="254"/>
        <v>0.565944187196344</v>
      </c>
      <c r="J182" s="11">
        <f ca="1" t="shared" si="254"/>
        <v>0.897050594762958</v>
      </c>
      <c r="K182" s="11">
        <f ca="1" t="shared" si="254"/>
        <v>0.186450736615552</v>
      </c>
      <c r="L182" s="11">
        <f ca="1" t="shared" si="254"/>
        <v>0.113324287394647</v>
      </c>
      <c r="M182" s="11">
        <f ca="1" t="shared" si="254"/>
        <v>0.905282166347422</v>
      </c>
      <c r="N182" s="11">
        <f ca="1" t="shared" si="254"/>
        <v>0.66785902379153</v>
      </c>
      <c r="O182" s="11">
        <f ca="1" t="shared" si="254"/>
        <v>0.414094054361657</v>
      </c>
      <c r="P182" s="11">
        <f ca="1" t="shared" si="254"/>
        <v>0.224301471454997</v>
      </c>
      <c r="Q182" s="11">
        <f ca="1" t="shared" si="254"/>
        <v>0.374666403569977</v>
      </c>
      <c r="R182" s="11">
        <f ca="1" t="shared" si="254"/>
        <v>0.15244070579227</v>
      </c>
      <c r="S182" s="11">
        <f ca="1" t="shared" si="254"/>
        <v>0.965680643355288</v>
      </c>
      <c r="T182" s="12">
        <f ca="1" t="shared" si="200"/>
        <v>4.26628758978121</v>
      </c>
      <c r="U182" s="12">
        <f ca="1" t="shared" si="201"/>
        <v>5.76897366773438</v>
      </c>
      <c r="V182" s="12">
        <f ca="1" t="shared" si="202"/>
        <v>5.10615162126753</v>
      </c>
      <c r="W182" s="12">
        <f ca="1" t="shared" si="203"/>
        <v>4.27060150635816</v>
      </c>
      <c r="X182" s="12">
        <f ca="1" t="shared" si="204"/>
        <v>4.62997049170106</v>
      </c>
      <c r="Y182" s="12">
        <f ca="1" t="shared" si="205"/>
        <v>4.83243023399543</v>
      </c>
      <c r="Z182" s="12">
        <f ca="1" t="shared" si="206"/>
        <v>5.4926264869074</v>
      </c>
      <c r="AA182" s="12">
        <f ca="1" t="shared" si="207"/>
        <v>4.31075122769259</v>
      </c>
      <c r="AB182" s="12">
        <f ca="1" t="shared" si="208"/>
        <v>4.18887381232441</v>
      </c>
      <c r="AC182" s="12">
        <f ca="1" t="shared" si="209"/>
        <v>5.52641083173711</v>
      </c>
      <c r="AD182" s="12">
        <f ca="1" t="shared" si="210"/>
        <v>4.95982377973941</v>
      </c>
      <c r="AE182" s="12">
        <f ca="1" t="shared" si="211"/>
        <v>4.64261756795207</v>
      </c>
      <c r="AF182" s="12">
        <f ca="1" t="shared" si="212"/>
        <v>4.37383578575833</v>
      </c>
      <c r="AG182" s="12">
        <f ca="1" t="shared" si="213"/>
        <v>4.59333300446247</v>
      </c>
      <c r="AH182" s="12">
        <f ca="1" t="shared" si="214"/>
        <v>4.25406784298712</v>
      </c>
      <c r="AI182" s="12">
        <f ca="1" t="shared" si="215"/>
        <v>5.82840321677644</v>
      </c>
      <c r="AJ182" s="12">
        <f ca="1">SUM($T182:T182)</f>
        <v>4.26628758978121</v>
      </c>
      <c r="AK182" s="12">
        <f ca="1">SUM($T182:U182)</f>
        <v>10.0352612575156</v>
      </c>
      <c r="AL182" s="12">
        <f ca="1">SUM($T182:V182)</f>
        <v>15.1414128787831</v>
      </c>
      <c r="AM182" s="12">
        <f ca="1">SUM($T182:W182)</f>
        <v>19.4120143851413</v>
      </c>
      <c r="AN182" s="12">
        <f ca="1">SUM($T182:X182)</f>
        <v>24.0419848768423</v>
      </c>
      <c r="AO182" s="12">
        <f ca="1">SUM($T182:Y182)</f>
        <v>28.8744151108378</v>
      </c>
      <c r="AP182" s="12">
        <f ca="1">SUM($T182:Z182)</f>
        <v>34.3670415977452</v>
      </c>
      <c r="AQ182" s="12">
        <f ca="1">SUM($T182:AA182)</f>
        <v>38.6777928254377</v>
      </c>
      <c r="AR182" s="12">
        <f ca="1">SUM($T182:AB182)</f>
        <v>42.8666666377622</v>
      </c>
      <c r="AS182" s="12">
        <f ca="1">SUM($T182:AC182)</f>
        <v>48.3930774694993</v>
      </c>
      <c r="AT182" s="12">
        <f ca="1">SUM($T182:AD182)</f>
        <v>53.3529012492387</v>
      </c>
      <c r="AU182" s="12">
        <f ca="1">SUM($T182:AE182)</f>
        <v>57.9955188171907</v>
      </c>
      <c r="AV182" s="12">
        <f ca="1">SUM($T182:AF182)</f>
        <v>62.3693546029491</v>
      </c>
      <c r="AW182" s="12">
        <f ca="1">SUM($T182:AG182)</f>
        <v>66.9626876074115</v>
      </c>
      <c r="AX182" s="12">
        <f ca="1">SUM($T182:AH182)</f>
        <v>71.2167554503987</v>
      </c>
      <c r="AY182" s="12">
        <f ca="1">SUM($T182:AI182)</f>
        <v>77.0451586671751</v>
      </c>
      <c r="AZ182" s="12">
        <f ca="1" t="shared" si="216"/>
        <v>57.4858812402476</v>
      </c>
      <c r="BA182" s="12">
        <f ca="1" t="shared" si="217"/>
        <v>51.7169075725132</v>
      </c>
      <c r="BB182" s="12">
        <f ca="1" t="shared" si="218"/>
        <v>46.6107559512456</v>
      </c>
      <c r="BC182" s="12">
        <f ca="1" t="shared" si="219"/>
        <v>42.3401544448875</v>
      </c>
      <c r="BD182" s="12">
        <f ca="1" t="shared" si="220"/>
        <v>37.7101839531864</v>
      </c>
      <c r="BE182" s="12">
        <f ca="1" t="shared" si="221"/>
        <v>32.877753719191</v>
      </c>
      <c r="BF182" s="12">
        <f ca="1" t="shared" si="222"/>
        <v>27.3851272322836</v>
      </c>
      <c r="BG182" s="12">
        <f ca="1" t="shared" si="223"/>
        <v>23.074376004591</v>
      </c>
      <c r="BH182" s="12">
        <f ca="1" t="shared" si="224"/>
        <v>18.8855021922666</v>
      </c>
      <c r="BI182" s="12">
        <f ca="1" t="shared" si="225"/>
        <v>13.3590913605295</v>
      </c>
      <c r="BJ182" s="12">
        <f ca="1" t="shared" si="226"/>
        <v>8.39926758079009</v>
      </c>
      <c r="BK182" s="12">
        <f ca="1" t="shared" si="227"/>
        <v>3.75665001283802</v>
      </c>
      <c r="BL182" s="12">
        <f ca="1" t="shared" si="228"/>
        <v>0</v>
      </c>
      <c r="BM182" s="12">
        <f ca="1" t="shared" si="229"/>
        <v>0</v>
      </c>
      <c r="BN182" s="12">
        <f ca="1" t="shared" si="230"/>
        <v>0</v>
      </c>
      <c r="BO182" s="12">
        <f ca="1" t="shared" si="231"/>
        <v>0</v>
      </c>
    </row>
    <row r="183" spans="1:67">
      <c r="A183" s="3">
        <v>153</v>
      </c>
      <c r="B183" s="11">
        <f ca="1" t="shared" si="197"/>
        <v>0.119318453748042</v>
      </c>
      <c r="C183" s="12">
        <f ca="1" t="shared" si="198"/>
        <v>55.6439484582681</v>
      </c>
      <c r="D183" s="11">
        <f ca="1" t="shared" ref="D183:S183" si="255">RAND()</f>
        <v>0.0673202040897247</v>
      </c>
      <c r="E183" s="11">
        <f ca="1" t="shared" si="255"/>
        <v>0.701176334946291</v>
      </c>
      <c r="F183" s="11">
        <f ca="1" t="shared" si="255"/>
        <v>0.731287413365507</v>
      </c>
      <c r="G183" s="11">
        <f ca="1" t="shared" si="255"/>
        <v>0.536304049861206</v>
      </c>
      <c r="H183" s="11">
        <f ca="1" t="shared" si="255"/>
        <v>0.2353737304746</v>
      </c>
      <c r="I183" s="11">
        <f ca="1" t="shared" si="255"/>
        <v>0.532982356514981</v>
      </c>
      <c r="J183" s="11">
        <f ca="1" t="shared" si="255"/>
        <v>0.896475563606573</v>
      </c>
      <c r="K183" s="11">
        <f ca="1" t="shared" si="255"/>
        <v>0.436163286192033</v>
      </c>
      <c r="L183" s="11">
        <f ca="1" t="shared" si="255"/>
        <v>0.358514257716156</v>
      </c>
      <c r="M183" s="11">
        <f ca="1" t="shared" si="255"/>
        <v>0.396272950117793</v>
      </c>
      <c r="N183" s="11">
        <f ca="1" t="shared" si="255"/>
        <v>0.768154745387341</v>
      </c>
      <c r="O183" s="11">
        <f ca="1" t="shared" si="255"/>
        <v>0.286335014788912</v>
      </c>
      <c r="P183" s="11">
        <f ca="1" t="shared" si="255"/>
        <v>0.502677472647975</v>
      </c>
      <c r="Q183" s="11">
        <f ca="1" t="shared" si="255"/>
        <v>0.403976219105298</v>
      </c>
      <c r="R183" s="11">
        <f ca="1" t="shared" si="255"/>
        <v>0.75157151879214</v>
      </c>
      <c r="S183" s="11">
        <f ca="1" t="shared" si="255"/>
        <v>0.68212244197975</v>
      </c>
      <c r="T183" s="12">
        <f ca="1" t="shared" si="200"/>
        <v>4.11220034014954</v>
      </c>
      <c r="U183" s="12">
        <f ca="1" t="shared" si="201"/>
        <v>5.00294083736573</v>
      </c>
      <c r="V183" s="12">
        <f ca="1" t="shared" si="202"/>
        <v>5.07821853341377</v>
      </c>
      <c r="W183" s="12">
        <f ca="1" t="shared" si="203"/>
        <v>4.79538006232651</v>
      </c>
      <c r="X183" s="12">
        <f ca="1" t="shared" si="204"/>
        <v>4.392289550791</v>
      </c>
      <c r="Y183" s="12">
        <f ca="1" t="shared" si="205"/>
        <v>4.79122794564373</v>
      </c>
      <c r="Z183" s="12">
        <f ca="1" t="shared" si="206"/>
        <v>5.49118890901643</v>
      </c>
      <c r="AA183" s="12">
        <f ca="1" t="shared" si="207"/>
        <v>4.67020410774004</v>
      </c>
      <c r="AB183" s="12">
        <f ca="1" t="shared" si="208"/>
        <v>4.57314282214519</v>
      </c>
      <c r="AC183" s="12">
        <f ca="1" t="shared" si="209"/>
        <v>4.62034118764724</v>
      </c>
      <c r="AD183" s="12">
        <f ca="1" t="shared" si="210"/>
        <v>5.17038686346835</v>
      </c>
      <c r="AE183" s="12">
        <f ca="1" t="shared" si="211"/>
        <v>4.47722502464819</v>
      </c>
      <c r="AF183" s="12">
        <f ca="1" t="shared" si="212"/>
        <v>4.75334684080997</v>
      </c>
      <c r="AG183" s="12">
        <f ca="1" t="shared" si="213"/>
        <v>4.62997027388162</v>
      </c>
      <c r="AH183" s="12">
        <f ca="1" t="shared" si="214"/>
        <v>5.12892879698035</v>
      </c>
      <c r="AI183" s="12">
        <f ca="1" t="shared" si="215"/>
        <v>4.97765305247469</v>
      </c>
      <c r="AJ183" s="12">
        <f ca="1">SUM($T183:T183)</f>
        <v>4.11220034014954</v>
      </c>
      <c r="AK183" s="12">
        <f ca="1">SUM($T183:U183)</f>
        <v>9.11514117751527</v>
      </c>
      <c r="AL183" s="12">
        <f ca="1">SUM($T183:V183)</f>
        <v>14.193359710929</v>
      </c>
      <c r="AM183" s="12">
        <f ca="1">SUM($T183:W183)</f>
        <v>18.9887397732555</v>
      </c>
      <c r="AN183" s="12">
        <f ca="1">SUM($T183:X183)</f>
        <v>23.3810293240465</v>
      </c>
      <c r="AO183" s="12">
        <f ca="1">SUM($T183:Y183)</f>
        <v>28.1722572696903</v>
      </c>
      <c r="AP183" s="12">
        <f ca="1">SUM($T183:Z183)</f>
        <v>33.6634461787067</v>
      </c>
      <c r="AQ183" s="12">
        <f ca="1">SUM($T183:AA183)</f>
        <v>38.3336502864467</v>
      </c>
      <c r="AR183" s="12">
        <f ca="1">SUM($T183:AB183)</f>
        <v>42.9067931085919</v>
      </c>
      <c r="AS183" s="12">
        <f ca="1">SUM($T183:AC183)</f>
        <v>47.5271342962392</v>
      </c>
      <c r="AT183" s="12">
        <f ca="1">SUM($T183:AD183)</f>
        <v>52.6975211597075</v>
      </c>
      <c r="AU183" s="12">
        <f ca="1">SUM($T183:AE183)</f>
        <v>57.1747461843557</v>
      </c>
      <c r="AV183" s="12">
        <f ca="1">SUM($T183:AF183)</f>
        <v>61.9280930251657</v>
      </c>
      <c r="AW183" s="12">
        <f ca="1">SUM($T183:AG183)</f>
        <v>66.5580632990473</v>
      </c>
      <c r="AX183" s="12">
        <f ca="1">SUM($T183:AH183)</f>
        <v>71.6869920960277</v>
      </c>
      <c r="AY183" s="12">
        <f ca="1">SUM($T183:AI183)</f>
        <v>76.6646451485023</v>
      </c>
      <c r="AZ183" s="12">
        <f ca="1" t="shared" si="216"/>
        <v>51.5317481181185</v>
      </c>
      <c r="BA183" s="12">
        <f ca="1" t="shared" si="217"/>
        <v>46.5288072807528</v>
      </c>
      <c r="BB183" s="12">
        <f ca="1" t="shared" si="218"/>
        <v>41.450588747339</v>
      </c>
      <c r="BC183" s="12">
        <f ca="1" t="shared" si="219"/>
        <v>36.6552086850125</v>
      </c>
      <c r="BD183" s="12">
        <f ca="1" t="shared" si="220"/>
        <v>32.2629191342215</v>
      </c>
      <c r="BE183" s="12">
        <f ca="1" t="shared" si="221"/>
        <v>27.4716911885778</v>
      </c>
      <c r="BF183" s="12">
        <f ca="1" t="shared" si="222"/>
        <v>21.9805022795614</v>
      </c>
      <c r="BG183" s="12">
        <f ca="1" t="shared" si="223"/>
        <v>17.3102981718213</v>
      </c>
      <c r="BH183" s="12">
        <f ca="1" t="shared" si="224"/>
        <v>12.7371553496761</v>
      </c>
      <c r="BI183" s="12">
        <f ca="1" t="shared" si="225"/>
        <v>8.1168141620289</v>
      </c>
      <c r="BJ183" s="12">
        <f ca="1" t="shared" si="226"/>
        <v>2.94642729856055</v>
      </c>
      <c r="BK183" s="12">
        <f ca="1" t="shared" si="227"/>
        <v>0</v>
      </c>
      <c r="BL183" s="12">
        <f ca="1" t="shared" si="228"/>
        <v>0</v>
      </c>
      <c r="BM183" s="12">
        <f ca="1" t="shared" si="229"/>
        <v>0</v>
      </c>
      <c r="BN183" s="12">
        <f ca="1" t="shared" si="230"/>
        <v>0</v>
      </c>
      <c r="BO183" s="12">
        <f ca="1" t="shared" si="231"/>
        <v>0</v>
      </c>
    </row>
    <row r="184" spans="1:67">
      <c r="A184" s="3">
        <v>154</v>
      </c>
      <c r="B184" s="11">
        <f ca="1" t="shared" si="197"/>
        <v>0.0579677462607791</v>
      </c>
      <c r="C184" s="12">
        <f ca="1" t="shared" si="198"/>
        <v>52.898387313039</v>
      </c>
      <c r="D184" s="11">
        <f ca="1" t="shared" ref="D184:S184" si="256">RAND()</f>
        <v>0.283402566113574</v>
      </c>
      <c r="E184" s="11">
        <f ca="1" t="shared" si="256"/>
        <v>0.0827145559940829</v>
      </c>
      <c r="F184" s="11">
        <f ca="1" t="shared" si="256"/>
        <v>0.224287139259137</v>
      </c>
      <c r="G184" s="11">
        <f ca="1" t="shared" si="256"/>
        <v>0.584684766062953</v>
      </c>
      <c r="H184" s="11">
        <f ca="1" t="shared" si="256"/>
        <v>0.307314290714487</v>
      </c>
      <c r="I184" s="11">
        <f ca="1" t="shared" si="256"/>
        <v>0.906268541677469</v>
      </c>
      <c r="J184" s="11">
        <f ca="1" t="shared" si="256"/>
        <v>0.701199895934048</v>
      </c>
      <c r="K184" s="11">
        <f ca="1" t="shared" si="256"/>
        <v>0.566637104599502</v>
      </c>
      <c r="L184" s="11">
        <f ca="1" t="shared" si="256"/>
        <v>0.626274900192578</v>
      </c>
      <c r="M184" s="11">
        <f ca="1" t="shared" si="256"/>
        <v>0.106462289647033</v>
      </c>
      <c r="N184" s="11">
        <f ca="1" t="shared" si="256"/>
        <v>0.106474436032449</v>
      </c>
      <c r="O184" s="11">
        <f ca="1" t="shared" si="256"/>
        <v>0.973533081618738</v>
      </c>
      <c r="P184" s="11">
        <f ca="1" t="shared" si="256"/>
        <v>0.87036369827335</v>
      </c>
      <c r="Q184" s="11">
        <f ca="1" t="shared" si="256"/>
        <v>0.27858088539262</v>
      </c>
      <c r="R184" s="11">
        <f ca="1" t="shared" si="256"/>
        <v>0.832846871559833</v>
      </c>
      <c r="S184" s="11">
        <f ca="1" t="shared" si="256"/>
        <v>0.291123830344597</v>
      </c>
      <c r="T184" s="12">
        <f ca="1" t="shared" si="200"/>
        <v>4.47233761018929</v>
      </c>
      <c r="U184" s="12">
        <f ca="1" t="shared" si="201"/>
        <v>4.13785759332347</v>
      </c>
      <c r="V184" s="12">
        <f ca="1" t="shared" si="202"/>
        <v>4.37381189876523</v>
      </c>
      <c r="W184" s="12">
        <f ca="1" t="shared" si="203"/>
        <v>4.85585595757869</v>
      </c>
      <c r="X184" s="12">
        <f ca="1" t="shared" si="204"/>
        <v>4.50914286339311</v>
      </c>
      <c r="Y184" s="12">
        <f ca="1" t="shared" si="205"/>
        <v>5.53134270838735</v>
      </c>
      <c r="Z184" s="12">
        <f ca="1" t="shared" si="206"/>
        <v>5.00299973983512</v>
      </c>
      <c r="AA184" s="12">
        <f ca="1" t="shared" si="207"/>
        <v>4.83329638074938</v>
      </c>
      <c r="AB184" s="12">
        <f ca="1" t="shared" si="208"/>
        <v>4.90784362524072</v>
      </c>
      <c r="AC184" s="12">
        <f ca="1" t="shared" si="209"/>
        <v>4.17743714941172</v>
      </c>
      <c r="AD184" s="12">
        <f ca="1" t="shared" si="210"/>
        <v>4.17745739338741</v>
      </c>
      <c r="AE184" s="12">
        <f ca="1" t="shared" si="211"/>
        <v>5.86766540809369</v>
      </c>
      <c r="AF184" s="12">
        <f ca="1" t="shared" si="212"/>
        <v>5.42590924568337</v>
      </c>
      <c r="AG184" s="12">
        <f ca="1" t="shared" si="213"/>
        <v>4.46430147565437</v>
      </c>
      <c r="AH184" s="12">
        <f ca="1" t="shared" si="214"/>
        <v>5.33211717889958</v>
      </c>
      <c r="AI184" s="12">
        <f ca="1" t="shared" si="215"/>
        <v>4.48520638390766</v>
      </c>
      <c r="AJ184" s="12">
        <f ca="1">SUM($T184:T184)</f>
        <v>4.47233761018929</v>
      </c>
      <c r="AK184" s="12">
        <f ca="1">SUM($T184:U184)</f>
        <v>8.61019520351276</v>
      </c>
      <c r="AL184" s="12">
        <f ca="1">SUM($T184:V184)</f>
        <v>12.984007102278</v>
      </c>
      <c r="AM184" s="12">
        <f ca="1">SUM($T184:W184)</f>
        <v>17.8398630598567</v>
      </c>
      <c r="AN184" s="12">
        <f ca="1">SUM($T184:X184)</f>
        <v>22.3490059232498</v>
      </c>
      <c r="AO184" s="12">
        <f ca="1">SUM($T184:Y184)</f>
        <v>27.8803486316371</v>
      </c>
      <c r="AP184" s="12">
        <f ca="1">SUM($T184:Z184)</f>
        <v>32.8833483714723</v>
      </c>
      <c r="AQ184" s="12">
        <f ca="1">SUM($T184:AA184)</f>
        <v>37.7166447522216</v>
      </c>
      <c r="AR184" s="12">
        <f ca="1">SUM($T184:AB184)</f>
        <v>42.6244883774623</v>
      </c>
      <c r="AS184" s="12">
        <f ca="1">SUM($T184:AC184)</f>
        <v>46.8019255268741</v>
      </c>
      <c r="AT184" s="12">
        <f ca="1">SUM($T184:AD184)</f>
        <v>50.9793829202615</v>
      </c>
      <c r="AU184" s="12">
        <f ca="1">SUM($T184:AE184)</f>
        <v>56.8470483283552</v>
      </c>
      <c r="AV184" s="12">
        <f ca="1">SUM($T184:AF184)</f>
        <v>62.2729575740386</v>
      </c>
      <c r="AW184" s="12">
        <f ca="1">SUM($T184:AG184)</f>
        <v>66.7372590496929</v>
      </c>
      <c r="AX184" s="12">
        <f ca="1">SUM($T184:AH184)</f>
        <v>72.0693762285925</v>
      </c>
      <c r="AY184" s="12">
        <f ca="1">SUM($T184:AI184)</f>
        <v>76.5545826125002</v>
      </c>
      <c r="AZ184" s="12">
        <f ca="1" t="shared" si="216"/>
        <v>48.4260497028497</v>
      </c>
      <c r="BA184" s="12">
        <f ca="1" t="shared" si="217"/>
        <v>44.2881921095262</v>
      </c>
      <c r="BB184" s="12">
        <f ca="1" t="shared" si="218"/>
        <v>39.914380210761</v>
      </c>
      <c r="BC184" s="12">
        <f ca="1" t="shared" si="219"/>
        <v>35.0585242531823</v>
      </c>
      <c r="BD184" s="12">
        <f ca="1" t="shared" si="220"/>
        <v>30.5493813897892</v>
      </c>
      <c r="BE184" s="12">
        <f ca="1" t="shared" si="221"/>
        <v>25.0180386814018</v>
      </c>
      <c r="BF184" s="12">
        <f ca="1" t="shared" si="222"/>
        <v>20.0150389415667</v>
      </c>
      <c r="BG184" s="12">
        <f ca="1" t="shared" si="223"/>
        <v>15.1817425608173</v>
      </c>
      <c r="BH184" s="12">
        <f ca="1" t="shared" si="224"/>
        <v>10.2738989355766</v>
      </c>
      <c r="BI184" s="12">
        <f ca="1" t="shared" si="225"/>
        <v>6.09646178616488</v>
      </c>
      <c r="BJ184" s="12">
        <f ca="1" t="shared" si="226"/>
        <v>1.91900439277747</v>
      </c>
      <c r="BK184" s="12">
        <f ca="1" t="shared" si="227"/>
        <v>0</v>
      </c>
      <c r="BL184" s="12">
        <f ca="1" t="shared" si="228"/>
        <v>0</v>
      </c>
      <c r="BM184" s="12">
        <f ca="1" t="shared" si="229"/>
        <v>0</v>
      </c>
      <c r="BN184" s="12">
        <f ca="1" t="shared" si="230"/>
        <v>0</v>
      </c>
      <c r="BO184" s="12">
        <f ca="1" t="shared" si="231"/>
        <v>0</v>
      </c>
    </row>
    <row r="185" spans="1:67">
      <c r="A185" s="3">
        <v>155</v>
      </c>
      <c r="B185" s="11">
        <f ca="1" t="shared" si="197"/>
        <v>0.628188903107394</v>
      </c>
      <c r="C185" s="12">
        <f ca="1" t="shared" si="198"/>
        <v>66.1169843301056</v>
      </c>
      <c r="D185" s="11">
        <f ca="1" t="shared" ref="D185:S185" si="257">RAND()</f>
        <v>0.325577115771166</v>
      </c>
      <c r="E185" s="11">
        <f ca="1" t="shared" si="257"/>
        <v>0.870387501246723</v>
      </c>
      <c r="F185" s="11">
        <f ca="1" t="shared" si="257"/>
        <v>0.478069969754155</v>
      </c>
      <c r="G185" s="11">
        <f ca="1" t="shared" si="257"/>
        <v>0.591871793384118</v>
      </c>
      <c r="H185" s="11">
        <f ca="1" t="shared" si="257"/>
        <v>0.968651930466259</v>
      </c>
      <c r="I185" s="11">
        <f ca="1" t="shared" si="257"/>
        <v>0.260686298425275</v>
      </c>
      <c r="J185" s="11">
        <f ca="1" t="shared" si="257"/>
        <v>0.991731029460585</v>
      </c>
      <c r="K185" s="11">
        <f ca="1" t="shared" si="257"/>
        <v>0.591863096411973</v>
      </c>
      <c r="L185" s="11">
        <f ca="1" t="shared" si="257"/>
        <v>0.891471868368933</v>
      </c>
      <c r="M185" s="11">
        <f ca="1" t="shared" si="257"/>
        <v>0.258216640692517</v>
      </c>
      <c r="N185" s="11">
        <f ca="1" t="shared" si="257"/>
        <v>0.384308359015725</v>
      </c>
      <c r="O185" s="11">
        <f ca="1" t="shared" si="257"/>
        <v>0.331648393437369</v>
      </c>
      <c r="P185" s="11">
        <f ca="1" t="shared" si="257"/>
        <v>0.605082295544706</v>
      </c>
      <c r="Q185" s="11">
        <f ca="1" t="shared" si="257"/>
        <v>0.165063202900209</v>
      </c>
      <c r="R185" s="11">
        <f ca="1" t="shared" si="257"/>
        <v>0.452575897322119</v>
      </c>
      <c r="S185" s="11">
        <f ca="1" t="shared" si="257"/>
        <v>0.99989063221015</v>
      </c>
      <c r="T185" s="12">
        <f ca="1" t="shared" si="200"/>
        <v>4.53197139471396</v>
      </c>
      <c r="U185" s="12">
        <f ca="1" t="shared" si="201"/>
        <v>5.42596875311681</v>
      </c>
      <c r="V185" s="12">
        <f ca="1" t="shared" si="202"/>
        <v>4.72258746219269</v>
      </c>
      <c r="W185" s="12">
        <f ca="1" t="shared" si="203"/>
        <v>4.86483974173015</v>
      </c>
      <c r="X185" s="12">
        <f ca="1" t="shared" si="204"/>
        <v>5.8432596523313</v>
      </c>
      <c r="Y185" s="12">
        <f ca="1" t="shared" si="205"/>
        <v>4.43447716404212</v>
      </c>
      <c r="Z185" s="12">
        <f ca="1" t="shared" si="206"/>
        <v>5.95865514730293</v>
      </c>
      <c r="AA185" s="12">
        <f ca="1" t="shared" si="207"/>
        <v>4.86482887051497</v>
      </c>
      <c r="AB185" s="12">
        <f ca="1" t="shared" si="208"/>
        <v>5.47867967092233</v>
      </c>
      <c r="AC185" s="12">
        <f ca="1" t="shared" si="209"/>
        <v>4.43036106782086</v>
      </c>
      <c r="AD185" s="12">
        <f ca="1" t="shared" si="210"/>
        <v>4.60538544876966</v>
      </c>
      <c r="AE185" s="12">
        <f ca="1" t="shared" si="211"/>
        <v>4.53956049179671</v>
      </c>
      <c r="AF185" s="12">
        <f ca="1" t="shared" si="212"/>
        <v>4.88135286943088</v>
      </c>
      <c r="AG185" s="12">
        <f ca="1" t="shared" si="213"/>
        <v>4.27510533816701</v>
      </c>
      <c r="AH185" s="12">
        <f ca="1" t="shared" si="214"/>
        <v>4.69071987165265</v>
      </c>
      <c r="AI185" s="12">
        <f ca="1" t="shared" si="215"/>
        <v>5.99945316105075</v>
      </c>
      <c r="AJ185" s="12">
        <f ca="1">SUM($T185:T185)</f>
        <v>4.53197139471396</v>
      </c>
      <c r="AK185" s="12">
        <f ca="1">SUM($T185:U185)</f>
        <v>9.95794014783077</v>
      </c>
      <c r="AL185" s="12">
        <f ca="1">SUM($T185:V185)</f>
        <v>14.6805276100235</v>
      </c>
      <c r="AM185" s="12">
        <f ca="1">SUM($T185:W185)</f>
        <v>19.5453673517536</v>
      </c>
      <c r="AN185" s="12">
        <f ca="1">SUM($T185:X185)</f>
        <v>25.3886270040849</v>
      </c>
      <c r="AO185" s="12">
        <f ca="1">SUM($T185:Y185)</f>
        <v>29.823104168127</v>
      </c>
      <c r="AP185" s="12">
        <f ca="1">SUM($T185:Z185)</f>
        <v>35.78175931543</v>
      </c>
      <c r="AQ185" s="12">
        <f ca="1">SUM($T185:AA185)</f>
        <v>40.6465881859449</v>
      </c>
      <c r="AR185" s="12">
        <f ca="1">SUM($T185:AB185)</f>
        <v>46.1252678568673</v>
      </c>
      <c r="AS185" s="12">
        <f ca="1">SUM($T185:AC185)</f>
        <v>50.5556289246881</v>
      </c>
      <c r="AT185" s="12">
        <f ca="1">SUM($T185:AD185)</f>
        <v>55.1610143734578</v>
      </c>
      <c r="AU185" s="12">
        <f ca="1">SUM($T185:AE185)</f>
        <v>59.7005748652545</v>
      </c>
      <c r="AV185" s="12">
        <f ca="1">SUM($T185:AF185)</f>
        <v>64.5819277346854</v>
      </c>
      <c r="AW185" s="12">
        <f ca="1">SUM($T185:AG185)</f>
        <v>68.8570330728524</v>
      </c>
      <c r="AX185" s="12">
        <f ca="1">SUM($T185:AH185)</f>
        <v>73.547752944505</v>
      </c>
      <c r="AY185" s="12">
        <f ca="1">SUM($T185:AI185)</f>
        <v>79.5472061055558</v>
      </c>
      <c r="AZ185" s="12">
        <f ca="1" t="shared" si="216"/>
        <v>61.5850129353917</v>
      </c>
      <c r="BA185" s="12">
        <f ca="1" t="shared" si="217"/>
        <v>56.1590441822749</v>
      </c>
      <c r="BB185" s="12">
        <f ca="1" t="shared" si="218"/>
        <v>51.4364567200822</v>
      </c>
      <c r="BC185" s="12">
        <f ca="1" t="shared" si="219"/>
        <v>46.571616978352</v>
      </c>
      <c r="BD185" s="12">
        <f ca="1" t="shared" si="220"/>
        <v>40.7283573260207</v>
      </c>
      <c r="BE185" s="12">
        <f ca="1" t="shared" si="221"/>
        <v>36.2938801619786</v>
      </c>
      <c r="BF185" s="12">
        <f ca="1" t="shared" si="222"/>
        <v>30.3352250146757</v>
      </c>
      <c r="BG185" s="12">
        <f ca="1" t="shared" si="223"/>
        <v>25.4703961441607</v>
      </c>
      <c r="BH185" s="12">
        <f ca="1" t="shared" si="224"/>
        <v>19.9917164732384</v>
      </c>
      <c r="BI185" s="12">
        <f ca="1" t="shared" si="225"/>
        <v>15.5613554054175</v>
      </c>
      <c r="BJ185" s="12">
        <f ca="1" t="shared" si="226"/>
        <v>10.9559699566479</v>
      </c>
      <c r="BK185" s="12">
        <f ca="1" t="shared" si="227"/>
        <v>6.41640946485115</v>
      </c>
      <c r="BL185" s="12">
        <f ca="1" t="shared" si="228"/>
        <v>1.53505659542027</v>
      </c>
      <c r="BM185" s="12">
        <f ca="1" t="shared" si="229"/>
        <v>0</v>
      </c>
      <c r="BN185" s="12">
        <f ca="1" t="shared" si="230"/>
        <v>0</v>
      </c>
      <c r="BO185" s="12">
        <f ca="1" t="shared" si="231"/>
        <v>0</v>
      </c>
    </row>
    <row r="186" spans="1:67">
      <c r="A186" s="3">
        <v>156</v>
      </c>
      <c r="B186" s="11">
        <f ca="1" t="shared" si="197"/>
        <v>0.277883901864789</v>
      </c>
      <c r="C186" s="12">
        <f ca="1" t="shared" si="198"/>
        <v>60.4647316977465</v>
      </c>
      <c r="D186" s="11">
        <f ca="1" t="shared" ref="D186:S186" si="258">RAND()</f>
        <v>0.743074505003691</v>
      </c>
      <c r="E186" s="11">
        <f ca="1" t="shared" si="258"/>
        <v>0.993901089966277</v>
      </c>
      <c r="F186" s="11">
        <f ca="1" t="shared" si="258"/>
        <v>0.630590586294739</v>
      </c>
      <c r="G186" s="11">
        <f ca="1" t="shared" si="258"/>
        <v>0.437974332583911</v>
      </c>
      <c r="H186" s="11">
        <f ca="1" t="shared" si="258"/>
        <v>0.453767210661655</v>
      </c>
      <c r="I186" s="11">
        <f ca="1" t="shared" si="258"/>
        <v>0.358708356640081</v>
      </c>
      <c r="J186" s="11">
        <f ca="1" t="shared" si="258"/>
        <v>0.606227871279468</v>
      </c>
      <c r="K186" s="11">
        <f ca="1" t="shared" si="258"/>
        <v>0.505742391513161</v>
      </c>
      <c r="L186" s="11">
        <f ca="1" t="shared" si="258"/>
        <v>0.0446727354548513</v>
      </c>
      <c r="M186" s="11">
        <f ca="1" t="shared" si="258"/>
        <v>0.139138907774544</v>
      </c>
      <c r="N186" s="11">
        <f ca="1" t="shared" si="258"/>
        <v>0.0311543195392783</v>
      </c>
      <c r="O186" s="11">
        <f ca="1" t="shared" si="258"/>
        <v>0.777632437232906</v>
      </c>
      <c r="P186" s="11">
        <f ca="1" t="shared" si="258"/>
        <v>0.162182007227708</v>
      </c>
      <c r="Q186" s="11">
        <f ca="1" t="shared" si="258"/>
        <v>0.256642938723298</v>
      </c>
      <c r="R186" s="11">
        <f ca="1" t="shared" si="258"/>
        <v>0.987999600668164</v>
      </c>
      <c r="S186" s="11">
        <f ca="1" t="shared" si="258"/>
        <v>0.666497669423657</v>
      </c>
      <c r="T186" s="12">
        <f ca="1" t="shared" si="200"/>
        <v>5.10768626250923</v>
      </c>
      <c r="U186" s="12">
        <f ca="1" t="shared" si="201"/>
        <v>5.96950544983139</v>
      </c>
      <c r="V186" s="12">
        <f ca="1" t="shared" si="202"/>
        <v>4.91323823286842</v>
      </c>
      <c r="W186" s="12">
        <f ca="1" t="shared" si="203"/>
        <v>4.67246791572989</v>
      </c>
      <c r="X186" s="12">
        <f ca="1" t="shared" si="204"/>
        <v>4.69220901332707</v>
      </c>
      <c r="Y186" s="12">
        <f ca="1" t="shared" si="205"/>
        <v>4.5733854458001</v>
      </c>
      <c r="Z186" s="12">
        <f ca="1" t="shared" si="206"/>
        <v>4.88278483909933</v>
      </c>
      <c r="AA186" s="12">
        <f ca="1" t="shared" si="207"/>
        <v>4.75717798939145</v>
      </c>
      <c r="AB186" s="12">
        <f ca="1" t="shared" si="208"/>
        <v>4.07445455909142</v>
      </c>
      <c r="AC186" s="12">
        <f ca="1" t="shared" si="209"/>
        <v>4.23189817962424</v>
      </c>
      <c r="AD186" s="12">
        <f ca="1" t="shared" si="210"/>
        <v>4.0519238658988</v>
      </c>
      <c r="AE186" s="12">
        <f ca="1" t="shared" si="211"/>
        <v>5.19408109308226</v>
      </c>
      <c r="AF186" s="12">
        <f ca="1" t="shared" si="212"/>
        <v>4.27030334537951</v>
      </c>
      <c r="AG186" s="12">
        <f ca="1" t="shared" si="213"/>
        <v>4.4277382312055</v>
      </c>
      <c r="AH186" s="12">
        <f ca="1" t="shared" si="214"/>
        <v>5.93999800334082</v>
      </c>
      <c r="AI186" s="12">
        <f ca="1" t="shared" si="215"/>
        <v>4.95812208677957</v>
      </c>
      <c r="AJ186" s="12">
        <f ca="1">SUM($T186:T186)</f>
        <v>5.10768626250923</v>
      </c>
      <c r="AK186" s="12">
        <f ca="1">SUM($T186:U186)</f>
        <v>11.0771917123406</v>
      </c>
      <c r="AL186" s="12">
        <f ca="1">SUM($T186:V186)</f>
        <v>15.990429945209</v>
      </c>
      <c r="AM186" s="12">
        <f ca="1">SUM($T186:W186)</f>
        <v>20.6628978609389</v>
      </c>
      <c r="AN186" s="12">
        <f ca="1">SUM($T186:X186)</f>
        <v>25.355106874266</v>
      </c>
      <c r="AO186" s="12">
        <f ca="1">SUM($T186:Y186)</f>
        <v>29.9284923200661</v>
      </c>
      <c r="AP186" s="12">
        <f ca="1">SUM($T186:Z186)</f>
        <v>34.8112771591654</v>
      </c>
      <c r="AQ186" s="12">
        <f ca="1">SUM($T186:AA186)</f>
        <v>39.5684551485569</v>
      </c>
      <c r="AR186" s="12">
        <f ca="1">SUM($T186:AB186)</f>
        <v>43.6429097076483</v>
      </c>
      <c r="AS186" s="12">
        <f ca="1">SUM($T186:AC186)</f>
        <v>47.8748078872725</v>
      </c>
      <c r="AT186" s="12">
        <f ca="1">SUM($T186:AD186)</f>
        <v>51.9267317531713</v>
      </c>
      <c r="AU186" s="12">
        <f ca="1">SUM($T186:AE186)</f>
        <v>57.1208128462536</v>
      </c>
      <c r="AV186" s="12">
        <f ca="1">SUM($T186:AF186)</f>
        <v>61.3911161916331</v>
      </c>
      <c r="AW186" s="12">
        <f ca="1">SUM($T186:AG186)</f>
        <v>65.8188544228386</v>
      </c>
      <c r="AX186" s="12">
        <f ca="1">SUM($T186:AH186)</f>
        <v>71.7588524261794</v>
      </c>
      <c r="AY186" s="12">
        <f ca="1">SUM($T186:AI186)</f>
        <v>76.716974512959</v>
      </c>
      <c r="AZ186" s="12">
        <f ca="1" t="shared" si="216"/>
        <v>55.3570454352373</v>
      </c>
      <c r="BA186" s="12">
        <f ca="1" t="shared" si="217"/>
        <v>49.3875399854059</v>
      </c>
      <c r="BB186" s="12">
        <f ca="1" t="shared" si="218"/>
        <v>44.4743017525374</v>
      </c>
      <c r="BC186" s="12">
        <f ca="1" t="shared" si="219"/>
        <v>39.8018338368076</v>
      </c>
      <c r="BD186" s="12">
        <f ca="1" t="shared" si="220"/>
        <v>35.1096248234805</v>
      </c>
      <c r="BE186" s="12">
        <f ca="1" t="shared" si="221"/>
        <v>30.5362393776804</v>
      </c>
      <c r="BF186" s="12">
        <f ca="1" t="shared" si="222"/>
        <v>25.6534545385811</v>
      </c>
      <c r="BG186" s="12">
        <f ca="1" t="shared" si="223"/>
        <v>20.8962765491896</v>
      </c>
      <c r="BH186" s="12">
        <f ca="1" t="shared" si="224"/>
        <v>16.8218219900982</v>
      </c>
      <c r="BI186" s="12">
        <f ca="1" t="shared" si="225"/>
        <v>12.5899238104739</v>
      </c>
      <c r="BJ186" s="12">
        <f ca="1" t="shared" si="226"/>
        <v>8.53799994457514</v>
      </c>
      <c r="BK186" s="12">
        <f ca="1" t="shared" si="227"/>
        <v>3.34391885149287</v>
      </c>
      <c r="BL186" s="12">
        <f ca="1" t="shared" si="228"/>
        <v>0</v>
      </c>
      <c r="BM186" s="12">
        <f ca="1" t="shared" si="229"/>
        <v>0</v>
      </c>
      <c r="BN186" s="12">
        <f ca="1" t="shared" si="230"/>
        <v>0</v>
      </c>
      <c r="BO186" s="12">
        <f ca="1" t="shared" si="231"/>
        <v>0</v>
      </c>
    </row>
    <row r="187" spans="1:67">
      <c r="A187" s="3">
        <v>157</v>
      </c>
      <c r="B187" s="11">
        <f ca="1" t="shared" si="197"/>
        <v>0.105078927072985</v>
      </c>
      <c r="C187" s="12">
        <f ca="1" t="shared" si="198"/>
        <v>55.1692975690995</v>
      </c>
      <c r="D187" s="11">
        <f ca="1" t="shared" ref="D187:S187" si="259">RAND()</f>
        <v>0.206929139899822</v>
      </c>
      <c r="E187" s="11">
        <f ca="1" t="shared" si="259"/>
        <v>0.789249563423751</v>
      </c>
      <c r="F187" s="11">
        <f ca="1" t="shared" si="259"/>
        <v>0.331647365926635</v>
      </c>
      <c r="G187" s="11">
        <f ca="1" t="shared" si="259"/>
        <v>0.996516465414214</v>
      </c>
      <c r="H187" s="11">
        <f ca="1" t="shared" si="259"/>
        <v>0.532746749081475</v>
      </c>
      <c r="I187" s="11">
        <f ca="1" t="shared" si="259"/>
        <v>0.0446775433912718</v>
      </c>
      <c r="J187" s="11">
        <f ca="1" t="shared" si="259"/>
        <v>0.875633101439159</v>
      </c>
      <c r="K187" s="11">
        <f ca="1" t="shared" si="259"/>
        <v>0.831254451359336</v>
      </c>
      <c r="L187" s="11">
        <f ca="1" t="shared" si="259"/>
        <v>0.140757016509167</v>
      </c>
      <c r="M187" s="11">
        <f ca="1" t="shared" si="259"/>
        <v>0.848906295750029</v>
      </c>
      <c r="N187" s="11">
        <f ca="1" t="shared" si="259"/>
        <v>0.256628783187689</v>
      </c>
      <c r="O187" s="11">
        <f ca="1" t="shared" si="259"/>
        <v>0.375583299581652</v>
      </c>
      <c r="P187" s="11">
        <f ca="1" t="shared" si="259"/>
        <v>0.560428572919943</v>
      </c>
      <c r="Q187" s="11">
        <f ca="1" t="shared" si="259"/>
        <v>0.374850398567023</v>
      </c>
      <c r="R187" s="11">
        <f ca="1" t="shared" si="259"/>
        <v>0.67116072476271</v>
      </c>
      <c r="S187" s="11">
        <f ca="1" t="shared" si="259"/>
        <v>0.206911174649159</v>
      </c>
      <c r="T187" s="12">
        <f ca="1" t="shared" si="200"/>
        <v>4.34488189983304</v>
      </c>
      <c r="U187" s="12">
        <f ca="1" t="shared" si="201"/>
        <v>5.22312390855938</v>
      </c>
      <c r="V187" s="12">
        <f ca="1" t="shared" si="202"/>
        <v>4.53955920740829</v>
      </c>
      <c r="W187" s="12">
        <f ca="1" t="shared" si="203"/>
        <v>5.98258232707107</v>
      </c>
      <c r="X187" s="12">
        <f ca="1" t="shared" si="204"/>
        <v>4.79093343635184</v>
      </c>
      <c r="Y187" s="12">
        <f ca="1" t="shared" si="205"/>
        <v>4.07446257231879</v>
      </c>
      <c r="Z187" s="12">
        <f ca="1" t="shared" si="206"/>
        <v>5.4390827535979</v>
      </c>
      <c r="AA187" s="12">
        <f ca="1" t="shared" si="207"/>
        <v>5.32813612839834</v>
      </c>
      <c r="AB187" s="12">
        <f ca="1" t="shared" si="208"/>
        <v>4.23459502751528</v>
      </c>
      <c r="AC187" s="12">
        <f ca="1" t="shared" si="209"/>
        <v>5.37226573937507</v>
      </c>
      <c r="AD187" s="12">
        <f ca="1" t="shared" si="210"/>
        <v>4.42771463864615</v>
      </c>
      <c r="AE187" s="12">
        <f ca="1" t="shared" si="211"/>
        <v>4.59447912447706</v>
      </c>
      <c r="AF187" s="12">
        <f ca="1" t="shared" si="212"/>
        <v>4.82553571614993</v>
      </c>
      <c r="AG187" s="12">
        <f ca="1" t="shared" si="213"/>
        <v>4.59356299820878</v>
      </c>
      <c r="AH187" s="12">
        <f ca="1" t="shared" si="214"/>
        <v>4.96395090595339</v>
      </c>
      <c r="AI187" s="12">
        <f ca="1" t="shared" si="215"/>
        <v>4.3448519577486</v>
      </c>
      <c r="AJ187" s="12">
        <f ca="1">SUM($T187:T187)</f>
        <v>4.34488189983304</v>
      </c>
      <c r="AK187" s="12">
        <f ca="1">SUM($T187:U187)</f>
        <v>9.56800580839241</v>
      </c>
      <c r="AL187" s="12">
        <f ca="1">SUM($T187:V187)</f>
        <v>14.1075650158007</v>
      </c>
      <c r="AM187" s="12">
        <f ca="1">SUM($T187:W187)</f>
        <v>20.0901473428718</v>
      </c>
      <c r="AN187" s="12">
        <f ca="1">SUM($T187:X187)</f>
        <v>24.8810807792236</v>
      </c>
      <c r="AO187" s="12">
        <f ca="1">SUM($T187:Y187)</f>
        <v>28.9555433515424</v>
      </c>
      <c r="AP187" s="12">
        <f ca="1">SUM($T187:Z187)</f>
        <v>34.3946261051403</v>
      </c>
      <c r="AQ187" s="12">
        <f ca="1">SUM($T187:AA187)</f>
        <v>39.7227622335386</v>
      </c>
      <c r="AR187" s="12">
        <f ca="1">SUM($T187:AB187)</f>
        <v>43.9573572610539</v>
      </c>
      <c r="AS187" s="12">
        <f ca="1">SUM($T187:AC187)</f>
        <v>49.329623000429</v>
      </c>
      <c r="AT187" s="12">
        <f ca="1">SUM($T187:AD187)</f>
        <v>53.7573376390751</v>
      </c>
      <c r="AU187" s="12">
        <f ca="1">SUM($T187:AE187)</f>
        <v>58.3518167635522</v>
      </c>
      <c r="AV187" s="12">
        <f ca="1">SUM($T187:AF187)</f>
        <v>63.1773524797021</v>
      </c>
      <c r="AW187" s="12">
        <f ca="1">SUM($T187:AG187)</f>
        <v>67.7709154779109</v>
      </c>
      <c r="AX187" s="12">
        <f ca="1">SUM($T187:AH187)</f>
        <v>72.7348663838643</v>
      </c>
      <c r="AY187" s="12">
        <f ca="1">SUM($T187:AI187)</f>
        <v>77.0797183416129</v>
      </c>
      <c r="AZ187" s="12">
        <f ca="1" t="shared" si="216"/>
        <v>50.8244156692665</v>
      </c>
      <c r="BA187" s="12">
        <f ca="1" t="shared" si="217"/>
        <v>45.6012917607071</v>
      </c>
      <c r="BB187" s="12">
        <f ca="1" t="shared" si="218"/>
        <v>41.0617325532988</v>
      </c>
      <c r="BC187" s="12">
        <f ca="1" t="shared" si="219"/>
        <v>35.0791502262277</v>
      </c>
      <c r="BD187" s="12">
        <f ca="1" t="shared" si="220"/>
        <v>30.2882167898759</v>
      </c>
      <c r="BE187" s="12">
        <f ca="1" t="shared" si="221"/>
        <v>26.2137542175571</v>
      </c>
      <c r="BF187" s="12">
        <f ca="1" t="shared" si="222"/>
        <v>20.7746714639592</v>
      </c>
      <c r="BG187" s="12">
        <f ca="1" t="shared" si="223"/>
        <v>15.4465353355609</v>
      </c>
      <c r="BH187" s="12">
        <f ca="1" t="shared" si="224"/>
        <v>11.2119403080456</v>
      </c>
      <c r="BI187" s="12">
        <f ca="1" t="shared" si="225"/>
        <v>5.8396745686705</v>
      </c>
      <c r="BJ187" s="12">
        <f ca="1" t="shared" si="226"/>
        <v>1.41195993002435</v>
      </c>
      <c r="BK187" s="12">
        <f ca="1" t="shared" si="227"/>
        <v>0</v>
      </c>
      <c r="BL187" s="12">
        <f ca="1" t="shared" si="228"/>
        <v>0</v>
      </c>
      <c r="BM187" s="12">
        <f ca="1" t="shared" si="229"/>
        <v>0</v>
      </c>
      <c r="BN187" s="12">
        <f ca="1" t="shared" si="230"/>
        <v>0</v>
      </c>
      <c r="BO187" s="12">
        <f ca="1" t="shared" si="231"/>
        <v>0</v>
      </c>
    </row>
    <row r="188" spans="1:67">
      <c r="A188" s="3">
        <v>158</v>
      </c>
      <c r="B188" s="11">
        <f ca="1" t="shared" si="197"/>
        <v>0.999223217813803</v>
      </c>
      <c r="C188" s="12">
        <f ca="1" t="shared" si="198"/>
        <v>84.8058044534506</v>
      </c>
      <c r="D188" s="11">
        <f ca="1" t="shared" ref="D188:S188" si="260">RAND()</f>
        <v>0.113886099874869</v>
      </c>
      <c r="E188" s="11">
        <f ca="1" t="shared" si="260"/>
        <v>0.964373412787315</v>
      </c>
      <c r="F188" s="11">
        <f ca="1" t="shared" si="260"/>
        <v>0.959087285502951</v>
      </c>
      <c r="G188" s="11">
        <f ca="1" t="shared" si="260"/>
        <v>0.159789813857178</v>
      </c>
      <c r="H188" s="11">
        <f ca="1" t="shared" si="260"/>
        <v>0.751558478588073</v>
      </c>
      <c r="I188" s="11">
        <f ca="1" t="shared" si="260"/>
        <v>0.996493899857495</v>
      </c>
      <c r="J188" s="11">
        <f ca="1" t="shared" si="260"/>
        <v>0.0696795009745648</v>
      </c>
      <c r="K188" s="11">
        <f ca="1" t="shared" si="260"/>
        <v>0.875614088001309</v>
      </c>
      <c r="L188" s="11">
        <f ca="1" t="shared" si="260"/>
        <v>0.133665042472667</v>
      </c>
      <c r="M188" s="11">
        <f ca="1" t="shared" si="260"/>
        <v>0.462907577093361</v>
      </c>
      <c r="N188" s="11">
        <f ca="1" t="shared" si="260"/>
        <v>0.162377673105492</v>
      </c>
      <c r="O188" s="11">
        <f ca="1" t="shared" si="260"/>
        <v>0.119870968042105</v>
      </c>
      <c r="P188" s="11">
        <f ca="1" t="shared" si="260"/>
        <v>0.140771262210262</v>
      </c>
      <c r="Q188" s="11">
        <f ca="1" t="shared" si="260"/>
        <v>0.30732319162081</v>
      </c>
      <c r="R188" s="11">
        <f ca="1" t="shared" si="260"/>
        <v>0.186433283816041</v>
      </c>
      <c r="S188" s="11">
        <f ca="1" t="shared" si="260"/>
        <v>0.106350760103062</v>
      </c>
      <c r="T188" s="12">
        <f ca="1" t="shared" si="200"/>
        <v>4.18981016645812</v>
      </c>
      <c r="U188" s="12">
        <f ca="1" t="shared" si="201"/>
        <v>5.82186706393657</v>
      </c>
      <c r="V188" s="12">
        <f ca="1" t="shared" si="202"/>
        <v>5.79543642751476</v>
      </c>
      <c r="W188" s="12">
        <f ca="1" t="shared" si="203"/>
        <v>4.26631635642863</v>
      </c>
      <c r="X188" s="12">
        <f ca="1" t="shared" si="204"/>
        <v>5.12889619647018</v>
      </c>
      <c r="Y188" s="12">
        <f ca="1" t="shared" si="205"/>
        <v>5.98246949928748</v>
      </c>
      <c r="Z188" s="12">
        <f ca="1" t="shared" si="206"/>
        <v>4.11613250162427</v>
      </c>
      <c r="AA188" s="12">
        <f ca="1" t="shared" si="207"/>
        <v>5.43903522000327</v>
      </c>
      <c r="AB188" s="12">
        <f ca="1" t="shared" si="208"/>
        <v>4.22277507078778</v>
      </c>
      <c r="AC188" s="12">
        <f ca="1" t="shared" si="209"/>
        <v>4.7036344713667</v>
      </c>
      <c r="AD188" s="12">
        <f ca="1" t="shared" si="210"/>
        <v>4.27062945517582</v>
      </c>
      <c r="AE188" s="12">
        <f ca="1" t="shared" si="211"/>
        <v>4.19978494673684</v>
      </c>
      <c r="AF188" s="12">
        <f ca="1" t="shared" si="212"/>
        <v>4.23461877035044</v>
      </c>
      <c r="AG188" s="12">
        <f ca="1" t="shared" si="213"/>
        <v>4.50915398952601</v>
      </c>
      <c r="AH188" s="12">
        <f ca="1" t="shared" si="214"/>
        <v>4.3107221396934</v>
      </c>
      <c r="AI188" s="12">
        <f ca="1" t="shared" si="215"/>
        <v>4.17725126683844</v>
      </c>
      <c r="AJ188" s="12">
        <f ca="1">SUM($T188:T188)</f>
        <v>4.18981016645812</v>
      </c>
      <c r="AK188" s="12">
        <f ca="1">SUM($T188:U188)</f>
        <v>10.0116772303947</v>
      </c>
      <c r="AL188" s="12">
        <f ca="1">SUM($T188:V188)</f>
        <v>15.8071136579094</v>
      </c>
      <c r="AM188" s="12">
        <f ca="1">SUM($T188:W188)</f>
        <v>20.0734300143381</v>
      </c>
      <c r="AN188" s="12">
        <f ca="1">SUM($T188:X188)</f>
        <v>25.2023262108083</v>
      </c>
      <c r="AO188" s="12">
        <f ca="1">SUM($T188:Y188)</f>
        <v>31.1847957100957</v>
      </c>
      <c r="AP188" s="12">
        <f ca="1">SUM($T188:Z188)</f>
        <v>35.30092821172</v>
      </c>
      <c r="AQ188" s="12">
        <f ca="1">SUM($T188:AA188)</f>
        <v>40.7399634317233</v>
      </c>
      <c r="AR188" s="12">
        <f ca="1">SUM($T188:AB188)</f>
        <v>44.9627385025111</v>
      </c>
      <c r="AS188" s="12">
        <f ca="1">SUM($T188:AC188)</f>
        <v>49.6663729738778</v>
      </c>
      <c r="AT188" s="12">
        <f ca="1">SUM($T188:AD188)</f>
        <v>53.9370024290536</v>
      </c>
      <c r="AU188" s="12">
        <f ca="1">SUM($T188:AE188)</f>
        <v>58.1367873757904</v>
      </c>
      <c r="AV188" s="12">
        <f ca="1">SUM($T188:AF188)</f>
        <v>62.3714061461409</v>
      </c>
      <c r="AW188" s="12">
        <f ca="1">SUM($T188:AG188)</f>
        <v>66.8805601356669</v>
      </c>
      <c r="AX188" s="12">
        <f ca="1">SUM($T188:AH188)</f>
        <v>71.1912822753603</v>
      </c>
      <c r="AY188" s="12">
        <f ca="1">SUM($T188:AI188)</f>
        <v>75.3685335421987</v>
      </c>
      <c r="AZ188" s="12">
        <f ca="1" t="shared" si="216"/>
        <v>80.6159942869925</v>
      </c>
      <c r="BA188" s="12">
        <f ca="1" t="shared" si="217"/>
        <v>74.7941272230559</v>
      </c>
      <c r="BB188" s="12">
        <f ca="1" t="shared" si="218"/>
        <v>68.9986907955412</v>
      </c>
      <c r="BC188" s="12">
        <f ca="1" t="shared" si="219"/>
        <v>64.7323744391126</v>
      </c>
      <c r="BD188" s="12">
        <f ca="1" t="shared" si="220"/>
        <v>59.6034782426424</v>
      </c>
      <c r="BE188" s="12">
        <f ca="1" t="shared" si="221"/>
        <v>53.6210087433549</v>
      </c>
      <c r="BF188" s="12">
        <f ca="1" t="shared" si="222"/>
        <v>49.5048762417306</v>
      </c>
      <c r="BG188" s="12">
        <f ca="1" t="shared" si="223"/>
        <v>44.0658410217274</v>
      </c>
      <c r="BH188" s="12">
        <f ca="1" t="shared" si="224"/>
        <v>39.8430659509396</v>
      </c>
      <c r="BI188" s="12">
        <f ca="1" t="shared" si="225"/>
        <v>35.1394314795729</v>
      </c>
      <c r="BJ188" s="12">
        <f ca="1" t="shared" si="226"/>
        <v>30.868802024397</v>
      </c>
      <c r="BK188" s="12">
        <f ca="1" t="shared" si="227"/>
        <v>26.6690170776602</v>
      </c>
      <c r="BL188" s="12">
        <f ca="1" t="shared" si="228"/>
        <v>22.4343983073098</v>
      </c>
      <c r="BM188" s="12">
        <f ca="1" t="shared" si="229"/>
        <v>17.9252443177838</v>
      </c>
      <c r="BN188" s="12">
        <f ca="1" t="shared" si="230"/>
        <v>13.6145221780904</v>
      </c>
      <c r="BO188" s="12">
        <f ca="1" t="shared" si="231"/>
        <v>9.43727091125191</v>
      </c>
    </row>
    <row r="189" spans="1:67">
      <c r="A189" s="3">
        <v>159</v>
      </c>
      <c r="B189" s="11">
        <f ca="1" t="shared" si="197"/>
        <v>0.0804898978424378</v>
      </c>
      <c r="C189" s="12">
        <f ca="1" t="shared" si="198"/>
        <v>54.0244948921219</v>
      </c>
      <c r="D189" s="11">
        <f ca="1" t="shared" ref="D189:S189" si="261">RAND()</f>
        <v>0.535943458509414</v>
      </c>
      <c r="E189" s="11">
        <f ca="1" t="shared" si="261"/>
        <v>0.375584022679053</v>
      </c>
      <c r="F189" s="11">
        <f ca="1" t="shared" si="261"/>
        <v>0.75851736574571</v>
      </c>
      <c r="G189" s="11">
        <f ca="1" t="shared" si="261"/>
        <v>0.905301940266543</v>
      </c>
      <c r="H189" s="11">
        <f ca="1" t="shared" si="261"/>
        <v>0.262402475538476</v>
      </c>
      <c r="I189" s="11">
        <f ca="1" t="shared" si="261"/>
        <v>0.258040664311054</v>
      </c>
      <c r="J189" s="11">
        <f ca="1" t="shared" si="261"/>
        <v>0.832850824054641</v>
      </c>
      <c r="K189" s="11">
        <f ca="1" t="shared" si="261"/>
        <v>0.15245873435104</v>
      </c>
      <c r="L189" s="11">
        <f ca="1" t="shared" si="261"/>
        <v>0.338151990350274</v>
      </c>
      <c r="M189" s="11">
        <f ca="1" t="shared" si="261"/>
        <v>0.591163462549444</v>
      </c>
      <c r="N189" s="11">
        <f ca="1" t="shared" si="261"/>
        <v>0.235355212473075</v>
      </c>
      <c r="O189" s="11">
        <f ca="1" t="shared" si="261"/>
        <v>0.0381961408778355</v>
      </c>
      <c r="P189" s="11">
        <f ca="1" t="shared" si="261"/>
        <v>0.0252226619689233</v>
      </c>
      <c r="Q189" s="11">
        <f ca="1" t="shared" si="261"/>
        <v>0.478078362731334</v>
      </c>
      <c r="R189" s="11">
        <f ca="1" t="shared" si="261"/>
        <v>0.113869858940668</v>
      </c>
      <c r="S189" s="11">
        <f ca="1" t="shared" si="261"/>
        <v>0.316779092306221</v>
      </c>
      <c r="T189" s="12">
        <f ca="1" t="shared" si="200"/>
        <v>4.79492932313677</v>
      </c>
      <c r="U189" s="12">
        <f ca="1" t="shared" si="201"/>
        <v>4.59448002834882</v>
      </c>
      <c r="V189" s="12">
        <f ca="1" t="shared" si="202"/>
        <v>5.14629341436427</v>
      </c>
      <c r="W189" s="12">
        <f ca="1" t="shared" si="203"/>
        <v>5.52650970133271</v>
      </c>
      <c r="X189" s="12">
        <f ca="1" t="shared" si="204"/>
        <v>4.43733745923079</v>
      </c>
      <c r="Y189" s="12">
        <f ca="1" t="shared" si="205"/>
        <v>4.43006777385176</v>
      </c>
      <c r="Z189" s="12">
        <f ca="1" t="shared" si="206"/>
        <v>5.3321270601366</v>
      </c>
      <c r="AA189" s="12">
        <f ca="1" t="shared" si="207"/>
        <v>4.25409789058507</v>
      </c>
      <c r="AB189" s="12">
        <f ca="1" t="shared" si="208"/>
        <v>4.54768998793784</v>
      </c>
      <c r="AC189" s="12">
        <f ca="1" t="shared" si="209"/>
        <v>4.86395432818681</v>
      </c>
      <c r="AD189" s="12">
        <f ca="1" t="shared" si="210"/>
        <v>4.39225868745512</v>
      </c>
      <c r="AE189" s="12">
        <f ca="1" t="shared" si="211"/>
        <v>4.06366023479639</v>
      </c>
      <c r="AF189" s="12">
        <f ca="1" t="shared" si="212"/>
        <v>4.04203776994821</v>
      </c>
      <c r="AG189" s="12">
        <f ca="1" t="shared" si="213"/>
        <v>4.72259795341417</v>
      </c>
      <c r="AH189" s="12">
        <f ca="1" t="shared" si="214"/>
        <v>4.18978309823445</v>
      </c>
      <c r="AI189" s="12">
        <f ca="1" t="shared" si="215"/>
        <v>4.52097386538278</v>
      </c>
      <c r="AJ189" s="12">
        <f ca="1">SUM($T189:T189)</f>
        <v>4.79492932313677</v>
      </c>
      <c r="AK189" s="12">
        <f ca="1">SUM($T189:U189)</f>
        <v>9.38940935148558</v>
      </c>
      <c r="AL189" s="12">
        <f ca="1">SUM($T189:V189)</f>
        <v>14.5357027658499</v>
      </c>
      <c r="AM189" s="12">
        <f ca="1">SUM($T189:W189)</f>
        <v>20.0622124671826</v>
      </c>
      <c r="AN189" s="12">
        <f ca="1">SUM($T189:X189)</f>
        <v>24.4995499264134</v>
      </c>
      <c r="AO189" s="12">
        <f ca="1">SUM($T189:Y189)</f>
        <v>28.9296177002651</v>
      </c>
      <c r="AP189" s="12">
        <f ca="1">SUM($T189:Z189)</f>
        <v>34.2617447604017</v>
      </c>
      <c r="AQ189" s="12">
        <f ca="1">SUM($T189:AA189)</f>
        <v>38.5158426509868</v>
      </c>
      <c r="AR189" s="12">
        <f ca="1">SUM($T189:AB189)</f>
        <v>43.0635326389246</v>
      </c>
      <c r="AS189" s="12">
        <f ca="1">SUM($T189:AC189)</f>
        <v>47.9274869671114</v>
      </c>
      <c r="AT189" s="12">
        <f ca="1">SUM($T189:AD189)</f>
        <v>52.3197456545666</v>
      </c>
      <c r="AU189" s="12">
        <f ca="1">SUM($T189:AE189)</f>
        <v>56.383405889363</v>
      </c>
      <c r="AV189" s="12">
        <f ca="1">SUM($T189:AF189)</f>
        <v>60.4254436593112</v>
      </c>
      <c r="AW189" s="12">
        <f ca="1">SUM($T189:AG189)</f>
        <v>65.1480416127253</v>
      </c>
      <c r="AX189" s="12">
        <f ca="1">SUM($T189:AH189)</f>
        <v>69.3378247109598</v>
      </c>
      <c r="AY189" s="12">
        <f ca="1">SUM($T189:AI189)</f>
        <v>73.8587985763426</v>
      </c>
      <c r="AZ189" s="12">
        <f ca="1" t="shared" si="216"/>
        <v>49.2295655689851</v>
      </c>
      <c r="BA189" s="12">
        <f ca="1" t="shared" si="217"/>
        <v>44.6350855406363</v>
      </c>
      <c r="BB189" s="12">
        <f ca="1" t="shared" si="218"/>
        <v>39.488792126272</v>
      </c>
      <c r="BC189" s="12">
        <f ca="1" t="shared" si="219"/>
        <v>33.9622824249393</v>
      </c>
      <c r="BD189" s="12">
        <f ca="1" t="shared" si="220"/>
        <v>29.5249449657085</v>
      </c>
      <c r="BE189" s="12">
        <f ca="1" t="shared" si="221"/>
        <v>25.0948771918568</v>
      </c>
      <c r="BF189" s="12">
        <f ca="1" t="shared" si="222"/>
        <v>19.7627501317202</v>
      </c>
      <c r="BG189" s="12">
        <f ca="1" t="shared" si="223"/>
        <v>15.5086522411351</v>
      </c>
      <c r="BH189" s="12">
        <f ca="1" t="shared" si="224"/>
        <v>10.9609622531973</v>
      </c>
      <c r="BI189" s="12">
        <f ca="1" t="shared" si="225"/>
        <v>6.09700792501044</v>
      </c>
      <c r="BJ189" s="12">
        <f ca="1" t="shared" si="226"/>
        <v>1.70474923755532</v>
      </c>
      <c r="BK189" s="12">
        <f ca="1" t="shared" si="227"/>
        <v>0</v>
      </c>
      <c r="BL189" s="12">
        <f ca="1" t="shared" si="228"/>
        <v>0</v>
      </c>
      <c r="BM189" s="12">
        <f ca="1" t="shared" si="229"/>
        <v>0</v>
      </c>
      <c r="BN189" s="12">
        <f ca="1" t="shared" si="230"/>
        <v>0</v>
      </c>
      <c r="BO189" s="12">
        <f ca="1" t="shared" si="231"/>
        <v>0</v>
      </c>
    </row>
    <row r="190" spans="1:67">
      <c r="A190" s="3">
        <v>160</v>
      </c>
      <c r="B190" s="11">
        <f ca="1" t="shared" si="197"/>
        <v>0.626659022114743</v>
      </c>
      <c r="C190" s="12">
        <f ca="1" t="shared" si="198"/>
        <v>66.0951288873535</v>
      </c>
      <c r="D190" s="11">
        <f ca="1" t="shared" ref="D190:S190" si="262">RAND()</f>
        <v>0.735359411675026</v>
      </c>
      <c r="E190" s="11">
        <f ca="1" t="shared" si="262"/>
        <v>0.0696889592192411</v>
      </c>
      <c r="F190" s="11">
        <f ca="1" t="shared" si="262"/>
        <v>0.613581074795999</v>
      </c>
      <c r="G190" s="11">
        <f ca="1" t="shared" si="262"/>
        <v>0.770450830994974</v>
      </c>
      <c r="H190" s="11">
        <f ca="1" t="shared" si="262"/>
        <v>0.414846115465425</v>
      </c>
      <c r="I190" s="11">
        <f ca="1" t="shared" si="262"/>
        <v>0.396283154799323</v>
      </c>
      <c r="J190" s="11">
        <f ca="1" t="shared" si="262"/>
        <v>0.119846938342616</v>
      </c>
      <c r="K190" s="11">
        <f ca="1" t="shared" si="262"/>
        <v>0.53592493559298</v>
      </c>
      <c r="L190" s="11">
        <f ca="1" t="shared" si="262"/>
        <v>0.591162424979698</v>
      </c>
      <c r="M190" s="11">
        <f ca="1" t="shared" si="262"/>
        <v>0.893896824164724</v>
      </c>
      <c r="N190" s="11">
        <f ca="1" t="shared" si="262"/>
        <v>0.115172357248888</v>
      </c>
      <c r="O190" s="11">
        <f ca="1" t="shared" si="262"/>
        <v>0.41485569410901</v>
      </c>
      <c r="P190" s="11">
        <f ca="1" t="shared" si="262"/>
        <v>0.950046678532287</v>
      </c>
      <c r="Q190" s="11">
        <f ca="1" t="shared" si="262"/>
        <v>0.541770365498891</v>
      </c>
      <c r="R190" s="11">
        <f ca="1" t="shared" si="262"/>
        <v>0.115170799992051</v>
      </c>
      <c r="S190" s="11">
        <f ca="1" t="shared" si="262"/>
        <v>0.751772707007109</v>
      </c>
      <c r="T190" s="12">
        <f ca="1" t="shared" si="200"/>
        <v>5.08839852918757</v>
      </c>
      <c r="U190" s="12">
        <f ca="1" t="shared" si="201"/>
        <v>4.1161482653654</v>
      </c>
      <c r="V190" s="12">
        <f ca="1" t="shared" si="202"/>
        <v>4.891976343495</v>
      </c>
      <c r="W190" s="12">
        <f ca="1" t="shared" si="203"/>
        <v>5.17612707748743</v>
      </c>
      <c r="X190" s="12">
        <f ca="1" t="shared" si="204"/>
        <v>4.64355764433178</v>
      </c>
      <c r="Y190" s="12">
        <f ca="1" t="shared" si="205"/>
        <v>4.62035394349915</v>
      </c>
      <c r="Z190" s="12">
        <f ca="1" t="shared" si="206"/>
        <v>4.19974489723769</v>
      </c>
      <c r="AA190" s="12">
        <f ca="1" t="shared" si="207"/>
        <v>4.79490616949122</v>
      </c>
      <c r="AB190" s="12">
        <f ca="1" t="shared" si="208"/>
        <v>4.86395303122462</v>
      </c>
      <c r="AC190" s="12">
        <f ca="1" t="shared" si="209"/>
        <v>5.48474206041181</v>
      </c>
      <c r="AD190" s="12">
        <f ca="1" t="shared" si="210"/>
        <v>4.19195392874815</v>
      </c>
      <c r="AE190" s="12">
        <f ca="1" t="shared" si="211"/>
        <v>4.64356961763626</v>
      </c>
      <c r="AF190" s="12">
        <f ca="1" t="shared" si="212"/>
        <v>5.75023339266143</v>
      </c>
      <c r="AG190" s="12">
        <f ca="1" t="shared" si="213"/>
        <v>4.80221295687361</v>
      </c>
      <c r="AH190" s="12">
        <f ca="1" t="shared" si="214"/>
        <v>4.19195133332008</v>
      </c>
      <c r="AI190" s="12">
        <f ca="1" t="shared" si="215"/>
        <v>5.12943176751777</v>
      </c>
      <c r="AJ190" s="12">
        <f ca="1">SUM($T190:T190)</f>
        <v>5.08839852918757</v>
      </c>
      <c r="AK190" s="12">
        <f ca="1">SUM($T190:U190)</f>
        <v>9.20454679455297</v>
      </c>
      <c r="AL190" s="12">
        <f ca="1">SUM($T190:V190)</f>
        <v>14.096523138048</v>
      </c>
      <c r="AM190" s="12">
        <f ca="1">SUM($T190:W190)</f>
        <v>19.2726502155354</v>
      </c>
      <c r="AN190" s="12">
        <f ca="1">SUM($T190:X190)</f>
        <v>23.9162078598672</v>
      </c>
      <c r="AO190" s="12">
        <f ca="1">SUM($T190:Y190)</f>
        <v>28.5365618033663</v>
      </c>
      <c r="AP190" s="12">
        <f ca="1">SUM($T190:Z190)</f>
        <v>32.736306700604</v>
      </c>
      <c r="AQ190" s="12">
        <f ca="1">SUM($T190:AA190)</f>
        <v>37.5312128700953</v>
      </c>
      <c r="AR190" s="12">
        <f ca="1">SUM($T190:AB190)</f>
        <v>42.3951659013199</v>
      </c>
      <c r="AS190" s="12">
        <f ca="1">SUM($T190:AC190)</f>
        <v>47.8799079617317</v>
      </c>
      <c r="AT190" s="12">
        <f ca="1">SUM($T190:AD190)</f>
        <v>52.0718618904798</v>
      </c>
      <c r="AU190" s="12">
        <f ca="1">SUM($T190:AE190)</f>
        <v>56.7154315081161</v>
      </c>
      <c r="AV190" s="12">
        <f ca="1">SUM($T190:AF190)</f>
        <v>62.4656649007775</v>
      </c>
      <c r="AW190" s="12">
        <f ca="1">SUM($T190:AG190)</f>
        <v>67.2678778576511</v>
      </c>
      <c r="AX190" s="12">
        <f ca="1">SUM($T190:AH190)</f>
        <v>71.4598291909712</v>
      </c>
      <c r="AY190" s="12">
        <f ca="1">SUM($T190:AI190)</f>
        <v>76.589260958489</v>
      </c>
      <c r="AZ190" s="12">
        <f ca="1" t="shared" si="216"/>
        <v>61.0067303581659</v>
      </c>
      <c r="BA190" s="12">
        <f ca="1" t="shared" si="217"/>
        <v>56.8905820928005</v>
      </c>
      <c r="BB190" s="12">
        <f ca="1" t="shared" si="218"/>
        <v>51.9986057493055</v>
      </c>
      <c r="BC190" s="12">
        <f ca="1" t="shared" si="219"/>
        <v>46.8224786718181</v>
      </c>
      <c r="BD190" s="12">
        <f ca="1" t="shared" si="220"/>
        <v>42.1789210274863</v>
      </c>
      <c r="BE190" s="12">
        <f ca="1" t="shared" si="221"/>
        <v>37.5585670839871</v>
      </c>
      <c r="BF190" s="12">
        <f ca="1" t="shared" si="222"/>
        <v>33.3588221867495</v>
      </c>
      <c r="BG190" s="12">
        <f ca="1" t="shared" si="223"/>
        <v>28.5639160172582</v>
      </c>
      <c r="BH190" s="12">
        <f ca="1" t="shared" si="224"/>
        <v>23.6999629860336</v>
      </c>
      <c r="BI190" s="12">
        <f ca="1" t="shared" si="225"/>
        <v>18.2152209256218</v>
      </c>
      <c r="BJ190" s="12">
        <f ca="1" t="shared" si="226"/>
        <v>14.0232669968736</v>
      </c>
      <c r="BK190" s="12">
        <f ca="1" t="shared" si="227"/>
        <v>9.37969737923738</v>
      </c>
      <c r="BL190" s="12">
        <f ca="1" t="shared" si="228"/>
        <v>3.62946398657595</v>
      </c>
      <c r="BM190" s="12">
        <f ca="1" t="shared" si="229"/>
        <v>0</v>
      </c>
      <c r="BN190" s="12">
        <f ca="1" t="shared" si="230"/>
        <v>0</v>
      </c>
      <c r="BO190" s="12">
        <f ca="1" t="shared" si="231"/>
        <v>0</v>
      </c>
    </row>
    <row r="191" spans="1:67">
      <c r="A191" s="3">
        <v>161</v>
      </c>
      <c r="B191" s="11">
        <f ca="1" t="shared" si="197"/>
        <v>0.73853269239875</v>
      </c>
      <c r="C191" s="12">
        <f ca="1" t="shared" si="198"/>
        <v>67.693324177125</v>
      </c>
      <c r="D191" s="11">
        <f ca="1" t="shared" ref="D191:S191" si="263">RAND()</f>
        <v>0.742454286200491</v>
      </c>
      <c r="E191" s="11">
        <f ca="1" t="shared" si="263"/>
        <v>0.541752402918504</v>
      </c>
      <c r="F191" s="11">
        <f ca="1" t="shared" si="263"/>
        <v>0.902673598285778</v>
      </c>
      <c r="G191" s="11">
        <f ca="1" t="shared" si="263"/>
        <v>0.533474181106829</v>
      </c>
      <c r="H191" s="11">
        <f ca="1" t="shared" si="263"/>
        <v>0.743991650195456</v>
      </c>
      <c r="I191" s="11">
        <f ca="1" t="shared" si="263"/>
        <v>0.643854598230248</v>
      </c>
      <c r="J191" s="11">
        <f ca="1" t="shared" si="263"/>
        <v>0.742445251974977</v>
      </c>
      <c r="K191" s="11">
        <f ca="1" t="shared" si="263"/>
        <v>0.374687468282177</v>
      </c>
      <c r="L191" s="11">
        <f ca="1" t="shared" si="263"/>
        <v>0.386662837825895</v>
      </c>
      <c r="M191" s="11">
        <f ca="1" t="shared" si="263"/>
        <v>0.282429221763719</v>
      </c>
      <c r="N191" s="11">
        <f ca="1" t="shared" si="263"/>
        <v>0.374693649728402</v>
      </c>
      <c r="O191" s="11">
        <f ca="1" t="shared" si="263"/>
        <v>0.532972857377604</v>
      </c>
      <c r="P191" s="11">
        <f ca="1" t="shared" si="263"/>
        <v>0.201651057770519</v>
      </c>
      <c r="Q191" s="11">
        <f ca="1" t="shared" si="263"/>
        <v>0.812830915621287</v>
      </c>
      <c r="R191" s="11">
        <f ca="1" t="shared" si="263"/>
        <v>0.616123291348464</v>
      </c>
      <c r="S191" s="11">
        <f ca="1" t="shared" si="263"/>
        <v>0.964574538213822</v>
      </c>
      <c r="T191" s="12">
        <f ca="1" t="shared" si="200"/>
        <v>5.10613571550123</v>
      </c>
      <c r="U191" s="12">
        <f ca="1" t="shared" si="201"/>
        <v>4.80219050364813</v>
      </c>
      <c r="V191" s="12">
        <f ca="1" t="shared" si="202"/>
        <v>5.51336799142889</v>
      </c>
      <c r="W191" s="12">
        <f ca="1" t="shared" si="203"/>
        <v>4.79184272638354</v>
      </c>
      <c r="X191" s="12">
        <f ca="1" t="shared" si="204"/>
        <v>5.10997912548864</v>
      </c>
      <c r="Y191" s="12">
        <f ca="1" t="shared" si="205"/>
        <v>4.92981824778781</v>
      </c>
      <c r="Z191" s="12">
        <f ca="1" t="shared" si="206"/>
        <v>5.10611312993744</v>
      </c>
      <c r="AA191" s="12">
        <f ca="1" t="shared" si="207"/>
        <v>4.59335933535272</v>
      </c>
      <c r="AB191" s="12">
        <f ca="1" t="shared" si="208"/>
        <v>4.60832854728237</v>
      </c>
      <c r="AC191" s="12">
        <f ca="1" t="shared" si="209"/>
        <v>4.4707153696062</v>
      </c>
      <c r="AD191" s="12">
        <f ca="1" t="shared" si="210"/>
        <v>4.5933670621605</v>
      </c>
      <c r="AE191" s="12">
        <f ca="1" t="shared" si="211"/>
        <v>4.79121607172201</v>
      </c>
      <c r="AF191" s="12">
        <f ca="1" t="shared" si="212"/>
        <v>4.3360850962842</v>
      </c>
      <c r="AG191" s="12">
        <f ca="1" t="shared" si="213"/>
        <v>5.28207728905322</v>
      </c>
      <c r="AH191" s="12">
        <f ca="1" t="shared" si="214"/>
        <v>4.89515411418558</v>
      </c>
      <c r="AI191" s="12">
        <f ca="1" t="shared" si="215"/>
        <v>5.82287269106911</v>
      </c>
      <c r="AJ191" s="12">
        <f ca="1">SUM($T191:T191)</f>
        <v>5.10613571550123</v>
      </c>
      <c r="AK191" s="12">
        <f ca="1">SUM($T191:U191)</f>
        <v>9.90832621914936</v>
      </c>
      <c r="AL191" s="12">
        <f ca="1">SUM($T191:V191)</f>
        <v>15.4216942105782</v>
      </c>
      <c r="AM191" s="12">
        <f ca="1">SUM($T191:W191)</f>
        <v>20.2135369369618</v>
      </c>
      <c r="AN191" s="12">
        <f ca="1">SUM($T191:X191)</f>
        <v>25.3235160624504</v>
      </c>
      <c r="AO191" s="12">
        <f ca="1">SUM($T191:Y191)</f>
        <v>30.2533343102382</v>
      </c>
      <c r="AP191" s="12">
        <f ca="1">SUM($T191:Z191)</f>
        <v>35.3594474401757</v>
      </c>
      <c r="AQ191" s="12">
        <f ca="1">SUM($T191:AA191)</f>
        <v>39.9528067755284</v>
      </c>
      <c r="AR191" s="12">
        <f ca="1">SUM($T191:AB191)</f>
        <v>44.5611353228108</v>
      </c>
      <c r="AS191" s="12">
        <f ca="1">SUM($T191:AC191)</f>
        <v>49.031850692417</v>
      </c>
      <c r="AT191" s="12">
        <f ca="1">SUM($T191:AD191)</f>
        <v>53.6252177545775</v>
      </c>
      <c r="AU191" s="12">
        <f ca="1">SUM($T191:AE191)</f>
        <v>58.4164338262995</v>
      </c>
      <c r="AV191" s="12">
        <f ca="1">SUM($T191:AF191)</f>
        <v>62.7525189225837</v>
      </c>
      <c r="AW191" s="12">
        <f ca="1">SUM($T191:AG191)</f>
        <v>68.0345962116369</v>
      </c>
      <c r="AX191" s="12">
        <f ca="1">SUM($T191:AH191)</f>
        <v>72.9297503258225</v>
      </c>
      <c r="AY191" s="12">
        <f ca="1">SUM($T191:AI191)</f>
        <v>78.7526230168916</v>
      </c>
      <c r="AZ191" s="12">
        <f ca="1" t="shared" si="216"/>
        <v>62.5871884616238</v>
      </c>
      <c r="BA191" s="12">
        <f ca="1" t="shared" si="217"/>
        <v>57.7849979579756</v>
      </c>
      <c r="BB191" s="12">
        <f ca="1" t="shared" si="218"/>
        <v>52.2716299665468</v>
      </c>
      <c r="BC191" s="12">
        <f ca="1" t="shared" si="219"/>
        <v>47.4797872401632</v>
      </c>
      <c r="BD191" s="12">
        <f ca="1" t="shared" si="220"/>
        <v>42.3698081146746</v>
      </c>
      <c r="BE191" s="12">
        <f ca="1" t="shared" si="221"/>
        <v>37.4399898668868</v>
      </c>
      <c r="BF191" s="12">
        <f ca="1" t="shared" si="222"/>
        <v>32.3338767369493</v>
      </c>
      <c r="BG191" s="12">
        <f ca="1" t="shared" si="223"/>
        <v>27.7405174015966</v>
      </c>
      <c r="BH191" s="12">
        <f ca="1" t="shared" si="224"/>
        <v>23.1321888543142</v>
      </c>
      <c r="BI191" s="12">
        <f ca="1" t="shared" si="225"/>
        <v>18.661473484708</v>
      </c>
      <c r="BJ191" s="12">
        <f ca="1" t="shared" si="226"/>
        <v>14.0681064225475</v>
      </c>
      <c r="BK191" s="12">
        <f ca="1" t="shared" si="227"/>
        <v>9.27689035082554</v>
      </c>
      <c r="BL191" s="12">
        <f ca="1" t="shared" si="228"/>
        <v>4.94080525454134</v>
      </c>
      <c r="BM191" s="12">
        <f ca="1" t="shared" si="229"/>
        <v>0</v>
      </c>
      <c r="BN191" s="12">
        <f ca="1" t="shared" si="230"/>
        <v>0</v>
      </c>
      <c r="BO191" s="12">
        <f ca="1" t="shared" si="231"/>
        <v>0</v>
      </c>
    </row>
    <row r="192" spans="1:67">
      <c r="A192" s="3">
        <v>162</v>
      </c>
      <c r="B192" s="11">
        <f ca="1" t="shared" si="197"/>
        <v>0.377175108945098</v>
      </c>
      <c r="C192" s="12">
        <f ca="1" t="shared" si="198"/>
        <v>62.119585149085</v>
      </c>
      <c r="D192" s="11">
        <f ca="1" t="shared" ref="D192:S192" si="264">RAND()</f>
        <v>0.283386533671939</v>
      </c>
      <c r="E192" s="11">
        <f ca="1" t="shared" si="264"/>
        <v>0.532961767763186</v>
      </c>
      <c r="F192" s="11">
        <f ca="1" t="shared" si="264"/>
        <v>0.372690680946023</v>
      </c>
      <c r="G192" s="11">
        <f ca="1" t="shared" si="264"/>
        <v>0.375219544567956</v>
      </c>
      <c r="H192" s="11">
        <f ca="1" t="shared" si="264"/>
        <v>0.258214227428361</v>
      </c>
      <c r="I192" s="11">
        <f ca="1" t="shared" si="264"/>
        <v>0.258211448396359</v>
      </c>
      <c r="J192" s="11">
        <f ca="1" t="shared" si="264"/>
        <v>0.43798709183415</v>
      </c>
      <c r="K192" s="11">
        <f ca="1" t="shared" si="264"/>
        <v>0.432081572378174</v>
      </c>
      <c r="L192" s="11">
        <f ca="1" t="shared" si="264"/>
        <v>0.58466833941721</v>
      </c>
      <c r="M192" s="11">
        <f ca="1" t="shared" si="264"/>
        <v>0.77762106967145</v>
      </c>
      <c r="N192" s="11">
        <f ca="1" t="shared" si="264"/>
        <v>0.891462935499328</v>
      </c>
      <c r="O192" s="11">
        <f ca="1" t="shared" si="264"/>
        <v>0.566632227657899</v>
      </c>
      <c r="P192" s="11">
        <f ca="1" t="shared" si="264"/>
        <v>0.828242227191768</v>
      </c>
      <c r="Q192" s="11">
        <f ca="1" t="shared" si="264"/>
        <v>0.374867132791141</v>
      </c>
      <c r="R192" s="11">
        <f ca="1" t="shared" si="264"/>
        <v>0.104504493013251</v>
      </c>
      <c r="S192" s="11">
        <f ca="1" t="shared" si="264"/>
        <v>0.152209883995274</v>
      </c>
      <c r="T192" s="12">
        <f ca="1" t="shared" si="200"/>
        <v>4.47231088945323</v>
      </c>
      <c r="U192" s="12">
        <f ca="1" t="shared" si="201"/>
        <v>4.79120220970398</v>
      </c>
      <c r="V192" s="12">
        <f ca="1" t="shared" si="202"/>
        <v>4.59086335118253</v>
      </c>
      <c r="W192" s="12">
        <f ca="1" t="shared" si="203"/>
        <v>4.59402443070995</v>
      </c>
      <c r="X192" s="12">
        <f ca="1" t="shared" si="204"/>
        <v>4.43035704571394</v>
      </c>
      <c r="Y192" s="12">
        <f ca="1" t="shared" si="205"/>
        <v>4.43035241399393</v>
      </c>
      <c r="Z192" s="12">
        <f ca="1" t="shared" si="206"/>
        <v>4.67248386479269</v>
      </c>
      <c r="AA192" s="12">
        <f ca="1" t="shared" si="207"/>
        <v>4.66510196547272</v>
      </c>
      <c r="AB192" s="12">
        <f ca="1" t="shared" si="208"/>
        <v>4.85583542427151</v>
      </c>
      <c r="AC192" s="12">
        <f ca="1" t="shared" si="209"/>
        <v>5.19405267417863</v>
      </c>
      <c r="AD192" s="12">
        <f ca="1" t="shared" si="210"/>
        <v>5.47865733874832</v>
      </c>
      <c r="AE192" s="12">
        <f ca="1" t="shared" si="211"/>
        <v>4.83329028457237</v>
      </c>
      <c r="AF192" s="12">
        <f ca="1" t="shared" si="212"/>
        <v>5.32060556797942</v>
      </c>
      <c r="AG192" s="12">
        <f ca="1" t="shared" si="213"/>
        <v>4.59358391598893</v>
      </c>
      <c r="AH192" s="12">
        <f ca="1" t="shared" si="214"/>
        <v>4.17417415502209</v>
      </c>
      <c r="AI192" s="12">
        <f ca="1" t="shared" si="215"/>
        <v>4.25368313999212</v>
      </c>
      <c r="AJ192" s="12">
        <f ca="1">SUM($T192:T192)</f>
        <v>4.47231088945323</v>
      </c>
      <c r="AK192" s="12">
        <f ca="1">SUM($T192:U192)</f>
        <v>9.26351309915722</v>
      </c>
      <c r="AL192" s="12">
        <f ca="1">SUM($T192:V192)</f>
        <v>13.8543764503397</v>
      </c>
      <c r="AM192" s="12">
        <f ca="1">SUM($T192:W192)</f>
        <v>18.4484008810497</v>
      </c>
      <c r="AN192" s="12">
        <f ca="1">SUM($T192:X192)</f>
        <v>22.8787579267636</v>
      </c>
      <c r="AO192" s="12">
        <f ca="1">SUM($T192:Y192)</f>
        <v>27.3091103407576</v>
      </c>
      <c r="AP192" s="12">
        <f ca="1">SUM($T192:Z192)</f>
        <v>31.9815942055502</v>
      </c>
      <c r="AQ192" s="12">
        <f ca="1">SUM($T192:AA192)</f>
        <v>36.646696171023</v>
      </c>
      <c r="AR192" s="12">
        <f ca="1">SUM($T192:AB192)</f>
        <v>41.5025315952945</v>
      </c>
      <c r="AS192" s="12">
        <f ca="1">SUM($T192:AC192)</f>
        <v>46.6965842694731</v>
      </c>
      <c r="AT192" s="12">
        <f ca="1">SUM($T192:AD192)</f>
        <v>52.1752416082214</v>
      </c>
      <c r="AU192" s="12">
        <f ca="1">SUM($T192:AE192)</f>
        <v>57.0085318927938</v>
      </c>
      <c r="AV192" s="12">
        <f ca="1">SUM($T192:AF192)</f>
        <v>62.3291374607732</v>
      </c>
      <c r="AW192" s="12">
        <f ca="1">SUM($T192:AG192)</f>
        <v>66.9227213767621</v>
      </c>
      <c r="AX192" s="12">
        <f ca="1">SUM($T192:AH192)</f>
        <v>71.0968955317842</v>
      </c>
      <c r="AY192" s="12">
        <f ca="1">SUM($T192:AI192)</f>
        <v>75.3505786717763</v>
      </c>
      <c r="AZ192" s="12">
        <f ca="1" t="shared" si="216"/>
        <v>57.6472742596317</v>
      </c>
      <c r="BA192" s="12">
        <f ca="1" t="shared" si="217"/>
        <v>52.8560720499277</v>
      </c>
      <c r="BB192" s="12">
        <f ca="1" t="shared" si="218"/>
        <v>48.2652086987452</v>
      </c>
      <c r="BC192" s="12">
        <f ca="1" t="shared" si="219"/>
        <v>43.6711842680353</v>
      </c>
      <c r="BD192" s="12">
        <f ca="1" t="shared" si="220"/>
        <v>39.2408272223213</v>
      </c>
      <c r="BE192" s="12">
        <f ca="1" t="shared" si="221"/>
        <v>34.8104748083274</v>
      </c>
      <c r="BF192" s="12">
        <f ca="1" t="shared" si="222"/>
        <v>30.1379909435347</v>
      </c>
      <c r="BG192" s="12">
        <f ca="1" t="shared" si="223"/>
        <v>25.472888978062</v>
      </c>
      <c r="BH192" s="12">
        <f ca="1" t="shared" si="224"/>
        <v>20.6170535537905</v>
      </c>
      <c r="BI192" s="12">
        <f ca="1" t="shared" si="225"/>
        <v>15.4230008796119</v>
      </c>
      <c r="BJ192" s="12">
        <f ca="1" t="shared" si="226"/>
        <v>9.94434354086354</v>
      </c>
      <c r="BK192" s="12">
        <f ca="1" t="shared" si="227"/>
        <v>5.11105325629116</v>
      </c>
      <c r="BL192" s="12">
        <f ca="1" t="shared" si="228"/>
        <v>0</v>
      </c>
      <c r="BM192" s="12">
        <f ca="1" t="shared" si="229"/>
        <v>0</v>
      </c>
      <c r="BN192" s="12">
        <f ca="1" t="shared" si="230"/>
        <v>0</v>
      </c>
      <c r="BO192" s="12">
        <f ca="1" t="shared" si="231"/>
        <v>0</v>
      </c>
    </row>
    <row r="193" spans="1:67">
      <c r="A193" s="3">
        <v>163</v>
      </c>
      <c r="B193" s="11">
        <f ca="1" t="shared" si="197"/>
        <v>0.483532517797556</v>
      </c>
      <c r="C193" s="12">
        <f ca="1" t="shared" si="198"/>
        <v>63.8922086299593</v>
      </c>
      <c r="D193" s="11">
        <f ca="1" t="shared" ref="D193:S193" si="265">RAND()</f>
        <v>0.159786483982434</v>
      </c>
      <c r="E193" s="11">
        <f ca="1" t="shared" si="265"/>
        <v>0.278574818453597</v>
      </c>
      <c r="F193" s="11">
        <f ca="1" t="shared" si="265"/>
        <v>0.162365038055849</v>
      </c>
      <c r="G193" s="11">
        <f ca="1" t="shared" si="265"/>
        <v>0.325582320712938</v>
      </c>
      <c r="H193" s="11">
        <f ca="1" t="shared" si="265"/>
        <v>0.218676997221558</v>
      </c>
      <c r="I193" s="11">
        <f ca="1" t="shared" si="265"/>
        <v>0.496660382004321</v>
      </c>
      <c r="J193" s="11">
        <f ca="1" t="shared" si="265"/>
        <v>0.694740519206342</v>
      </c>
      <c r="K193" s="11">
        <f ca="1" t="shared" si="265"/>
        <v>0.968649480338464</v>
      </c>
      <c r="L193" s="11">
        <f ca="1" t="shared" si="265"/>
        <v>0.165044330381287</v>
      </c>
      <c r="M193" s="11">
        <f ca="1" t="shared" si="265"/>
        <v>0.186433624567326</v>
      </c>
      <c r="N193" s="11">
        <f ca="1" t="shared" si="265"/>
        <v>0.0136472509150616</v>
      </c>
      <c r="O193" s="11">
        <f ca="1" t="shared" si="265"/>
        <v>0.96435598978285</v>
      </c>
      <c r="P193" s="11">
        <f ca="1" t="shared" si="265"/>
        <v>0.60507642539669</v>
      </c>
      <c r="Q193" s="11">
        <f ca="1" t="shared" si="265"/>
        <v>0.751567099268165</v>
      </c>
      <c r="R193" s="11">
        <f ca="1" t="shared" si="265"/>
        <v>0.0131249497471682</v>
      </c>
      <c r="S193" s="11">
        <f ca="1" t="shared" si="265"/>
        <v>0.106009850570767</v>
      </c>
      <c r="T193" s="12">
        <f ca="1" t="shared" si="200"/>
        <v>4.26631080663739</v>
      </c>
      <c r="U193" s="12">
        <f ca="1" t="shared" si="201"/>
        <v>4.46429136408933</v>
      </c>
      <c r="V193" s="12">
        <f ca="1" t="shared" si="202"/>
        <v>4.27060839675975</v>
      </c>
      <c r="W193" s="12">
        <f ca="1" t="shared" si="203"/>
        <v>4.53197790089117</v>
      </c>
      <c r="X193" s="12">
        <f ca="1" t="shared" si="204"/>
        <v>4.36446166203593</v>
      </c>
      <c r="Y193" s="12">
        <f ca="1" t="shared" si="205"/>
        <v>4.7458254775054</v>
      </c>
      <c r="Z193" s="12">
        <f ca="1" t="shared" si="206"/>
        <v>4.99342564900793</v>
      </c>
      <c r="AA193" s="12">
        <f ca="1" t="shared" si="207"/>
        <v>5.84324740169232</v>
      </c>
      <c r="AB193" s="12">
        <f ca="1" t="shared" si="208"/>
        <v>4.27507388396881</v>
      </c>
      <c r="AC193" s="12">
        <f ca="1" t="shared" si="209"/>
        <v>4.31072270761221</v>
      </c>
      <c r="AD193" s="12">
        <f ca="1" t="shared" si="210"/>
        <v>4.02274541819177</v>
      </c>
      <c r="AE193" s="12">
        <f ca="1" t="shared" si="211"/>
        <v>5.82177994891425</v>
      </c>
      <c r="AF193" s="12">
        <f ca="1" t="shared" si="212"/>
        <v>4.88134553174586</v>
      </c>
      <c r="AG193" s="12">
        <f ca="1" t="shared" si="213"/>
        <v>5.12891774817041</v>
      </c>
      <c r="AH193" s="12">
        <f ca="1" t="shared" si="214"/>
        <v>4.02187491624528</v>
      </c>
      <c r="AI193" s="12">
        <f ca="1" t="shared" si="215"/>
        <v>4.17668308428461</v>
      </c>
      <c r="AJ193" s="12">
        <f ca="1">SUM($T193:T193)</f>
        <v>4.26631080663739</v>
      </c>
      <c r="AK193" s="12">
        <f ca="1">SUM($T193:U193)</f>
        <v>8.73060217072672</v>
      </c>
      <c r="AL193" s="12">
        <f ca="1">SUM($T193:V193)</f>
        <v>13.0012105674865</v>
      </c>
      <c r="AM193" s="12">
        <f ca="1">SUM($T193:W193)</f>
        <v>17.5331884683776</v>
      </c>
      <c r="AN193" s="12">
        <f ca="1">SUM($T193:X193)</f>
        <v>21.8976501304136</v>
      </c>
      <c r="AO193" s="12">
        <f ca="1">SUM($T193:Y193)</f>
        <v>26.643475607919</v>
      </c>
      <c r="AP193" s="12">
        <f ca="1">SUM($T193:Z193)</f>
        <v>31.6369012569269</v>
      </c>
      <c r="AQ193" s="12">
        <f ca="1">SUM($T193:AA193)</f>
        <v>37.4801486586192</v>
      </c>
      <c r="AR193" s="12">
        <f ca="1">SUM($T193:AB193)</f>
        <v>41.755222542588</v>
      </c>
      <c r="AS193" s="12">
        <f ca="1">SUM($T193:AC193)</f>
        <v>46.0659452502002</v>
      </c>
      <c r="AT193" s="12">
        <f ca="1">SUM($T193:AD193)</f>
        <v>50.088690668392</v>
      </c>
      <c r="AU193" s="12">
        <f ca="1">SUM($T193:AE193)</f>
        <v>55.9104706173063</v>
      </c>
      <c r="AV193" s="12">
        <f ca="1">SUM($T193:AF193)</f>
        <v>60.7918161490521</v>
      </c>
      <c r="AW193" s="12">
        <f ca="1">SUM($T193:AG193)</f>
        <v>65.9207338972225</v>
      </c>
      <c r="AX193" s="12">
        <f ca="1">SUM($T193:AH193)</f>
        <v>69.9426088134678</v>
      </c>
      <c r="AY193" s="12">
        <f ca="1">SUM($T193:AI193)</f>
        <v>74.1192918977524</v>
      </c>
      <c r="AZ193" s="12">
        <f ca="1" t="shared" si="216"/>
        <v>59.6258978233219</v>
      </c>
      <c r="BA193" s="12">
        <f ca="1" t="shared" si="217"/>
        <v>55.1616064592326</v>
      </c>
      <c r="BB193" s="12">
        <f ca="1" t="shared" si="218"/>
        <v>50.8909980624728</v>
      </c>
      <c r="BC193" s="12">
        <f ca="1" t="shared" si="219"/>
        <v>46.3590201615816</v>
      </c>
      <c r="BD193" s="12">
        <f ca="1" t="shared" si="220"/>
        <v>41.9945584995457</v>
      </c>
      <c r="BE193" s="12">
        <f ca="1" t="shared" si="221"/>
        <v>37.2487330220403</v>
      </c>
      <c r="BF193" s="12">
        <f ca="1" t="shared" si="222"/>
        <v>32.2553073730324</v>
      </c>
      <c r="BG193" s="12">
        <f ca="1" t="shared" si="223"/>
        <v>26.4120599713401</v>
      </c>
      <c r="BH193" s="12">
        <f ca="1" t="shared" si="224"/>
        <v>22.1369860873712</v>
      </c>
      <c r="BI193" s="12">
        <f ca="1" t="shared" si="225"/>
        <v>17.826263379759</v>
      </c>
      <c r="BJ193" s="12">
        <f ca="1" t="shared" si="226"/>
        <v>13.8035179615673</v>
      </c>
      <c r="BK193" s="12">
        <f ca="1" t="shared" si="227"/>
        <v>7.98173801265303</v>
      </c>
      <c r="BL193" s="12">
        <f ca="1" t="shared" si="228"/>
        <v>3.10039248090716</v>
      </c>
      <c r="BM193" s="12">
        <f ca="1" t="shared" si="229"/>
        <v>0</v>
      </c>
      <c r="BN193" s="12">
        <f ca="1" t="shared" si="230"/>
        <v>0</v>
      </c>
      <c r="BO193" s="12">
        <f ca="1" t="shared" si="231"/>
        <v>0</v>
      </c>
    </row>
    <row r="194" spans="1:67">
      <c r="A194" s="3">
        <v>164</v>
      </c>
      <c r="B194" s="11">
        <f ca="1" t="shared" si="197"/>
        <v>0.073488020270039</v>
      </c>
      <c r="C194" s="12">
        <f ca="1" t="shared" si="198"/>
        <v>53.6744010135019</v>
      </c>
      <c r="D194" s="11">
        <f ca="1" t="shared" ref="D194:S194" si="266">RAND()</f>
        <v>0.307324674726544</v>
      </c>
      <c r="E194" s="11">
        <f ca="1" t="shared" si="266"/>
        <v>0.437960638120279</v>
      </c>
      <c r="F194" s="11">
        <f ca="1" t="shared" si="266"/>
        <v>0.630607208621906</v>
      </c>
      <c r="G194" s="11">
        <f ca="1" t="shared" si="266"/>
        <v>0.0242276427840669</v>
      </c>
      <c r="H194" s="11">
        <f ca="1" t="shared" si="266"/>
        <v>0.90529995388282</v>
      </c>
      <c r="I194" s="11">
        <f ca="1" t="shared" si="266"/>
        <v>0.832854747773037</v>
      </c>
      <c r="J194" s="11">
        <f ca="1" t="shared" si="266"/>
        <v>0.549960532025042</v>
      </c>
      <c r="K194" s="11">
        <f ca="1" t="shared" si="266"/>
        <v>0.777626623469923</v>
      </c>
      <c r="L194" s="11">
        <f ca="1" t="shared" si="266"/>
        <v>0.374863931018726</v>
      </c>
      <c r="M194" s="11">
        <f ca="1" t="shared" si="266"/>
        <v>0.505741225995701</v>
      </c>
      <c r="N194" s="11">
        <f ca="1" t="shared" si="266"/>
        <v>0.159766882345256</v>
      </c>
      <c r="O194" s="11">
        <f ca="1" t="shared" si="266"/>
        <v>0.628201409137938</v>
      </c>
      <c r="P194" s="11">
        <f ca="1" t="shared" si="266"/>
        <v>0.478079177818666</v>
      </c>
      <c r="Q194" s="11">
        <f ca="1" t="shared" si="266"/>
        <v>0.162173302364787</v>
      </c>
      <c r="R194" s="11">
        <f ca="1" t="shared" si="266"/>
        <v>0.152462362856551</v>
      </c>
      <c r="S194" s="11">
        <f ca="1" t="shared" si="266"/>
        <v>0.106334431968328</v>
      </c>
      <c r="T194" s="12">
        <f ca="1" t="shared" si="200"/>
        <v>4.50915584340818</v>
      </c>
      <c r="U194" s="12">
        <f ca="1" t="shared" si="201"/>
        <v>4.67245079765035</v>
      </c>
      <c r="V194" s="12">
        <f ca="1" t="shared" si="202"/>
        <v>4.91325901077738</v>
      </c>
      <c r="W194" s="12">
        <f ca="1" t="shared" si="203"/>
        <v>4.04037940464011</v>
      </c>
      <c r="X194" s="12">
        <f ca="1" t="shared" si="204"/>
        <v>5.5264997694141</v>
      </c>
      <c r="Y194" s="12">
        <f ca="1" t="shared" si="205"/>
        <v>5.33213686943259</v>
      </c>
      <c r="Z194" s="12">
        <f ca="1" t="shared" si="206"/>
        <v>4.8124506650313</v>
      </c>
      <c r="AA194" s="12">
        <f ca="1" t="shared" si="207"/>
        <v>5.19406655867481</v>
      </c>
      <c r="AB194" s="12">
        <f ca="1" t="shared" si="208"/>
        <v>4.59357991377341</v>
      </c>
      <c r="AC194" s="12">
        <f ca="1" t="shared" si="209"/>
        <v>4.75717653249463</v>
      </c>
      <c r="AD194" s="12">
        <f ca="1" t="shared" si="210"/>
        <v>4.26627813724209</v>
      </c>
      <c r="AE194" s="12">
        <f ca="1" t="shared" si="211"/>
        <v>4.91025176142242</v>
      </c>
      <c r="AF194" s="12">
        <f ca="1" t="shared" si="212"/>
        <v>4.72259897227333</v>
      </c>
      <c r="AG194" s="12">
        <f ca="1" t="shared" si="213"/>
        <v>4.27028883727465</v>
      </c>
      <c r="AH194" s="12">
        <f ca="1" t="shared" si="214"/>
        <v>4.25410393809425</v>
      </c>
      <c r="AI194" s="12">
        <f ca="1" t="shared" si="215"/>
        <v>4.17722405328055</v>
      </c>
      <c r="AJ194" s="12">
        <f ca="1">SUM($T194:T194)</f>
        <v>4.50915584340818</v>
      </c>
      <c r="AK194" s="12">
        <f ca="1">SUM($T194:U194)</f>
        <v>9.18160664105853</v>
      </c>
      <c r="AL194" s="12">
        <f ca="1">SUM($T194:V194)</f>
        <v>14.0948656518359</v>
      </c>
      <c r="AM194" s="12">
        <f ca="1">SUM($T194:W194)</f>
        <v>18.135245056476</v>
      </c>
      <c r="AN194" s="12">
        <f ca="1">SUM($T194:X194)</f>
        <v>23.6617448258901</v>
      </c>
      <c r="AO194" s="12">
        <f ca="1">SUM($T194:Y194)</f>
        <v>28.9938816953227</v>
      </c>
      <c r="AP194" s="12">
        <f ca="1">SUM($T194:Z194)</f>
        <v>33.806332360354</v>
      </c>
      <c r="AQ194" s="12">
        <f ca="1">SUM($T194:AA194)</f>
        <v>39.0003989190288</v>
      </c>
      <c r="AR194" s="12">
        <f ca="1">SUM($T194:AB194)</f>
        <v>43.5939788328022</v>
      </c>
      <c r="AS194" s="12">
        <f ca="1">SUM($T194:AC194)</f>
        <v>48.3511553652969</v>
      </c>
      <c r="AT194" s="12">
        <f ca="1">SUM($T194:AD194)</f>
        <v>52.617433502539</v>
      </c>
      <c r="AU194" s="12">
        <f ca="1">SUM($T194:AE194)</f>
        <v>57.5276852639614</v>
      </c>
      <c r="AV194" s="12">
        <f ca="1">SUM($T194:AF194)</f>
        <v>62.2502842362347</v>
      </c>
      <c r="AW194" s="12">
        <f ca="1">SUM($T194:AG194)</f>
        <v>66.5205730735094</v>
      </c>
      <c r="AX194" s="12">
        <f ca="1">SUM($T194:AH194)</f>
        <v>70.7746770116036</v>
      </c>
      <c r="AY194" s="12">
        <f ca="1">SUM($T194:AI194)</f>
        <v>74.9519010648841</v>
      </c>
      <c r="AZ194" s="12">
        <f ca="1" t="shared" si="216"/>
        <v>49.1652451700938</v>
      </c>
      <c r="BA194" s="12">
        <f ca="1" t="shared" si="217"/>
        <v>44.4927943724434</v>
      </c>
      <c r="BB194" s="12">
        <f ca="1" t="shared" si="218"/>
        <v>39.579535361666</v>
      </c>
      <c r="BC194" s="12">
        <f ca="1" t="shared" si="219"/>
        <v>35.5391559570259</v>
      </c>
      <c r="BD194" s="12">
        <f ca="1" t="shared" si="220"/>
        <v>30.0126561876118</v>
      </c>
      <c r="BE194" s="12">
        <f ca="1" t="shared" si="221"/>
        <v>24.6805193181792</v>
      </c>
      <c r="BF194" s="12">
        <f ca="1" t="shared" si="222"/>
        <v>19.8680686531479</v>
      </c>
      <c r="BG194" s="12">
        <f ca="1" t="shared" si="223"/>
        <v>14.6740020944731</v>
      </c>
      <c r="BH194" s="12">
        <f ca="1" t="shared" si="224"/>
        <v>10.0804221806997</v>
      </c>
      <c r="BI194" s="12">
        <f ca="1" t="shared" si="225"/>
        <v>5.32324564820509</v>
      </c>
      <c r="BJ194" s="12">
        <f ca="1" t="shared" si="226"/>
        <v>1.05696751096299</v>
      </c>
      <c r="BK194" s="12">
        <f ca="1" t="shared" si="227"/>
        <v>0</v>
      </c>
      <c r="BL194" s="12">
        <f ca="1" t="shared" si="228"/>
        <v>0</v>
      </c>
      <c r="BM194" s="12">
        <f ca="1" t="shared" si="229"/>
        <v>0</v>
      </c>
      <c r="BN194" s="12">
        <f ca="1" t="shared" si="230"/>
        <v>0</v>
      </c>
      <c r="BO194" s="12">
        <f ca="1" t="shared" si="231"/>
        <v>0</v>
      </c>
    </row>
    <row r="195" spans="1:67">
      <c r="A195" s="3">
        <v>165</v>
      </c>
      <c r="B195" s="11">
        <f ca="1" t="shared" si="197"/>
        <v>0.594827358708323</v>
      </c>
      <c r="C195" s="12">
        <f ca="1" t="shared" si="198"/>
        <v>65.6403908386903</v>
      </c>
      <c r="D195" s="11">
        <f ca="1" t="shared" ref="D195:S195" si="267">RAND()</f>
        <v>0.235379590174341</v>
      </c>
      <c r="E195" s="11">
        <f ca="1" t="shared" si="267"/>
        <v>0.0886954723023665</v>
      </c>
      <c r="F195" s="11">
        <f ca="1" t="shared" si="267"/>
        <v>0.75854383883</v>
      </c>
      <c r="G195" s="11">
        <f ca="1" t="shared" si="267"/>
        <v>0.396273144944291</v>
      </c>
      <c r="H195" s="11">
        <f ca="1" t="shared" si="267"/>
        <v>0.28341073351424</v>
      </c>
      <c r="I195" s="11">
        <f ca="1" t="shared" si="267"/>
        <v>0.503442477003469</v>
      </c>
      <c r="J195" s="11">
        <f ca="1" t="shared" si="267"/>
        <v>0.584655954687794</v>
      </c>
      <c r="K195" s="11">
        <f ca="1" t="shared" si="267"/>
        <v>0.340582963459272</v>
      </c>
      <c r="L195" s="11">
        <f ca="1" t="shared" si="267"/>
        <v>0.646709084006827</v>
      </c>
      <c r="M195" s="11">
        <f ca="1" t="shared" si="267"/>
        <v>0.735367288159259</v>
      </c>
      <c r="N195" s="11">
        <f ca="1" t="shared" si="267"/>
        <v>0.566633453018292</v>
      </c>
      <c r="O195" s="11">
        <f ca="1" t="shared" si="267"/>
        <v>0.964710609745561</v>
      </c>
      <c r="P195" s="11">
        <f ca="1" t="shared" si="267"/>
        <v>0.175269081777727</v>
      </c>
      <c r="Q195" s="11">
        <f ca="1" t="shared" si="267"/>
        <v>0.770458877914876</v>
      </c>
      <c r="R195" s="11">
        <f ca="1" t="shared" si="267"/>
        <v>0.169978915145461</v>
      </c>
      <c r="S195" s="11">
        <f ca="1" t="shared" si="267"/>
        <v>0.162380246015072</v>
      </c>
      <c r="T195" s="12">
        <f ca="1" t="shared" si="200"/>
        <v>4.39229931695723</v>
      </c>
      <c r="U195" s="12">
        <f ca="1" t="shared" si="201"/>
        <v>4.14782578717061</v>
      </c>
      <c r="V195" s="12">
        <f ca="1" t="shared" si="202"/>
        <v>5.146359597075</v>
      </c>
      <c r="W195" s="12">
        <f ca="1" t="shared" si="203"/>
        <v>4.62034143118036</v>
      </c>
      <c r="X195" s="12">
        <f ca="1" t="shared" si="204"/>
        <v>4.47235122252373</v>
      </c>
      <c r="Y195" s="12">
        <f ca="1" t="shared" si="205"/>
        <v>4.75430309625434</v>
      </c>
      <c r="Z195" s="12">
        <f ca="1" t="shared" si="206"/>
        <v>4.85581994335974</v>
      </c>
      <c r="AA195" s="12">
        <f ca="1" t="shared" si="207"/>
        <v>4.55072870432409</v>
      </c>
      <c r="AB195" s="12">
        <f ca="1" t="shared" si="208"/>
        <v>4.93338635500853</v>
      </c>
      <c r="AC195" s="12">
        <f ca="1" t="shared" si="209"/>
        <v>5.08841822039815</v>
      </c>
      <c r="AD195" s="12">
        <f ca="1" t="shared" si="210"/>
        <v>4.83329181627287</v>
      </c>
      <c r="AE195" s="12">
        <f ca="1" t="shared" si="211"/>
        <v>5.8235530487278</v>
      </c>
      <c r="AF195" s="12">
        <f ca="1" t="shared" si="212"/>
        <v>4.29211513629621</v>
      </c>
      <c r="AG195" s="12">
        <f ca="1" t="shared" si="213"/>
        <v>5.17614719478719</v>
      </c>
      <c r="AH195" s="12">
        <f ca="1" t="shared" si="214"/>
        <v>4.2832981919091</v>
      </c>
      <c r="AI195" s="12">
        <f ca="1" t="shared" si="215"/>
        <v>4.27063374335845</v>
      </c>
      <c r="AJ195" s="12">
        <f ca="1">SUM($T195:T195)</f>
        <v>4.39229931695723</v>
      </c>
      <c r="AK195" s="12">
        <f ca="1">SUM($T195:U195)</f>
        <v>8.54012510412785</v>
      </c>
      <c r="AL195" s="12">
        <f ca="1">SUM($T195:V195)</f>
        <v>13.6864847012028</v>
      </c>
      <c r="AM195" s="12">
        <f ca="1">SUM($T195:W195)</f>
        <v>18.3068261323832</v>
      </c>
      <c r="AN195" s="12">
        <f ca="1">SUM($T195:X195)</f>
        <v>22.7791773549069</v>
      </c>
      <c r="AO195" s="12">
        <f ca="1">SUM($T195:Y195)</f>
        <v>27.5334804511613</v>
      </c>
      <c r="AP195" s="12">
        <f ca="1">SUM($T195:Z195)</f>
        <v>32.389300394521</v>
      </c>
      <c r="AQ195" s="12">
        <f ca="1">SUM($T195:AA195)</f>
        <v>36.9400290988451</v>
      </c>
      <c r="AR195" s="12">
        <f ca="1">SUM($T195:AB195)</f>
        <v>41.8734154538537</v>
      </c>
      <c r="AS195" s="12">
        <f ca="1">SUM($T195:AC195)</f>
        <v>46.9618336742518</v>
      </c>
      <c r="AT195" s="12">
        <f ca="1">SUM($T195:AD195)</f>
        <v>51.7951254905247</v>
      </c>
      <c r="AU195" s="12">
        <f ca="1">SUM($T195:AE195)</f>
        <v>57.6186785392525</v>
      </c>
      <c r="AV195" s="12">
        <f ca="1">SUM($T195:AF195)</f>
        <v>61.9107936755487</v>
      </c>
      <c r="AW195" s="12">
        <f ca="1">SUM($T195:AG195)</f>
        <v>67.0869408703359</v>
      </c>
      <c r="AX195" s="12">
        <f ca="1">SUM($T195:AH195)</f>
        <v>71.370239062245</v>
      </c>
      <c r="AY195" s="12">
        <f ca="1">SUM($T195:AI195)</f>
        <v>75.6408728056034</v>
      </c>
      <c r="AZ195" s="12">
        <f ca="1" t="shared" si="216"/>
        <v>61.2480915217331</v>
      </c>
      <c r="BA195" s="12">
        <f ca="1" t="shared" si="217"/>
        <v>57.1002657345625</v>
      </c>
      <c r="BB195" s="12">
        <f ca="1" t="shared" si="218"/>
        <v>51.9539061374875</v>
      </c>
      <c r="BC195" s="12">
        <f ca="1" t="shared" si="219"/>
        <v>47.3335647063071</v>
      </c>
      <c r="BD195" s="12">
        <f ca="1" t="shared" si="220"/>
        <v>42.8612134837834</v>
      </c>
      <c r="BE195" s="12">
        <f ca="1" t="shared" si="221"/>
        <v>38.1069103875291</v>
      </c>
      <c r="BF195" s="12">
        <f ca="1" t="shared" si="222"/>
        <v>33.2510904441693</v>
      </c>
      <c r="BG195" s="12">
        <f ca="1" t="shared" si="223"/>
        <v>28.7003617398452</v>
      </c>
      <c r="BH195" s="12">
        <f ca="1" t="shared" si="224"/>
        <v>23.7669753848367</v>
      </c>
      <c r="BI195" s="12">
        <f ca="1" t="shared" si="225"/>
        <v>18.6785571644385</v>
      </c>
      <c r="BJ195" s="12">
        <f ca="1" t="shared" si="226"/>
        <v>13.8452653481657</v>
      </c>
      <c r="BK195" s="12">
        <f ca="1" t="shared" si="227"/>
        <v>8.02171229943787</v>
      </c>
      <c r="BL195" s="12">
        <f ca="1" t="shared" si="228"/>
        <v>3.72959716314165</v>
      </c>
      <c r="BM195" s="12">
        <f ca="1" t="shared" si="229"/>
        <v>0</v>
      </c>
      <c r="BN195" s="12">
        <f ca="1" t="shared" si="230"/>
        <v>0</v>
      </c>
      <c r="BO195" s="12">
        <f ca="1" t="shared" si="231"/>
        <v>0</v>
      </c>
    </row>
    <row r="196" spans="1:67">
      <c r="A196" s="3">
        <v>166</v>
      </c>
      <c r="B196" s="11">
        <f ca="1" t="shared" si="197"/>
        <v>0.109086731234742</v>
      </c>
      <c r="C196" s="12">
        <f ca="1" t="shared" si="198"/>
        <v>55.3028910411581</v>
      </c>
      <c r="D196" s="11">
        <f ca="1" t="shared" ref="D196:S196" si="268">RAND()</f>
        <v>0.662056239628366</v>
      </c>
      <c r="E196" s="11">
        <f ca="1" t="shared" si="268"/>
        <v>0.950054892251698</v>
      </c>
      <c r="F196" s="11">
        <f ca="1" t="shared" si="268"/>
        <v>0.745610062433257</v>
      </c>
      <c r="G196" s="11">
        <f ca="1" t="shared" si="268"/>
        <v>0.278588363809211</v>
      </c>
      <c r="H196" s="11">
        <f ca="1" t="shared" si="268"/>
        <v>0.244058393557472</v>
      </c>
      <c r="I196" s="11">
        <f ca="1" t="shared" si="268"/>
        <v>0.751775006120585</v>
      </c>
      <c r="J196" s="11">
        <f ca="1" t="shared" si="268"/>
        <v>0.902677449488342</v>
      </c>
      <c r="K196" s="11">
        <f ca="1" t="shared" si="268"/>
        <v>0.748038230281111</v>
      </c>
      <c r="L196" s="11">
        <f ca="1" t="shared" si="268"/>
        <v>0.281935042891997</v>
      </c>
      <c r="M196" s="11">
        <f ca="1" t="shared" si="268"/>
        <v>0.643835929861964</v>
      </c>
      <c r="N196" s="11">
        <f ca="1" t="shared" si="268"/>
        <v>0.710899443934503</v>
      </c>
      <c r="O196" s="11">
        <f ca="1" t="shared" si="268"/>
        <v>0.325573844120454</v>
      </c>
      <c r="P196" s="11">
        <f ca="1" t="shared" si="268"/>
        <v>0.416012577514296</v>
      </c>
      <c r="Q196" s="11">
        <f ca="1" t="shared" si="268"/>
        <v>0.738550939694634</v>
      </c>
      <c r="R196" s="11">
        <f ca="1" t="shared" si="268"/>
        <v>0.869161262163499</v>
      </c>
      <c r="S196" s="11">
        <f ca="1" t="shared" si="268"/>
        <v>0.253303759723279</v>
      </c>
      <c r="T196" s="12">
        <f ca="1" t="shared" si="200"/>
        <v>4.95257029953546</v>
      </c>
      <c r="U196" s="12">
        <f ca="1" t="shared" si="201"/>
        <v>5.75027446125849</v>
      </c>
      <c r="V196" s="12">
        <f ca="1" t="shared" si="202"/>
        <v>5.11402515608314</v>
      </c>
      <c r="W196" s="12">
        <f ca="1" t="shared" si="203"/>
        <v>4.46431393968202</v>
      </c>
      <c r="X196" s="12">
        <f ca="1" t="shared" si="204"/>
        <v>4.40676398926245</v>
      </c>
      <c r="Y196" s="12">
        <f ca="1" t="shared" si="205"/>
        <v>5.12943751530146</v>
      </c>
      <c r="Z196" s="12">
        <f ca="1" t="shared" si="206"/>
        <v>5.51338724744171</v>
      </c>
      <c r="AA196" s="12">
        <f ca="1" t="shared" si="207"/>
        <v>5.12009557570278</v>
      </c>
      <c r="AB196" s="12">
        <f ca="1" t="shared" si="208"/>
        <v>4.46989173815333</v>
      </c>
      <c r="AC196" s="12">
        <f ca="1" t="shared" si="209"/>
        <v>4.92979491232746</v>
      </c>
      <c r="AD196" s="12">
        <f ca="1" t="shared" si="210"/>
        <v>5.02724860983626</v>
      </c>
      <c r="AE196" s="12">
        <f ca="1" t="shared" si="211"/>
        <v>4.53196730515057</v>
      </c>
      <c r="AF196" s="12">
        <f ca="1" t="shared" si="212"/>
        <v>4.64501572189287</v>
      </c>
      <c r="AG196" s="12">
        <f ca="1" t="shared" si="213"/>
        <v>5.09637734923659</v>
      </c>
      <c r="AH196" s="12">
        <f ca="1" t="shared" si="214"/>
        <v>5.42290315540875</v>
      </c>
      <c r="AI196" s="12">
        <f ca="1" t="shared" si="215"/>
        <v>4.42217293287213</v>
      </c>
      <c r="AJ196" s="12">
        <f ca="1">SUM($T196:T196)</f>
        <v>4.95257029953546</v>
      </c>
      <c r="AK196" s="12">
        <f ca="1">SUM($T196:U196)</f>
        <v>10.7028447607939</v>
      </c>
      <c r="AL196" s="12">
        <f ca="1">SUM($T196:V196)</f>
        <v>15.8168699168771</v>
      </c>
      <c r="AM196" s="12">
        <f ca="1">SUM($T196:W196)</f>
        <v>20.2811838565591</v>
      </c>
      <c r="AN196" s="12">
        <f ca="1">SUM($T196:X196)</f>
        <v>24.6879478458216</v>
      </c>
      <c r="AO196" s="12">
        <f ca="1">SUM($T196:Y196)</f>
        <v>29.817385361123</v>
      </c>
      <c r="AP196" s="12">
        <f ca="1">SUM($T196:Z196)</f>
        <v>35.3307726085647</v>
      </c>
      <c r="AQ196" s="12">
        <f ca="1">SUM($T196:AA196)</f>
        <v>40.4508681842675</v>
      </c>
      <c r="AR196" s="12">
        <f ca="1">SUM($T196:AB196)</f>
        <v>44.9207599224208</v>
      </c>
      <c r="AS196" s="12">
        <f ca="1">SUM($T196:AC196)</f>
        <v>49.8505548347483</v>
      </c>
      <c r="AT196" s="12">
        <f ca="1">SUM($T196:AD196)</f>
        <v>54.8778034445846</v>
      </c>
      <c r="AU196" s="12">
        <f ca="1">SUM($T196:AE196)</f>
        <v>59.4097707497351</v>
      </c>
      <c r="AV196" s="12">
        <f ca="1">SUM($T196:AF196)</f>
        <v>64.054786471628</v>
      </c>
      <c r="AW196" s="12">
        <f ca="1">SUM($T196:AG196)</f>
        <v>69.1511638208646</v>
      </c>
      <c r="AX196" s="12">
        <f ca="1">SUM($T196:AH196)</f>
        <v>74.5740669762733</v>
      </c>
      <c r="AY196" s="12">
        <f ca="1">SUM($T196:AI196)</f>
        <v>78.9962399091455</v>
      </c>
      <c r="AZ196" s="12">
        <f ca="1" t="shared" si="216"/>
        <v>50.3503207416226</v>
      </c>
      <c r="BA196" s="12">
        <f ca="1" t="shared" si="217"/>
        <v>44.6000462803641</v>
      </c>
      <c r="BB196" s="12">
        <f ca="1" t="shared" si="218"/>
        <v>39.486021124281</v>
      </c>
      <c r="BC196" s="12">
        <f ca="1" t="shared" si="219"/>
        <v>35.0217071845989</v>
      </c>
      <c r="BD196" s="12">
        <f ca="1" t="shared" si="220"/>
        <v>30.6149431953365</v>
      </c>
      <c r="BE196" s="12">
        <f ca="1" t="shared" si="221"/>
        <v>25.485505680035</v>
      </c>
      <c r="BF196" s="12">
        <f ca="1" t="shared" si="222"/>
        <v>19.9721184325933</v>
      </c>
      <c r="BG196" s="12">
        <f ca="1" t="shared" si="223"/>
        <v>14.8520228568905</v>
      </c>
      <c r="BH196" s="12">
        <f ca="1" t="shared" si="224"/>
        <v>10.3821311187372</v>
      </c>
      <c r="BI196" s="12">
        <f ca="1" t="shared" si="225"/>
        <v>5.45233620640976</v>
      </c>
      <c r="BJ196" s="12">
        <f ca="1" t="shared" si="226"/>
        <v>0.425087596573505</v>
      </c>
      <c r="BK196" s="12">
        <f ca="1" t="shared" si="227"/>
        <v>0</v>
      </c>
      <c r="BL196" s="12">
        <f ca="1" t="shared" si="228"/>
        <v>0</v>
      </c>
      <c r="BM196" s="12">
        <f ca="1" t="shared" si="229"/>
        <v>0</v>
      </c>
      <c r="BN196" s="12">
        <f ca="1" t="shared" si="230"/>
        <v>0</v>
      </c>
      <c r="BO196" s="12">
        <f ca="1" t="shared" si="231"/>
        <v>0</v>
      </c>
    </row>
    <row r="197" spans="1:67">
      <c r="A197" s="3">
        <v>167</v>
      </c>
      <c r="B197" s="11">
        <f ca="1" t="shared" si="197"/>
        <v>0.210764982659498</v>
      </c>
      <c r="C197" s="12">
        <f ca="1" t="shared" si="198"/>
        <v>58.6921660886499</v>
      </c>
      <c r="D197" s="11">
        <f ca="1" t="shared" ref="D197:S197" si="269">RAND()</f>
        <v>0.968634006572139</v>
      </c>
      <c r="E197" s="11">
        <f ca="1" t="shared" si="269"/>
        <v>0.442073285985956</v>
      </c>
      <c r="F197" s="11">
        <f ca="1" t="shared" si="269"/>
        <v>0.25066090079362</v>
      </c>
      <c r="G197" s="11">
        <f ca="1" t="shared" si="269"/>
        <v>0.475991651560001</v>
      </c>
      <c r="H197" s="11">
        <f ca="1" t="shared" si="269"/>
        <v>0.18645331354146</v>
      </c>
      <c r="I197" s="11">
        <f ca="1" t="shared" si="269"/>
        <v>0.165061473863469</v>
      </c>
      <c r="J197" s="11">
        <f ca="1" t="shared" si="269"/>
        <v>0.957007862702584</v>
      </c>
      <c r="K197" s="11">
        <f ca="1" t="shared" si="269"/>
        <v>0.905290080784869</v>
      </c>
      <c r="L197" s="11">
        <f ca="1" t="shared" si="269"/>
        <v>0.152457715309521</v>
      </c>
      <c r="M197" s="11">
        <f ca="1" t="shared" si="269"/>
        <v>0.964362278342084</v>
      </c>
      <c r="N197" s="11">
        <f ca="1" t="shared" si="269"/>
        <v>0.75155955708508</v>
      </c>
      <c r="O197" s="11">
        <f ca="1" t="shared" si="269"/>
        <v>0.768816249904823</v>
      </c>
      <c r="P197" s="11">
        <f ca="1" t="shared" si="269"/>
        <v>0.251950767273105</v>
      </c>
      <c r="Q197" s="11">
        <f ca="1" t="shared" si="269"/>
        <v>0.28241972988229</v>
      </c>
      <c r="R197" s="11">
        <f ca="1" t="shared" si="269"/>
        <v>0.151428786943846</v>
      </c>
      <c r="S197" s="11">
        <f ca="1" t="shared" si="269"/>
        <v>0.512591036711264</v>
      </c>
      <c r="T197" s="12">
        <f ca="1" t="shared" si="200"/>
        <v>5.8431700328607</v>
      </c>
      <c r="U197" s="12">
        <f ca="1" t="shared" si="201"/>
        <v>4.67759160748244</v>
      </c>
      <c r="V197" s="12">
        <f ca="1" t="shared" si="202"/>
        <v>4.41776816798937</v>
      </c>
      <c r="W197" s="12">
        <f ca="1" t="shared" si="203"/>
        <v>4.71998956445</v>
      </c>
      <c r="X197" s="12">
        <f ca="1" t="shared" si="204"/>
        <v>4.3107555225691</v>
      </c>
      <c r="Y197" s="12">
        <f ca="1" t="shared" si="205"/>
        <v>4.27510245643912</v>
      </c>
      <c r="Z197" s="12">
        <f ca="1" t="shared" si="206"/>
        <v>5.78503931351292</v>
      </c>
      <c r="AA197" s="12">
        <f ca="1" t="shared" si="207"/>
        <v>5.52645040392434</v>
      </c>
      <c r="AB197" s="12">
        <f ca="1" t="shared" si="208"/>
        <v>4.25409619218253</v>
      </c>
      <c r="AC197" s="12">
        <f ca="1" t="shared" si="209"/>
        <v>5.82181139171042</v>
      </c>
      <c r="AD197" s="12">
        <f ca="1" t="shared" si="210"/>
        <v>5.1288988927127</v>
      </c>
      <c r="AE197" s="12">
        <f ca="1" t="shared" si="211"/>
        <v>5.17204062476206</v>
      </c>
      <c r="AF197" s="12">
        <f ca="1" t="shared" si="212"/>
        <v>4.41991794545518</v>
      </c>
      <c r="AG197" s="12">
        <f ca="1" t="shared" si="213"/>
        <v>4.47069954980382</v>
      </c>
      <c r="AH197" s="12">
        <f ca="1" t="shared" si="214"/>
        <v>4.25238131157308</v>
      </c>
      <c r="AI197" s="12">
        <f ca="1" t="shared" si="215"/>
        <v>4.76573879588908</v>
      </c>
      <c r="AJ197" s="12">
        <f ca="1">SUM($T197:T197)</f>
        <v>5.8431700328607</v>
      </c>
      <c r="AK197" s="12">
        <f ca="1">SUM($T197:U197)</f>
        <v>10.5207616403431</v>
      </c>
      <c r="AL197" s="12">
        <f ca="1">SUM($T197:V197)</f>
        <v>14.9385298083325</v>
      </c>
      <c r="AM197" s="12">
        <f ca="1">SUM($T197:W197)</f>
        <v>19.6585193727825</v>
      </c>
      <c r="AN197" s="12">
        <f ca="1">SUM($T197:X197)</f>
        <v>23.9692748953516</v>
      </c>
      <c r="AO197" s="12">
        <f ca="1">SUM($T197:Y197)</f>
        <v>28.2443773517907</v>
      </c>
      <c r="AP197" s="12">
        <f ca="1">SUM($T197:Z197)</f>
        <v>34.0294166653036</v>
      </c>
      <c r="AQ197" s="12">
        <f ca="1">SUM($T197:AA197)</f>
        <v>39.555867069228</v>
      </c>
      <c r="AR197" s="12">
        <f ca="1">SUM($T197:AB197)</f>
        <v>43.8099632614105</v>
      </c>
      <c r="AS197" s="12">
        <f ca="1">SUM($T197:AC197)</f>
        <v>49.6317746531209</v>
      </c>
      <c r="AT197" s="12">
        <f ca="1">SUM($T197:AD197)</f>
        <v>54.7606735458336</v>
      </c>
      <c r="AU197" s="12">
        <f ca="1">SUM($T197:AE197)</f>
        <v>59.9327141705957</v>
      </c>
      <c r="AV197" s="12">
        <f ca="1">SUM($T197:AF197)</f>
        <v>64.3526321160509</v>
      </c>
      <c r="AW197" s="12">
        <f ca="1">SUM($T197:AG197)</f>
        <v>68.8233316658547</v>
      </c>
      <c r="AX197" s="12">
        <f ca="1">SUM($T197:AH197)</f>
        <v>73.0757129774278</v>
      </c>
      <c r="AY197" s="12">
        <f ca="1">SUM($T197:AI197)</f>
        <v>77.8414517733168</v>
      </c>
      <c r="AZ197" s="12">
        <f ca="1" t="shared" si="216"/>
        <v>52.8489960557892</v>
      </c>
      <c r="BA197" s="12">
        <f ca="1" t="shared" si="217"/>
        <v>48.1714044483068</v>
      </c>
      <c r="BB197" s="12">
        <f ca="1" t="shared" si="218"/>
        <v>43.7536362803174</v>
      </c>
      <c r="BC197" s="12">
        <f ca="1" t="shared" si="219"/>
        <v>39.0336467158674</v>
      </c>
      <c r="BD197" s="12">
        <f ca="1" t="shared" si="220"/>
        <v>34.7228911932983</v>
      </c>
      <c r="BE197" s="12">
        <f ca="1" t="shared" si="221"/>
        <v>30.4477887368592</v>
      </c>
      <c r="BF197" s="12">
        <f ca="1" t="shared" si="222"/>
        <v>24.6627494233463</v>
      </c>
      <c r="BG197" s="12">
        <f ca="1" t="shared" si="223"/>
        <v>19.136299019422</v>
      </c>
      <c r="BH197" s="12">
        <f ca="1" t="shared" si="224"/>
        <v>14.8822028272394</v>
      </c>
      <c r="BI197" s="12">
        <f ca="1" t="shared" si="225"/>
        <v>9.060391435529</v>
      </c>
      <c r="BJ197" s="12">
        <f ca="1" t="shared" si="226"/>
        <v>3.9314925428163</v>
      </c>
      <c r="BK197" s="12">
        <f ca="1" t="shared" si="227"/>
        <v>0</v>
      </c>
      <c r="BL197" s="12">
        <f ca="1" t="shared" si="228"/>
        <v>0</v>
      </c>
      <c r="BM197" s="12">
        <f ca="1" t="shared" si="229"/>
        <v>0</v>
      </c>
      <c r="BN197" s="12">
        <f ca="1" t="shared" si="230"/>
        <v>0</v>
      </c>
      <c r="BO197" s="12">
        <f ca="1" t="shared" si="231"/>
        <v>0</v>
      </c>
    </row>
    <row r="198" spans="1:67">
      <c r="A198" s="3">
        <v>168</v>
      </c>
      <c r="B198" s="11">
        <f ca="1" t="shared" si="197"/>
        <v>0.253304232380399</v>
      </c>
      <c r="C198" s="12">
        <f ca="1" t="shared" si="198"/>
        <v>60.0550705396733</v>
      </c>
      <c r="D198" s="11">
        <f ca="1" t="shared" ref="D198:S198" si="270">RAND()</f>
        <v>0.404870875974074</v>
      </c>
      <c r="E198" s="11">
        <f ca="1" t="shared" si="270"/>
        <v>0.812827183629831</v>
      </c>
      <c r="F198" s="11">
        <f ca="1" t="shared" si="270"/>
        <v>0.235380450421723</v>
      </c>
      <c r="G198" s="11">
        <f ca="1" t="shared" si="270"/>
        <v>0.424474519046882</v>
      </c>
      <c r="H198" s="11">
        <f ca="1" t="shared" si="270"/>
        <v>0.307335287974922</v>
      </c>
      <c r="I198" s="11">
        <f ca="1" t="shared" si="270"/>
        <v>0.832852645326877</v>
      </c>
      <c r="J198" s="11">
        <f ca="1" t="shared" si="270"/>
        <v>0.660441751955003</v>
      </c>
      <c r="K198" s="11">
        <f ca="1" t="shared" si="270"/>
        <v>0.96457919206365</v>
      </c>
      <c r="L198" s="11">
        <f ca="1" t="shared" si="270"/>
        <v>0.0969292028728179</v>
      </c>
      <c r="M198" s="11">
        <f ca="1" t="shared" si="270"/>
        <v>0.208129305284626</v>
      </c>
      <c r="N198" s="11">
        <f ca="1" t="shared" si="270"/>
        <v>0.661538661944098</v>
      </c>
      <c r="O198" s="11">
        <f ca="1" t="shared" si="270"/>
        <v>0.39630077759067</v>
      </c>
      <c r="P198" s="11">
        <f ca="1" t="shared" si="270"/>
        <v>0.289791257387069</v>
      </c>
      <c r="Q198" s="11">
        <f ca="1" t="shared" si="270"/>
        <v>0.283395630512524</v>
      </c>
      <c r="R198" s="11">
        <f ca="1" t="shared" si="270"/>
        <v>0.530409193824669</v>
      </c>
      <c r="S198" s="11">
        <f ca="1" t="shared" si="270"/>
        <v>0.615056722780209</v>
      </c>
      <c r="T198" s="12">
        <f ca="1" t="shared" si="200"/>
        <v>4.63108859496759</v>
      </c>
      <c r="U198" s="12">
        <f ca="1" t="shared" si="201"/>
        <v>5.28206795907458</v>
      </c>
      <c r="V198" s="12">
        <f ca="1" t="shared" si="202"/>
        <v>4.39230075070287</v>
      </c>
      <c r="W198" s="12">
        <f ca="1" t="shared" si="203"/>
        <v>4.6555931488086</v>
      </c>
      <c r="X198" s="12">
        <f ca="1" t="shared" si="204"/>
        <v>4.50916910996865</v>
      </c>
      <c r="Y198" s="12">
        <f ca="1" t="shared" si="205"/>
        <v>5.33213161331719</v>
      </c>
      <c r="Z198" s="12">
        <f ca="1" t="shared" si="206"/>
        <v>4.95055218994375</v>
      </c>
      <c r="AA198" s="12">
        <f ca="1" t="shared" si="207"/>
        <v>5.82289596031825</v>
      </c>
      <c r="AB198" s="12">
        <f ca="1" t="shared" si="208"/>
        <v>4.1615486714547</v>
      </c>
      <c r="AC198" s="12">
        <f ca="1" t="shared" si="209"/>
        <v>4.34688217547438</v>
      </c>
      <c r="AD198" s="12">
        <f ca="1" t="shared" si="210"/>
        <v>4.95192332743012</v>
      </c>
      <c r="AE198" s="12">
        <f ca="1" t="shared" si="211"/>
        <v>4.62037597198834</v>
      </c>
      <c r="AF198" s="12">
        <f ca="1" t="shared" si="212"/>
        <v>4.48298542897845</v>
      </c>
      <c r="AG198" s="12">
        <f ca="1" t="shared" si="213"/>
        <v>4.47232605085421</v>
      </c>
      <c r="AH198" s="12">
        <f ca="1" t="shared" si="214"/>
        <v>4.78801149228084</v>
      </c>
      <c r="AI198" s="12">
        <f ca="1" t="shared" si="215"/>
        <v>4.89382090347526</v>
      </c>
      <c r="AJ198" s="12">
        <f ca="1">SUM($T198:T198)</f>
        <v>4.63108859496759</v>
      </c>
      <c r="AK198" s="12">
        <f ca="1">SUM($T198:U198)</f>
        <v>9.91315655404217</v>
      </c>
      <c r="AL198" s="12">
        <f ca="1">SUM($T198:V198)</f>
        <v>14.305457304745</v>
      </c>
      <c r="AM198" s="12">
        <f ca="1">SUM($T198:W198)</f>
        <v>18.9610504535536</v>
      </c>
      <c r="AN198" s="12">
        <f ca="1">SUM($T198:X198)</f>
        <v>23.4702195635223</v>
      </c>
      <c r="AO198" s="12">
        <f ca="1">SUM($T198:Y198)</f>
        <v>28.8023511768395</v>
      </c>
      <c r="AP198" s="12">
        <f ca="1">SUM($T198:Z198)</f>
        <v>33.7529033667832</v>
      </c>
      <c r="AQ198" s="12">
        <f ca="1">SUM($T198:AA198)</f>
        <v>39.5757993271015</v>
      </c>
      <c r="AR198" s="12">
        <f ca="1">SUM($T198:AB198)</f>
        <v>43.7373479985562</v>
      </c>
      <c r="AS198" s="12">
        <f ca="1">SUM($T198:AC198)</f>
        <v>48.0842301740306</v>
      </c>
      <c r="AT198" s="12">
        <f ca="1">SUM($T198:AD198)</f>
        <v>53.0361535014607</v>
      </c>
      <c r="AU198" s="12">
        <f ca="1">SUM($T198:AE198)</f>
        <v>57.656529473449</v>
      </c>
      <c r="AV198" s="12">
        <f ca="1">SUM($T198:AF198)</f>
        <v>62.1395149024275</v>
      </c>
      <c r="AW198" s="12">
        <f ca="1">SUM($T198:AG198)</f>
        <v>66.6118409532817</v>
      </c>
      <c r="AX198" s="12">
        <f ca="1">SUM($T198:AH198)</f>
        <v>71.3998524455625</v>
      </c>
      <c r="AY198" s="12">
        <f ca="1">SUM($T198:AI198)</f>
        <v>76.2936733490378</v>
      </c>
      <c r="AZ198" s="12">
        <f ca="1" t="shared" si="216"/>
        <v>55.4239819447057</v>
      </c>
      <c r="BA198" s="12">
        <f ca="1" t="shared" si="217"/>
        <v>50.1419139856311</v>
      </c>
      <c r="BB198" s="12">
        <f ca="1" t="shared" si="218"/>
        <v>45.7496132349283</v>
      </c>
      <c r="BC198" s="12">
        <f ca="1" t="shared" si="219"/>
        <v>41.0940200861197</v>
      </c>
      <c r="BD198" s="12">
        <f ca="1" t="shared" si="220"/>
        <v>36.584850976151</v>
      </c>
      <c r="BE198" s="12">
        <f ca="1" t="shared" si="221"/>
        <v>31.2527193628338</v>
      </c>
      <c r="BF198" s="12">
        <f ca="1" t="shared" si="222"/>
        <v>26.3021671728901</v>
      </c>
      <c r="BG198" s="12">
        <f ca="1" t="shared" si="223"/>
        <v>20.4792712125718</v>
      </c>
      <c r="BH198" s="12">
        <f ca="1" t="shared" si="224"/>
        <v>16.3177225411171</v>
      </c>
      <c r="BI198" s="12">
        <f ca="1" t="shared" si="225"/>
        <v>11.9708403656428</v>
      </c>
      <c r="BJ198" s="12">
        <f ca="1" t="shared" si="226"/>
        <v>7.01891703821263</v>
      </c>
      <c r="BK198" s="12">
        <f ca="1" t="shared" si="227"/>
        <v>2.3985410662243</v>
      </c>
      <c r="BL198" s="12">
        <f ca="1" t="shared" si="228"/>
        <v>0</v>
      </c>
      <c r="BM198" s="12">
        <f ca="1" t="shared" si="229"/>
        <v>0</v>
      </c>
      <c r="BN198" s="12">
        <f ca="1" t="shared" si="230"/>
        <v>0</v>
      </c>
      <c r="BO198" s="12">
        <f ca="1" t="shared" si="231"/>
        <v>0</v>
      </c>
    </row>
    <row r="199" spans="1:67">
      <c r="A199" s="3">
        <v>169</v>
      </c>
      <c r="B199" s="11">
        <f ca="1" t="shared" si="197"/>
        <v>0.512988448358799</v>
      </c>
      <c r="C199" s="12">
        <f ca="1" t="shared" si="198"/>
        <v>64.38314080598</v>
      </c>
      <c r="D199" s="11">
        <f ca="1" t="shared" ref="D199:S199" si="271">RAND()</f>
        <v>0.584663366436605</v>
      </c>
      <c r="E199" s="11">
        <f ca="1" t="shared" si="271"/>
        <v>0.891473725669891</v>
      </c>
      <c r="F199" s="11">
        <f ca="1" t="shared" si="271"/>
        <v>0.81347778907101</v>
      </c>
      <c r="G199" s="11">
        <f ca="1" t="shared" si="271"/>
        <v>0.623565393749281</v>
      </c>
      <c r="H199" s="11">
        <f ca="1" t="shared" si="271"/>
        <v>0.478073531775602</v>
      </c>
      <c r="I199" s="11">
        <f ca="1" t="shared" si="271"/>
        <v>0.406891396706711</v>
      </c>
      <c r="J199" s="11">
        <f ca="1" t="shared" si="271"/>
        <v>0.891471586063596</v>
      </c>
      <c r="K199" s="11">
        <f ca="1" t="shared" si="271"/>
        <v>0.605084559311579</v>
      </c>
      <c r="L199" s="11">
        <f ca="1" t="shared" si="271"/>
        <v>0.630596520307473</v>
      </c>
      <c r="M199" s="11">
        <f ca="1" t="shared" si="271"/>
        <v>0.23155277014265</v>
      </c>
      <c r="N199" s="11">
        <f ca="1" t="shared" si="271"/>
        <v>0.566632803549945</v>
      </c>
      <c r="O199" s="11">
        <f ca="1" t="shared" si="271"/>
        <v>0.505758734694575</v>
      </c>
      <c r="P199" s="11">
        <f ca="1" t="shared" si="271"/>
        <v>0.378954630554673</v>
      </c>
      <c r="Q199" s="11">
        <f ca="1" t="shared" si="271"/>
        <v>0.162198021235705</v>
      </c>
      <c r="R199" s="11">
        <f ca="1" t="shared" si="271"/>
        <v>0.278582092050163</v>
      </c>
      <c r="S199" s="11">
        <f ca="1" t="shared" si="271"/>
        <v>0.605084889332646</v>
      </c>
      <c r="T199" s="12">
        <f ca="1" t="shared" si="200"/>
        <v>4.85582920804576</v>
      </c>
      <c r="U199" s="12">
        <f ca="1" t="shared" si="201"/>
        <v>5.47868431417473</v>
      </c>
      <c r="V199" s="12">
        <f ca="1" t="shared" si="202"/>
        <v>5.28369447267752</v>
      </c>
      <c r="W199" s="12">
        <f ca="1" t="shared" si="203"/>
        <v>4.9044567421866</v>
      </c>
      <c r="X199" s="12">
        <f ca="1" t="shared" si="204"/>
        <v>4.7225919147195</v>
      </c>
      <c r="Y199" s="12">
        <f ca="1" t="shared" si="205"/>
        <v>4.63361424588339</v>
      </c>
      <c r="Z199" s="12">
        <f ca="1" t="shared" si="206"/>
        <v>5.47867896515899</v>
      </c>
      <c r="AA199" s="12">
        <f ca="1" t="shared" si="207"/>
        <v>4.88135569913947</v>
      </c>
      <c r="AB199" s="12">
        <f ca="1" t="shared" si="208"/>
        <v>4.91324565038434</v>
      </c>
      <c r="AC199" s="12">
        <f ca="1" t="shared" si="209"/>
        <v>4.38592128357108</v>
      </c>
      <c r="AD199" s="12">
        <f ca="1" t="shared" si="210"/>
        <v>4.83329100443743</v>
      </c>
      <c r="AE199" s="12">
        <f ca="1" t="shared" si="211"/>
        <v>4.75719841836822</v>
      </c>
      <c r="AF199" s="12">
        <f ca="1" t="shared" si="212"/>
        <v>4.59869328819334</v>
      </c>
      <c r="AG199" s="12">
        <f ca="1" t="shared" si="213"/>
        <v>4.27033003539284</v>
      </c>
      <c r="AH199" s="12">
        <f ca="1" t="shared" si="214"/>
        <v>4.46430348675027</v>
      </c>
      <c r="AI199" s="12">
        <f ca="1" t="shared" si="215"/>
        <v>4.88135611166581</v>
      </c>
      <c r="AJ199" s="12">
        <f ca="1">SUM($T199:T199)</f>
        <v>4.85582920804576</v>
      </c>
      <c r="AK199" s="12">
        <f ca="1">SUM($T199:U199)</f>
        <v>10.3345135222205</v>
      </c>
      <c r="AL199" s="12">
        <f ca="1">SUM($T199:V199)</f>
        <v>15.618207994898</v>
      </c>
      <c r="AM199" s="12">
        <f ca="1">SUM($T199:W199)</f>
        <v>20.5226647370846</v>
      </c>
      <c r="AN199" s="12">
        <f ca="1">SUM($T199:X199)</f>
        <v>25.2452566518041</v>
      </c>
      <c r="AO199" s="12">
        <f ca="1">SUM($T199:Y199)</f>
        <v>29.8788708976875</v>
      </c>
      <c r="AP199" s="12">
        <f ca="1">SUM($T199:Z199)</f>
        <v>35.3575498628465</v>
      </c>
      <c r="AQ199" s="12">
        <f ca="1">SUM($T199:AA199)</f>
        <v>40.238905561986</v>
      </c>
      <c r="AR199" s="12">
        <f ca="1">SUM($T199:AB199)</f>
        <v>45.1521512123703</v>
      </c>
      <c r="AS199" s="12">
        <f ca="1">SUM($T199:AC199)</f>
        <v>49.5380724959414</v>
      </c>
      <c r="AT199" s="12">
        <f ca="1">SUM($T199:AD199)</f>
        <v>54.3713635003788</v>
      </c>
      <c r="AU199" s="12">
        <f ca="1">SUM($T199:AE199)</f>
        <v>59.128561918747</v>
      </c>
      <c r="AV199" s="12">
        <f ca="1">SUM($T199:AF199)</f>
        <v>63.7272552069404</v>
      </c>
      <c r="AW199" s="12">
        <f ca="1">SUM($T199:AG199)</f>
        <v>67.9975852423332</v>
      </c>
      <c r="AX199" s="12">
        <f ca="1">SUM($T199:AH199)</f>
        <v>72.4618887290835</v>
      </c>
      <c r="AY199" s="12">
        <f ca="1">SUM($T199:AI199)</f>
        <v>77.3432448407493</v>
      </c>
      <c r="AZ199" s="12">
        <f ca="1" t="shared" si="216"/>
        <v>59.5273115979342</v>
      </c>
      <c r="BA199" s="12">
        <f ca="1" t="shared" si="217"/>
        <v>54.0486272837595</v>
      </c>
      <c r="BB199" s="12">
        <f ca="1" t="shared" si="218"/>
        <v>48.764932811082</v>
      </c>
      <c r="BC199" s="12">
        <f ca="1" t="shared" si="219"/>
        <v>43.8604760688954</v>
      </c>
      <c r="BD199" s="12">
        <f ca="1" t="shared" si="220"/>
        <v>39.1378841541759</v>
      </c>
      <c r="BE199" s="12">
        <f ca="1" t="shared" si="221"/>
        <v>34.5042699082925</v>
      </c>
      <c r="BF199" s="12">
        <f ca="1" t="shared" si="222"/>
        <v>29.0255909431335</v>
      </c>
      <c r="BG199" s="12">
        <f ca="1" t="shared" si="223"/>
        <v>24.144235243994</v>
      </c>
      <c r="BH199" s="12">
        <f ca="1" t="shared" si="224"/>
        <v>19.2309895936097</v>
      </c>
      <c r="BI199" s="12">
        <f ca="1" t="shared" si="225"/>
        <v>14.8450683100386</v>
      </c>
      <c r="BJ199" s="12">
        <f ca="1" t="shared" si="226"/>
        <v>10.0117773056012</v>
      </c>
      <c r="BK199" s="12">
        <f ca="1" t="shared" si="227"/>
        <v>5.25457888723294</v>
      </c>
      <c r="BL199" s="12">
        <f ca="1" t="shared" si="228"/>
        <v>0.655885599039593</v>
      </c>
      <c r="BM199" s="12">
        <f ca="1" t="shared" si="229"/>
        <v>0</v>
      </c>
      <c r="BN199" s="12">
        <f ca="1" t="shared" si="230"/>
        <v>0</v>
      </c>
      <c r="BO199" s="12">
        <f ca="1" t="shared" si="231"/>
        <v>0</v>
      </c>
    </row>
    <row r="200" spans="1:67">
      <c r="A200" s="3">
        <v>170</v>
      </c>
      <c r="B200" s="11">
        <f ca="1" t="shared" si="197"/>
        <v>0.0952173120890258</v>
      </c>
      <c r="C200" s="12">
        <f ca="1" t="shared" si="198"/>
        <v>54.7608656044513</v>
      </c>
      <c r="D200" s="11">
        <f ca="1" t="shared" ref="D200:S200" si="272">RAND()</f>
        <v>0.325564190709128</v>
      </c>
      <c r="E200" s="11">
        <f ca="1" t="shared" si="272"/>
        <v>0.106332500803667</v>
      </c>
      <c r="F200" s="11">
        <f ca="1" t="shared" si="272"/>
        <v>0.758519979826296</v>
      </c>
      <c r="G200" s="11">
        <f ca="1" t="shared" si="272"/>
        <v>0.735362922642898</v>
      </c>
      <c r="H200" s="11">
        <f ca="1" t="shared" si="272"/>
        <v>0.62866502606435</v>
      </c>
      <c r="I200" s="11">
        <f ca="1" t="shared" si="272"/>
        <v>0.770462690032814</v>
      </c>
      <c r="J200" s="11">
        <f ca="1" t="shared" si="272"/>
        <v>0.873874199089266</v>
      </c>
      <c r="K200" s="11">
        <f ca="1" t="shared" si="272"/>
        <v>0.40445342147277</v>
      </c>
      <c r="L200" s="11">
        <f ca="1" t="shared" si="272"/>
        <v>0.329206702208964</v>
      </c>
      <c r="M200" s="11">
        <f ca="1" t="shared" si="272"/>
        <v>0.95007259941323</v>
      </c>
      <c r="N200" s="11">
        <f ca="1" t="shared" si="272"/>
        <v>0.375232234487414</v>
      </c>
      <c r="O200" s="11">
        <f ca="1" t="shared" si="272"/>
        <v>0.630585815809492</v>
      </c>
      <c r="P200" s="11">
        <f ca="1" t="shared" si="272"/>
        <v>0.147212215078086</v>
      </c>
      <c r="Q200" s="11">
        <f ca="1" t="shared" si="272"/>
        <v>0.104492204648437</v>
      </c>
      <c r="R200" s="11">
        <f ca="1" t="shared" si="272"/>
        <v>0.287830486576454</v>
      </c>
      <c r="S200" s="11">
        <f ca="1" t="shared" si="272"/>
        <v>0.505748357421874</v>
      </c>
      <c r="T200" s="12">
        <f ca="1" t="shared" si="200"/>
        <v>4.53195523838641</v>
      </c>
      <c r="U200" s="12">
        <f ca="1" t="shared" si="201"/>
        <v>4.17722083467278</v>
      </c>
      <c r="V200" s="12">
        <f ca="1" t="shared" si="202"/>
        <v>5.14629994956574</v>
      </c>
      <c r="W200" s="12">
        <f ca="1" t="shared" si="203"/>
        <v>5.08840730660725</v>
      </c>
      <c r="X200" s="12">
        <f ca="1" t="shared" si="204"/>
        <v>4.91083128258044</v>
      </c>
      <c r="Y200" s="12">
        <f ca="1" t="shared" si="205"/>
        <v>5.17615672508204</v>
      </c>
      <c r="Z200" s="12">
        <f ca="1" t="shared" si="206"/>
        <v>5.43468549772317</v>
      </c>
      <c r="AA200" s="12">
        <f ca="1" t="shared" si="207"/>
        <v>4.63056677684096</v>
      </c>
      <c r="AB200" s="12">
        <f ca="1" t="shared" si="208"/>
        <v>4.5365083777612</v>
      </c>
      <c r="AC200" s="12">
        <f ca="1" t="shared" si="209"/>
        <v>5.75036299706615</v>
      </c>
      <c r="AD200" s="12">
        <f ca="1" t="shared" si="210"/>
        <v>4.59404029310927</v>
      </c>
      <c r="AE200" s="12">
        <f ca="1" t="shared" si="211"/>
        <v>4.91323226976186</v>
      </c>
      <c r="AF200" s="12">
        <f ca="1" t="shared" si="212"/>
        <v>4.24535369179681</v>
      </c>
      <c r="AG200" s="12">
        <f ca="1" t="shared" si="213"/>
        <v>4.17415367441406</v>
      </c>
      <c r="AH200" s="12">
        <f ca="1" t="shared" si="214"/>
        <v>4.47971747762742</v>
      </c>
      <c r="AI200" s="12">
        <f ca="1" t="shared" si="215"/>
        <v>4.75718544677734</v>
      </c>
      <c r="AJ200" s="12">
        <f ca="1">SUM($T200:T200)</f>
        <v>4.53195523838641</v>
      </c>
      <c r="AK200" s="12">
        <f ca="1">SUM($T200:U200)</f>
        <v>8.70917607305919</v>
      </c>
      <c r="AL200" s="12">
        <f ca="1">SUM($T200:V200)</f>
        <v>13.8554760226249</v>
      </c>
      <c r="AM200" s="12">
        <f ca="1">SUM($T200:W200)</f>
        <v>18.9438833292322</v>
      </c>
      <c r="AN200" s="12">
        <f ca="1">SUM($T200:X200)</f>
        <v>23.8547146118126</v>
      </c>
      <c r="AO200" s="12">
        <f ca="1">SUM($T200:Y200)</f>
        <v>29.0308713368946</v>
      </c>
      <c r="AP200" s="12">
        <f ca="1">SUM($T200:Z200)</f>
        <v>34.4655568346178</v>
      </c>
      <c r="AQ200" s="12">
        <f ca="1">SUM($T200:AA200)</f>
        <v>39.0961236114588</v>
      </c>
      <c r="AR200" s="12">
        <f ca="1">SUM($T200:AB200)</f>
        <v>43.63263198922</v>
      </c>
      <c r="AS200" s="12">
        <f ca="1">SUM($T200:AC200)</f>
        <v>49.3829949862861</v>
      </c>
      <c r="AT200" s="12">
        <f ca="1">SUM($T200:AD200)</f>
        <v>53.9770352793954</v>
      </c>
      <c r="AU200" s="12">
        <f ca="1">SUM($T200:AE200)</f>
        <v>58.8902675491573</v>
      </c>
      <c r="AV200" s="12">
        <f ca="1">SUM($T200:AF200)</f>
        <v>63.1356212409541</v>
      </c>
      <c r="AW200" s="12">
        <f ca="1">SUM($T200:AG200)</f>
        <v>67.3097749153681</v>
      </c>
      <c r="AX200" s="12">
        <f ca="1">SUM($T200:AH200)</f>
        <v>71.7894923929956</v>
      </c>
      <c r="AY200" s="12">
        <f ca="1">SUM($T200:AI200)</f>
        <v>76.5466778397729</v>
      </c>
      <c r="AZ200" s="12">
        <f ca="1" t="shared" si="216"/>
        <v>50.2289103660649</v>
      </c>
      <c r="BA200" s="12">
        <f ca="1" t="shared" si="217"/>
        <v>46.0516895313921</v>
      </c>
      <c r="BB200" s="12">
        <f ca="1" t="shared" si="218"/>
        <v>40.9053895818264</v>
      </c>
      <c r="BC200" s="12">
        <f ca="1" t="shared" si="219"/>
        <v>35.8169822752191</v>
      </c>
      <c r="BD200" s="12">
        <f ca="1" t="shared" si="220"/>
        <v>30.9061509926387</v>
      </c>
      <c r="BE200" s="12">
        <f ca="1" t="shared" si="221"/>
        <v>25.7299942675566</v>
      </c>
      <c r="BF200" s="12">
        <f ca="1" t="shared" si="222"/>
        <v>20.2953087698335</v>
      </c>
      <c r="BG200" s="12">
        <f ca="1" t="shared" si="223"/>
        <v>15.6647419929925</v>
      </c>
      <c r="BH200" s="12">
        <f ca="1" t="shared" si="224"/>
        <v>11.1282336152313</v>
      </c>
      <c r="BI200" s="12">
        <f ca="1" t="shared" si="225"/>
        <v>5.37787061816515</v>
      </c>
      <c r="BJ200" s="12">
        <f ca="1" t="shared" si="226"/>
        <v>0.783830325055881</v>
      </c>
      <c r="BK200" s="12">
        <f ca="1" t="shared" si="227"/>
        <v>0</v>
      </c>
      <c r="BL200" s="12">
        <f ca="1" t="shared" si="228"/>
        <v>0</v>
      </c>
      <c r="BM200" s="12">
        <f ca="1" t="shared" si="229"/>
        <v>0</v>
      </c>
      <c r="BN200" s="12">
        <f ca="1" t="shared" si="230"/>
        <v>0</v>
      </c>
      <c r="BO200" s="12">
        <f ca="1" t="shared" si="231"/>
        <v>0</v>
      </c>
    </row>
    <row r="201" spans="1:67">
      <c r="A201" s="3">
        <v>171</v>
      </c>
      <c r="B201" s="11">
        <f ca="1" t="shared" si="197"/>
        <v>0.971617337271261</v>
      </c>
      <c r="C201" s="12">
        <f ca="1" t="shared" si="198"/>
        <v>79.4760835794538</v>
      </c>
      <c r="D201" s="11">
        <f ca="1" t="shared" ref="D201:S201" si="273">RAND()</f>
        <v>0.751798564945563</v>
      </c>
      <c r="E201" s="11">
        <f ca="1" t="shared" si="273"/>
        <v>0.212890297350886</v>
      </c>
      <c r="F201" s="11">
        <f ca="1" t="shared" si="273"/>
        <v>0.703596486431777</v>
      </c>
      <c r="G201" s="11">
        <f ca="1" t="shared" si="273"/>
        <v>0.162186880540427</v>
      </c>
      <c r="H201" s="11">
        <f ca="1" t="shared" si="273"/>
        <v>0.713706089075454</v>
      </c>
      <c r="I201" s="11">
        <f ca="1" t="shared" si="273"/>
        <v>0.871327369516268</v>
      </c>
      <c r="J201" s="11">
        <f ca="1" t="shared" si="273"/>
        <v>0.106348252096843</v>
      </c>
      <c r="K201" s="11">
        <f ca="1" t="shared" si="273"/>
        <v>0.0887024436229114</v>
      </c>
      <c r="L201" s="11">
        <f ca="1" t="shared" si="273"/>
        <v>0.758538655308647</v>
      </c>
      <c r="M201" s="11">
        <f ca="1" t="shared" si="273"/>
        <v>0.503430768487002</v>
      </c>
      <c r="N201" s="11">
        <f ca="1" t="shared" si="273"/>
        <v>0.909310160840195</v>
      </c>
      <c r="O201" s="11">
        <f ca="1" t="shared" si="273"/>
        <v>0.902649004082936</v>
      </c>
      <c r="P201" s="11">
        <f ca="1" t="shared" si="273"/>
        <v>0.293869857603146</v>
      </c>
      <c r="Q201" s="11">
        <f ca="1" t="shared" si="273"/>
        <v>0.646702711723148</v>
      </c>
      <c r="R201" s="11">
        <f ca="1" t="shared" si="273"/>
        <v>0.411228655905459</v>
      </c>
      <c r="S201" s="11">
        <f ca="1" t="shared" si="273"/>
        <v>0.762634884540769</v>
      </c>
      <c r="T201" s="12">
        <f ca="1" t="shared" si="200"/>
        <v>5.12949641236391</v>
      </c>
      <c r="U201" s="12">
        <f ca="1" t="shared" si="201"/>
        <v>4.35481716225148</v>
      </c>
      <c r="V201" s="12">
        <f ca="1" t="shared" si="202"/>
        <v>5.00899121607944</v>
      </c>
      <c r="W201" s="12">
        <f ca="1" t="shared" si="203"/>
        <v>4.27031146756738</v>
      </c>
      <c r="X201" s="12">
        <f ca="1" t="shared" si="204"/>
        <v>5.03426522268864</v>
      </c>
      <c r="Y201" s="12">
        <f ca="1" t="shared" si="205"/>
        <v>5.42831842379067</v>
      </c>
      <c r="Z201" s="12">
        <f ca="1" t="shared" si="206"/>
        <v>4.17724708682807</v>
      </c>
      <c r="AA201" s="12">
        <f ca="1" t="shared" si="207"/>
        <v>4.14783740603819</v>
      </c>
      <c r="AB201" s="12">
        <f ca="1" t="shared" si="208"/>
        <v>5.14634663827162</v>
      </c>
      <c r="AC201" s="12">
        <f ca="1" t="shared" si="209"/>
        <v>4.75428846060875</v>
      </c>
      <c r="AD201" s="12">
        <f ca="1" t="shared" si="210"/>
        <v>5.54655080420098</v>
      </c>
      <c r="AE201" s="12">
        <f ca="1" t="shared" si="211"/>
        <v>5.51324502041468</v>
      </c>
      <c r="AF201" s="12">
        <f ca="1" t="shared" si="212"/>
        <v>4.48978309600524</v>
      </c>
      <c r="AG201" s="12">
        <f ca="1" t="shared" si="213"/>
        <v>4.93337838965394</v>
      </c>
      <c r="AH201" s="12">
        <f ca="1" t="shared" si="214"/>
        <v>4.63903581988182</v>
      </c>
      <c r="AI201" s="12">
        <f ca="1" t="shared" si="215"/>
        <v>5.15658721135192</v>
      </c>
      <c r="AJ201" s="12">
        <f ca="1">SUM($T201:T201)</f>
        <v>5.12949641236391</v>
      </c>
      <c r="AK201" s="12">
        <f ca="1">SUM($T201:U201)</f>
        <v>9.48431357461538</v>
      </c>
      <c r="AL201" s="12">
        <f ca="1">SUM($T201:V201)</f>
        <v>14.4933047906948</v>
      </c>
      <c r="AM201" s="12">
        <f ca="1">SUM($T201:W201)</f>
        <v>18.7636162582622</v>
      </c>
      <c r="AN201" s="12">
        <f ca="1">SUM($T201:X201)</f>
        <v>23.7978814809508</v>
      </c>
      <c r="AO201" s="12">
        <f ca="1">SUM($T201:Y201)</f>
        <v>29.2261999047415</v>
      </c>
      <c r="AP201" s="12">
        <f ca="1">SUM($T201:Z201)</f>
        <v>33.4034469915696</v>
      </c>
      <c r="AQ201" s="12">
        <f ca="1">SUM($T201:AA201)</f>
        <v>37.5512843976078</v>
      </c>
      <c r="AR201" s="12">
        <f ca="1">SUM($T201:AB201)</f>
        <v>42.6976310358794</v>
      </c>
      <c r="AS201" s="12">
        <f ca="1">SUM($T201:AC201)</f>
        <v>47.4519194964881</v>
      </c>
      <c r="AT201" s="12">
        <f ca="1">SUM($T201:AD201)</f>
        <v>52.9984703006891</v>
      </c>
      <c r="AU201" s="12">
        <f ca="1">SUM($T201:AE201)</f>
        <v>58.5117153211038</v>
      </c>
      <c r="AV201" s="12">
        <f ca="1">SUM($T201:AF201)</f>
        <v>63.001498417109</v>
      </c>
      <c r="AW201" s="12">
        <f ca="1">SUM($T201:AG201)</f>
        <v>67.934876806763</v>
      </c>
      <c r="AX201" s="12">
        <f ca="1">SUM($T201:AH201)</f>
        <v>72.5739126266448</v>
      </c>
      <c r="AY201" s="12">
        <f ca="1">SUM($T201:AI201)</f>
        <v>77.7304998379967</v>
      </c>
      <c r="AZ201" s="12">
        <f ca="1" t="shared" si="216"/>
        <v>74.3465871670899</v>
      </c>
      <c r="BA201" s="12">
        <f ca="1" t="shared" si="217"/>
        <v>69.9917700048384</v>
      </c>
      <c r="BB201" s="12">
        <f ca="1" t="shared" si="218"/>
        <v>64.982778788759</v>
      </c>
      <c r="BC201" s="12">
        <f ca="1" t="shared" si="219"/>
        <v>60.7124673211916</v>
      </c>
      <c r="BD201" s="12">
        <f ca="1" t="shared" si="220"/>
        <v>55.678202098503</v>
      </c>
      <c r="BE201" s="12">
        <f ca="1" t="shared" si="221"/>
        <v>50.2498836747123</v>
      </c>
      <c r="BF201" s="12">
        <f ca="1" t="shared" si="222"/>
        <v>46.0726365878842</v>
      </c>
      <c r="BG201" s="12">
        <f ca="1" t="shared" si="223"/>
        <v>41.924799181846</v>
      </c>
      <c r="BH201" s="12">
        <f ca="1" t="shared" si="224"/>
        <v>36.7784525435744</v>
      </c>
      <c r="BI201" s="12">
        <f ca="1" t="shared" si="225"/>
        <v>32.0241640829657</v>
      </c>
      <c r="BJ201" s="12">
        <f ca="1" t="shared" si="226"/>
        <v>26.4776132787647</v>
      </c>
      <c r="BK201" s="12">
        <f ca="1" t="shared" si="227"/>
        <v>20.96436825835</v>
      </c>
      <c r="BL201" s="12">
        <f ca="1" t="shared" si="228"/>
        <v>16.4745851623448</v>
      </c>
      <c r="BM201" s="12">
        <f ca="1" t="shared" si="229"/>
        <v>11.5412067726908</v>
      </c>
      <c r="BN201" s="12">
        <f ca="1" t="shared" si="230"/>
        <v>6.902170952809</v>
      </c>
      <c r="BO201" s="12">
        <f ca="1" t="shared" si="231"/>
        <v>1.74558374145708</v>
      </c>
    </row>
    <row r="202" spans="1:67">
      <c r="A202" s="3">
        <v>172</v>
      </c>
      <c r="B202" s="11">
        <f ca="1" t="shared" si="197"/>
        <v>0.0373350680822904</v>
      </c>
      <c r="C202" s="12">
        <f ca="1" t="shared" si="198"/>
        <v>51.8667534041145</v>
      </c>
      <c r="D202" s="11">
        <f ca="1" t="shared" ref="D202:S202" si="274">RAND()</f>
        <v>0.643840372068737</v>
      </c>
      <c r="E202" s="11">
        <f ca="1" t="shared" si="274"/>
        <v>0.282411108565552</v>
      </c>
      <c r="F202" s="11">
        <f ca="1" t="shared" si="274"/>
        <v>0.175265550571779</v>
      </c>
      <c r="G202" s="11">
        <f ca="1" t="shared" si="274"/>
        <v>0.812818571213409</v>
      </c>
      <c r="H202" s="11">
        <f ca="1" t="shared" si="274"/>
        <v>0.735367377684461</v>
      </c>
      <c r="I202" s="11">
        <f ca="1" t="shared" si="274"/>
        <v>0.968628149973775</v>
      </c>
      <c r="J202" s="11">
        <f ca="1" t="shared" si="274"/>
        <v>0.243730273147812</v>
      </c>
      <c r="K202" s="11">
        <f ca="1" t="shared" si="274"/>
        <v>0.964595067066296</v>
      </c>
      <c r="L202" s="11">
        <f ca="1" t="shared" si="274"/>
        <v>0.1699810303009</v>
      </c>
      <c r="M202" s="11">
        <f ca="1" t="shared" si="274"/>
        <v>0.77045738572147</v>
      </c>
      <c r="N202" s="11">
        <f ca="1" t="shared" si="274"/>
        <v>0.165065254305526</v>
      </c>
      <c r="O202" s="11">
        <f ca="1" t="shared" si="274"/>
        <v>0.745622645769032</v>
      </c>
      <c r="P202" s="11">
        <f ca="1" t="shared" si="274"/>
        <v>0.375238752779553</v>
      </c>
      <c r="Q202" s="11">
        <f ca="1" t="shared" si="274"/>
        <v>0.244078733815306</v>
      </c>
      <c r="R202" s="11">
        <f ca="1" t="shared" si="274"/>
        <v>0.795509553777765</v>
      </c>
      <c r="S202" s="11">
        <f ca="1" t="shared" si="274"/>
        <v>0.379561058386385</v>
      </c>
      <c r="T202" s="12">
        <f ca="1" t="shared" si="200"/>
        <v>4.92980046508592</v>
      </c>
      <c r="U202" s="12">
        <f ca="1" t="shared" si="201"/>
        <v>4.47068518094259</v>
      </c>
      <c r="V202" s="12">
        <f ca="1" t="shared" si="202"/>
        <v>4.29210925095297</v>
      </c>
      <c r="W202" s="12">
        <f ca="1" t="shared" si="203"/>
        <v>5.28204642803352</v>
      </c>
      <c r="X202" s="12">
        <f ca="1" t="shared" si="204"/>
        <v>5.08841844421115</v>
      </c>
      <c r="Y202" s="12">
        <f ca="1" t="shared" si="205"/>
        <v>5.84314074986888</v>
      </c>
      <c r="Z202" s="12">
        <f ca="1" t="shared" si="206"/>
        <v>4.40621712191302</v>
      </c>
      <c r="AA202" s="12">
        <f ca="1" t="shared" si="207"/>
        <v>5.82297533533148</v>
      </c>
      <c r="AB202" s="12">
        <f ca="1" t="shared" si="208"/>
        <v>4.28330171716817</v>
      </c>
      <c r="AC202" s="12">
        <f ca="1" t="shared" si="209"/>
        <v>5.17614346430368</v>
      </c>
      <c r="AD202" s="12">
        <f ca="1" t="shared" si="210"/>
        <v>4.27510875717588</v>
      </c>
      <c r="AE202" s="12">
        <f ca="1" t="shared" si="211"/>
        <v>5.11405661442258</v>
      </c>
      <c r="AF202" s="12">
        <f ca="1" t="shared" si="212"/>
        <v>4.59404844097444</v>
      </c>
      <c r="AG202" s="12">
        <f ca="1" t="shared" si="213"/>
        <v>4.40679788969218</v>
      </c>
      <c r="AH202" s="12">
        <f ca="1" t="shared" si="214"/>
        <v>5.23877388444441</v>
      </c>
      <c r="AI202" s="12">
        <f ca="1" t="shared" si="215"/>
        <v>4.59945132298298</v>
      </c>
      <c r="AJ202" s="12">
        <f ca="1">SUM($T202:T202)</f>
        <v>4.92980046508592</v>
      </c>
      <c r="AK202" s="12">
        <f ca="1">SUM($T202:U202)</f>
        <v>9.40048564602851</v>
      </c>
      <c r="AL202" s="12">
        <f ca="1">SUM($T202:V202)</f>
        <v>13.6925948969815</v>
      </c>
      <c r="AM202" s="12">
        <f ca="1">SUM($T202:W202)</f>
        <v>18.974641325015</v>
      </c>
      <c r="AN202" s="12">
        <f ca="1">SUM($T202:X202)</f>
        <v>24.0630597692262</v>
      </c>
      <c r="AO202" s="12">
        <f ca="1">SUM($T202:Y202)</f>
        <v>29.906200519095</v>
      </c>
      <c r="AP202" s="12">
        <f ca="1">SUM($T202:Z202)</f>
        <v>34.3124176410081</v>
      </c>
      <c r="AQ202" s="12">
        <f ca="1">SUM($T202:AA202)</f>
        <v>40.1353929763395</v>
      </c>
      <c r="AR202" s="12">
        <f ca="1">SUM($T202:AB202)</f>
        <v>44.4186946935077</v>
      </c>
      <c r="AS202" s="12">
        <f ca="1">SUM($T202:AC202)</f>
        <v>49.5948381578114</v>
      </c>
      <c r="AT202" s="12">
        <f ca="1">SUM($T202:AD202)</f>
        <v>53.8699469149873</v>
      </c>
      <c r="AU202" s="12">
        <f ca="1">SUM($T202:AE202)</f>
        <v>58.9840035294098</v>
      </c>
      <c r="AV202" s="12">
        <f ca="1">SUM($T202:AF202)</f>
        <v>63.5780519703843</v>
      </c>
      <c r="AW202" s="12">
        <f ca="1">SUM($T202:AG202)</f>
        <v>67.9848498600765</v>
      </c>
      <c r="AX202" s="12">
        <f ca="1">SUM($T202:AH202)</f>
        <v>73.2236237445209</v>
      </c>
      <c r="AY202" s="12">
        <f ca="1">SUM($T202:AI202)</f>
        <v>77.8230750675039</v>
      </c>
      <c r="AZ202" s="12">
        <f ca="1" t="shared" si="216"/>
        <v>46.9369529390286</v>
      </c>
      <c r="BA202" s="12">
        <f ca="1" t="shared" si="217"/>
        <v>42.466267758086</v>
      </c>
      <c r="BB202" s="12">
        <f ca="1" t="shared" si="218"/>
        <v>38.174158507133</v>
      </c>
      <c r="BC202" s="12">
        <f ca="1" t="shared" si="219"/>
        <v>32.8921120790995</v>
      </c>
      <c r="BD202" s="12">
        <f ca="1" t="shared" si="220"/>
        <v>27.8036936348884</v>
      </c>
      <c r="BE202" s="12">
        <f ca="1" t="shared" si="221"/>
        <v>21.9605528850195</v>
      </c>
      <c r="BF202" s="12">
        <f ca="1" t="shared" si="222"/>
        <v>17.5543357631065</v>
      </c>
      <c r="BG202" s="12">
        <f ca="1" t="shared" si="223"/>
        <v>11.731360427775</v>
      </c>
      <c r="BH202" s="12">
        <f ca="1" t="shared" si="224"/>
        <v>7.44805871060682</v>
      </c>
      <c r="BI202" s="12">
        <f ca="1" t="shared" si="225"/>
        <v>2.27191524630314</v>
      </c>
      <c r="BJ202" s="12">
        <f ca="1" t="shared" si="226"/>
        <v>0</v>
      </c>
      <c r="BK202" s="12">
        <f ca="1" t="shared" si="227"/>
        <v>0</v>
      </c>
      <c r="BL202" s="12">
        <f ca="1" t="shared" si="228"/>
        <v>0</v>
      </c>
      <c r="BM202" s="12">
        <f ca="1" t="shared" si="229"/>
        <v>0</v>
      </c>
      <c r="BN202" s="12">
        <f ca="1" t="shared" si="230"/>
        <v>0</v>
      </c>
      <c r="BO202" s="12">
        <f ca="1" t="shared" si="231"/>
        <v>0</v>
      </c>
    </row>
    <row r="203" spans="1:67">
      <c r="A203" s="3">
        <v>173</v>
      </c>
      <c r="B203" s="11">
        <f ca="1" t="shared" si="197"/>
        <v>0.758240329655299</v>
      </c>
      <c r="C203" s="12">
        <f ca="1" t="shared" si="198"/>
        <v>67.9748618522186</v>
      </c>
      <c r="D203" s="11">
        <f ca="1" t="shared" ref="D203:S203" si="275">RAND()</f>
        <v>0.808534387103593</v>
      </c>
      <c r="E203" s="11">
        <f ca="1" t="shared" si="275"/>
        <v>0.798022721385966</v>
      </c>
      <c r="F203" s="11">
        <f ca="1" t="shared" si="275"/>
        <v>0.104502413744654</v>
      </c>
      <c r="G203" s="11">
        <f ca="1" t="shared" si="275"/>
        <v>0.964367494210525</v>
      </c>
      <c r="H203" s="11">
        <f ca="1" t="shared" si="275"/>
        <v>0.371185042435594</v>
      </c>
      <c r="I203" s="11">
        <f ca="1" t="shared" si="275"/>
        <v>0.0887019803626901</v>
      </c>
      <c r="J203" s="11">
        <f ca="1" t="shared" si="275"/>
        <v>0.748035549812869</v>
      </c>
      <c r="K203" s="11">
        <f ca="1" t="shared" si="275"/>
        <v>0.751569574545307</v>
      </c>
      <c r="L203" s="11">
        <f ca="1" t="shared" si="275"/>
        <v>0.50343383254191</v>
      </c>
      <c r="M203" s="11">
        <f ca="1" t="shared" si="275"/>
        <v>0.00428471989844303</v>
      </c>
      <c r="N203" s="11">
        <f ca="1" t="shared" si="275"/>
        <v>0.717182030924529</v>
      </c>
      <c r="O203" s="11">
        <f ca="1" t="shared" si="275"/>
        <v>0.187209281136742</v>
      </c>
      <c r="P203" s="11">
        <f ca="1" t="shared" si="275"/>
        <v>0.439416035731901</v>
      </c>
      <c r="Q203" s="11">
        <f ca="1" t="shared" si="275"/>
        <v>0.969494918465836</v>
      </c>
      <c r="R203" s="11">
        <f ca="1" t="shared" si="275"/>
        <v>0.281925068459965</v>
      </c>
      <c r="S203" s="11">
        <f ca="1" t="shared" si="275"/>
        <v>0.307327555214499</v>
      </c>
      <c r="T203" s="12">
        <f ca="1" t="shared" si="200"/>
        <v>5.27133596775898</v>
      </c>
      <c r="U203" s="12">
        <f ca="1" t="shared" si="201"/>
        <v>5.24505680346492</v>
      </c>
      <c r="V203" s="12">
        <f ca="1" t="shared" si="202"/>
        <v>4.17417068957442</v>
      </c>
      <c r="W203" s="12">
        <f ca="1" t="shared" si="203"/>
        <v>5.82183747105263</v>
      </c>
      <c r="X203" s="12">
        <f ca="1" t="shared" si="204"/>
        <v>4.58898130304449</v>
      </c>
      <c r="Y203" s="12">
        <f ca="1" t="shared" si="205"/>
        <v>4.14783663393782</v>
      </c>
      <c r="Z203" s="12">
        <f ca="1" t="shared" si="206"/>
        <v>5.12008887453217</v>
      </c>
      <c r="AA203" s="12">
        <f ca="1" t="shared" si="207"/>
        <v>5.12892393636327</v>
      </c>
      <c r="AB203" s="12">
        <f ca="1" t="shared" si="208"/>
        <v>4.75429229067739</v>
      </c>
      <c r="AC203" s="12">
        <f ca="1" t="shared" si="209"/>
        <v>4.00714119983074</v>
      </c>
      <c r="AD203" s="12">
        <f ca="1" t="shared" si="210"/>
        <v>5.04295507731132</v>
      </c>
      <c r="AE203" s="12">
        <f ca="1" t="shared" si="211"/>
        <v>4.31201546856124</v>
      </c>
      <c r="AF203" s="12">
        <f ca="1" t="shared" si="212"/>
        <v>4.67427004466488</v>
      </c>
      <c r="AG203" s="12">
        <f ca="1" t="shared" si="213"/>
        <v>5.84747459232918</v>
      </c>
      <c r="AH203" s="12">
        <f ca="1" t="shared" si="214"/>
        <v>4.46987511409994</v>
      </c>
      <c r="AI203" s="12">
        <f ca="1" t="shared" si="215"/>
        <v>4.50915944401812</v>
      </c>
      <c r="AJ203" s="12">
        <f ca="1">SUM($T203:T203)</f>
        <v>5.27133596775898</v>
      </c>
      <c r="AK203" s="12">
        <f ca="1">SUM($T203:U203)</f>
        <v>10.5163927712239</v>
      </c>
      <c r="AL203" s="12">
        <f ca="1">SUM($T203:V203)</f>
        <v>14.6905634607983</v>
      </c>
      <c r="AM203" s="12">
        <f ca="1">SUM($T203:W203)</f>
        <v>20.5124009318509</v>
      </c>
      <c r="AN203" s="12">
        <f ca="1">SUM($T203:X203)</f>
        <v>25.1013822348954</v>
      </c>
      <c r="AO203" s="12">
        <f ca="1">SUM($T203:Y203)</f>
        <v>29.2492188688333</v>
      </c>
      <c r="AP203" s="12">
        <f ca="1">SUM($T203:Z203)</f>
        <v>34.3693077433654</v>
      </c>
      <c r="AQ203" s="12">
        <f ca="1">SUM($T203:AA203)</f>
        <v>39.4982316797287</v>
      </c>
      <c r="AR203" s="12">
        <f ca="1">SUM($T203:AB203)</f>
        <v>44.2525239704061</v>
      </c>
      <c r="AS203" s="12">
        <f ca="1">SUM($T203:AC203)</f>
        <v>48.2596651702368</v>
      </c>
      <c r="AT203" s="12">
        <f ca="1">SUM($T203:AD203)</f>
        <v>53.3026202475481</v>
      </c>
      <c r="AU203" s="12">
        <f ca="1">SUM($T203:AE203)</f>
        <v>57.6146357161094</v>
      </c>
      <c r="AV203" s="12">
        <f ca="1">SUM($T203:AF203)</f>
        <v>62.2889057607742</v>
      </c>
      <c r="AW203" s="12">
        <f ca="1">SUM($T203:AG203)</f>
        <v>68.1363803531034</v>
      </c>
      <c r="AX203" s="12">
        <f ca="1">SUM($T203:AH203)</f>
        <v>72.6062554672034</v>
      </c>
      <c r="AY203" s="12">
        <f ca="1">SUM($T203:AI203)</f>
        <v>77.1154149112215</v>
      </c>
      <c r="AZ203" s="12">
        <f ca="1" t="shared" si="216"/>
        <v>62.7035258844596</v>
      </c>
      <c r="BA203" s="12">
        <f ca="1" t="shared" si="217"/>
        <v>57.4584690809947</v>
      </c>
      <c r="BB203" s="12">
        <f ca="1" t="shared" si="218"/>
        <v>53.2842983914202</v>
      </c>
      <c r="BC203" s="12">
        <f ca="1" t="shared" si="219"/>
        <v>47.4624609203676</v>
      </c>
      <c r="BD203" s="12">
        <f ca="1" t="shared" si="220"/>
        <v>42.8734796173231</v>
      </c>
      <c r="BE203" s="12">
        <f ca="1" t="shared" si="221"/>
        <v>38.7256429833853</v>
      </c>
      <c r="BF203" s="12">
        <f ca="1" t="shared" si="222"/>
        <v>33.6055541088531</v>
      </c>
      <c r="BG203" s="12">
        <f ca="1" t="shared" si="223"/>
        <v>28.4766301724899</v>
      </c>
      <c r="BH203" s="12">
        <f ca="1" t="shared" si="224"/>
        <v>23.7223378818125</v>
      </c>
      <c r="BI203" s="12">
        <f ca="1" t="shared" si="225"/>
        <v>19.7151966819817</v>
      </c>
      <c r="BJ203" s="12">
        <f ca="1" t="shared" si="226"/>
        <v>14.6722416046704</v>
      </c>
      <c r="BK203" s="12">
        <f ca="1" t="shared" si="227"/>
        <v>10.3602261361092</v>
      </c>
      <c r="BL203" s="12">
        <f ca="1" t="shared" si="228"/>
        <v>5.68595609144431</v>
      </c>
      <c r="BM203" s="12">
        <f ca="1" t="shared" si="229"/>
        <v>0</v>
      </c>
      <c r="BN203" s="12">
        <f ca="1" t="shared" si="230"/>
        <v>0</v>
      </c>
      <c r="BO203" s="12">
        <f ca="1" t="shared" si="231"/>
        <v>0</v>
      </c>
    </row>
    <row r="204" spans="1:67">
      <c r="A204" s="3">
        <v>174</v>
      </c>
      <c r="B204" s="11">
        <f ca="1" t="shared" si="197"/>
        <v>0.882903214992618</v>
      </c>
      <c r="C204" s="12">
        <f ca="1" t="shared" si="198"/>
        <v>69.7557602141803</v>
      </c>
      <c r="D204" s="11">
        <f ca="1" t="shared" ref="D204:S204" si="276">RAND()</f>
        <v>0.646708106136313</v>
      </c>
      <c r="E204" s="11">
        <f ca="1" t="shared" si="276"/>
        <v>0.0734156280180278</v>
      </c>
      <c r="F204" s="11">
        <f ca="1" t="shared" si="276"/>
        <v>0.710885477297305</v>
      </c>
      <c r="G204" s="11">
        <f ca="1" t="shared" si="276"/>
        <v>0.588017594892414</v>
      </c>
      <c r="H204" s="11">
        <f ca="1" t="shared" si="276"/>
        <v>0.300601277748344</v>
      </c>
      <c r="I204" s="11">
        <f ca="1" t="shared" si="276"/>
        <v>0.832835919042647</v>
      </c>
      <c r="J204" s="11">
        <f ca="1" t="shared" si="276"/>
        <v>0.416000822428062</v>
      </c>
      <c r="K204" s="11">
        <f ca="1" t="shared" si="276"/>
        <v>0.175264187437491</v>
      </c>
      <c r="L204" s="11">
        <f ca="1" t="shared" si="276"/>
        <v>0.425135102408856</v>
      </c>
      <c r="M204" s="11">
        <f ca="1" t="shared" si="276"/>
        <v>0.25657714123905</v>
      </c>
      <c r="N204" s="11">
        <f ca="1" t="shared" si="276"/>
        <v>0.169975310847062</v>
      </c>
      <c r="O204" s="11">
        <f ca="1" t="shared" si="276"/>
        <v>0.250642917036559</v>
      </c>
      <c r="P204" s="11">
        <f ca="1" t="shared" si="276"/>
        <v>0.251933191948287</v>
      </c>
      <c r="Q204" s="11">
        <f ca="1" t="shared" si="276"/>
        <v>0.86447385330947</v>
      </c>
      <c r="R204" s="11">
        <f ca="1" t="shared" si="276"/>
        <v>0.485374786687097</v>
      </c>
      <c r="S204" s="11">
        <f ca="1" t="shared" si="276"/>
        <v>0.478064373536848</v>
      </c>
      <c r="T204" s="12">
        <f ca="1" t="shared" si="200"/>
        <v>4.93338513267039</v>
      </c>
      <c r="U204" s="12">
        <f ca="1" t="shared" si="201"/>
        <v>4.12235938003005</v>
      </c>
      <c r="V204" s="12">
        <f ca="1" t="shared" si="202"/>
        <v>5.02721369324326</v>
      </c>
      <c r="W204" s="12">
        <f ca="1" t="shared" si="203"/>
        <v>4.86002199361552</v>
      </c>
      <c r="X204" s="12">
        <f ca="1" t="shared" si="204"/>
        <v>4.50075159718543</v>
      </c>
      <c r="Y204" s="12">
        <f ca="1" t="shared" si="205"/>
        <v>5.33208979760662</v>
      </c>
      <c r="Z204" s="12">
        <f ca="1" t="shared" si="206"/>
        <v>4.64500102803508</v>
      </c>
      <c r="AA204" s="12">
        <f ca="1" t="shared" si="207"/>
        <v>4.29210697906248</v>
      </c>
      <c r="AB204" s="12">
        <f ca="1" t="shared" si="208"/>
        <v>4.65641887801107</v>
      </c>
      <c r="AC204" s="12">
        <f ca="1" t="shared" si="209"/>
        <v>4.42762856873175</v>
      </c>
      <c r="AD204" s="12">
        <f ca="1" t="shared" si="210"/>
        <v>4.2832921847451</v>
      </c>
      <c r="AE204" s="12">
        <f ca="1" t="shared" si="211"/>
        <v>4.41773819506093</v>
      </c>
      <c r="AF204" s="12">
        <f ca="1" t="shared" si="212"/>
        <v>4.41988865324714</v>
      </c>
      <c r="AG204" s="12">
        <f ca="1" t="shared" si="213"/>
        <v>5.41118463327368</v>
      </c>
      <c r="AH204" s="12">
        <f ca="1" t="shared" si="214"/>
        <v>4.73171848335887</v>
      </c>
      <c r="AI204" s="12">
        <f ca="1" t="shared" si="215"/>
        <v>4.72258046692106</v>
      </c>
      <c r="AJ204" s="12">
        <f ca="1">SUM($T204:T204)</f>
        <v>4.93338513267039</v>
      </c>
      <c r="AK204" s="12">
        <f ca="1">SUM($T204:U204)</f>
        <v>9.05574451270044</v>
      </c>
      <c r="AL204" s="12">
        <f ca="1">SUM($T204:V204)</f>
        <v>14.0829582059437</v>
      </c>
      <c r="AM204" s="12">
        <f ca="1">SUM($T204:W204)</f>
        <v>18.9429801995592</v>
      </c>
      <c r="AN204" s="12">
        <f ca="1">SUM($T204:X204)</f>
        <v>23.4437317967447</v>
      </c>
      <c r="AO204" s="12">
        <f ca="1">SUM($T204:Y204)</f>
        <v>28.7758215943513</v>
      </c>
      <c r="AP204" s="12">
        <f ca="1">SUM($T204:Z204)</f>
        <v>33.4208226223863</v>
      </c>
      <c r="AQ204" s="12">
        <f ca="1">SUM($T204:AA204)</f>
        <v>37.7129296014488</v>
      </c>
      <c r="AR204" s="12">
        <f ca="1">SUM($T204:AB204)</f>
        <v>42.3693484794599</v>
      </c>
      <c r="AS204" s="12">
        <f ca="1">SUM($T204:AC204)</f>
        <v>46.7969770481916</v>
      </c>
      <c r="AT204" s="12">
        <f ca="1">SUM($T204:AD204)</f>
        <v>51.0802692329368</v>
      </c>
      <c r="AU204" s="12">
        <f ca="1">SUM($T204:AE204)</f>
        <v>55.4980074279977</v>
      </c>
      <c r="AV204" s="12">
        <f ca="1">SUM($T204:AF204)</f>
        <v>59.9178960812448</v>
      </c>
      <c r="AW204" s="12">
        <f ca="1">SUM($T204:AG204)</f>
        <v>65.3290807145185</v>
      </c>
      <c r="AX204" s="12">
        <f ca="1">SUM($T204:AH204)</f>
        <v>70.0607991978774</v>
      </c>
      <c r="AY204" s="12">
        <f ca="1">SUM($T204:AI204)</f>
        <v>74.7833796647984</v>
      </c>
      <c r="AZ204" s="12">
        <f ca="1" t="shared" si="216"/>
        <v>64.8223750815099</v>
      </c>
      <c r="BA204" s="12">
        <f ca="1" t="shared" si="217"/>
        <v>60.7000157014798</v>
      </c>
      <c r="BB204" s="12">
        <f ca="1" t="shared" si="218"/>
        <v>55.6728020082366</v>
      </c>
      <c r="BC204" s="12">
        <f ca="1" t="shared" si="219"/>
        <v>50.812780014621</v>
      </c>
      <c r="BD204" s="12">
        <f ca="1" t="shared" si="220"/>
        <v>46.3120284174356</v>
      </c>
      <c r="BE204" s="12">
        <f ca="1" t="shared" si="221"/>
        <v>40.979938619829</v>
      </c>
      <c r="BF204" s="12">
        <f ca="1" t="shared" si="222"/>
        <v>36.3349375917939</v>
      </c>
      <c r="BG204" s="12">
        <f ca="1" t="shared" si="223"/>
        <v>32.0428306127314</v>
      </c>
      <c r="BH204" s="12">
        <f ca="1" t="shared" si="224"/>
        <v>27.3864117347204</v>
      </c>
      <c r="BI204" s="12">
        <f ca="1" t="shared" si="225"/>
        <v>22.9587831659886</v>
      </c>
      <c r="BJ204" s="12">
        <f ca="1" t="shared" si="226"/>
        <v>18.6754909812435</v>
      </c>
      <c r="BK204" s="12">
        <f ca="1" t="shared" si="227"/>
        <v>14.2577527861826</v>
      </c>
      <c r="BL204" s="12">
        <f ca="1" t="shared" si="228"/>
        <v>9.83786413293543</v>
      </c>
      <c r="BM204" s="12">
        <f ca="1" t="shared" si="229"/>
        <v>4.42667949966176</v>
      </c>
      <c r="BN204" s="12">
        <f ca="1" t="shared" si="230"/>
        <v>0</v>
      </c>
      <c r="BO204" s="12">
        <f ca="1" t="shared" si="231"/>
        <v>0</v>
      </c>
    </row>
    <row r="205" spans="1:67">
      <c r="A205" s="3">
        <v>175</v>
      </c>
      <c r="B205" s="11">
        <f ca="1" t="shared" si="197"/>
        <v>0.441386469351815</v>
      </c>
      <c r="C205" s="12">
        <f ca="1" t="shared" si="198"/>
        <v>63.1897744891969</v>
      </c>
      <c r="D205" s="11">
        <f ca="1" t="shared" ref="D205:S205" si="277">RAND()</f>
        <v>0.440512065754892</v>
      </c>
      <c r="E205" s="11">
        <f ca="1" t="shared" si="277"/>
        <v>0.745623393257261</v>
      </c>
      <c r="F205" s="11">
        <f ca="1" t="shared" si="277"/>
        <v>0.510389046556161</v>
      </c>
      <c r="G205" s="11">
        <f ca="1" t="shared" si="277"/>
        <v>0.891462325201098</v>
      </c>
      <c r="H205" s="11">
        <f ca="1" t="shared" si="277"/>
        <v>0.950053811304512</v>
      </c>
      <c r="I205" s="11">
        <f ca="1" t="shared" si="277"/>
        <v>0.310721612279718</v>
      </c>
      <c r="J205" s="11">
        <f ca="1" t="shared" si="277"/>
        <v>0.60508866297532</v>
      </c>
      <c r="K205" s="11">
        <f ca="1" t="shared" si="277"/>
        <v>0.244073128672219</v>
      </c>
      <c r="L205" s="11">
        <f ca="1" t="shared" si="277"/>
        <v>0.156525687691886</v>
      </c>
      <c r="M205" s="11">
        <f ca="1" t="shared" si="277"/>
        <v>0.74802878014367</v>
      </c>
      <c r="N205" s="11">
        <f ca="1" t="shared" si="277"/>
        <v>0.751774570563572</v>
      </c>
      <c r="O205" s="11">
        <f ca="1" t="shared" si="277"/>
        <v>0.630588085948285</v>
      </c>
      <c r="P205" s="11">
        <f ca="1" t="shared" si="277"/>
        <v>0.774660746080848</v>
      </c>
      <c r="Q205" s="11">
        <f ca="1" t="shared" si="277"/>
        <v>0.281942550916279</v>
      </c>
      <c r="R205" s="11">
        <f ca="1" t="shared" si="277"/>
        <v>0.0132632552381016</v>
      </c>
      <c r="S205" s="11">
        <f ca="1" t="shared" si="277"/>
        <v>0.902674278947974</v>
      </c>
      <c r="T205" s="12">
        <f ca="1" t="shared" si="200"/>
        <v>4.67564008219362</v>
      </c>
      <c r="U205" s="12">
        <f ca="1" t="shared" si="201"/>
        <v>5.11405848314315</v>
      </c>
      <c r="V205" s="12">
        <f ca="1" t="shared" si="202"/>
        <v>4.7629863081952</v>
      </c>
      <c r="W205" s="12">
        <f ca="1" t="shared" si="203"/>
        <v>5.47865581300274</v>
      </c>
      <c r="X205" s="12">
        <f ca="1" t="shared" si="204"/>
        <v>5.75026905652256</v>
      </c>
      <c r="Y205" s="12">
        <f ca="1" t="shared" si="205"/>
        <v>4.51340201534965</v>
      </c>
      <c r="Z205" s="12">
        <f ca="1" t="shared" si="206"/>
        <v>4.88136082871915</v>
      </c>
      <c r="AA205" s="12">
        <f ca="1" t="shared" si="207"/>
        <v>4.40678854778703</v>
      </c>
      <c r="AB205" s="12">
        <f ca="1" t="shared" si="208"/>
        <v>4.26087614615314</v>
      </c>
      <c r="AC205" s="12">
        <f ca="1" t="shared" si="209"/>
        <v>5.12007195035918</v>
      </c>
      <c r="AD205" s="12">
        <f ca="1" t="shared" si="210"/>
        <v>5.12943642640893</v>
      </c>
      <c r="AE205" s="12">
        <f ca="1" t="shared" si="211"/>
        <v>4.91323510743536</v>
      </c>
      <c r="AF205" s="12">
        <f ca="1" t="shared" si="212"/>
        <v>5.18665186520212</v>
      </c>
      <c r="AG205" s="12">
        <f ca="1" t="shared" si="213"/>
        <v>4.46990425152713</v>
      </c>
      <c r="AH205" s="12">
        <f ca="1" t="shared" si="214"/>
        <v>4.02210542539684</v>
      </c>
      <c r="AI205" s="12">
        <f ca="1" t="shared" si="215"/>
        <v>5.51337139473987</v>
      </c>
      <c r="AJ205" s="12">
        <f ca="1">SUM($T205:T205)</f>
        <v>4.67564008219362</v>
      </c>
      <c r="AK205" s="12">
        <f ca="1">SUM($T205:U205)</f>
        <v>9.78969856533677</v>
      </c>
      <c r="AL205" s="12">
        <f ca="1">SUM($T205:V205)</f>
        <v>14.552684873532</v>
      </c>
      <c r="AM205" s="12">
        <f ca="1">SUM($T205:W205)</f>
        <v>20.0313406865347</v>
      </c>
      <c r="AN205" s="12">
        <f ca="1">SUM($T205:X205)</f>
        <v>25.7816097430573</v>
      </c>
      <c r="AO205" s="12">
        <f ca="1">SUM($T205:Y205)</f>
        <v>30.2950117584069</v>
      </c>
      <c r="AP205" s="12">
        <f ca="1">SUM($T205:Z205)</f>
        <v>35.1763725871261</v>
      </c>
      <c r="AQ205" s="12">
        <f ca="1">SUM($T205:AA205)</f>
        <v>39.5831611349131</v>
      </c>
      <c r="AR205" s="12">
        <f ca="1">SUM($T205:AB205)</f>
        <v>43.8440372810662</v>
      </c>
      <c r="AS205" s="12">
        <f ca="1">SUM($T205:AC205)</f>
        <v>48.9641092314254</v>
      </c>
      <c r="AT205" s="12">
        <f ca="1">SUM($T205:AD205)</f>
        <v>54.0935456578344</v>
      </c>
      <c r="AU205" s="12">
        <f ca="1">SUM($T205:AE205)</f>
        <v>59.0067807652697</v>
      </c>
      <c r="AV205" s="12">
        <f ca="1">SUM($T205:AF205)</f>
        <v>64.1934326304718</v>
      </c>
      <c r="AW205" s="12">
        <f ca="1">SUM($T205:AG205)</f>
        <v>68.663336881999</v>
      </c>
      <c r="AX205" s="12">
        <f ca="1">SUM($T205:AH205)</f>
        <v>72.6854423073958</v>
      </c>
      <c r="AY205" s="12">
        <f ca="1">SUM($T205:AI205)</f>
        <v>78.1988137021357</v>
      </c>
      <c r="AZ205" s="12">
        <f ca="1" t="shared" si="216"/>
        <v>58.5141344070033</v>
      </c>
      <c r="BA205" s="12">
        <f ca="1" t="shared" si="217"/>
        <v>53.4000759238601</v>
      </c>
      <c r="BB205" s="12">
        <f ca="1" t="shared" si="218"/>
        <v>48.6370896156649</v>
      </c>
      <c r="BC205" s="12">
        <f ca="1" t="shared" si="219"/>
        <v>43.1584338026622</v>
      </c>
      <c r="BD205" s="12">
        <f ca="1" t="shared" si="220"/>
        <v>37.4081647461396</v>
      </c>
      <c r="BE205" s="12">
        <f ca="1" t="shared" si="221"/>
        <v>32.89476273079</v>
      </c>
      <c r="BF205" s="12">
        <f ca="1" t="shared" si="222"/>
        <v>28.0134019020708</v>
      </c>
      <c r="BG205" s="12">
        <f ca="1" t="shared" si="223"/>
        <v>23.6066133542838</v>
      </c>
      <c r="BH205" s="12">
        <f ca="1" t="shared" si="224"/>
        <v>19.3457372081307</v>
      </c>
      <c r="BI205" s="12">
        <f ca="1" t="shared" si="225"/>
        <v>14.2256652577715</v>
      </c>
      <c r="BJ205" s="12">
        <f ca="1" t="shared" si="226"/>
        <v>9.09622883136256</v>
      </c>
      <c r="BK205" s="12">
        <f ca="1" t="shared" si="227"/>
        <v>4.1829937239272</v>
      </c>
      <c r="BL205" s="12">
        <f ca="1" t="shared" si="228"/>
        <v>0</v>
      </c>
      <c r="BM205" s="12">
        <f ca="1" t="shared" si="229"/>
        <v>0</v>
      </c>
      <c r="BN205" s="12">
        <f ca="1" t="shared" si="230"/>
        <v>0</v>
      </c>
      <c r="BO205" s="12">
        <f ca="1" t="shared" si="231"/>
        <v>0</v>
      </c>
    </row>
    <row r="206" spans="1:67">
      <c r="A206" s="3">
        <v>176</v>
      </c>
      <c r="B206" s="11">
        <f ca="1" t="shared" si="197"/>
        <v>0.727507047685228</v>
      </c>
      <c r="C206" s="12">
        <f ca="1" t="shared" si="198"/>
        <v>67.5358149669318</v>
      </c>
      <c r="D206" s="11">
        <f ca="1" t="shared" ref="D206:S206" si="278">RAND()</f>
        <v>0.855759763283665</v>
      </c>
      <c r="E206" s="11">
        <f ca="1" t="shared" si="278"/>
        <v>0.710887320379223</v>
      </c>
      <c r="F206" s="11">
        <f ca="1" t="shared" si="278"/>
        <v>0.505745347956656</v>
      </c>
      <c r="G206" s="11">
        <f ca="1" t="shared" si="278"/>
        <v>0.13539830086175</v>
      </c>
      <c r="H206" s="11">
        <f ca="1" t="shared" si="278"/>
        <v>0.643849955569024</v>
      </c>
      <c r="I206" s="11">
        <f ca="1" t="shared" si="278"/>
        <v>0.162199115767104</v>
      </c>
      <c r="J206" s="11">
        <f ca="1" t="shared" si="278"/>
        <v>0.28242480499915</v>
      </c>
      <c r="K206" s="11">
        <f ca="1" t="shared" si="278"/>
        <v>0.0201055298461732</v>
      </c>
      <c r="L206" s="11">
        <f ca="1" t="shared" si="278"/>
        <v>0.364840999751073</v>
      </c>
      <c r="M206" s="11">
        <f ca="1" t="shared" si="278"/>
        <v>0.812808076721392</v>
      </c>
      <c r="N206" s="11">
        <f ca="1" t="shared" si="278"/>
        <v>0.919247232884985</v>
      </c>
      <c r="O206" s="11">
        <f ca="1" t="shared" si="278"/>
        <v>0.269677512997645</v>
      </c>
      <c r="P206" s="11">
        <f ca="1" t="shared" si="278"/>
        <v>0.106335969752884</v>
      </c>
      <c r="Q206" s="11">
        <f ca="1" t="shared" si="278"/>
        <v>0.964590576432568</v>
      </c>
      <c r="R206" s="11">
        <f ca="1" t="shared" si="278"/>
        <v>0.375220203058491</v>
      </c>
      <c r="S206" s="11">
        <f ca="1" t="shared" si="278"/>
        <v>0.758526899263806</v>
      </c>
      <c r="T206" s="12">
        <f ca="1" t="shared" si="200"/>
        <v>5.38939940820916</v>
      </c>
      <c r="U206" s="12">
        <f ca="1" t="shared" si="201"/>
        <v>5.02721830094806</v>
      </c>
      <c r="V206" s="12">
        <f ca="1" t="shared" si="202"/>
        <v>4.75718168494582</v>
      </c>
      <c r="W206" s="12">
        <f ca="1" t="shared" si="203"/>
        <v>4.22566383476958</v>
      </c>
      <c r="X206" s="12">
        <f ca="1" t="shared" si="204"/>
        <v>4.92981244446128</v>
      </c>
      <c r="Y206" s="12">
        <f ca="1" t="shared" si="205"/>
        <v>4.27033185961184</v>
      </c>
      <c r="Z206" s="12">
        <f ca="1" t="shared" si="206"/>
        <v>4.47070800833192</v>
      </c>
      <c r="AA206" s="12">
        <f ca="1" t="shared" si="207"/>
        <v>4.03350921641029</v>
      </c>
      <c r="AB206" s="12">
        <f ca="1" t="shared" si="208"/>
        <v>4.58105124968884</v>
      </c>
      <c r="AC206" s="12">
        <f ca="1" t="shared" si="209"/>
        <v>5.28202019180348</v>
      </c>
      <c r="AD206" s="12">
        <f ca="1" t="shared" si="210"/>
        <v>5.59623616442493</v>
      </c>
      <c r="AE206" s="12">
        <f ca="1" t="shared" si="211"/>
        <v>4.44946252166274</v>
      </c>
      <c r="AF206" s="12">
        <f ca="1" t="shared" si="212"/>
        <v>4.17722661625481</v>
      </c>
      <c r="AG206" s="12">
        <f ca="1" t="shared" si="213"/>
        <v>5.82295288216284</v>
      </c>
      <c r="AH206" s="12">
        <f ca="1" t="shared" si="214"/>
        <v>4.59402525382311</v>
      </c>
      <c r="AI206" s="12">
        <f ca="1" t="shared" si="215"/>
        <v>5.14631724815951</v>
      </c>
      <c r="AJ206" s="12">
        <f ca="1">SUM($T206:T206)</f>
        <v>5.38939940820916</v>
      </c>
      <c r="AK206" s="12">
        <f ca="1">SUM($T206:U206)</f>
        <v>10.4166177091572</v>
      </c>
      <c r="AL206" s="12">
        <f ca="1">SUM($T206:V206)</f>
        <v>15.173799394103</v>
      </c>
      <c r="AM206" s="12">
        <f ca="1">SUM($T206:W206)</f>
        <v>19.3994632288726</v>
      </c>
      <c r="AN206" s="12">
        <f ca="1">SUM($T206:X206)</f>
        <v>24.3292756733339</v>
      </c>
      <c r="AO206" s="12">
        <f ca="1">SUM($T206:Y206)</f>
        <v>28.5996075329457</v>
      </c>
      <c r="AP206" s="12">
        <f ca="1">SUM($T206:Z206)</f>
        <v>33.0703155412777</v>
      </c>
      <c r="AQ206" s="12">
        <f ca="1">SUM($T206:AA206)</f>
        <v>37.103824757688</v>
      </c>
      <c r="AR206" s="12">
        <f ca="1">SUM($T206:AB206)</f>
        <v>41.6848760073768</v>
      </c>
      <c r="AS206" s="12">
        <f ca="1">SUM($T206:AC206)</f>
        <v>46.9668961991803</v>
      </c>
      <c r="AT206" s="12">
        <f ca="1">SUM($T206:AD206)</f>
        <v>52.5631323636052</v>
      </c>
      <c r="AU206" s="12">
        <f ca="1">SUM($T206:AE206)</f>
        <v>57.0125948852679</v>
      </c>
      <c r="AV206" s="12">
        <f ca="1">SUM($T206:AF206)</f>
        <v>61.1898215015228</v>
      </c>
      <c r="AW206" s="12">
        <f ca="1">SUM($T206:AG206)</f>
        <v>67.0127743836856</v>
      </c>
      <c r="AX206" s="12">
        <f ca="1">SUM($T206:AH206)</f>
        <v>71.6067996375087</v>
      </c>
      <c r="AY206" s="12">
        <f ca="1">SUM($T206:AI206)</f>
        <v>76.7531168856682</v>
      </c>
      <c r="AZ206" s="12">
        <f ca="1" t="shared" si="216"/>
        <v>62.1464155587227</v>
      </c>
      <c r="BA206" s="12">
        <f ca="1" t="shared" si="217"/>
        <v>57.1191972577746</v>
      </c>
      <c r="BB206" s="12">
        <f ca="1" t="shared" si="218"/>
        <v>52.3620155728288</v>
      </c>
      <c r="BC206" s="12">
        <f ca="1" t="shared" si="219"/>
        <v>48.1363517380592</v>
      </c>
      <c r="BD206" s="12">
        <f ca="1" t="shared" si="220"/>
        <v>43.2065392935979</v>
      </c>
      <c r="BE206" s="12">
        <f ca="1" t="shared" si="221"/>
        <v>38.9362074339861</v>
      </c>
      <c r="BF206" s="12">
        <f ca="1" t="shared" si="222"/>
        <v>34.4654994256542</v>
      </c>
      <c r="BG206" s="12">
        <f ca="1" t="shared" si="223"/>
        <v>30.4319902092439</v>
      </c>
      <c r="BH206" s="12">
        <f ca="1" t="shared" si="224"/>
        <v>25.850938959555</v>
      </c>
      <c r="BI206" s="12">
        <f ca="1" t="shared" si="225"/>
        <v>20.5689187677515</v>
      </c>
      <c r="BJ206" s="12">
        <f ca="1" t="shared" si="226"/>
        <v>14.9726826033266</v>
      </c>
      <c r="BK206" s="12">
        <f ca="1" t="shared" si="227"/>
        <v>10.5232200816639</v>
      </c>
      <c r="BL206" s="12">
        <f ca="1" t="shared" si="228"/>
        <v>6.34599346540907</v>
      </c>
      <c r="BM206" s="12">
        <f ca="1" t="shared" si="229"/>
        <v>0.523040583246228</v>
      </c>
      <c r="BN206" s="12">
        <f ca="1" t="shared" si="230"/>
        <v>0</v>
      </c>
      <c r="BO206" s="12">
        <f ca="1" t="shared" si="231"/>
        <v>0</v>
      </c>
    </row>
    <row r="207" spans="1:67">
      <c r="A207" s="3">
        <v>177</v>
      </c>
      <c r="B207" s="11">
        <f ca="1" t="shared" si="197"/>
        <v>0.217589515189299</v>
      </c>
      <c r="C207" s="12">
        <f ca="1" t="shared" si="198"/>
        <v>58.91965050631</v>
      </c>
      <c r="D207" s="11">
        <f ca="1" t="shared" ref="D207:S207" si="279">RAND()</f>
        <v>0.104503368581305</v>
      </c>
      <c r="E207" s="11">
        <f ca="1" t="shared" si="279"/>
        <v>0.735363934457573</v>
      </c>
      <c r="F207" s="11">
        <f ca="1" t="shared" si="279"/>
        <v>0.770454244317676</v>
      </c>
      <c r="G207" s="11">
        <f ca="1" t="shared" si="279"/>
        <v>0.415986576208555</v>
      </c>
      <c r="H207" s="11">
        <f ca="1" t="shared" si="279"/>
        <v>0.0886860090445554</v>
      </c>
      <c r="I207" s="11">
        <f ca="1" t="shared" si="279"/>
        <v>0.566985887151935</v>
      </c>
      <c r="J207" s="11">
        <f ca="1" t="shared" si="279"/>
        <v>0.25065623607715</v>
      </c>
      <c r="K207" s="11">
        <f ca="1" t="shared" si="279"/>
        <v>0.950066555013306</v>
      </c>
      <c r="L207" s="11">
        <f ca="1" t="shared" si="279"/>
        <v>0.50342909863472</v>
      </c>
      <c r="M207" s="11">
        <f ca="1" t="shared" si="279"/>
        <v>0.478488016872666</v>
      </c>
      <c r="N207" s="11">
        <f ca="1" t="shared" si="279"/>
        <v>0.751783481741728</v>
      </c>
      <c r="O207" s="11">
        <f ca="1" t="shared" si="279"/>
        <v>0.90266638588911</v>
      </c>
      <c r="P207" s="11">
        <f ca="1" t="shared" si="279"/>
        <v>0.364271975559037</v>
      </c>
      <c r="Q207" s="11">
        <f ca="1" t="shared" si="279"/>
        <v>0.251947629650989</v>
      </c>
      <c r="R207" s="11">
        <f ca="1" t="shared" si="279"/>
        <v>0.643835952726661</v>
      </c>
      <c r="S207" s="11">
        <f ca="1" t="shared" si="279"/>
        <v>0.552214273249504</v>
      </c>
      <c r="T207" s="12">
        <f ca="1" t="shared" si="200"/>
        <v>4.17417228096884</v>
      </c>
      <c r="U207" s="12">
        <f ca="1" t="shared" si="201"/>
        <v>5.08840983614393</v>
      </c>
      <c r="V207" s="12">
        <f ca="1" t="shared" si="202"/>
        <v>5.17613561079419</v>
      </c>
      <c r="W207" s="12">
        <f ca="1" t="shared" si="203"/>
        <v>4.64498322026069</v>
      </c>
      <c r="X207" s="12">
        <f ca="1" t="shared" si="204"/>
        <v>4.14781001507426</v>
      </c>
      <c r="Y207" s="12">
        <f ca="1" t="shared" si="205"/>
        <v>4.83373235893992</v>
      </c>
      <c r="Z207" s="12">
        <f ca="1" t="shared" si="206"/>
        <v>4.41776039346192</v>
      </c>
      <c r="AA207" s="12">
        <f ca="1" t="shared" si="207"/>
        <v>5.75033277506653</v>
      </c>
      <c r="AB207" s="12">
        <f ca="1" t="shared" si="208"/>
        <v>4.7542863732934</v>
      </c>
      <c r="AC207" s="12">
        <f ca="1" t="shared" si="209"/>
        <v>4.72311002109083</v>
      </c>
      <c r="AD207" s="12">
        <f ca="1" t="shared" si="210"/>
        <v>5.12945870435432</v>
      </c>
      <c r="AE207" s="12">
        <f ca="1" t="shared" si="211"/>
        <v>5.51333192944555</v>
      </c>
      <c r="AF207" s="12">
        <f ca="1" t="shared" si="212"/>
        <v>4.5803399694488</v>
      </c>
      <c r="AG207" s="12">
        <f ca="1" t="shared" si="213"/>
        <v>4.41991271608498</v>
      </c>
      <c r="AH207" s="12">
        <f ca="1" t="shared" si="214"/>
        <v>4.92979494090833</v>
      </c>
      <c r="AI207" s="12">
        <f ca="1" t="shared" si="215"/>
        <v>4.81526784156188</v>
      </c>
      <c r="AJ207" s="12">
        <f ca="1">SUM($T207:T207)</f>
        <v>4.17417228096884</v>
      </c>
      <c r="AK207" s="12">
        <f ca="1">SUM($T207:U207)</f>
        <v>9.26258211711277</v>
      </c>
      <c r="AL207" s="12">
        <f ca="1">SUM($T207:V207)</f>
        <v>14.438717727907</v>
      </c>
      <c r="AM207" s="12">
        <f ca="1">SUM($T207:W207)</f>
        <v>19.0837009481677</v>
      </c>
      <c r="AN207" s="12">
        <f ca="1">SUM($T207:X207)</f>
        <v>23.2315109632419</v>
      </c>
      <c r="AO207" s="12">
        <f ca="1">SUM($T207:Y207)</f>
        <v>28.0652433221818</v>
      </c>
      <c r="AP207" s="12">
        <f ca="1">SUM($T207:Z207)</f>
        <v>32.4830037156438</v>
      </c>
      <c r="AQ207" s="12">
        <f ca="1">SUM($T207:AA207)</f>
        <v>38.2333364907103</v>
      </c>
      <c r="AR207" s="12">
        <f ca="1">SUM($T207:AB207)</f>
        <v>42.9876228640037</v>
      </c>
      <c r="AS207" s="12">
        <f ca="1">SUM($T207:AC207)</f>
        <v>47.7107328850945</v>
      </c>
      <c r="AT207" s="12">
        <f ca="1">SUM($T207:AD207)</f>
        <v>52.8401915894488</v>
      </c>
      <c r="AU207" s="12">
        <f ca="1">SUM($T207:AE207)</f>
        <v>58.3535235188944</v>
      </c>
      <c r="AV207" s="12">
        <f ca="1">SUM($T207:AF207)</f>
        <v>62.9338634883432</v>
      </c>
      <c r="AW207" s="12">
        <f ca="1">SUM($T207:AG207)</f>
        <v>67.3537762044282</v>
      </c>
      <c r="AX207" s="12">
        <f ca="1">SUM($T207:AH207)</f>
        <v>72.2835711453365</v>
      </c>
      <c r="AY207" s="12">
        <f ca="1">SUM($T207:AI207)</f>
        <v>77.0988389868984</v>
      </c>
      <c r="AZ207" s="12">
        <f ca="1" t="shared" si="216"/>
        <v>54.7454782253411</v>
      </c>
      <c r="BA207" s="12">
        <f ca="1" t="shared" si="217"/>
        <v>49.6570683891972</v>
      </c>
      <c r="BB207" s="12">
        <f ca="1" t="shared" si="218"/>
        <v>44.480932778403</v>
      </c>
      <c r="BC207" s="12">
        <f ca="1" t="shared" si="219"/>
        <v>39.8359495581423</v>
      </c>
      <c r="BD207" s="12">
        <f ca="1" t="shared" si="220"/>
        <v>35.6881395430681</v>
      </c>
      <c r="BE207" s="12">
        <f ca="1" t="shared" si="221"/>
        <v>30.8544071841281</v>
      </c>
      <c r="BF207" s="12">
        <f ca="1" t="shared" si="222"/>
        <v>26.4366467906662</v>
      </c>
      <c r="BG207" s="12">
        <f ca="1" t="shared" si="223"/>
        <v>20.6863140155997</v>
      </c>
      <c r="BH207" s="12">
        <f ca="1" t="shared" si="224"/>
        <v>15.9320276423063</v>
      </c>
      <c r="BI207" s="12">
        <f ca="1" t="shared" si="225"/>
        <v>11.2089176212155</v>
      </c>
      <c r="BJ207" s="12">
        <f ca="1" t="shared" si="226"/>
        <v>6.07945891686114</v>
      </c>
      <c r="BK207" s="12">
        <f ca="1" t="shared" si="227"/>
        <v>0.566126987415586</v>
      </c>
      <c r="BL207" s="12">
        <f ca="1" t="shared" si="228"/>
        <v>0</v>
      </c>
      <c r="BM207" s="12">
        <f ca="1" t="shared" si="229"/>
        <v>0</v>
      </c>
      <c r="BN207" s="12">
        <f ca="1" t="shared" si="230"/>
        <v>0</v>
      </c>
      <c r="BO207" s="12">
        <f ca="1" t="shared" si="231"/>
        <v>0</v>
      </c>
    </row>
    <row r="208" spans="1:67">
      <c r="A208" s="3">
        <v>178</v>
      </c>
      <c r="B208" s="11">
        <f ca="1" t="shared" si="197"/>
        <v>0.476001736797592</v>
      </c>
      <c r="C208" s="12">
        <f ca="1" t="shared" si="198"/>
        <v>63.7666956132932</v>
      </c>
      <c r="D208" s="11">
        <f ca="1" t="shared" ref="D208:S208" si="280">RAND()</f>
        <v>0.896118649367674</v>
      </c>
      <c r="E208" s="11">
        <f ca="1" t="shared" si="280"/>
        <v>0.107973918515026</v>
      </c>
      <c r="F208" s="11">
        <f ca="1" t="shared" si="280"/>
        <v>0.646718632082295</v>
      </c>
      <c r="G208" s="11">
        <f ca="1" t="shared" si="280"/>
        <v>0.186077400537188</v>
      </c>
      <c r="H208" s="11">
        <f ca="1" t="shared" si="280"/>
        <v>0.512574918491546</v>
      </c>
      <c r="I208" s="11">
        <f ca="1" t="shared" si="280"/>
        <v>0.424482052193227</v>
      </c>
      <c r="J208" s="11">
        <f ca="1" t="shared" si="280"/>
        <v>0.2824234863628</v>
      </c>
      <c r="K208" s="11">
        <f ca="1" t="shared" si="280"/>
        <v>0.752451770563092</v>
      </c>
      <c r="L208" s="11">
        <f ca="1" t="shared" si="280"/>
        <v>0.628676425881945</v>
      </c>
      <c r="M208" s="11">
        <f ca="1" t="shared" si="280"/>
        <v>0.175264568310225</v>
      </c>
      <c r="N208" s="11">
        <f ca="1" t="shared" si="280"/>
        <v>0.463232717267638</v>
      </c>
      <c r="O208" s="11">
        <f ca="1" t="shared" si="280"/>
        <v>0.404468239720789</v>
      </c>
      <c r="P208" s="11">
        <f ca="1" t="shared" si="280"/>
        <v>0.812822234223329</v>
      </c>
      <c r="Q208" s="11">
        <f ca="1" t="shared" si="280"/>
        <v>0.169971431853978</v>
      </c>
      <c r="R208" s="11">
        <f ca="1" t="shared" si="280"/>
        <v>0.753351860621996</v>
      </c>
      <c r="S208" s="11">
        <f ca="1" t="shared" si="280"/>
        <v>0.234558115528095</v>
      </c>
      <c r="T208" s="12">
        <f ca="1" t="shared" si="200"/>
        <v>5.49029662341918</v>
      </c>
      <c r="U208" s="12">
        <f ca="1" t="shared" si="201"/>
        <v>4.17995653085838</v>
      </c>
      <c r="V208" s="12">
        <f ca="1" t="shared" si="202"/>
        <v>4.93339829010287</v>
      </c>
      <c r="W208" s="12">
        <f ca="1" t="shared" si="203"/>
        <v>4.31012900089531</v>
      </c>
      <c r="X208" s="12">
        <f ca="1" t="shared" si="204"/>
        <v>4.76571864811443</v>
      </c>
      <c r="Y208" s="12">
        <f ca="1" t="shared" si="205"/>
        <v>4.65560256524153</v>
      </c>
      <c r="Z208" s="12">
        <f ca="1" t="shared" si="206"/>
        <v>4.47070581060467</v>
      </c>
      <c r="AA208" s="12">
        <f ca="1" t="shared" si="207"/>
        <v>5.13112942640773</v>
      </c>
      <c r="AB208" s="12">
        <f ca="1" t="shared" si="208"/>
        <v>4.91084553235243</v>
      </c>
      <c r="AC208" s="12">
        <f ca="1" t="shared" si="209"/>
        <v>4.29210761385037</v>
      </c>
      <c r="AD208" s="12">
        <f ca="1" t="shared" si="210"/>
        <v>4.70404089658455</v>
      </c>
      <c r="AE208" s="12">
        <f ca="1" t="shared" si="211"/>
        <v>4.63058529965099</v>
      </c>
      <c r="AF208" s="12">
        <f ca="1" t="shared" si="212"/>
        <v>5.28205558555832</v>
      </c>
      <c r="AG208" s="12">
        <f ca="1" t="shared" si="213"/>
        <v>4.28328571975663</v>
      </c>
      <c r="AH208" s="12">
        <f ca="1" t="shared" si="214"/>
        <v>5.13337965155499</v>
      </c>
      <c r="AI208" s="12">
        <f ca="1" t="shared" si="215"/>
        <v>4.39093019254683</v>
      </c>
      <c r="AJ208" s="12">
        <f ca="1">SUM($T208:T208)</f>
        <v>5.49029662341918</v>
      </c>
      <c r="AK208" s="12">
        <f ca="1">SUM($T208:U208)</f>
        <v>9.67025315427756</v>
      </c>
      <c r="AL208" s="12">
        <f ca="1">SUM($T208:V208)</f>
        <v>14.6036514443804</v>
      </c>
      <c r="AM208" s="12">
        <f ca="1">SUM($T208:W208)</f>
        <v>18.9137804452757</v>
      </c>
      <c r="AN208" s="12">
        <f ca="1">SUM($T208:X208)</f>
        <v>23.6794990933902</v>
      </c>
      <c r="AO208" s="12">
        <f ca="1">SUM($T208:Y208)</f>
        <v>28.3351016586317</v>
      </c>
      <c r="AP208" s="12">
        <f ca="1">SUM($T208:Z208)</f>
        <v>32.8058074692364</v>
      </c>
      <c r="AQ208" s="12">
        <f ca="1">SUM($T208:AA208)</f>
        <v>37.9369368956441</v>
      </c>
      <c r="AR208" s="12">
        <f ca="1">SUM($T208:AB208)</f>
        <v>42.8477824279965</v>
      </c>
      <c r="AS208" s="12">
        <f ca="1">SUM($T208:AC208)</f>
        <v>47.1398900418469</v>
      </c>
      <c r="AT208" s="12">
        <f ca="1">SUM($T208:AD208)</f>
        <v>51.8439309384315</v>
      </c>
      <c r="AU208" s="12">
        <f ca="1">SUM($T208:AE208)</f>
        <v>56.4745162380824</v>
      </c>
      <c r="AV208" s="12">
        <f ca="1">SUM($T208:AF208)</f>
        <v>61.7565718236408</v>
      </c>
      <c r="AW208" s="12">
        <f ca="1">SUM($T208:AG208)</f>
        <v>66.0398575433974</v>
      </c>
      <c r="AX208" s="12">
        <f ca="1">SUM($T208:AH208)</f>
        <v>71.1732371949524</v>
      </c>
      <c r="AY208" s="12">
        <f ca="1">SUM($T208:AI208)</f>
        <v>75.5641673874992</v>
      </c>
      <c r="AZ208" s="12">
        <f ca="1" t="shared" si="216"/>
        <v>58.276398989874</v>
      </c>
      <c r="BA208" s="12">
        <f ca="1" t="shared" si="217"/>
        <v>54.0964424590156</v>
      </c>
      <c r="BB208" s="12">
        <f ca="1" t="shared" si="218"/>
        <v>49.1630441689128</v>
      </c>
      <c r="BC208" s="12">
        <f ca="1" t="shared" si="219"/>
        <v>44.8529151680175</v>
      </c>
      <c r="BD208" s="12">
        <f ca="1" t="shared" si="220"/>
        <v>40.087196519903</v>
      </c>
      <c r="BE208" s="12">
        <f ca="1" t="shared" si="221"/>
        <v>35.4315939546615</v>
      </c>
      <c r="BF208" s="12">
        <f ca="1" t="shared" si="222"/>
        <v>30.9608881440568</v>
      </c>
      <c r="BG208" s="12">
        <f ca="1" t="shared" si="223"/>
        <v>25.8297587176491</v>
      </c>
      <c r="BH208" s="12">
        <f ca="1" t="shared" si="224"/>
        <v>20.9189131852967</v>
      </c>
      <c r="BI208" s="12">
        <f ca="1" t="shared" si="225"/>
        <v>16.6268055714463</v>
      </c>
      <c r="BJ208" s="12">
        <f ca="1" t="shared" si="226"/>
        <v>11.9227646748617</v>
      </c>
      <c r="BK208" s="12">
        <f ca="1" t="shared" si="227"/>
        <v>7.29217937521076</v>
      </c>
      <c r="BL208" s="12">
        <f ca="1" t="shared" si="228"/>
        <v>2.01012378965243</v>
      </c>
      <c r="BM208" s="12">
        <f ca="1" t="shared" si="229"/>
        <v>0</v>
      </c>
      <c r="BN208" s="12">
        <f ca="1" t="shared" si="230"/>
        <v>0</v>
      </c>
      <c r="BO208" s="12">
        <f ca="1" t="shared" si="231"/>
        <v>0</v>
      </c>
    </row>
    <row r="209" spans="1:67">
      <c r="A209" s="3">
        <v>179</v>
      </c>
      <c r="B209" s="11">
        <f ca="1" t="shared" si="197"/>
        <v>0.629546611410452</v>
      </c>
      <c r="C209" s="12">
        <f ca="1" t="shared" si="198"/>
        <v>66.1363801630064</v>
      </c>
      <c r="D209" s="11">
        <f ca="1" t="shared" ref="D209:S209" si="281">RAND()</f>
        <v>0.964593686406045</v>
      </c>
      <c r="E209" s="11">
        <f ca="1" t="shared" si="281"/>
        <v>0.745630146013496</v>
      </c>
      <c r="F209" s="11">
        <f ca="1" t="shared" si="281"/>
        <v>0.212876216515714</v>
      </c>
      <c r="G209" s="11">
        <f ca="1" t="shared" si="281"/>
        <v>0.10765876201268</v>
      </c>
      <c r="H209" s="11">
        <f ca="1" t="shared" si="281"/>
        <v>0.2890399978274</v>
      </c>
      <c r="I209" s="11">
        <f ca="1" t="shared" si="281"/>
        <v>0.463956977123631</v>
      </c>
      <c r="J209" s="11">
        <f ca="1" t="shared" si="281"/>
        <v>0.706765925961504</v>
      </c>
      <c r="K209" s="11">
        <f ca="1" t="shared" si="281"/>
        <v>0.6118789780563</v>
      </c>
      <c r="L209" s="11">
        <f ca="1" t="shared" si="281"/>
        <v>0.748678106132688</v>
      </c>
      <c r="M209" s="11">
        <f ca="1" t="shared" si="281"/>
        <v>0.0344591372287859</v>
      </c>
      <c r="N209" s="11">
        <f ca="1" t="shared" si="281"/>
        <v>0.0401861070018465</v>
      </c>
      <c r="O209" s="11">
        <f ca="1" t="shared" si="281"/>
        <v>0.293876026212762</v>
      </c>
      <c r="P209" s="11">
        <f ca="1" t="shared" si="281"/>
        <v>0.244051076326989</v>
      </c>
      <c r="Q209" s="11">
        <f ca="1" t="shared" si="281"/>
        <v>0.954883692396469</v>
      </c>
      <c r="R209" s="11">
        <f ca="1" t="shared" si="281"/>
        <v>0.0673467995188131</v>
      </c>
      <c r="S209" s="11">
        <f ca="1" t="shared" si="281"/>
        <v>0.375219037779318</v>
      </c>
      <c r="T209" s="12">
        <f ca="1" t="shared" si="200"/>
        <v>5.82296843203022</v>
      </c>
      <c r="U209" s="12">
        <f ca="1" t="shared" si="201"/>
        <v>5.11407536503374</v>
      </c>
      <c r="V209" s="12">
        <f ca="1" t="shared" si="202"/>
        <v>4.35479369419286</v>
      </c>
      <c r="W209" s="12">
        <f ca="1" t="shared" si="203"/>
        <v>4.17943127002113</v>
      </c>
      <c r="X209" s="12">
        <f ca="1" t="shared" si="204"/>
        <v>4.48173332971233</v>
      </c>
      <c r="Y209" s="12">
        <f ca="1" t="shared" si="205"/>
        <v>4.70494622140454</v>
      </c>
      <c r="Z209" s="12">
        <f ca="1" t="shared" si="206"/>
        <v>5.01691481490376</v>
      </c>
      <c r="AA209" s="12">
        <f ca="1" t="shared" si="207"/>
        <v>4.88984872257038</v>
      </c>
      <c r="AB209" s="12">
        <f ca="1" t="shared" si="208"/>
        <v>5.12169526533172</v>
      </c>
      <c r="AC209" s="12">
        <f ca="1" t="shared" si="209"/>
        <v>4.05743189538131</v>
      </c>
      <c r="AD209" s="12">
        <f ca="1" t="shared" si="210"/>
        <v>4.06697684500308</v>
      </c>
      <c r="AE209" s="12">
        <f ca="1" t="shared" si="211"/>
        <v>4.48979337702127</v>
      </c>
      <c r="AF209" s="12">
        <f ca="1" t="shared" si="212"/>
        <v>4.40675179387831</v>
      </c>
      <c r="AG209" s="12">
        <f ca="1" t="shared" si="213"/>
        <v>5.77441846198235</v>
      </c>
      <c r="AH209" s="12">
        <f ca="1" t="shared" si="214"/>
        <v>4.11224466586469</v>
      </c>
      <c r="AI209" s="12">
        <f ca="1" t="shared" si="215"/>
        <v>4.59402379722415</v>
      </c>
      <c r="AJ209" s="12">
        <f ca="1">SUM($T209:T209)</f>
        <v>5.82296843203022</v>
      </c>
      <c r="AK209" s="12">
        <f ca="1">SUM($T209:U209)</f>
        <v>10.937043797064</v>
      </c>
      <c r="AL209" s="12">
        <f ca="1">SUM($T209:V209)</f>
        <v>15.2918374912568</v>
      </c>
      <c r="AM209" s="12">
        <f ca="1">SUM($T209:W209)</f>
        <v>19.471268761278</v>
      </c>
      <c r="AN209" s="12">
        <f ca="1">SUM($T209:X209)</f>
        <v>23.9530020909903</v>
      </c>
      <c r="AO209" s="12">
        <f ca="1">SUM($T209:Y209)</f>
        <v>28.6579483123948</v>
      </c>
      <c r="AP209" s="12">
        <f ca="1">SUM($T209:Z209)</f>
        <v>33.6748631272986</v>
      </c>
      <c r="AQ209" s="12">
        <f ca="1">SUM($T209:AA209)</f>
        <v>38.564711849869</v>
      </c>
      <c r="AR209" s="12">
        <f ca="1">SUM($T209:AB209)</f>
        <v>43.6864071152007</v>
      </c>
      <c r="AS209" s="12">
        <f ca="1">SUM($T209:AC209)</f>
        <v>47.743839010582</v>
      </c>
      <c r="AT209" s="12">
        <f ca="1">SUM($T209:AD209)</f>
        <v>51.8108158555851</v>
      </c>
      <c r="AU209" s="12">
        <f ca="1">SUM($T209:AE209)</f>
        <v>56.3006092326063</v>
      </c>
      <c r="AV209" s="12">
        <f ca="1">SUM($T209:AF209)</f>
        <v>60.7073610264847</v>
      </c>
      <c r="AW209" s="12">
        <f ca="1">SUM($T209:AG209)</f>
        <v>66.481779488467</v>
      </c>
      <c r="AX209" s="12">
        <f ca="1">SUM($T209:AH209)</f>
        <v>70.5940241543317</v>
      </c>
      <c r="AY209" s="12">
        <f ca="1">SUM($T209:AI209)</f>
        <v>75.1880479515558</v>
      </c>
      <c r="AZ209" s="12">
        <f ca="1" t="shared" si="216"/>
        <v>60.3134117309762</v>
      </c>
      <c r="BA209" s="12">
        <f ca="1" t="shared" si="217"/>
        <v>55.1993363659425</v>
      </c>
      <c r="BB209" s="12">
        <f ca="1" t="shared" si="218"/>
        <v>50.8445426717496</v>
      </c>
      <c r="BC209" s="12">
        <f ca="1" t="shared" si="219"/>
        <v>46.6651114017285</v>
      </c>
      <c r="BD209" s="12">
        <f ca="1" t="shared" si="220"/>
        <v>42.1833780720162</v>
      </c>
      <c r="BE209" s="12">
        <f ca="1" t="shared" si="221"/>
        <v>37.4784318506116</v>
      </c>
      <c r="BF209" s="12">
        <f ca="1" t="shared" si="222"/>
        <v>32.4615170357079</v>
      </c>
      <c r="BG209" s="12">
        <f ca="1" t="shared" si="223"/>
        <v>27.5716683131375</v>
      </c>
      <c r="BH209" s="12">
        <f ca="1" t="shared" si="224"/>
        <v>22.4499730478058</v>
      </c>
      <c r="BI209" s="12">
        <f ca="1" t="shared" si="225"/>
        <v>18.3925411524245</v>
      </c>
      <c r="BJ209" s="12">
        <f ca="1" t="shared" si="226"/>
        <v>14.3255643074214</v>
      </c>
      <c r="BK209" s="12">
        <f ca="1" t="shared" si="227"/>
        <v>9.83577093040011</v>
      </c>
      <c r="BL209" s="12">
        <f ca="1" t="shared" si="228"/>
        <v>5.4290191365218</v>
      </c>
      <c r="BM209" s="12">
        <f ca="1" t="shared" si="229"/>
        <v>0</v>
      </c>
      <c r="BN209" s="12">
        <f ca="1" t="shared" si="230"/>
        <v>0</v>
      </c>
      <c r="BO209" s="12">
        <f ca="1" t="shared" si="231"/>
        <v>0</v>
      </c>
    </row>
    <row r="210" spans="1:67">
      <c r="A210" s="3">
        <v>180</v>
      </c>
      <c r="B210" s="11">
        <f ca="1" t="shared" si="197"/>
        <v>0.700415869085095</v>
      </c>
      <c r="C210" s="12">
        <f ca="1" t="shared" si="198"/>
        <v>67.1487981297871</v>
      </c>
      <c r="D210" s="11">
        <f ca="1" t="shared" ref="D210:S210" si="282">RAND()</f>
        <v>0.0030955794338392</v>
      </c>
      <c r="E210" s="11">
        <f ca="1" t="shared" si="282"/>
        <v>0.74804664433492</v>
      </c>
      <c r="F210" s="11">
        <f ca="1" t="shared" si="282"/>
        <v>0.96948692958261</v>
      </c>
      <c r="G210" s="11">
        <f ca="1" t="shared" si="282"/>
        <v>0.104515225589153</v>
      </c>
      <c r="H210" s="11">
        <f ca="1" t="shared" si="282"/>
        <v>0.285549456757012</v>
      </c>
      <c r="I210" s="11">
        <f ca="1" t="shared" si="282"/>
        <v>0.0887113032672788</v>
      </c>
      <c r="J210" s="11">
        <f ca="1" t="shared" si="282"/>
        <v>0.997669043862175</v>
      </c>
      <c r="K210" s="11">
        <f ca="1" t="shared" si="282"/>
        <v>0.678042637276516</v>
      </c>
      <c r="L210" s="11">
        <f ca="1" t="shared" si="282"/>
        <v>0.325364601169081</v>
      </c>
      <c r="M210" s="11">
        <f ca="1" t="shared" si="282"/>
        <v>0.837539379535483</v>
      </c>
      <c r="N210" s="11">
        <f ca="1" t="shared" si="282"/>
        <v>0.62444511327818</v>
      </c>
      <c r="O210" s="11">
        <f ca="1" t="shared" si="282"/>
        <v>0.512573496518407</v>
      </c>
      <c r="P210" s="11">
        <f ca="1" t="shared" si="282"/>
        <v>0.503447614349776</v>
      </c>
      <c r="Q210" s="11">
        <f ca="1" t="shared" si="282"/>
        <v>0.504192044473173</v>
      </c>
      <c r="R210" s="11">
        <f ca="1" t="shared" si="282"/>
        <v>0.577135804954101</v>
      </c>
      <c r="S210" s="11">
        <f ca="1" t="shared" si="282"/>
        <v>0.42447538400181</v>
      </c>
      <c r="T210" s="12">
        <f ca="1" t="shared" si="200"/>
        <v>4.0051592990564</v>
      </c>
      <c r="U210" s="12">
        <f ca="1" t="shared" si="201"/>
        <v>5.1201166108373</v>
      </c>
      <c r="V210" s="12">
        <f ca="1" t="shared" si="202"/>
        <v>5.84743464791305</v>
      </c>
      <c r="W210" s="12">
        <f ca="1" t="shared" si="203"/>
        <v>4.17419204264859</v>
      </c>
      <c r="X210" s="12">
        <f ca="1" t="shared" si="204"/>
        <v>4.47591576126169</v>
      </c>
      <c r="Y210" s="12">
        <f ca="1" t="shared" si="205"/>
        <v>4.14785217211213</v>
      </c>
      <c r="Z210" s="12">
        <f ca="1" t="shared" si="206"/>
        <v>5.98834521931088</v>
      </c>
      <c r="AA210" s="12">
        <f ca="1" t="shared" si="207"/>
        <v>4.97255329659564</v>
      </c>
      <c r="AB210" s="12">
        <f ca="1" t="shared" si="208"/>
        <v>4.53170575146135</v>
      </c>
      <c r="AC210" s="12">
        <f ca="1" t="shared" si="209"/>
        <v>5.34384844883871</v>
      </c>
      <c r="AD210" s="12">
        <f ca="1" t="shared" si="210"/>
        <v>4.90555639159772</v>
      </c>
      <c r="AE210" s="12">
        <f ca="1" t="shared" si="211"/>
        <v>4.76571687064801</v>
      </c>
      <c r="AF210" s="12">
        <f ca="1" t="shared" si="212"/>
        <v>4.75430951793722</v>
      </c>
      <c r="AG210" s="12">
        <f ca="1" t="shared" si="213"/>
        <v>4.75524005559147</v>
      </c>
      <c r="AH210" s="12">
        <f ca="1" t="shared" si="214"/>
        <v>4.84641975619263</v>
      </c>
      <c r="AI210" s="12">
        <f ca="1" t="shared" si="215"/>
        <v>4.65559423000226</v>
      </c>
      <c r="AJ210" s="12">
        <f ca="1">SUM($T210:T210)</f>
        <v>4.0051592990564</v>
      </c>
      <c r="AK210" s="12">
        <f ca="1">SUM($T210:U210)</f>
        <v>9.1252759098937</v>
      </c>
      <c r="AL210" s="12">
        <f ca="1">SUM($T210:V210)</f>
        <v>14.9727105578067</v>
      </c>
      <c r="AM210" s="12">
        <f ca="1">SUM($T210:W210)</f>
        <v>19.1469026004553</v>
      </c>
      <c r="AN210" s="12">
        <f ca="1">SUM($T210:X210)</f>
        <v>23.622818361717</v>
      </c>
      <c r="AO210" s="12">
        <f ca="1">SUM($T210:Y210)</f>
        <v>27.7706705338292</v>
      </c>
      <c r="AP210" s="12">
        <f ca="1">SUM($T210:Z210)</f>
        <v>33.75901575314</v>
      </c>
      <c r="AQ210" s="12">
        <f ca="1">SUM($T210:AA210)</f>
        <v>38.7315690497357</v>
      </c>
      <c r="AR210" s="12">
        <f ca="1">SUM($T210:AB210)</f>
        <v>43.263274801197</v>
      </c>
      <c r="AS210" s="12">
        <f ca="1">SUM($T210:AC210)</f>
        <v>48.6071232500357</v>
      </c>
      <c r="AT210" s="12">
        <f ca="1">SUM($T210:AD210)</f>
        <v>53.5126796416335</v>
      </c>
      <c r="AU210" s="12">
        <f ca="1">SUM($T210:AE210)</f>
        <v>58.2783965122815</v>
      </c>
      <c r="AV210" s="12">
        <f ca="1">SUM($T210:AF210)</f>
        <v>63.0327060302187</v>
      </c>
      <c r="AW210" s="12">
        <f ca="1">SUM($T210:AG210)</f>
        <v>67.7879460858101</v>
      </c>
      <c r="AX210" s="12">
        <f ca="1">SUM($T210:AH210)</f>
        <v>72.6343658420028</v>
      </c>
      <c r="AY210" s="12">
        <f ca="1">SUM($T210:AI210)</f>
        <v>77.289960072005</v>
      </c>
      <c r="AZ210" s="12">
        <f ca="1" t="shared" si="216"/>
        <v>63.1436388307307</v>
      </c>
      <c r="BA210" s="12">
        <f ca="1" t="shared" si="217"/>
        <v>58.0235222198934</v>
      </c>
      <c r="BB210" s="12">
        <f ca="1" t="shared" si="218"/>
        <v>52.1760875719803</v>
      </c>
      <c r="BC210" s="12">
        <f ca="1" t="shared" si="219"/>
        <v>48.0018955293317</v>
      </c>
      <c r="BD210" s="12">
        <f ca="1" t="shared" si="220"/>
        <v>43.52597976807</v>
      </c>
      <c r="BE210" s="12">
        <f ca="1" t="shared" si="221"/>
        <v>39.3781275959579</v>
      </c>
      <c r="BF210" s="12">
        <f ca="1" t="shared" si="222"/>
        <v>33.389782376647</v>
      </c>
      <c r="BG210" s="12">
        <f ca="1" t="shared" si="223"/>
        <v>28.4172290800514</v>
      </c>
      <c r="BH210" s="12">
        <f ca="1" t="shared" si="224"/>
        <v>23.88552332859</v>
      </c>
      <c r="BI210" s="12">
        <f ca="1" t="shared" si="225"/>
        <v>18.5416748797513</v>
      </c>
      <c r="BJ210" s="12">
        <f ca="1" t="shared" si="226"/>
        <v>13.6361184881536</v>
      </c>
      <c r="BK210" s="12">
        <f ca="1" t="shared" si="227"/>
        <v>8.87040161750561</v>
      </c>
      <c r="BL210" s="12">
        <f ca="1" t="shared" si="228"/>
        <v>4.11609209956839</v>
      </c>
      <c r="BM210" s="12">
        <f ca="1" t="shared" si="229"/>
        <v>0</v>
      </c>
      <c r="BN210" s="12">
        <f ca="1" t="shared" si="230"/>
        <v>0</v>
      </c>
      <c r="BO210" s="12">
        <f ca="1" t="shared" si="231"/>
        <v>0</v>
      </c>
    </row>
    <row r="211" spans="1:67">
      <c r="A211" s="3">
        <v>181</v>
      </c>
      <c r="B211" s="11">
        <f ca="1" t="shared" si="197"/>
        <v>0.423301297016927</v>
      </c>
      <c r="C211" s="12">
        <f ca="1" t="shared" si="198"/>
        <v>62.8883549502821</v>
      </c>
      <c r="D211" s="11">
        <f ca="1" t="shared" ref="D211:S211" si="283">RAND()</f>
        <v>0.0684074398226975</v>
      </c>
      <c r="E211" s="11">
        <f ca="1" t="shared" si="283"/>
        <v>0.000355465167164892</v>
      </c>
      <c r="F211" s="11">
        <f ca="1" t="shared" si="283"/>
        <v>0.628687537160527</v>
      </c>
      <c r="G211" s="11">
        <f ca="1" t="shared" si="283"/>
        <v>0.646701748262669</v>
      </c>
      <c r="H211" s="11">
        <f ca="1" t="shared" si="283"/>
        <v>0.834480029211478</v>
      </c>
      <c r="I211" s="11">
        <f ca="1" t="shared" si="283"/>
        <v>0.209240338508876</v>
      </c>
      <c r="J211" s="11">
        <f ca="1" t="shared" si="283"/>
        <v>0.361056637970207</v>
      </c>
      <c r="K211" s="11">
        <f ca="1" t="shared" si="283"/>
        <v>0.281950395921081</v>
      </c>
      <c r="L211" s="11">
        <f ca="1" t="shared" si="283"/>
        <v>0.404476560316742</v>
      </c>
      <c r="M211" s="11">
        <f ca="1" t="shared" si="283"/>
        <v>0.304019380205394</v>
      </c>
      <c r="N211" s="11">
        <f ca="1" t="shared" si="283"/>
        <v>0.175270885642234</v>
      </c>
      <c r="O211" s="11">
        <f ca="1" t="shared" si="283"/>
        <v>0.076590218747322</v>
      </c>
      <c r="P211" s="11">
        <f ca="1" t="shared" si="283"/>
        <v>0.765988660050656</v>
      </c>
      <c r="Q211" s="11">
        <f ca="1" t="shared" si="283"/>
        <v>0.870771524536972</v>
      </c>
      <c r="R211" s="11">
        <f ca="1" t="shared" si="283"/>
        <v>0.279268553729815</v>
      </c>
      <c r="S211" s="11">
        <f ca="1" t="shared" si="283"/>
        <v>0.212874045351772</v>
      </c>
      <c r="T211" s="12">
        <f ca="1" t="shared" si="200"/>
        <v>4.1140123997045</v>
      </c>
      <c r="U211" s="12">
        <f ca="1" t="shared" si="201"/>
        <v>4.00059244194528</v>
      </c>
      <c r="V211" s="12">
        <f ca="1" t="shared" si="202"/>
        <v>4.91085942145066</v>
      </c>
      <c r="W211" s="12">
        <f ca="1" t="shared" si="203"/>
        <v>4.93337718532834</v>
      </c>
      <c r="X211" s="12">
        <f ca="1" t="shared" si="204"/>
        <v>5.33620007302869</v>
      </c>
      <c r="Y211" s="12">
        <f ca="1" t="shared" si="205"/>
        <v>4.34873389751479</v>
      </c>
      <c r="Z211" s="12">
        <f ca="1" t="shared" si="206"/>
        <v>4.57632079746276</v>
      </c>
      <c r="AA211" s="12">
        <f ca="1" t="shared" si="207"/>
        <v>4.46991732653514</v>
      </c>
      <c r="AB211" s="12">
        <f ca="1" t="shared" si="208"/>
        <v>4.63059570039593</v>
      </c>
      <c r="AC211" s="12">
        <f ca="1" t="shared" si="209"/>
        <v>4.50502422525674</v>
      </c>
      <c r="AD211" s="12">
        <f ca="1" t="shared" si="210"/>
        <v>4.29211814273706</v>
      </c>
      <c r="AE211" s="12">
        <f ca="1" t="shared" si="211"/>
        <v>4.12765036457887</v>
      </c>
      <c r="AF211" s="12">
        <f ca="1" t="shared" si="212"/>
        <v>5.16497165012664</v>
      </c>
      <c r="AG211" s="12">
        <f ca="1" t="shared" si="213"/>
        <v>5.42692881134243</v>
      </c>
      <c r="AH211" s="12">
        <f ca="1" t="shared" si="214"/>
        <v>4.46544758954969</v>
      </c>
      <c r="AI211" s="12">
        <f ca="1" t="shared" si="215"/>
        <v>4.35479007558629</v>
      </c>
      <c r="AJ211" s="12">
        <f ca="1">SUM($T211:T211)</f>
        <v>4.1140123997045</v>
      </c>
      <c r="AK211" s="12">
        <f ca="1">SUM($T211:U211)</f>
        <v>8.11460484164977</v>
      </c>
      <c r="AL211" s="12">
        <f ca="1">SUM($T211:V211)</f>
        <v>13.0254642631004</v>
      </c>
      <c r="AM211" s="12">
        <f ca="1">SUM($T211:W211)</f>
        <v>17.9588414484288</v>
      </c>
      <c r="AN211" s="12">
        <f ca="1">SUM($T211:X211)</f>
        <v>23.2950415214575</v>
      </c>
      <c r="AO211" s="12">
        <f ca="1">SUM($T211:Y211)</f>
        <v>27.6437754189723</v>
      </c>
      <c r="AP211" s="12">
        <f ca="1">SUM($T211:Z211)</f>
        <v>32.220096216435</v>
      </c>
      <c r="AQ211" s="12">
        <f ca="1">SUM($T211:AA211)</f>
        <v>36.6900135429701</v>
      </c>
      <c r="AR211" s="12">
        <f ca="1">SUM($T211:AB211)</f>
        <v>41.3206092433661</v>
      </c>
      <c r="AS211" s="12">
        <f ca="1">SUM($T211:AC211)</f>
        <v>45.8256334686228</v>
      </c>
      <c r="AT211" s="12">
        <f ca="1">SUM($T211:AD211)</f>
        <v>50.1177516113599</v>
      </c>
      <c r="AU211" s="12">
        <f ca="1">SUM($T211:AE211)</f>
        <v>54.2454019759387</v>
      </c>
      <c r="AV211" s="12">
        <f ca="1">SUM($T211:AF211)</f>
        <v>59.4103736260654</v>
      </c>
      <c r="AW211" s="12">
        <f ca="1">SUM($T211:AG211)</f>
        <v>64.8373024374078</v>
      </c>
      <c r="AX211" s="12">
        <f ca="1">SUM($T211:AH211)</f>
        <v>69.3027500269575</v>
      </c>
      <c r="AY211" s="12">
        <f ca="1">SUM($T211:AI211)</f>
        <v>73.6575401025438</v>
      </c>
      <c r="AZ211" s="12">
        <f ca="1" t="shared" si="216"/>
        <v>58.7743425505776</v>
      </c>
      <c r="BA211" s="12">
        <f ca="1" t="shared" si="217"/>
        <v>54.7737501086323</v>
      </c>
      <c r="BB211" s="12">
        <f ca="1" t="shared" si="218"/>
        <v>49.8628906871817</v>
      </c>
      <c r="BC211" s="12">
        <f ca="1" t="shared" si="219"/>
        <v>44.9295135018534</v>
      </c>
      <c r="BD211" s="12">
        <f ca="1" t="shared" si="220"/>
        <v>39.5933134288247</v>
      </c>
      <c r="BE211" s="12">
        <f ca="1" t="shared" si="221"/>
        <v>35.2445795313099</v>
      </c>
      <c r="BF211" s="12">
        <f ca="1" t="shared" si="222"/>
        <v>30.6682587338471</v>
      </c>
      <c r="BG211" s="12">
        <f ca="1" t="shared" si="223"/>
        <v>26.198341407312</v>
      </c>
      <c r="BH211" s="12">
        <f ca="1" t="shared" si="224"/>
        <v>21.567745706916</v>
      </c>
      <c r="BI211" s="12">
        <f ca="1" t="shared" si="225"/>
        <v>17.0627214816593</v>
      </c>
      <c r="BJ211" s="12">
        <f ca="1" t="shared" si="226"/>
        <v>12.7706033389222</v>
      </c>
      <c r="BK211" s="12">
        <f ca="1" t="shared" si="227"/>
        <v>8.64295297434337</v>
      </c>
      <c r="BL211" s="12">
        <f ca="1" t="shared" si="228"/>
        <v>3.47798132421673</v>
      </c>
      <c r="BM211" s="12">
        <f ca="1" t="shared" si="229"/>
        <v>0</v>
      </c>
      <c r="BN211" s="12">
        <f ca="1" t="shared" si="230"/>
        <v>0</v>
      </c>
      <c r="BO211" s="12">
        <f ca="1" t="shared" si="231"/>
        <v>0</v>
      </c>
    </row>
    <row r="212" spans="1:67">
      <c r="A212" s="3">
        <v>182</v>
      </c>
      <c r="B212" s="11">
        <f ca="1" t="shared" si="197"/>
        <v>0.652944121062115</v>
      </c>
      <c r="C212" s="12">
        <f ca="1" t="shared" si="198"/>
        <v>66.4706303008874</v>
      </c>
      <c r="D212" s="11">
        <f ca="1" t="shared" ref="D212:S212" si="284">RAND()</f>
        <v>0.710880440832151</v>
      </c>
      <c r="E212" s="11">
        <f ca="1" t="shared" si="284"/>
        <v>0.967550666568206</v>
      </c>
      <c r="F212" s="11">
        <f ca="1" t="shared" si="284"/>
        <v>0.689963022018109</v>
      </c>
      <c r="G212" s="11">
        <f ca="1" t="shared" si="284"/>
        <v>0.00230156948146054</v>
      </c>
      <c r="H212" s="11">
        <f ca="1" t="shared" si="284"/>
        <v>0.293858487997146</v>
      </c>
      <c r="I212" s="11">
        <f ca="1" t="shared" si="284"/>
        <v>0.169957165872969</v>
      </c>
      <c r="J212" s="11">
        <f ca="1" t="shared" si="284"/>
        <v>0.416004281753006</v>
      </c>
      <c r="K212" s="11">
        <f ca="1" t="shared" si="284"/>
        <v>0.397207939431385</v>
      </c>
      <c r="L212" s="11">
        <f ca="1" t="shared" si="284"/>
        <v>0.971280134131201</v>
      </c>
      <c r="M212" s="11">
        <f ca="1" t="shared" si="284"/>
        <v>0.544638219834811</v>
      </c>
      <c r="N212" s="11">
        <f ca="1" t="shared" si="284"/>
        <v>0.749590399844351</v>
      </c>
      <c r="O212" s="11">
        <f ca="1" t="shared" si="284"/>
        <v>0.96948421696373</v>
      </c>
      <c r="P212" s="11">
        <f ca="1" t="shared" si="284"/>
        <v>0.561825820338749</v>
      </c>
      <c r="Q212" s="11">
        <f ca="1" t="shared" si="284"/>
        <v>0.0734244807211317</v>
      </c>
      <c r="R212" s="11">
        <f ca="1" t="shared" si="284"/>
        <v>0.0734158540129093</v>
      </c>
      <c r="S212" s="11">
        <f ca="1" t="shared" si="284"/>
        <v>0.122328015520219</v>
      </c>
      <c r="T212" s="12">
        <f ca="1" t="shared" si="200"/>
        <v>5.02720110208038</v>
      </c>
      <c r="U212" s="12">
        <f ca="1" t="shared" si="201"/>
        <v>5.83775333284103</v>
      </c>
      <c r="V212" s="12">
        <f ca="1" t="shared" si="202"/>
        <v>4.98745377752264</v>
      </c>
      <c r="W212" s="12">
        <f ca="1" t="shared" si="203"/>
        <v>4.00383594913577</v>
      </c>
      <c r="X212" s="12">
        <f ca="1" t="shared" si="204"/>
        <v>4.48976414666191</v>
      </c>
      <c r="Y212" s="12">
        <f ca="1" t="shared" si="205"/>
        <v>4.28326194312162</v>
      </c>
      <c r="Z212" s="12">
        <f ca="1" t="shared" si="206"/>
        <v>4.64500535219126</v>
      </c>
      <c r="AA212" s="12">
        <f ca="1" t="shared" si="207"/>
        <v>4.62150992428923</v>
      </c>
      <c r="AB212" s="12">
        <f ca="1" t="shared" si="208"/>
        <v>5.85640067065601</v>
      </c>
      <c r="AC212" s="12">
        <f ca="1" t="shared" si="209"/>
        <v>4.80579777479351</v>
      </c>
      <c r="AD212" s="12">
        <f ca="1" t="shared" si="210"/>
        <v>5.12397599961088</v>
      </c>
      <c r="AE212" s="12">
        <f ca="1" t="shared" si="211"/>
        <v>5.84742108481865</v>
      </c>
      <c r="AF212" s="12">
        <f ca="1" t="shared" si="212"/>
        <v>4.82728227542344</v>
      </c>
      <c r="AG212" s="12">
        <f ca="1" t="shared" si="213"/>
        <v>4.12237413453522</v>
      </c>
      <c r="AH212" s="12">
        <f ca="1" t="shared" si="214"/>
        <v>4.12235975668818</v>
      </c>
      <c r="AI212" s="12">
        <f ca="1" t="shared" si="215"/>
        <v>4.20388002586703</v>
      </c>
      <c r="AJ212" s="12">
        <f ca="1">SUM($T212:T212)</f>
        <v>5.02720110208038</v>
      </c>
      <c r="AK212" s="12">
        <f ca="1">SUM($T212:U212)</f>
        <v>10.8649544349214</v>
      </c>
      <c r="AL212" s="12">
        <f ca="1">SUM($T212:V212)</f>
        <v>15.852408212444</v>
      </c>
      <c r="AM212" s="12">
        <f ca="1">SUM($T212:W212)</f>
        <v>19.8562441615798</v>
      </c>
      <c r="AN212" s="12">
        <f ca="1">SUM($T212:X212)</f>
        <v>24.3460083082417</v>
      </c>
      <c r="AO212" s="12">
        <f ca="1">SUM($T212:Y212)</f>
        <v>28.6292702513633</v>
      </c>
      <c r="AP212" s="12">
        <f ca="1">SUM($T212:Z212)</f>
        <v>33.2742756035546</v>
      </c>
      <c r="AQ212" s="12">
        <f ca="1">SUM($T212:AA212)</f>
        <v>37.8957855278438</v>
      </c>
      <c r="AR212" s="12">
        <f ca="1">SUM($T212:AB212)</f>
        <v>43.7521861984998</v>
      </c>
      <c r="AS212" s="12">
        <f ca="1">SUM($T212:AC212)</f>
        <v>48.5579839732933</v>
      </c>
      <c r="AT212" s="12">
        <f ca="1">SUM($T212:AD212)</f>
        <v>53.6819599729042</v>
      </c>
      <c r="AU212" s="12">
        <f ca="1">SUM($T212:AE212)</f>
        <v>59.5293810577229</v>
      </c>
      <c r="AV212" s="12">
        <f ca="1">SUM($T212:AF212)</f>
        <v>64.3566633331463</v>
      </c>
      <c r="AW212" s="12">
        <f ca="1">SUM($T212:AG212)</f>
        <v>68.4790374676815</v>
      </c>
      <c r="AX212" s="12">
        <f ca="1">SUM($T212:AH212)</f>
        <v>72.6013972243697</v>
      </c>
      <c r="AY212" s="12">
        <f ca="1">SUM($T212:AI212)</f>
        <v>76.8052772502367</v>
      </c>
      <c r="AZ212" s="12">
        <f ca="1" t="shared" si="216"/>
        <v>61.443429198807</v>
      </c>
      <c r="BA212" s="12">
        <f ca="1" t="shared" si="217"/>
        <v>55.6056758659659</v>
      </c>
      <c r="BB212" s="12">
        <f ca="1" t="shared" si="218"/>
        <v>50.6182220884433</v>
      </c>
      <c r="BC212" s="12">
        <f ca="1" t="shared" si="219"/>
        <v>46.6143861393075</v>
      </c>
      <c r="BD212" s="12">
        <f ca="1" t="shared" si="220"/>
        <v>42.1246219926456</v>
      </c>
      <c r="BE212" s="12">
        <f ca="1" t="shared" si="221"/>
        <v>37.841360049524</v>
      </c>
      <c r="BF212" s="12">
        <f ca="1" t="shared" si="222"/>
        <v>33.1963546973328</v>
      </c>
      <c r="BG212" s="12">
        <f ca="1" t="shared" si="223"/>
        <v>28.5748447730435</v>
      </c>
      <c r="BH212" s="12">
        <f ca="1" t="shared" si="224"/>
        <v>22.7184441023875</v>
      </c>
      <c r="BI212" s="12">
        <f ca="1" t="shared" si="225"/>
        <v>17.912646327594</v>
      </c>
      <c r="BJ212" s="12">
        <f ca="1" t="shared" si="226"/>
        <v>12.7886703279831</v>
      </c>
      <c r="BK212" s="12">
        <f ca="1" t="shared" si="227"/>
        <v>6.94124924316448</v>
      </c>
      <c r="BL212" s="12">
        <f ca="1" t="shared" si="228"/>
        <v>2.11396696774105</v>
      </c>
      <c r="BM212" s="12">
        <f ca="1" t="shared" si="229"/>
        <v>0</v>
      </c>
      <c r="BN212" s="12">
        <f ca="1" t="shared" si="230"/>
        <v>0</v>
      </c>
      <c r="BO212" s="12">
        <f ca="1" t="shared" si="231"/>
        <v>0</v>
      </c>
    </row>
    <row r="213" spans="1:67">
      <c r="A213" s="3">
        <v>183</v>
      </c>
      <c r="B213" s="11">
        <f ca="1" t="shared" si="197"/>
        <v>0.892353858943594</v>
      </c>
      <c r="C213" s="12">
        <f ca="1" t="shared" si="198"/>
        <v>69.8907694134799</v>
      </c>
      <c r="D213" s="11">
        <f ca="1" t="shared" ref="D213:S213" si="285">RAND()</f>
        <v>0.141258742072013</v>
      </c>
      <c r="E213" s="11">
        <f ca="1" t="shared" si="285"/>
        <v>0.425126993679694</v>
      </c>
      <c r="F213" s="11">
        <f ca="1" t="shared" si="285"/>
        <v>0.519979449611794</v>
      </c>
      <c r="G213" s="11">
        <f ca="1" t="shared" si="285"/>
        <v>0.61056944318796</v>
      </c>
      <c r="H213" s="11">
        <f ca="1" t="shared" si="285"/>
        <v>0.425117906183257</v>
      </c>
      <c r="I213" s="11">
        <f ca="1" t="shared" si="285"/>
        <v>0.462352567715729</v>
      </c>
      <c r="J213" s="11">
        <f ca="1" t="shared" si="285"/>
        <v>0.930619899767535</v>
      </c>
      <c r="K213" s="11">
        <f ca="1" t="shared" si="285"/>
        <v>0.485354675898414</v>
      </c>
      <c r="L213" s="11">
        <f ca="1" t="shared" si="285"/>
        <v>0.485365838816286</v>
      </c>
      <c r="M213" s="11">
        <f ca="1" t="shared" si="285"/>
        <v>0.440509864215646</v>
      </c>
      <c r="N213" s="11">
        <f ca="1" t="shared" si="285"/>
        <v>0.553612840254928</v>
      </c>
      <c r="O213" s="11">
        <f ca="1" t="shared" si="285"/>
        <v>0.440501432617684</v>
      </c>
      <c r="P213" s="11">
        <f ca="1" t="shared" si="285"/>
        <v>0.836529867261744</v>
      </c>
      <c r="Q213" s="11">
        <f ca="1" t="shared" si="285"/>
        <v>0.156545034403155</v>
      </c>
      <c r="R213" s="11">
        <f ca="1" t="shared" si="285"/>
        <v>0.745617021433787</v>
      </c>
      <c r="S213" s="11">
        <f ca="1" t="shared" si="285"/>
        <v>0.745718910420885</v>
      </c>
      <c r="T213" s="12">
        <f ca="1" t="shared" si="200"/>
        <v>4.23543123678669</v>
      </c>
      <c r="U213" s="12">
        <f ca="1" t="shared" si="201"/>
        <v>4.65640874209962</v>
      </c>
      <c r="V213" s="12">
        <f ca="1" t="shared" si="202"/>
        <v>4.77497431201474</v>
      </c>
      <c r="W213" s="12">
        <f ca="1" t="shared" si="203"/>
        <v>4.88821180398495</v>
      </c>
      <c r="X213" s="12">
        <f ca="1" t="shared" si="204"/>
        <v>4.65639738272907</v>
      </c>
      <c r="Y213" s="12">
        <f ca="1" t="shared" si="205"/>
        <v>4.70294070964466</v>
      </c>
      <c r="Z213" s="12">
        <f ca="1" t="shared" si="206"/>
        <v>5.65309949883768</v>
      </c>
      <c r="AA213" s="12">
        <f ca="1" t="shared" si="207"/>
        <v>4.73169334487302</v>
      </c>
      <c r="AB213" s="12">
        <f ca="1" t="shared" si="208"/>
        <v>4.73170729852036</v>
      </c>
      <c r="AC213" s="12">
        <f ca="1" t="shared" si="209"/>
        <v>4.67563733026956</v>
      </c>
      <c r="AD213" s="12">
        <f ca="1" t="shared" si="210"/>
        <v>4.81701605031866</v>
      </c>
      <c r="AE213" s="12">
        <f ca="1" t="shared" si="211"/>
        <v>4.67562679077211</v>
      </c>
      <c r="AF213" s="12">
        <f ca="1" t="shared" si="212"/>
        <v>5.34132466815436</v>
      </c>
      <c r="AG213" s="12">
        <f ca="1" t="shared" si="213"/>
        <v>4.26090839067193</v>
      </c>
      <c r="AH213" s="12">
        <f ca="1" t="shared" si="214"/>
        <v>5.11404255358447</v>
      </c>
      <c r="AI213" s="12">
        <f ca="1" t="shared" si="215"/>
        <v>5.11429727605221</v>
      </c>
      <c r="AJ213" s="12">
        <f ca="1">SUM($T213:T213)</f>
        <v>4.23543123678669</v>
      </c>
      <c r="AK213" s="12">
        <f ca="1">SUM($T213:U213)</f>
        <v>8.89183997888631</v>
      </c>
      <c r="AL213" s="12">
        <f ca="1">SUM($T213:V213)</f>
        <v>13.666814290901</v>
      </c>
      <c r="AM213" s="12">
        <f ca="1">SUM($T213:W213)</f>
        <v>18.555026094886</v>
      </c>
      <c r="AN213" s="12">
        <f ca="1">SUM($T213:X213)</f>
        <v>23.2114234776151</v>
      </c>
      <c r="AO213" s="12">
        <f ca="1">SUM($T213:Y213)</f>
        <v>27.9143641872597</v>
      </c>
      <c r="AP213" s="12">
        <f ca="1">SUM($T213:Z213)</f>
        <v>33.5674636860974</v>
      </c>
      <c r="AQ213" s="12">
        <f ca="1">SUM($T213:AA213)</f>
        <v>38.2991570309704</v>
      </c>
      <c r="AR213" s="12">
        <f ca="1">SUM($T213:AB213)</f>
        <v>43.0308643294908</v>
      </c>
      <c r="AS213" s="12">
        <f ca="1">SUM($T213:AC213)</f>
        <v>47.7065016597603</v>
      </c>
      <c r="AT213" s="12">
        <f ca="1">SUM($T213:AD213)</f>
        <v>52.523517710079</v>
      </c>
      <c r="AU213" s="12">
        <f ca="1">SUM($T213:AE213)</f>
        <v>57.1991445008511</v>
      </c>
      <c r="AV213" s="12">
        <f ca="1">SUM($T213:AF213)</f>
        <v>62.5404691690055</v>
      </c>
      <c r="AW213" s="12">
        <f ca="1">SUM($T213:AG213)</f>
        <v>66.8013775596774</v>
      </c>
      <c r="AX213" s="12">
        <f ca="1">SUM($T213:AH213)</f>
        <v>71.9154201132619</v>
      </c>
      <c r="AY213" s="12">
        <f ca="1">SUM($T213:AI213)</f>
        <v>77.0297173893141</v>
      </c>
      <c r="AZ213" s="12">
        <f ca="1" t="shared" si="216"/>
        <v>65.6553381766932</v>
      </c>
      <c r="BA213" s="12">
        <f ca="1" t="shared" si="217"/>
        <v>60.9989294345936</v>
      </c>
      <c r="BB213" s="12">
        <f ca="1" t="shared" si="218"/>
        <v>56.2239551225789</v>
      </c>
      <c r="BC213" s="12">
        <f ca="1" t="shared" si="219"/>
        <v>51.3357433185939</v>
      </c>
      <c r="BD213" s="12">
        <f ca="1" t="shared" si="220"/>
        <v>46.6793459358648</v>
      </c>
      <c r="BE213" s="12">
        <f ca="1" t="shared" si="221"/>
        <v>41.9764052262202</v>
      </c>
      <c r="BF213" s="12">
        <f ca="1" t="shared" si="222"/>
        <v>36.3233057273825</v>
      </c>
      <c r="BG213" s="12">
        <f ca="1" t="shared" si="223"/>
        <v>31.5916123825095</v>
      </c>
      <c r="BH213" s="12">
        <f ca="1" t="shared" si="224"/>
        <v>26.8599050839891</v>
      </c>
      <c r="BI213" s="12">
        <f ca="1" t="shared" si="225"/>
        <v>22.1842677537196</v>
      </c>
      <c r="BJ213" s="12">
        <f ca="1" t="shared" si="226"/>
        <v>17.3672517034009</v>
      </c>
      <c r="BK213" s="12">
        <f ca="1" t="shared" si="227"/>
        <v>12.6916249126288</v>
      </c>
      <c r="BL213" s="12">
        <f ca="1" t="shared" si="228"/>
        <v>7.35030024447445</v>
      </c>
      <c r="BM213" s="12">
        <f ca="1" t="shared" si="229"/>
        <v>3.08939185380252</v>
      </c>
      <c r="BN213" s="12">
        <f ca="1" t="shared" si="230"/>
        <v>0</v>
      </c>
      <c r="BO213" s="12">
        <f ca="1" t="shared" si="231"/>
        <v>0</v>
      </c>
    </row>
    <row r="214" spans="1:67">
      <c r="A214" s="3">
        <v>184</v>
      </c>
      <c r="B214" s="11">
        <f ca="1" t="shared" si="197"/>
        <v>0.404848664621885</v>
      </c>
      <c r="C214" s="12">
        <f ca="1" t="shared" si="198"/>
        <v>62.5808110770314</v>
      </c>
      <c r="D214" s="11">
        <f ca="1" t="shared" ref="D214:S214" si="286">RAND()</f>
        <v>0.885626818925716</v>
      </c>
      <c r="E214" s="11">
        <f ca="1" t="shared" si="286"/>
        <v>0.624286887096091</v>
      </c>
      <c r="F214" s="11">
        <f ca="1" t="shared" si="286"/>
        <v>0.774681539408924</v>
      </c>
      <c r="G214" s="11">
        <f ca="1" t="shared" si="286"/>
        <v>0.564516768198523</v>
      </c>
      <c r="H214" s="11">
        <f ca="1" t="shared" si="286"/>
        <v>0.855755867403084</v>
      </c>
      <c r="I214" s="11">
        <f ca="1" t="shared" si="286"/>
        <v>0.816938154608715</v>
      </c>
      <c r="J214" s="11">
        <f ca="1" t="shared" si="286"/>
        <v>0.244063577724566</v>
      </c>
      <c r="K214" s="11">
        <f ca="1" t="shared" si="286"/>
        <v>0.156526145476949</v>
      </c>
      <c r="L214" s="11">
        <f ca="1" t="shared" si="286"/>
        <v>0.10288190628595</v>
      </c>
      <c r="M214" s="11">
        <f ca="1" t="shared" si="286"/>
        <v>0.283717170699797</v>
      </c>
      <c r="N214" s="11">
        <f ca="1" t="shared" si="286"/>
        <v>0.0201028886935681</v>
      </c>
      <c r="O214" s="11">
        <f ca="1" t="shared" si="286"/>
        <v>0.748026723476016</v>
      </c>
      <c r="P214" s="11">
        <f ca="1" t="shared" si="286"/>
        <v>0.367085381822775</v>
      </c>
      <c r="Q214" s="11">
        <f ca="1" t="shared" si="286"/>
        <v>0.905567333272769</v>
      </c>
      <c r="R214" s="11">
        <f ca="1" t="shared" si="286"/>
        <v>0.919231110141439</v>
      </c>
      <c r="S214" s="11">
        <f ca="1" t="shared" si="286"/>
        <v>0.77467161652887</v>
      </c>
      <c r="T214" s="12">
        <f ca="1" t="shared" si="200"/>
        <v>5.46406704731429</v>
      </c>
      <c r="U214" s="12">
        <f ca="1" t="shared" si="201"/>
        <v>4.90535860887011</v>
      </c>
      <c r="V214" s="12">
        <f ca="1" t="shared" si="202"/>
        <v>5.18670384852231</v>
      </c>
      <c r="W214" s="12">
        <f ca="1" t="shared" si="203"/>
        <v>4.83064596024815</v>
      </c>
      <c r="X214" s="12">
        <f ca="1" t="shared" si="204"/>
        <v>5.38938966850771</v>
      </c>
      <c r="Y214" s="12">
        <f ca="1" t="shared" si="205"/>
        <v>5.29234538652179</v>
      </c>
      <c r="Z214" s="12">
        <f ca="1" t="shared" si="206"/>
        <v>4.40677262954094</v>
      </c>
      <c r="AA214" s="12">
        <f ca="1" t="shared" si="207"/>
        <v>4.26087690912825</v>
      </c>
      <c r="AB214" s="12">
        <f ca="1" t="shared" si="208"/>
        <v>4.17146984380992</v>
      </c>
      <c r="AC214" s="12">
        <f ca="1" t="shared" si="209"/>
        <v>4.47286195116633</v>
      </c>
      <c r="AD214" s="12">
        <f ca="1" t="shared" si="210"/>
        <v>4.03350481448928</v>
      </c>
      <c r="AE214" s="12">
        <f ca="1" t="shared" si="211"/>
        <v>5.12006680869004</v>
      </c>
      <c r="AF214" s="12">
        <f ca="1" t="shared" si="212"/>
        <v>4.58385672727847</v>
      </c>
      <c r="AG214" s="12">
        <f ca="1" t="shared" si="213"/>
        <v>5.52783666636384</v>
      </c>
      <c r="AH214" s="12">
        <f ca="1" t="shared" si="214"/>
        <v>5.5961555507072</v>
      </c>
      <c r="AI214" s="12">
        <f ca="1" t="shared" si="215"/>
        <v>5.18667904132218</v>
      </c>
      <c r="AJ214" s="12">
        <f ca="1">SUM($T214:T214)</f>
        <v>5.46406704731429</v>
      </c>
      <c r="AK214" s="12">
        <f ca="1">SUM($T214:U214)</f>
        <v>10.3694256561844</v>
      </c>
      <c r="AL214" s="12">
        <f ca="1">SUM($T214:V214)</f>
        <v>15.5561295047067</v>
      </c>
      <c r="AM214" s="12">
        <f ca="1">SUM($T214:W214)</f>
        <v>20.3867754649549</v>
      </c>
      <c r="AN214" s="12">
        <f ca="1">SUM($T214:X214)</f>
        <v>25.7761651334626</v>
      </c>
      <c r="AO214" s="12">
        <f ca="1">SUM($T214:Y214)</f>
        <v>31.0685105199844</v>
      </c>
      <c r="AP214" s="12">
        <f ca="1">SUM($T214:Z214)</f>
        <v>35.4752831495253</v>
      </c>
      <c r="AQ214" s="12">
        <f ca="1">SUM($T214:AA214)</f>
        <v>39.7361600586536</v>
      </c>
      <c r="AR214" s="12">
        <f ca="1">SUM($T214:AB214)</f>
        <v>43.9076299024635</v>
      </c>
      <c r="AS214" s="12">
        <f ca="1">SUM($T214:AC214)</f>
        <v>48.3804918536298</v>
      </c>
      <c r="AT214" s="12">
        <f ca="1">SUM($T214:AD214)</f>
        <v>52.4139966681191</v>
      </c>
      <c r="AU214" s="12">
        <f ca="1">SUM($T214:AE214)</f>
        <v>57.5340634768091</v>
      </c>
      <c r="AV214" s="12">
        <f ca="1">SUM($T214:AF214)</f>
        <v>62.1179202040876</v>
      </c>
      <c r="AW214" s="12">
        <f ca="1">SUM($T214:AG214)</f>
        <v>67.6457568704514</v>
      </c>
      <c r="AX214" s="12">
        <f ca="1">SUM($T214:AH214)</f>
        <v>73.2419124211586</v>
      </c>
      <c r="AY214" s="12">
        <f ca="1">SUM($T214:AI214)</f>
        <v>78.4285914624808</v>
      </c>
      <c r="AZ214" s="12">
        <f ca="1" t="shared" si="216"/>
        <v>57.1167440297171</v>
      </c>
      <c r="BA214" s="12">
        <f ca="1" t="shared" si="217"/>
        <v>52.211385420847</v>
      </c>
      <c r="BB214" s="12">
        <f ca="1" t="shared" si="218"/>
        <v>47.0246815723247</v>
      </c>
      <c r="BC214" s="12">
        <f ca="1" t="shared" si="219"/>
        <v>42.1940356120765</v>
      </c>
      <c r="BD214" s="12">
        <f ca="1" t="shared" si="220"/>
        <v>36.8046459435688</v>
      </c>
      <c r="BE214" s="12">
        <f ca="1" t="shared" si="221"/>
        <v>31.512300557047</v>
      </c>
      <c r="BF214" s="12">
        <f ca="1" t="shared" si="222"/>
        <v>27.1055279275061</v>
      </c>
      <c r="BG214" s="12">
        <f ca="1" t="shared" si="223"/>
        <v>22.8446510183779</v>
      </c>
      <c r="BH214" s="12">
        <f ca="1" t="shared" si="224"/>
        <v>18.6731811745679</v>
      </c>
      <c r="BI214" s="12">
        <f ca="1" t="shared" si="225"/>
        <v>14.2003192234016</v>
      </c>
      <c r="BJ214" s="12">
        <f ca="1" t="shared" si="226"/>
        <v>10.1668144089123</v>
      </c>
      <c r="BK214" s="12">
        <f ca="1" t="shared" si="227"/>
        <v>5.04674760022229</v>
      </c>
      <c r="BL214" s="12">
        <f ca="1" t="shared" si="228"/>
        <v>0.462890872943824</v>
      </c>
      <c r="BM214" s="12">
        <f ca="1" t="shared" si="229"/>
        <v>0</v>
      </c>
      <c r="BN214" s="12">
        <f ca="1" t="shared" si="230"/>
        <v>0</v>
      </c>
      <c r="BO214" s="12">
        <f ca="1" t="shared" si="231"/>
        <v>0</v>
      </c>
    </row>
    <row r="215" spans="1:67">
      <c r="A215" s="3">
        <v>185</v>
      </c>
      <c r="B215" s="11">
        <f ca="1" t="shared" si="197"/>
        <v>0.103912983546403</v>
      </c>
      <c r="C215" s="12">
        <f ca="1" t="shared" si="198"/>
        <v>55.1304327848801</v>
      </c>
      <c r="D215" s="11">
        <f ca="1" t="shared" ref="D215:S215" si="287">RAND()</f>
        <v>0.974904247415744</v>
      </c>
      <c r="E215" s="11">
        <f ca="1" t="shared" si="287"/>
        <v>0.936506285105048</v>
      </c>
      <c r="F215" s="11">
        <f ca="1" t="shared" si="287"/>
        <v>0.089971041951173</v>
      </c>
      <c r="G215" s="11">
        <f ca="1" t="shared" si="287"/>
        <v>0.79721505803143</v>
      </c>
      <c r="H215" s="11">
        <f ca="1" t="shared" si="287"/>
        <v>0.28193869927352</v>
      </c>
      <c r="I215" s="11">
        <f ca="1" t="shared" si="287"/>
        <v>0.0483568321212813</v>
      </c>
      <c r="J215" s="11">
        <f ca="1" t="shared" si="287"/>
        <v>0.556715518689324</v>
      </c>
      <c r="K215" s="11">
        <f ca="1" t="shared" si="287"/>
        <v>0.710883025870752</v>
      </c>
      <c r="L215" s="11">
        <f ca="1" t="shared" si="287"/>
        <v>0.156979211658</v>
      </c>
      <c r="M215" s="11">
        <f ca="1" t="shared" si="287"/>
        <v>0.384552670776991</v>
      </c>
      <c r="N215" s="11">
        <f ca="1" t="shared" si="287"/>
        <v>0.415995547944506</v>
      </c>
      <c r="O215" s="11">
        <f ca="1" t="shared" si="287"/>
        <v>0.418243459797445</v>
      </c>
      <c r="P215" s="11">
        <f ca="1" t="shared" si="287"/>
        <v>0.522581663388213</v>
      </c>
      <c r="Q215" s="11">
        <f ca="1" t="shared" si="287"/>
        <v>0.250641716367129</v>
      </c>
      <c r="R215" s="11">
        <f ca="1" t="shared" si="287"/>
        <v>0.519355952939305</v>
      </c>
      <c r="S215" s="11">
        <f ca="1" t="shared" si="287"/>
        <v>0.481640541170036</v>
      </c>
      <c r="T215" s="12">
        <f ca="1" t="shared" si="200"/>
        <v>5.87452123707872</v>
      </c>
      <c r="U215" s="12">
        <f ca="1" t="shared" si="201"/>
        <v>5.68253142552524</v>
      </c>
      <c r="V215" s="12">
        <f ca="1" t="shared" si="202"/>
        <v>4.14995173658529</v>
      </c>
      <c r="W215" s="12">
        <f ca="1" t="shared" si="203"/>
        <v>5.24303764507857</v>
      </c>
      <c r="X215" s="12">
        <f ca="1" t="shared" si="204"/>
        <v>4.46989783212253</v>
      </c>
      <c r="Y215" s="12">
        <f ca="1" t="shared" si="205"/>
        <v>4.08059472020214</v>
      </c>
      <c r="Z215" s="12">
        <f ca="1" t="shared" si="206"/>
        <v>4.82089439836165</v>
      </c>
      <c r="AA215" s="12">
        <f ca="1" t="shared" si="207"/>
        <v>5.02720756467688</v>
      </c>
      <c r="AB215" s="12">
        <f ca="1" t="shared" si="208"/>
        <v>4.26163201943</v>
      </c>
      <c r="AC215" s="12">
        <f ca="1" t="shared" si="209"/>
        <v>4.60569083847124</v>
      </c>
      <c r="AD215" s="12">
        <f ca="1" t="shared" si="210"/>
        <v>4.64499443493063</v>
      </c>
      <c r="AE215" s="12">
        <f ca="1" t="shared" si="211"/>
        <v>4.64780432474681</v>
      </c>
      <c r="AF215" s="12">
        <f ca="1" t="shared" si="212"/>
        <v>4.77822707923527</v>
      </c>
      <c r="AG215" s="12">
        <f ca="1" t="shared" si="213"/>
        <v>4.41773619394521</v>
      </c>
      <c r="AH215" s="12">
        <f ca="1" t="shared" si="214"/>
        <v>4.77419494117413</v>
      </c>
      <c r="AI215" s="12">
        <f ca="1" t="shared" si="215"/>
        <v>4.72705067646254</v>
      </c>
      <c r="AJ215" s="12">
        <f ca="1">SUM($T215:T215)</f>
        <v>5.87452123707872</v>
      </c>
      <c r="AK215" s="12">
        <f ca="1">SUM($T215:U215)</f>
        <v>11.557052662604</v>
      </c>
      <c r="AL215" s="12">
        <f ca="1">SUM($T215:V215)</f>
        <v>15.7070043991892</v>
      </c>
      <c r="AM215" s="12">
        <f ca="1">SUM($T215:W215)</f>
        <v>20.9500420442678</v>
      </c>
      <c r="AN215" s="12">
        <f ca="1">SUM($T215:X215)</f>
        <v>25.4199398763904</v>
      </c>
      <c r="AO215" s="12">
        <f ca="1">SUM($T215:Y215)</f>
        <v>29.5005345965925</v>
      </c>
      <c r="AP215" s="12">
        <f ca="1">SUM($T215:Z215)</f>
        <v>34.3214289949541</v>
      </c>
      <c r="AQ215" s="12">
        <f ca="1">SUM($T215:AA215)</f>
        <v>39.348636559631</v>
      </c>
      <c r="AR215" s="12">
        <f ca="1">SUM($T215:AB215)</f>
        <v>43.610268579061</v>
      </c>
      <c r="AS215" s="12">
        <f ca="1">SUM($T215:AC215)</f>
        <v>48.2159594175323</v>
      </c>
      <c r="AT215" s="12">
        <f ca="1">SUM($T215:AD215)</f>
        <v>52.8609538524629</v>
      </c>
      <c r="AU215" s="12">
        <f ca="1">SUM($T215:AE215)</f>
        <v>57.5087581772097</v>
      </c>
      <c r="AV215" s="12">
        <f ca="1">SUM($T215:AF215)</f>
        <v>62.286985256445</v>
      </c>
      <c r="AW215" s="12">
        <f ca="1">SUM($T215:AG215)</f>
        <v>66.7047214503902</v>
      </c>
      <c r="AX215" s="12">
        <f ca="1">SUM($T215:AH215)</f>
        <v>71.4789163915643</v>
      </c>
      <c r="AY215" s="12">
        <f ca="1">SUM($T215:AI215)</f>
        <v>76.2059670680269</v>
      </c>
      <c r="AZ215" s="12">
        <f ca="1" t="shared" si="216"/>
        <v>49.2559115478014</v>
      </c>
      <c r="BA215" s="12">
        <f ca="1" t="shared" si="217"/>
        <v>43.5733801222761</v>
      </c>
      <c r="BB215" s="12">
        <f ca="1" t="shared" si="218"/>
        <v>39.4234283856908</v>
      </c>
      <c r="BC215" s="12">
        <f ca="1" t="shared" si="219"/>
        <v>34.1803907406123</v>
      </c>
      <c r="BD215" s="12">
        <f ca="1" t="shared" si="220"/>
        <v>29.7104929084897</v>
      </c>
      <c r="BE215" s="12">
        <f ca="1" t="shared" si="221"/>
        <v>25.6298981882876</v>
      </c>
      <c r="BF215" s="12">
        <f ca="1" t="shared" si="222"/>
        <v>20.8090037899259</v>
      </c>
      <c r="BG215" s="12">
        <f ca="1" t="shared" si="223"/>
        <v>15.7817962252491</v>
      </c>
      <c r="BH215" s="12">
        <f ca="1" t="shared" si="224"/>
        <v>11.5201642058191</v>
      </c>
      <c r="BI215" s="12">
        <f ca="1" t="shared" si="225"/>
        <v>6.91447336734782</v>
      </c>
      <c r="BJ215" s="12">
        <f ca="1" t="shared" si="226"/>
        <v>2.26947893241719</v>
      </c>
      <c r="BK215" s="12">
        <f ca="1" t="shared" si="227"/>
        <v>0</v>
      </c>
      <c r="BL215" s="12">
        <f ca="1" t="shared" si="228"/>
        <v>0</v>
      </c>
      <c r="BM215" s="12">
        <f ca="1" t="shared" si="229"/>
        <v>0</v>
      </c>
      <c r="BN215" s="12">
        <f ca="1" t="shared" si="230"/>
        <v>0</v>
      </c>
      <c r="BO215" s="12">
        <f ca="1" t="shared" si="231"/>
        <v>0</v>
      </c>
    </row>
    <row r="216" spans="1:67">
      <c r="A216" s="3">
        <v>186</v>
      </c>
      <c r="B216" s="11">
        <f ca="1" t="shared" si="197"/>
        <v>0.0863296203825181</v>
      </c>
      <c r="C216" s="12">
        <f ca="1" t="shared" si="198"/>
        <v>54.3164810191259</v>
      </c>
      <c r="D216" s="11">
        <f ca="1" t="shared" ref="D216:S216" si="288">RAND()</f>
        <v>0.251951685859116</v>
      </c>
      <c r="E216" s="11">
        <f ca="1" t="shared" si="288"/>
        <v>0.6348636846994</v>
      </c>
      <c r="F216" s="11">
        <f ca="1" t="shared" si="288"/>
        <v>0.96817164011545</v>
      </c>
      <c r="G216" s="11">
        <f ca="1" t="shared" si="288"/>
        <v>0.329758013868791</v>
      </c>
      <c r="H216" s="11">
        <f ca="1" t="shared" si="288"/>
        <v>0.752448332000094</v>
      </c>
      <c r="I216" s="11">
        <f ca="1" t="shared" si="288"/>
        <v>0.463228944707262</v>
      </c>
      <c r="J216" s="11">
        <f ca="1" t="shared" si="288"/>
        <v>0.512578333076626</v>
      </c>
      <c r="K216" s="11">
        <f ca="1" t="shared" si="288"/>
        <v>0.706632594621038</v>
      </c>
      <c r="L216" s="11">
        <f ca="1" t="shared" si="288"/>
        <v>0.753338289118409</v>
      </c>
      <c r="M216" s="11">
        <f ca="1" t="shared" si="288"/>
        <v>0.046736048571018</v>
      </c>
      <c r="N216" s="11">
        <f ca="1" t="shared" si="288"/>
        <v>0.460736085499863</v>
      </c>
      <c r="O216" s="11">
        <f ca="1" t="shared" si="288"/>
        <v>0.107662348073891</v>
      </c>
      <c r="P216" s="11">
        <f ca="1" t="shared" si="288"/>
        <v>0.706783704250979</v>
      </c>
      <c r="Q216" s="11">
        <f ca="1" t="shared" si="288"/>
        <v>0.0376438173285847</v>
      </c>
      <c r="R216" s="11">
        <f ca="1" t="shared" si="288"/>
        <v>0.0401907610117458</v>
      </c>
      <c r="S216" s="11">
        <f ca="1" t="shared" si="288"/>
        <v>0.648561394161945</v>
      </c>
      <c r="T216" s="12">
        <f ca="1" t="shared" si="200"/>
        <v>4.41991947643186</v>
      </c>
      <c r="U216" s="12">
        <f ca="1" t="shared" si="201"/>
        <v>4.91857960587425</v>
      </c>
      <c r="V216" s="12">
        <f ca="1" t="shared" si="202"/>
        <v>5.84085820057725</v>
      </c>
      <c r="W216" s="12">
        <f ca="1" t="shared" si="203"/>
        <v>4.53719751733599</v>
      </c>
      <c r="X216" s="12">
        <f ca="1" t="shared" si="204"/>
        <v>5.13112083000023</v>
      </c>
      <c r="Y216" s="12">
        <f ca="1" t="shared" si="205"/>
        <v>4.70403618088408</v>
      </c>
      <c r="Z216" s="12">
        <f ca="1" t="shared" si="206"/>
        <v>4.76572291634578</v>
      </c>
      <c r="AA216" s="12">
        <f ca="1" t="shared" si="207"/>
        <v>5.01658148655259</v>
      </c>
      <c r="AB216" s="12">
        <f ca="1" t="shared" si="208"/>
        <v>5.13334572279602</v>
      </c>
      <c r="AC216" s="12">
        <f ca="1" t="shared" si="209"/>
        <v>4.07789341428503</v>
      </c>
      <c r="AD216" s="12">
        <f ca="1" t="shared" si="210"/>
        <v>4.70092010687483</v>
      </c>
      <c r="AE216" s="12">
        <f ca="1" t="shared" si="211"/>
        <v>4.17943724678982</v>
      </c>
      <c r="AF216" s="12">
        <f ca="1" t="shared" si="212"/>
        <v>5.01695926062745</v>
      </c>
      <c r="AG216" s="12">
        <f ca="1" t="shared" si="213"/>
        <v>4.06273969554764</v>
      </c>
      <c r="AH216" s="12">
        <f ca="1" t="shared" si="214"/>
        <v>4.06698460168624</v>
      </c>
      <c r="AI216" s="12">
        <f ca="1" t="shared" si="215"/>
        <v>4.93570174270243</v>
      </c>
      <c r="AJ216" s="12">
        <f ca="1">SUM($T216:T216)</f>
        <v>4.41991947643186</v>
      </c>
      <c r="AK216" s="12">
        <f ca="1">SUM($T216:U216)</f>
        <v>9.33849908230611</v>
      </c>
      <c r="AL216" s="12">
        <f ca="1">SUM($T216:V216)</f>
        <v>15.1793572828834</v>
      </c>
      <c r="AM216" s="12">
        <f ca="1">SUM($T216:W216)</f>
        <v>19.7165548002193</v>
      </c>
      <c r="AN216" s="12">
        <f ca="1">SUM($T216:X216)</f>
        <v>24.8476756302196</v>
      </c>
      <c r="AO216" s="12">
        <f ca="1">SUM($T216:Y216)</f>
        <v>29.5517118111037</v>
      </c>
      <c r="AP216" s="12">
        <f ca="1">SUM($T216:Z216)</f>
        <v>34.3174347274494</v>
      </c>
      <c r="AQ216" s="12">
        <f ca="1">SUM($T216:AA216)</f>
        <v>39.334016214002</v>
      </c>
      <c r="AR216" s="12">
        <f ca="1">SUM($T216:AB216)</f>
        <v>44.4673619367981</v>
      </c>
      <c r="AS216" s="12">
        <f ca="1">SUM($T216:AC216)</f>
        <v>48.5452553510831</v>
      </c>
      <c r="AT216" s="12">
        <f ca="1">SUM($T216:AD216)</f>
        <v>53.2461754579579</v>
      </c>
      <c r="AU216" s="12">
        <f ca="1">SUM($T216:AE216)</f>
        <v>57.4256127047477</v>
      </c>
      <c r="AV216" s="12">
        <f ca="1">SUM($T216:AF216)</f>
        <v>62.4425719653752</v>
      </c>
      <c r="AW216" s="12">
        <f ca="1">SUM($T216:AG216)</f>
        <v>66.5053116609228</v>
      </c>
      <c r="AX216" s="12">
        <f ca="1">SUM($T216:AH216)</f>
        <v>70.5722962626091</v>
      </c>
      <c r="AY216" s="12">
        <f ca="1">SUM($T216:AI216)</f>
        <v>75.5079980053115</v>
      </c>
      <c r="AZ216" s="12">
        <f ca="1" t="shared" si="216"/>
        <v>49.896561542694</v>
      </c>
      <c r="BA216" s="12">
        <f ca="1" t="shared" si="217"/>
        <v>44.9779819368198</v>
      </c>
      <c r="BB216" s="12">
        <f ca="1" t="shared" si="218"/>
        <v>39.1371237362425</v>
      </c>
      <c r="BC216" s="12">
        <f ca="1" t="shared" si="219"/>
        <v>34.5999262189066</v>
      </c>
      <c r="BD216" s="12">
        <f ca="1" t="shared" si="220"/>
        <v>29.4688053889063</v>
      </c>
      <c r="BE216" s="12">
        <f ca="1" t="shared" si="221"/>
        <v>24.7647692080222</v>
      </c>
      <c r="BF216" s="12">
        <f ca="1" t="shared" si="222"/>
        <v>19.9990462916765</v>
      </c>
      <c r="BG216" s="12">
        <f ca="1" t="shared" si="223"/>
        <v>14.9824648051239</v>
      </c>
      <c r="BH216" s="12">
        <f ca="1" t="shared" si="224"/>
        <v>9.84911908232784</v>
      </c>
      <c r="BI216" s="12">
        <f ca="1" t="shared" si="225"/>
        <v>5.77122566804281</v>
      </c>
      <c r="BJ216" s="12">
        <f ca="1" t="shared" si="226"/>
        <v>1.07030556116798</v>
      </c>
      <c r="BK216" s="12">
        <f ca="1" t="shared" si="227"/>
        <v>0</v>
      </c>
      <c r="BL216" s="12">
        <f ca="1" t="shared" si="228"/>
        <v>0</v>
      </c>
      <c r="BM216" s="12">
        <f ca="1" t="shared" si="229"/>
        <v>0</v>
      </c>
      <c r="BN216" s="12">
        <f ca="1" t="shared" si="230"/>
        <v>0</v>
      </c>
      <c r="BO216" s="12">
        <f ca="1" t="shared" si="231"/>
        <v>0</v>
      </c>
    </row>
    <row r="217" spans="1:67">
      <c r="A217" s="3">
        <v>187</v>
      </c>
      <c r="B217" s="11">
        <f ca="1" t="shared" si="197"/>
        <v>0.610333941298835</v>
      </c>
      <c r="C217" s="12">
        <f ca="1" t="shared" si="198"/>
        <v>65.8619134471262</v>
      </c>
      <c r="D217" s="11">
        <f ca="1" t="shared" ref="D217:S217" si="289">RAND()</f>
        <v>0.399411799368621</v>
      </c>
      <c r="E217" s="11">
        <f ca="1" t="shared" si="289"/>
        <v>0.00309677692003829</v>
      </c>
      <c r="F217" s="11">
        <f ca="1" t="shared" si="289"/>
        <v>0.954139107948315</v>
      </c>
      <c r="G217" s="11">
        <f ca="1" t="shared" si="289"/>
        <v>0.997660708297758</v>
      </c>
      <c r="H217" s="11">
        <f ca="1" t="shared" si="289"/>
        <v>0.578157948423903</v>
      </c>
      <c r="I217" s="11">
        <f ca="1" t="shared" si="289"/>
        <v>0.387173176803191</v>
      </c>
      <c r="J217" s="11">
        <f ca="1" t="shared" si="289"/>
        <v>0.855762164877185</v>
      </c>
      <c r="K217" s="11">
        <f ca="1" t="shared" si="289"/>
        <v>0.504197344833672</v>
      </c>
      <c r="L217" s="11">
        <f ca="1" t="shared" si="289"/>
        <v>0.465198767090036</v>
      </c>
      <c r="M217" s="11">
        <f ca="1" t="shared" si="289"/>
        <v>0.0201076604048147</v>
      </c>
      <c r="N217" s="11">
        <f ca="1" t="shared" si="289"/>
        <v>0.905056922614661</v>
      </c>
      <c r="O217" s="11">
        <f ca="1" t="shared" si="289"/>
        <v>0.577396871539021</v>
      </c>
      <c r="P217" s="11">
        <f ca="1" t="shared" si="289"/>
        <v>0.209233098729142</v>
      </c>
      <c r="Q217" s="11">
        <f ca="1" t="shared" si="289"/>
        <v>0.845198703730968</v>
      </c>
      <c r="R217" s="11">
        <f ca="1" t="shared" si="289"/>
        <v>0.250642520345893</v>
      </c>
      <c r="S217" s="11">
        <f ca="1" t="shared" si="289"/>
        <v>0.48183704152725</v>
      </c>
      <c r="T217" s="12">
        <f ca="1" t="shared" si="200"/>
        <v>4.62426474921078</v>
      </c>
      <c r="U217" s="12">
        <f ca="1" t="shared" si="201"/>
        <v>4.00516129486673</v>
      </c>
      <c r="V217" s="12">
        <f ca="1" t="shared" si="202"/>
        <v>5.77069553974157</v>
      </c>
      <c r="W217" s="12">
        <f ca="1" t="shared" si="203"/>
        <v>5.98830354148879</v>
      </c>
      <c r="X217" s="12">
        <f ca="1" t="shared" si="204"/>
        <v>4.84769743552988</v>
      </c>
      <c r="Y217" s="12">
        <f ca="1" t="shared" si="205"/>
        <v>4.60896647100399</v>
      </c>
      <c r="Z217" s="12">
        <f ca="1" t="shared" si="206"/>
        <v>5.38940541219296</v>
      </c>
      <c r="AA217" s="12">
        <f ca="1" t="shared" si="207"/>
        <v>4.75524668104209</v>
      </c>
      <c r="AB217" s="12">
        <f ca="1" t="shared" si="208"/>
        <v>4.70649845886255</v>
      </c>
      <c r="AC217" s="12">
        <f ca="1" t="shared" si="209"/>
        <v>4.03351276734136</v>
      </c>
      <c r="AD217" s="12">
        <f ca="1" t="shared" si="210"/>
        <v>5.52528461307331</v>
      </c>
      <c r="AE217" s="12">
        <f ca="1" t="shared" si="211"/>
        <v>4.84674608942378</v>
      </c>
      <c r="AF217" s="12">
        <f ca="1" t="shared" si="212"/>
        <v>4.34872183121524</v>
      </c>
      <c r="AG217" s="12">
        <f ca="1" t="shared" si="213"/>
        <v>5.36299675932742</v>
      </c>
      <c r="AH217" s="12">
        <f ca="1" t="shared" si="214"/>
        <v>4.41773753390982</v>
      </c>
      <c r="AI217" s="12">
        <f ca="1" t="shared" si="215"/>
        <v>4.72729630190906</v>
      </c>
      <c r="AJ217" s="12">
        <f ca="1">SUM($T217:T217)</f>
        <v>4.62426474921078</v>
      </c>
      <c r="AK217" s="12">
        <f ca="1">SUM($T217:U217)</f>
        <v>8.62942604407751</v>
      </c>
      <c r="AL217" s="12">
        <f ca="1">SUM($T217:V217)</f>
        <v>14.4001215838191</v>
      </c>
      <c r="AM217" s="12">
        <f ca="1">SUM($T217:W217)</f>
        <v>20.3884251253079</v>
      </c>
      <c r="AN217" s="12">
        <f ca="1">SUM($T217:X217)</f>
        <v>25.2361225608377</v>
      </c>
      <c r="AO217" s="12">
        <f ca="1">SUM($T217:Y217)</f>
        <v>29.8450890318417</v>
      </c>
      <c r="AP217" s="12">
        <f ca="1">SUM($T217:Z217)</f>
        <v>35.2344944440347</v>
      </c>
      <c r="AQ217" s="12">
        <f ca="1">SUM($T217:AA217)</f>
        <v>39.9897411250768</v>
      </c>
      <c r="AR217" s="12">
        <f ca="1">SUM($T217:AB217)</f>
        <v>44.6962395839393</v>
      </c>
      <c r="AS217" s="12">
        <f ca="1">SUM($T217:AC217)</f>
        <v>48.7297523512807</v>
      </c>
      <c r="AT217" s="12">
        <f ca="1">SUM($T217:AD217)</f>
        <v>54.255036964354</v>
      </c>
      <c r="AU217" s="12">
        <f ca="1">SUM($T217:AE217)</f>
        <v>59.1017830537778</v>
      </c>
      <c r="AV217" s="12">
        <f ca="1">SUM($T217:AF217)</f>
        <v>63.450504884993</v>
      </c>
      <c r="AW217" s="12">
        <f ca="1">SUM($T217:AG217)</f>
        <v>68.8135016443204</v>
      </c>
      <c r="AX217" s="12">
        <f ca="1">SUM($T217:AH217)</f>
        <v>73.2312391782303</v>
      </c>
      <c r="AY217" s="12">
        <f ca="1">SUM($T217:AI217)</f>
        <v>77.9585354801393</v>
      </c>
      <c r="AZ217" s="12">
        <f ca="1" t="shared" si="216"/>
        <v>61.2376486979154</v>
      </c>
      <c r="BA217" s="12">
        <f ca="1" t="shared" si="217"/>
        <v>57.2324874030487</v>
      </c>
      <c r="BB217" s="12">
        <f ca="1" t="shared" si="218"/>
        <v>51.4617918633071</v>
      </c>
      <c r="BC217" s="12">
        <f ca="1" t="shared" si="219"/>
        <v>45.4734883218183</v>
      </c>
      <c r="BD217" s="12">
        <f ca="1" t="shared" si="220"/>
        <v>40.6257908862885</v>
      </c>
      <c r="BE217" s="12">
        <f ca="1" t="shared" si="221"/>
        <v>36.0168244152845</v>
      </c>
      <c r="BF217" s="12">
        <f ca="1" t="shared" si="222"/>
        <v>30.6274190030915</v>
      </c>
      <c r="BG217" s="12">
        <f ca="1" t="shared" si="223"/>
        <v>25.8721723220494</v>
      </c>
      <c r="BH217" s="12">
        <f ca="1" t="shared" si="224"/>
        <v>21.1656738631869</v>
      </c>
      <c r="BI217" s="12">
        <f ca="1" t="shared" si="225"/>
        <v>17.1321610958455</v>
      </c>
      <c r="BJ217" s="12">
        <f ca="1" t="shared" si="226"/>
        <v>11.6068764827722</v>
      </c>
      <c r="BK217" s="12">
        <f ca="1" t="shared" si="227"/>
        <v>6.76013039334843</v>
      </c>
      <c r="BL217" s="12">
        <f ca="1" t="shared" si="228"/>
        <v>2.4114085621332</v>
      </c>
      <c r="BM217" s="12">
        <f ca="1" t="shared" si="229"/>
        <v>0</v>
      </c>
      <c r="BN217" s="12">
        <f ca="1" t="shared" si="230"/>
        <v>0</v>
      </c>
      <c r="BO217" s="12">
        <f ca="1" t="shared" si="231"/>
        <v>0</v>
      </c>
    </row>
    <row r="218" spans="1:67">
      <c r="A218" s="3">
        <v>188</v>
      </c>
      <c r="B218" s="11">
        <f ca="1" t="shared" si="197"/>
        <v>0.1313469167816</v>
      </c>
      <c r="C218" s="12">
        <f ca="1" t="shared" si="198"/>
        <v>56.0448972260533</v>
      </c>
      <c r="D218" s="11">
        <f ca="1" t="shared" ref="D218:S218" si="290">RAND()</f>
        <v>0.825573628851206</v>
      </c>
      <c r="E218" s="11">
        <f ca="1" t="shared" si="290"/>
        <v>0.690178829620018</v>
      </c>
      <c r="F218" s="11">
        <f ca="1" t="shared" si="290"/>
        <v>0.76597731430616</v>
      </c>
      <c r="G218" s="11">
        <f ca="1" t="shared" si="290"/>
        <v>0.919242754174733</v>
      </c>
      <c r="H218" s="11">
        <f ca="1" t="shared" si="290"/>
        <v>0.251951798558243</v>
      </c>
      <c r="I218" s="11">
        <f ca="1" t="shared" si="290"/>
        <v>0.512576044880725</v>
      </c>
      <c r="J218" s="11">
        <f ca="1" t="shared" si="290"/>
        <v>0.549128025851094</v>
      </c>
      <c r="K218" s="11">
        <f ca="1" t="shared" si="290"/>
        <v>0.424479501513517</v>
      </c>
      <c r="L218" s="11">
        <f ca="1" t="shared" si="290"/>
        <v>0.75245692219938</v>
      </c>
      <c r="M218" s="11">
        <f ca="1" t="shared" si="290"/>
        <v>0.424472508337815</v>
      </c>
      <c r="N218" s="11">
        <f ca="1" t="shared" si="290"/>
        <v>0.967548303655496</v>
      </c>
      <c r="O218" s="11">
        <f ca="1" t="shared" si="290"/>
        <v>0.463235516703244</v>
      </c>
      <c r="P218" s="11">
        <f ca="1" t="shared" si="290"/>
        <v>0.628679338074885</v>
      </c>
      <c r="Q218" s="11">
        <f ca="1" t="shared" si="290"/>
        <v>0.119179270410416</v>
      </c>
      <c r="R218" s="11">
        <f ca="1" t="shared" si="290"/>
        <v>0.964120351166526</v>
      </c>
      <c r="S218" s="11">
        <f ca="1" t="shared" si="290"/>
        <v>0.62867011480726</v>
      </c>
      <c r="T218" s="12">
        <f ca="1" t="shared" si="200"/>
        <v>5.31393407212802</v>
      </c>
      <c r="U218" s="12">
        <f ca="1" t="shared" si="201"/>
        <v>4.98772353702502</v>
      </c>
      <c r="V218" s="12">
        <f ca="1" t="shared" si="202"/>
        <v>5.1649432857654</v>
      </c>
      <c r="W218" s="12">
        <f ca="1" t="shared" si="203"/>
        <v>5.59621377087366</v>
      </c>
      <c r="X218" s="12">
        <f ca="1" t="shared" si="204"/>
        <v>4.41991966426374</v>
      </c>
      <c r="Y218" s="12">
        <f ca="1" t="shared" si="205"/>
        <v>4.76572005610091</v>
      </c>
      <c r="Z218" s="12">
        <f ca="1" t="shared" si="206"/>
        <v>4.81141003231387</v>
      </c>
      <c r="AA218" s="12">
        <f ca="1" t="shared" si="207"/>
        <v>4.6555993768919</v>
      </c>
      <c r="AB218" s="12">
        <f ca="1" t="shared" si="208"/>
        <v>5.13114230549845</v>
      </c>
      <c r="AC218" s="12">
        <f ca="1" t="shared" si="209"/>
        <v>4.65559063542227</v>
      </c>
      <c r="AD218" s="12">
        <f ca="1" t="shared" si="210"/>
        <v>5.83774151827748</v>
      </c>
      <c r="AE218" s="12">
        <f ca="1" t="shared" si="211"/>
        <v>4.70404439587906</v>
      </c>
      <c r="AF218" s="12">
        <f ca="1" t="shared" si="212"/>
        <v>4.91084917259361</v>
      </c>
      <c r="AG218" s="12">
        <f ca="1" t="shared" si="213"/>
        <v>4.19863211735069</v>
      </c>
      <c r="AH218" s="12">
        <f ca="1" t="shared" si="214"/>
        <v>5.82060175583263</v>
      </c>
      <c r="AI218" s="12">
        <f ca="1" t="shared" si="215"/>
        <v>4.91083764350908</v>
      </c>
      <c r="AJ218" s="12">
        <f ca="1">SUM($T218:T218)</f>
        <v>5.31393407212802</v>
      </c>
      <c r="AK218" s="12">
        <f ca="1">SUM($T218:U218)</f>
        <v>10.301657609153</v>
      </c>
      <c r="AL218" s="12">
        <f ca="1">SUM($T218:V218)</f>
        <v>15.4666008949184</v>
      </c>
      <c r="AM218" s="12">
        <f ca="1">SUM($T218:W218)</f>
        <v>21.0628146657921</v>
      </c>
      <c r="AN218" s="12">
        <f ca="1">SUM($T218:X218)</f>
        <v>25.4827343300558</v>
      </c>
      <c r="AO218" s="12">
        <f ca="1">SUM($T218:Y218)</f>
        <v>30.2484543861567</v>
      </c>
      <c r="AP218" s="12">
        <f ca="1">SUM($T218:Z218)</f>
        <v>35.0598644184706</v>
      </c>
      <c r="AQ218" s="12">
        <f ca="1">SUM($T218:AA218)</f>
        <v>39.7154637953625</v>
      </c>
      <c r="AR218" s="12">
        <f ca="1">SUM($T218:AB218)</f>
        <v>44.846606100861</v>
      </c>
      <c r="AS218" s="12">
        <f ca="1">SUM($T218:AC218)</f>
        <v>49.5021967362832</v>
      </c>
      <c r="AT218" s="12">
        <f ca="1">SUM($T218:AD218)</f>
        <v>55.3399382545607</v>
      </c>
      <c r="AU218" s="12">
        <f ca="1">SUM($T218:AE218)</f>
        <v>60.0439826504398</v>
      </c>
      <c r="AV218" s="12">
        <f ca="1">SUM($T218:AF218)</f>
        <v>64.9548318230334</v>
      </c>
      <c r="AW218" s="12">
        <f ca="1">SUM($T218:AG218)</f>
        <v>69.1534639403841</v>
      </c>
      <c r="AX218" s="12">
        <f ca="1">SUM($T218:AH218)</f>
        <v>74.9740656962167</v>
      </c>
      <c r="AY218" s="12">
        <f ca="1">SUM($T218:AI218)</f>
        <v>79.8849033397258</v>
      </c>
      <c r="AZ218" s="12">
        <f ca="1" t="shared" si="216"/>
        <v>50.7309631539253</v>
      </c>
      <c r="BA218" s="12">
        <f ca="1" t="shared" si="217"/>
        <v>45.7432396169003</v>
      </c>
      <c r="BB218" s="12">
        <f ca="1" t="shared" si="218"/>
        <v>40.5782963311349</v>
      </c>
      <c r="BC218" s="12">
        <f ca="1" t="shared" si="219"/>
        <v>34.9820825602612</v>
      </c>
      <c r="BD218" s="12">
        <f ca="1" t="shared" si="220"/>
        <v>30.5621628959975</v>
      </c>
      <c r="BE218" s="12">
        <f ca="1" t="shared" si="221"/>
        <v>25.7964428398966</v>
      </c>
      <c r="BF218" s="12">
        <f ca="1" t="shared" si="222"/>
        <v>20.9850328075827</v>
      </c>
      <c r="BG218" s="12">
        <f ca="1" t="shared" si="223"/>
        <v>16.3294334306908</v>
      </c>
      <c r="BH218" s="12">
        <f ca="1" t="shared" si="224"/>
        <v>11.1982911251924</v>
      </c>
      <c r="BI218" s="12">
        <f ca="1" t="shared" si="225"/>
        <v>6.54270048977011</v>
      </c>
      <c r="BJ218" s="12">
        <f ca="1" t="shared" si="226"/>
        <v>0.704958971492623</v>
      </c>
      <c r="BK218" s="12">
        <f ca="1" t="shared" si="227"/>
        <v>0</v>
      </c>
      <c r="BL218" s="12">
        <f ca="1" t="shared" si="228"/>
        <v>0</v>
      </c>
      <c r="BM218" s="12">
        <f ca="1" t="shared" si="229"/>
        <v>0</v>
      </c>
      <c r="BN218" s="12">
        <f ca="1" t="shared" si="230"/>
        <v>0</v>
      </c>
      <c r="BO218" s="12">
        <f ca="1" t="shared" si="231"/>
        <v>0</v>
      </c>
    </row>
    <row r="219" spans="1:67">
      <c r="A219" s="3">
        <v>189</v>
      </c>
      <c r="B219" s="11">
        <f ca="1" t="shared" si="197"/>
        <v>0.114685788130008</v>
      </c>
      <c r="C219" s="12">
        <f ca="1" t="shared" si="198"/>
        <v>55.4895262710003</v>
      </c>
      <c r="D219" s="11">
        <f ca="1" t="shared" ref="D219:S219" si="291">RAND()</f>
        <v>0.40447520539701</v>
      </c>
      <c r="E219" s="11">
        <f ca="1" t="shared" si="291"/>
        <v>0.927344142048397</v>
      </c>
      <c r="F219" s="11">
        <f ca="1" t="shared" si="291"/>
        <v>0.721566937043483</v>
      </c>
      <c r="G219" s="11">
        <f ca="1" t="shared" si="291"/>
        <v>0.753343878370805</v>
      </c>
      <c r="H219" s="11">
        <f ca="1" t="shared" si="291"/>
        <v>0.404465037915632</v>
      </c>
      <c r="I219" s="11">
        <f ca="1" t="shared" si="291"/>
        <v>0.212862625963671</v>
      </c>
      <c r="J219" s="11">
        <f ca="1" t="shared" si="291"/>
        <v>0.602019101566063</v>
      </c>
      <c r="K219" s="11">
        <f ca="1" t="shared" si="291"/>
        <v>0.0114476910347994</v>
      </c>
      <c r="L219" s="11">
        <f ca="1" t="shared" si="291"/>
        <v>0.107658956029728</v>
      </c>
      <c r="M219" s="11">
        <f ca="1" t="shared" si="291"/>
        <v>0.212869206105087</v>
      </c>
      <c r="N219" s="11">
        <f ca="1" t="shared" si="291"/>
        <v>0.293874467429792</v>
      </c>
      <c r="O219" s="11">
        <f ca="1" t="shared" si="291"/>
        <v>0.251421838505578</v>
      </c>
      <c r="P219" s="11">
        <f ca="1" t="shared" si="291"/>
        <v>0.150182826507393</v>
      </c>
      <c r="Q219" s="11">
        <f ca="1" t="shared" si="291"/>
        <v>0.706772414420397</v>
      </c>
      <c r="R219" s="11">
        <f ca="1" t="shared" si="291"/>
        <v>0.721262577208001</v>
      </c>
      <c r="S219" s="11">
        <f ca="1" t="shared" si="291"/>
        <v>0.317831458699413</v>
      </c>
      <c r="T219" s="12">
        <f ca="1" t="shared" si="200"/>
        <v>4.63059400674626</v>
      </c>
      <c r="U219" s="12">
        <f ca="1" t="shared" si="201"/>
        <v>5.63672071024198</v>
      </c>
      <c r="V219" s="12">
        <f ca="1" t="shared" si="202"/>
        <v>5.05391734260871</v>
      </c>
      <c r="W219" s="12">
        <f ca="1" t="shared" si="203"/>
        <v>5.13335969592701</v>
      </c>
      <c r="X219" s="12">
        <f ca="1" t="shared" si="204"/>
        <v>4.63058129739454</v>
      </c>
      <c r="Y219" s="12">
        <f ca="1" t="shared" si="205"/>
        <v>4.35477104327278</v>
      </c>
      <c r="Z219" s="12">
        <f ca="1" t="shared" si="206"/>
        <v>4.87752387695758</v>
      </c>
      <c r="AA219" s="12">
        <f ca="1" t="shared" si="207"/>
        <v>4.019079485058</v>
      </c>
      <c r="AB219" s="12">
        <f ca="1" t="shared" si="208"/>
        <v>4.17943159338288</v>
      </c>
      <c r="AC219" s="12">
        <f ca="1" t="shared" si="209"/>
        <v>4.35478201017515</v>
      </c>
      <c r="AD219" s="12">
        <f ca="1" t="shared" si="210"/>
        <v>4.48979077904965</v>
      </c>
      <c r="AE219" s="12">
        <f ca="1" t="shared" si="211"/>
        <v>4.4190363975093</v>
      </c>
      <c r="AF219" s="12">
        <f ca="1" t="shared" si="212"/>
        <v>4.25030471084566</v>
      </c>
      <c r="AG219" s="12">
        <f ca="1" t="shared" si="213"/>
        <v>5.01693103605099</v>
      </c>
      <c r="AH219" s="12">
        <f ca="1" t="shared" si="214"/>
        <v>5.05315644302</v>
      </c>
      <c r="AI219" s="12">
        <f ca="1" t="shared" si="215"/>
        <v>4.52228932337427</v>
      </c>
      <c r="AJ219" s="12">
        <f ca="1">SUM($T219:T219)</f>
        <v>4.63059400674626</v>
      </c>
      <c r="AK219" s="12">
        <f ca="1">SUM($T219:U219)</f>
        <v>10.2673147169882</v>
      </c>
      <c r="AL219" s="12">
        <f ca="1">SUM($T219:V219)</f>
        <v>15.321232059597</v>
      </c>
      <c r="AM219" s="12">
        <f ca="1">SUM($T219:W219)</f>
        <v>20.454591755524</v>
      </c>
      <c r="AN219" s="12">
        <f ca="1">SUM($T219:X219)</f>
        <v>25.0851730529185</v>
      </c>
      <c r="AO219" s="12">
        <f ca="1">SUM($T219:Y219)</f>
        <v>29.4399440961913</v>
      </c>
      <c r="AP219" s="12">
        <f ca="1">SUM($T219:Z219)</f>
        <v>34.3174679731489</v>
      </c>
      <c r="AQ219" s="12">
        <f ca="1">SUM($T219:AA219)</f>
        <v>38.3365474582069</v>
      </c>
      <c r="AR219" s="12">
        <f ca="1">SUM($T219:AB219)</f>
        <v>42.5159790515897</v>
      </c>
      <c r="AS219" s="12">
        <f ca="1">SUM($T219:AC219)</f>
        <v>46.8707610617649</v>
      </c>
      <c r="AT219" s="12">
        <f ca="1">SUM($T219:AD219)</f>
        <v>51.3605518408145</v>
      </c>
      <c r="AU219" s="12">
        <f ca="1">SUM($T219:AE219)</f>
        <v>55.7795882383238</v>
      </c>
      <c r="AV219" s="12">
        <f ca="1">SUM($T219:AF219)</f>
        <v>60.0298929491695</v>
      </c>
      <c r="AW219" s="12">
        <f ca="1">SUM($T219:AG219)</f>
        <v>65.0468239852205</v>
      </c>
      <c r="AX219" s="12">
        <f ca="1">SUM($T219:AH219)</f>
        <v>70.0999804282405</v>
      </c>
      <c r="AY219" s="12">
        <f ca="1">SUM($T219:AI219)</f>
        <v>74.6222697516148</v>
      </c>
      <c r="AZ219" s="12">
        <f ca="1" t="shared" si="216"/>
        <v>50.858932264254</v>
      </c>
      <c r="BA219" s="12">
        <f ca="1" t="shared" si="217"/>
        <v>45.222211554012</v>
      </c>
      <c r="BB219" s="12">
        <f ca="1" t="shared" si="218"/>
        <v>40.1682942114033</v>
      </c>
      <c r="BC219" s="12">
        <f ca="1" t="shared" si="219"/>
        <v>35.0349345154763</v>
      </c>
      <c r="BD219" s="12">
        <f ca="1" t="shared" si="220"/>
        <v>30.4043532180818</v>
      </c>
      <c r="BE219" s="12">
        <f ca="1" t="shared" si="221"/>
        <v>26.049582174809</v>
      </c>
      <c r="BF219" s="12">
        <f ca="1" t="shared" si="222"/>
        <v>21.1720582978514</v>
      </c>
      <c r="BG219" s="12">
        <f ca="1" t="shared" si="223"/>
        <v>17.1529788127934</v>
      </c>
      <c r="BH219" s="12">
        <f ca="1" t="shared" si="224"/>
        <v>12.9735472194105</v>
      </c>
      <c r="BI219" s="12">
        <f ca="1" t="shared" si="225"/>
        <v>8.61876520923538</v>
      </c>
      <c r="BJ219" s="12">
        <f ca="1" t="shared" si="226"/>
        <v>4.12897443018572</v>
      </c>
      <c r="BK219" s="12">
        <f ca="1" t="shared" si="227"/>
        <v>0</v>
      </c>
      <c r="BL219" s="12">
        <f ca="1" t="shared" si="228"/>
        <v>0</v>
      </c>
      <c r="BM219" s="12">
        <f ca="1" t="shared" si="229"/>
        <v>0</v>
      </c>
      <c r="BN219" s="12">
        <f ca="1" t="shared" si="230"/>
        <v>0</v>
      </c>
      <c r="BO219" s="12">
        <f ca="1" t="shared" si="231"/>
        <v>0</v>
      </c>
    </row>
    <row r="220" spans="1:67">
      <c r="A220" s="3">
        <v>190</v>
      </c>
      <c r="B220" s="11">
        <f ca="1" t="shared" si="197"/>
        <v>0.468924259389726</v>
      </c>
      <c r="C220" s="12">
        <f ca="1" t="shared" si="198"/>
        <v>63.6487376564954</v>
      </c>
      <c r="D220" s="11">
        <f ca="1" t="shared" ref="D220:S220" si="292">RAND()</f>
        <v>0.0401809969185531</v>
      </c>
      <c r="E220" s="11">
        <f ca="1" t="shared" si="292"/>
        <v>0.125037554359023</v>
      </c>
      <c r="F220" s="11">
        <f ca="1" t="shared" si="292"/>
        <v>0.293868947237148</v>
      </c>
      <c r="G220" s="11">
        <f ca="1" t="shared" si="292"/>
        <v>0.122685497352369</v>
      </c>
      <c r="H220" s="11">
        <f ca="1" t="shared" si="292"/>
        <v>0.969497348444685</v>
      </c>
      <c r="I220" s="11">
        <f ca="1" t="shared" si="292"/>
        <v>0.057770478894108</v>
      </c>
      <c r="J220" s="11">
        <f ca="1" t="shared" si="292"/>
        <v>0.00309335250150111</v>
      </c>
      <c r="K220" s="11">
        <f ca="1" t="shared" si="292"/>
        <v>0.733707897842462</v>
      </c>
      <c r="L220" s="11">
        <f ca="1" t="shared" si="292"/>
        <v>0.999225012341437</v>
      </c>
      <c r="M220" s="11">
        <f ca="1" t="shared" si="292"/>
        <v>0.175438948516051</v>
      </c>
      <c r="N220" s="11">
        <f ca="1" t="shared" si="292"/>
        <v>0.969484384016079</v>
      </c>
      <c r="O220" s="11">
        <f ca="1" t="shared" si="292"/>
        <v>0.0734172053910689</v>
      </c>
      <c r="P220" s="11">
        <f ca="1" t="shared" si="292"/>
        <v>0.997653220686175</v>
      </c>
      <c r="Q220" s="11">
        <f ca="1" t="shared" si="292"/>
        <v>0.0547319977955778</v>
      </c>
      <c r="R220" s="11">
        <f ca="1" t="shared" si="292"/>
        <v>0.425124063069486</v>
      </c>
      <c r="S220" s="11">
        <f ca="1" t="shared" si="292"/>
        <v>0.577575065850668</v>
      </c>
      <c r="T220" s="12">
        <f ca="1" t="shared" si="200"/>
        <v>4.06696832819759</v>
      </c>
      <c r="U220" s="12">
        <f ca="1" t="shared" si="201"/>
        <v>4.20839592393171</v>
      </c>
      <c r="V220" s="12">
        <f ca="1" t="shared" si="202"/>
        <v>4.48978157872858</v>
      </c>
      <c r="W220" s="12">
        <f ca="1" t="shared" si="203"/>
        <v>4.20447582892062</v>
      </c>
      <c r="X220" s="12">
        <f ca="1" t="shared" si="204"/>
        <v>5.84748674222342</v>
      </c>
      <c r="Y220" s="12">
        <f ca="1" t="shared" si="205"/>
        <v>4.09628413149018</v>
      </c>
      <c r="Z220" s="12">
        <f ca="1" t="shared" si="206"/>
        <v>4.0051555875025</v>
      </c>
      <c r="AA220" s="12">
        <f ca="1" t="shared" si="207"/>
        <v>5.08426974460616</v>
      </c>
      <c r="AB220" s="12">
        <f ca="1" t="shared" si="208"/>
        <v>5.99612506170718</v>
      </c>
      <c r="AC220" s="12">
        <f ca="1" t="shared" si="209"/>
        <v>4.29239824752675</v>
      </c>
      <c r="AD220" s="12">
        <f ca="1" t="shared" si="210"/>
        <v>5.84742192008039</v>
      </c>
      <c r="AE220" s="12">
        <f ca="1" t="shared" si="211"/>
        <v>4.12236200898511</v>
      </c>
      <c r="AF220" s="12">
        <f ca="1" t="shared" si="212"/>
        <v>5.98826610343088</v>
      </c>
      <c r="AG220" s="12">
        <f ca="1" t="shared" si="213"/>
        <v>4.09121999632596</v>
      </c>
      <c r="AH220" s="12">
        <f ca="1" t="shared" si="214"/>
        <v>4.65640507883686</v>
      </c>
      <c r="AI220" s="12">
        <f ca="1" t="shared" si="215"/>
        <v>4.84696883231334</v>
      </c>
      <c r="AJ220" s="12">
        <f ca="1">SUM($T220:T220)</f>
        <v>4.06696832819759</v>
      </c>
      <c r="AK220" s="12">
        <f ca="1">SUM($T220:U220)</f>
        <v>8.27536425212929</v>
      </c>
      <c r="AL220" s="12">
        <f ca="1">SUM($T220:V220)</f>
        <v>12.7651458308579</v>
      </c>
      <c r="AM220" s="12">
        <f ca="1">SUM($T220:W220)</f>
        <v>16.9696216597785</v>
      </c>
      <c r="AN220" s="12">
        <f ca="1">SUM($T220:X220)</f>
        <v>22.8171084020019</v>
      </c>
      <c r="AO220" s="12">
        <f ca="1">SUM($T220:Y220)</f>
        <v>26.9133925334921</v>
      </c>
      <c r="AP220" s="12">
        <f ca="1">SUM($T220:Z220)</f>
        <v>30.9185481209946</v>
      </c>
      <c r="AQ220" s="12">
        <f ca="1">SUM($T220:AA220)</f>
        <v>36.0028178656007</v>
      </c>
      <c r="AR220" s="12">
        <f ca="1">SUM($T220:AB220)</f>
        <v>41.9989429273079</v>
      </c>
      <c r="AS220" s="12">
        <f ca="1">SUM($T220:AC220)</f>
        <v>46.2913411748347</v>
      </c>
      <c r="AT220" s="12">
        <f ca="1">SUM($T220:AD220)</f>
        <v>52.1387630949151</v>
      </c>
      <c r="AU220" s="12">
        <f ca="1">SUM($T220:AE220)</f>
        <v>56.2611251039002</v>
      </c>
      <c r="AV220" s="12">
        <f ca="1">SUM($T220:AF220)</f>
        <v>62.2493912073311</v>
      </c>
      <c r="AW220" s="12">
        <f ca="1">SUM($T220:AG220)</f>
        <v>66.340611203657</v>
      </c>
      <c r="AX220" s="12">
        <f ca="1">SUM($T220:AH220)</f>
        <v>70.9970162824939</v>
      </c>
      <c r="AY220" s="12">
        <f ca="1">SUM($T220:AI220)</f>
        <v>75.8439851148072</v>
      </c>
      <c r="AZ220" s="12">
        <f ca="1" t="shared" si="216"/>
        <v>59.5817693282978</v>
      </c>
      <c r="BA220" s="12">
        <f ca="1" t="shared" si="217"/>
        <v>55.3733734043661</v>
      </c>
      <c r="BB220" s="12">
        <f ca="1" t="shared" si="218"/>
        <v>50.8835918256376</v>
      </c>
      <c r="BC220" s="12">
        <f ca="1" t="shared" si="219"/>
        <v>46.6791159967169</v>
      </c>
      <c r="BD220" s="12">
        <f ca="1" t="shared" si="220"/>
        <v>40.8316292544935</v>
      </c>
      <c r="BE220" s="12">
        <f ca="1" t="shared" si="221"/>
        <v>36.7353451230033</v>
      </c>
      <c r="BF220" s="12">
        <f ca="1" t="shared" si="222"/>
        <v>32.7301895355008</v>
      </c>
      <c r="BG220" s="12">
        <f ca="1" t="shared" si="223"/>
        <v>27.6459197908947</v>
      </c>
      <c r="BH220" s="12">
        <f ca="1" t="shared" si="224"/>
        <v>21.6497947291875</v>
      </c>
      <c r="BI220" s="12">
        <f ca="1" t="shared" si="225"/>
        <v>17.3573964816608</v>
      </c>
      <c r="BJ220" s="12">
        <f ca="1" t="shared" si="226"/>
        <v>11.5099745615804</v>
      </c>
      <c r="BK220" s="12">
        <f ca="1" t="shared" si="227"/>
        <v>7.38761255259524</v>
      </c>
      <c r="BL220" s="12">
        <f ca="1" t="shared" si="228"/>
        <v>1.39934644916437</v>
      </c>
      <c r="BM220" s="12">
        <f ca="1" t="shared" si="229"/>
        <v>0</v>
      </c>
      <c r="BN220" s="12">
        <f ca="1" t="shared" si="230"/>
        <v>0</v>
      </c>
      <c r="BO220" s="12">
        <f ca="1" t="shared" si="231"/>
        <v>0</v>
      </c>
    </row>
    <row r="221" spans="1:67">
      <c r="A221" s="3">
        <v>191</v>
      </c>
      <c r="B221" s="11">
        <f ca="1" t="shared" si="197"/>
        <v>0.930756203821975</v>
      </c>
      <c r="C221" s="12">
        <f ca="1" t="shared" si="198"/>
        <v>76.9222627388734</v>
      </c>
      <c r="D221" s="11">
        <f ca="1" t="shared" ref="D221:S221" si="293">RAND()</f>
        <v>0.402829782011209</v>
      </c>
      <c r="E221" s="11">
        <f ca="1" t="shared" si="293"/>
        <v>0.109087215471549</v>
      </c>
      <c r="F221" s="11">
        <f ca="1" t="shared" si="293"/>
        <v>0.0734171827846686</v>
      </c>
      <c r="G221" s="11">
        <f ca="1" t="shared" si="293"/>
        <v>0.5042090901392</v>
      </c>
      <c r="H221" s="11">
        <f ca="1" t="shared" si="293"/>
        <v>0.397204497046689</v>
      </c>
      <c r="I221" s="11">
        <f ca="1" t="shared" si="293"/>
        <v>0.209233230873265</v>
      </c>
      <c r="J221" s="11">
        <f ca="1" t="shared" si="293"/>
        <v>0.561825111640468</v>
      </c>
      <c r="K221" s="11">
        <f ca="1" t="shared" si="293"/>
        <v>0.485371187636482</v>
      </c>
      <c r="L221" s="11">
        <f ca="1" t="shared" si="293"/>
        <v>0.448157092474598</v>
      </c>
      <c r="M221" s="11">
        <f ca="1" t="shared" si="293"/>
        <v>0.425128269733503</v>
      </c>
      <c r="N221" s="11">
        <f ca="1" t="shared" si="293"/>
        <v>0.122322671771366</v>
      </c>
      <c r="O221" s="11">
        <f ca="1" t="shared" si="293"/>
        <v>0.44137985886056</v>
      </c>
      <c r="P221" s="11">
        <f ca="1" t="shared" si="293"/>
        <v>0.0833391283172262</v>
      </c>
      <c r="Q221" s="11">
        <f ca="1" t="shared" si="293"/>
        <v>0.485377443144678</v>
      </c>
      <c r="R221" s="11">
        <f ca="1" t="shared" si="293"/>
        <v>0.553607412197735</v>
      </c>
      <c r="S221" s="11">
        <f ca="1" t="shared" si="293"/>
        <v>0.778113112513734</v>
      </c>
      <c r="T221" s="12">
        <f ca="1" t="shared" si="200"/>
        <v>4.62853722751401</v>
      </c>
      <c r="U221" s="12">
        <f ca="1" t="shared" si="201"/>
        <v>4.18181202578591</v>
      </c>
      <c r="V221" s="12">
        <f ca="1" t="shared" si="202"/>
        <v>4.12236197130778</v>
      </c>
      <c r="W221" s="12">
        <f ca="1" t="shared" si="203"/>
        <v>4.755261362674</v>
      </c>
      <c r="X221" s="12">
        <f ca="1" t="shared" si="204"/>
        <v>4.62150562130836</v>
      </c>
      <c r="Y221" s="12">
        <f ca="1" t="shared" si="205"/>
        <v>4.34872205145544</v>
      </c>
      <c r="Z221" s="12">
        <f ca="1" t="shared" si="206"/>
        <v>4.82728138955059</v>
      </c>
      <c r="AA221" s="12">
        <f ca="1" t="shared" si="207"/>
        <v>4.7317139845456</v>
      </c>
      <c r="AB221" s="12">
        <f ca="1" t="shared" si="208"/>
        <v>4.68519636559325</v>
      </c>
      <c r="AC221" s="12">
        <f ca="1" t="shared" si="209"/>
        <v>4.65641033716688</v>
      </c>
      <c r="AD221" s="12">
        <f ca="1" t="shared" si="210"/>
        <v>4.20387111961894</v>
      </c>
      <c r="AE221" s="12">
        <f ca="1" t="shared" si="211"/>
        <v>4.6767248235757</v>
      </c>
      <c r="AF221" s="12">
        <f ca="1" t="shared" si="212"/>
        <v>4.13889854719538</v>
      </c>
      <c r="AG221" s="12">
        <f ca="1" t="shared" si="213"/>
        <v>4.73172180393085</v>
      </c>
      <c r="AH221" s="12">
        <f ca="1" t="shared" si="214"/>
        <v>4.81700926524717</v>
      </c>
      <c r="AI221" s="12">
        <f ca="1" t="shared" si="215"/>
        <v>5.19528278128433</v>
      </c>
      <c r="AJ221" s="12">
        <f ca="1">SUM($T221:T221)</f>
        <v>4.62853722751401</v>
      </c>
      <c r="AK221" s="12">
        <f ca="1">SUM($T221:U221)</f>
        <v>8.81034925329993</v>
      </c>
      <c r="AL221" s="12">
        <f ca="1">SUM($T221:V221)</f>
        <v>12.9327112246077</v>
      </c>
      <c r="AM221" s="12">
        <f ca="1">SUM($T221:W221)</f>
        <v>17.6879725872817</v>
      </c>
      <c r="AN221" s="12">
        <f ca="1">SUM($T221:X221)</f>
        <v>22.3094782085901</v>
      </c>
      <c r="AO221" s="12">
        <f ca="1">SUM($T221:Y221)</f>
        <v>26.6582002600455</v>
      </c>
      <c r="AP221" s="12">
        <f ca="1">SUM($T221:Z221)</f>
        <v>31.4854816495961</v>
      </c>
      <c r="AQ221" s="12">
        <f ca="1">SUM($T221:AA221)</f>
        <v>36.2171956341417</v>
      </c>
      <c r="AR221" s="12">
        <f ca="1">SUM($T221:AB221)</f>
        <v>40.9023919997349</v>
      </c>
      <c r="AS221" s="12">
        <f ca="1">SUM($T221:AC221)</f>
        <v>45.5588023369018</v>
      </c>
      <c r="AT221" s="12">
        <f ca="1">SUM($T221:AD221)</f>
        <v>49.7626734565208</v>
      </c>
      <c r="AU221" s="12">
        <f ca="1">SUM($T221:AE221)</f>
        <v>54.4393982800965</v>
      </c>
      <c r="AV221" s="12">
        <f ca="1">SUM($T221:AF221)</f>
        <v>58.5782968272918</v>
      </c>
      <c r="AW221" s="12">
        <f ca="1">SUM($T221:AG221)</f>
        <v>63.3100186312227</v>
      </c>
      <c r="AX221" s="12">
        <f ca="1">SUM($T221:AH221)</f>
        <v>68.1270278964699</v>
      </c>
      <c r="AY221" s="12">
        <f ca="1">SUM($T221:AI221)</f>
        <v>73.3223106777542</v>
      </c>
      <c r="AZ221" s="12">
        <f ca="1" t="shared" si="216"/>
        <v>72.2937255113594</v>
      </c>
      <c r="BA221" s="12">
        <f ca="1" t="shared" si="217"/>
        <v>68.1119134855735</v>
      </c>
      <c r="BB221" s="12">
        <f ca="1" t="shared" si="218"/>
        <v>63.9895515142657</v>
      </c>
      <c r="BC221" s="12">
        <f ca="1" t="shared" si="219"/>
        <v>59.2342901515917</v>
      </c>
      <c r="BD221" s="12">
        <f ca="1" t="shared" si="220"/>
        <v>54.6127845302834</v>
      </c>
      <c r="BE221" s="12">
        <f ca="1" t="shared" si="221"/>
        <v>50.2640624788279</v>
      </c>
      <c r="BF221" s="12">
        <f ca="1" t="shared" si="222"/>
        <v>45.4367810892773</v>
      </c>
      <c r="BG221" s="12">
        <f ca="1" t="shared" si="223"/>
        <v>40.7050671047317</v>
      </c>
      <c r="BH221" s="12">
        <f ca="1" t="shared" si="224"/>
        <v>36.0198707391385</v>
      </c>
      <c r="BI221" s="12">
        <f ca="1" t="shared" si="225"/>
        <v>31.3634604019716</v>
      </c>
      <c r="BJ221" s="12">
        <f ca="1" t="shared" si="226"/>
        <v>27.1595892823527</v>
      </c>
      <c r="BK221" s="12">
        <f ca="1" t="shared" si="227"/>
        <v>22.482864458777</v>
      </c>
      <c r="BL221" s="12">
        <f ca="1" t="shared" si="228"/>
        <v>18.3439659115816</v>
      </c>
      <c r="BM221" s="12">
        <f ca="1" t="shared" si="229"/>
        <v>13.6122441076507</v>
      </c>
      <c r="BN221" s="12">
        <f ca="1" t="shared" si="230"/>
        <v>8.79523484240357</v>
      </c>
      <c r="BO221" s="12">
        <f ca="1" t="shared" si="231"/>
        <v>3.59995206111924</v>
      </c>
    </row>
    <row r="222" spans="1:67">
      <c r="A222" s="3">
        <v>192</v>
      </c>
      <c r="B222" s="11">
        <f ca="1" t="shared" si="197"/>
        <v>0.210402075384385</v>
      </c>
      <c r="C222" s="12">
        <f ca="1" t="shared" si="198"/>
        <v>58.6800691794795</v>
      </c>
      <c r="D222" s="11">
        <f ca="1" t="shared" ref="D222:S222" si="294">RAND()</f>
        <v>0.765983457377164</v>
      </c>
      <c r="E222" s="11">
        <f ca="1" t="shared" si="294"/>
        <v>0.423281653120988</v>
      </c>
      <c r="F222" s="11">
        <f ca="1" t="shared" si="294"/>
        <v>0.75212115859566</v>
      </c>
      <c r="G222" s="11">
        <f ca="1" t="shared" si="294"/>
        <v>0.885640565772605</v>
      </c>
      <c r="H222" s="11">
        <f ca="1" t="shared" si="294"/>
        <v>0.440510184277746</v>
      </c>
      <c r="I222" s="11">
        <f ca="1" t="shared" si="294"/>
        <v>0.320703346075129</v>
      </c>
      <c r="J222" s="11">
        <f ca="1" t="shared" si="294"/>
        <v>0.656906011370682</v>
      </c>
      <c r="K222" s="11">
        <f ca="1" t="shared" si="294"/>
        <v>0.0863254974956968</v>
      </c>
      <c r="L222" s="11">
        <f ca="1" t="shared" si="294"/>
        <v>0.440520352410322</v>
      </c>
      <c r="M222" s="11">
        <f ca="1" t="shared" si="294"/>
        <v>0.967548588471038</v>
      </c>
      <c r="N222" s="11">
        <f ca="1" t="shared" si="294"/>
        <v>0.930776542135309</v>
      </c>
      <c r="O222" s="11">
        <f ca="1" t="shared" si="294"/>
        <v>0.156541860326673</v>
      </c>
      <c r="P222" s="11">
        <f ca="1" t="shared" si="294"/>
        <v>0.63081472022748</v>
      </c>
      <c r="Q222" s="11">
        <f ca="1" t="shared" si="294"/>
        <v>0.511788427910364</v>
      </c>
      <c r="R222" s="11">
        <f ca="1" t="shared" si="294"/>
        <v>0.0687164909717279</v>
      </c>
      <c r="S222" s="11">
        <f ca="1" t="shared" si="294"/>
        <v>0.397205371727753</v>
      </c>
      <c r="T222" s="12">
        <f ca="1" t="shared" si="200"/>
        <v>5.16495864344291</v>
      </c>
      <c r="U222" s="12">
        <f ca="1" t="shared" si="201"/>
        <v>4.65410206640124</v>
      </c>
      <c r="V222" s="12">
        <f ca="1" t="shared" si="202"/>
        <v>5.13030289648915</v>
      </c>
      <c r="W222" s="12">
        <f ca="1" t="shared" si="203"/>
        <v>5.46410141443151</v>
      </c>
      <c r="X222" s="12">
        <f ca="1" t="shared" si="204"/>
        <v>4.67563773034718</v>
      </c>
      <c r="Y222" s="12">
        <f ca="1" t="shared" si="205"/>
        <v>4.52587918259391</v>
      </c>
      <c r="Z222" s="12">
        <f ca="1" t="shared" si="206"/>
        <v>4.94613251421335</v>
      </c>
      <c r="AA222" s="12">
        <f ca="1" t="shared" si="207"/>
        <v>4.14387582915949</v>
      </c>
      <c r="AB222" s="12">
        <f ca="1" t="shared" si="208"/>
        <v>4.6756504405129</v>
      </c>
      <c r="AC222" s="12">
        <f ca="1" t="shared" si="209"/>
        <v>5.83774294235519</v>
      </c>
      <c r="AD222" s="12">
        <f ca="1" t="shared" si="210"/>
        <v>5.65388271067654</v>
      </c>
      <c r="AE222" s="12">
        <f ca="1" t="shared" si="211"/>
        <v>4.26090310054445</v>
      </c>
      <c r="AF222" s="12">
        <f ca="1" t="shared" si="212"/>
        <v>4.91351840028435</v>
      </c>
      <c r="AG222" s="12">
        <f ca="1" t="shared" si="213"/>
        <v>4.76473553488796</v>
      </c>
      <c r="AH222" s="12">
        <f ca="1" t="shared" si="214"/>
        <v>4.11452748495288</v>
      </c>
      <c r="AI222" s="12">
        <f ca="1" t="shared" si="215"/>
        <v>4.62150671465969</v>
      </c>
      <c r="AJ222" s="12">
        <f ca="1">SUM($T222:T222)</f>
        <v>5.16495864344291</v>
      </c>
      <c r="AK222" s="12">
        <f ca="1">SUM($T222:U222)</f>
        <v>9.81906070984415</v>
      </c>
      <c r="AL222" s="12">
        <f ca="1">SUM($T222:V222)</f>
        <v>14.9493636063333</v>
      </c>
      <c r="AM222" s="12">
        <f ca="1">SUM($T222:W222)</f>
        <v>20.4134650207648</v>
      </c>
      <c r="AN222" s="12">
        <f ca="1">SUM($T222:X222)</f>
        <v>25.089102751112</v>
      </c>
      <c r="AO222" s="12">
        <f ca="1">SUM($T222:Y222)</f>
        <v>29.6149819337059</v>
      </c>
      <c r="AP222" s="12">
        <f ca="1">SUM($T222:Z222)</f>
        <v>34.5611144479193</v>
      </c>
      <c r="AQ222" s="12">
        <f ca="1">SUM($T222:AA222)</f>
        <v>38.7049902770787</v>
      </c>
      <c r="AR222" s="12">
        <f ca="1">SUM($T222:AB222)</f>
        <v>43.3806407175917</v>
      </c>
      <c r="AS222" s="12">
        <f ca="1">SUM($T222:AC222)</f>
        <v>49.2183836599468</v>
      </c>
      <c r="AT222" s="12">
        <f ca="1">SUM($T222:AD222)</f>
        <v>54.8722663706234</v>
      </c>
      <c r="AU222" s="12">
        <f ca="1">SUM($T222:AE222)</f>
        <v>59.1331694711678</v>
      </c>
      <c r="AV222" s="12">
        <f ca="1">SUM($T222:AF222)</f>
        <v>64.0466878714522</v>
      </c>
      <c r="AW222" s="12">
        <f ca="1">SUM($T222:AG222)</f>
        <v>68.8114234063402</v>
      </c>
      <c r="AX222" s="12">
        <f ca="1">SUM($T222:AH222)</f>
        <v>72.925950891293</v>
      </c>
      <c r="AY222" s="12">
        <f ca="1">SUM($T222:AI222)</f>
        <v>77.5474576059527</v>
      </c>
      <c r="AZ222" s="12">
        <f ca="1" t="shared" si="216"/>
        <v>53.5151105360366</v>
      </c>
      <c r="BA222" s="12">
        <f ca="1" t="shared" si="217"/>
        <v>48.8610084696354</v>
      </c>
      <c r="BB222" s="12">
        <f ca="1" t="shared" si="218"/>
        <v>43.7307055731462</v>
      </c>
      <c r="BC222" s="12">
        <f ca="1" t="shared" si="219"/>
        <v>38.2666041587147</v>
      </c>
      <c r="BD222" s="12">
        <f ca="1" t="shared" si="220"/>
        <v>33.5909664283675</v>
      </c>
      <c r="BE222" s="12">
        <f ca="1" t="shared" si="221"/>
        <v>29.0650872457736</v>
      </c>
      <c r="BF222" s="12">
        <f ca="1" t="shared" si="222"/>
        <v>24.1189547315602</v>
      </c>
      <c r="BG222" s="12">
        <f ca="1" t="shared" si="223"/>
        <v>19.9750789024007</v>
      </c>
      <c r="BH222" s="12">
        <f ca="1" t="shared" si="224"/>
        <v>15.2994284618878</v>
      </c>
      <c r="BI222" s="12">
        <f ca="1" t="shared" si="225"/>
        <v>9.46168551953265</v>
      </c>
      <c r="BJ222" s="12">
        <f ca="1" t="shared" si="226"/>
        <v>3.80780280885611</v>
      </c>
      <c r="BK222" s="12">
        <f ca="1" t="shared" si="227"/>
        <v>0</v>
      </c>
      <c r="BL222" s="12">
        <f ca="1" t="shared" si="228"/>
        <v>0</v>
      </c>
      <c r="BM222" s="12">
        <f ca="1" t="shared" si="229"/>
        <v>0</v>
      </c>
      <c r="BN222" s="12">
        <f ca="1" t="shared" si="230"/>
        <v>0</v>
      </c>
      <c r="BO222" s="12">
        <f ca="1" t="shared" si="231"/>
        <v>0</v>
      </c>
    </row>
    <row r="223" spans="1:67">
      <c r="A223" s="3">
        <v>193</v>
      </c>
      <c r="B223" s="11">
        <f ca="1" t="shared" ref="B223:B280" si="295">RAND()</f>
        <v>0.618773672001717</v>
      </c>
      <c r="C223" s="12">
        <f ca="1" t="shared" ref="C223:C280" si="296">LOOKUP(B223,$E$12:$E$17,$A$12:$A$17)+LOOKUP(B223,$E$12:$E$17,$D$12:$D$17)*(B223-LOOKUP(B223,$E$12:$E$17))/LOOKUP(B223,$E$12:$E$17,$C$12:$C$17)</f>
        <v>65.982481028596</v>
      </c>
      <c r="D223" s="11">
        <f ca="1" t="shared" ref="D223:S223" si="297">RAND()</f>
        <v>0.774681969707238</v>
      </c>
      <c r="E223" s="11">
        <f ca="1" t="shared" si="297"/>
        <v>0.855764008930443</v>
      </c>
      <c r="F223" s="11">
        <f ca="1" t="shared" si="297"/>
        <v>0.020088926729354</v>
      </c>
      <c r="G223" s="11">
        <f ca="1" t="shared" si="297"/>
        <v>0.564534245907275</v>
      </c>
      <c r="H223" s="11">
        <f ca="1" t="shared" si="297"/>
        <v>0.868554841448717</v>
      </c>
      <c r="I223" s="11">
        <f ca="1" t="shared" si="297"/>
        <v>0.330055060870697</v>
      </c>
      <c r="J223" s="11">
        <f ca="1" t="shared" si="297"/>
        <v>0.919228577886273</v>
      </c>
      <c r="K223" s="11">
        <f ca="1" t="shared" si="297"/>
        <v>0.203254754993291</v>
      </c>
      <c r="L223" s="11">
        <f ca="1" t="shared" si="297"/>
        <v>0.561824202414977</v>
      </c>
      <c r="M223" s="11">
        <f ca="1" t="shared" si="297"/>
        <v>0.828038376120629</v>
      </c>
      <c r="N223" s="11">
        <f ca="1" t="shared" si="297"/>
        <v>0.0362928917072372</v>
      </c>
      <c r="O223" s="11">
        <f ca="1" t="shared" si="297"/>
        <v>0.488049598556688</v>
      </c>
      <c r="P223" s="11">
        <f ca="1" t="shared" si="297"/>
        <v>0.752460775682956</v>
      </c>
      <c r="Q223" s="11">
        <f ca="1" t="shared" si="297"/>
        <v>0.547046602925395</v>
      </c>
      <c r="R223" s="11">
        <f ca="1" t="shared" si="297"/>
        <v>0.652908619639696</v>
      </c>
      <c r="S223" s="11">
        <f ca="1" t="shared" si="297"/>
        <v>0.905555023685805</v>
      </c>
      <c r="T223" s="12">
        <f ca="1" t="shared" ref="T223:T280" si="298">LOOKUP(D223,$E$23:$E$26,$A$23:$A$26)+LOOKUP(D223,$E$23:$E$26,$D$23:$D$26)*(D223-LOOKUP(D223,$E$23:$E$26))/LOOKUP(D223,$E$23:$E$26,$C$23:$C$26)</f>
        <v>5.1867049242681</v>
      </c>
      <c r="U223" s="12">
        <f ca="1" t="shared" ref="U223:U280" si="299">LOOKUP(E223,$E$23:$E$26,$A$23:$A$26)+LOOKUP(E223,$E$23:$E$26,$D$23:$D$26)*(E223-LOOKUP(E223,$E$23:$E$26))/LOOKUP(E223,$E$23:$E$26,$C$23:$C$26)</f>
        <v>5.38941002232611</v>
      </c>
      <c r="V223" s="12">
        <f ca="1" t="shared" ref="V223:V280" si="300">LOOKUP(F223,$E$23:$E$26,$A$23:$A$26)+LOOKUP(F223,$E$23:$E$26,$D$23:$D$26)*(F223-LOOKUP(F223,$E$23:$E$26))/LOOKUP(F223,$E$23:$E$26,$C$23:$C$26)</f>
        <v>4.03348154454892</v>
      </c>
      <c r="W223" s="12">
        <f ca="1" t="shared" ref="W223:W280" si="301">LOOKUP(G223,$E$23:$E$26,$A$23:$A$26)+LOOKUP(G223,$E$23:$E$26,$D$23:$D$26)*(G223-LOOKUP(G223,$E$23:$E$26))/LOOKUP(G223,$E$23:$E$26,$C$23:$C$26)</f>
        <v>4.83066780738409</v>
      </c>
      <c r="X223" s="12">
        <f ca="1" t="shared" ref="X223:X280" si="302">LOOKUP(H223,$E$23:$E$26,$A$23:$A$26)+LOOKUP(H223,$E$23:$E$26,$D$23:$D$26)*(H223-LOOKUP(H223,$E$23:$E$26))/LOOKUP(H223,$E$23:$E$26,$C$23:$C$26)</f>
        <v>5.42138710362179</v>
      </c>
      <c r="Y223" s="12">
        <f ca="1" t="shared" ref="Y223:Y280" si="303">LOOKUP(I223,$E$23:$E$26,$A$23:$A$26)+LOOKUP(I223,$E$23:$E$26,$D$23:$D$26)*(I223-LOOKUP(I223,$E$23:$E$26))/LOOKUP(I223,$E$23:$E$26,$C$23:$C$26)</f>
        <v>4.53756882608837</v>
      </c>
      <c r="Z223" s="12">
        <f ca="1" t="shared" ref="Z223:Z280" si="304">LOOKUP(J223,$E$23:$E$26,$A$23:$A$26)+LOOKUP(J223,$E$23:$E$26,$D$23:$D$26)*(J223-LOOKUP(J223,$E$23:$E$26))/LOOKUP(J223,$E$23:$E$26,$C$23:$C$26)</f>
        <v>5.59614288943137</v>
      </c>
      <c r="AA223" s="12">
        <f ca="1" t="shared" ref="AA223:AA280" si="305">LOOKUP(K223,$E$23:$E$26,$A$23:$A$26)+LOOKUP(K223,$E$23:$E$26,$D$23:$D$26)*(K223-LOOKUP(K223,$E$23:$E$26))/LOOKUP(K223,$E$23:$E$26,$C$23:$C$26)</f>
        <v>4.33875792498882</v>
      </c>
      <c r="AB223" s="12">
        <f ca="1" t="shared" ref="AB223:AB280" si="306">LOOKUP(L223,$E$23:$E$26,$A$23:$A$26)+LOOKUP(L223,$E$23:$E$26,$D$23:$D$26)*(L223-LOOKUP(L223,$E$23:$E$26))/LOOKUP(L223,$E$23:$E$26,$C$23:$C$26)</f>
        <v>4.82728025301872</v>
      </c>
      <c r="AC223" s="12">
        <f ca="1" t="shared" ref="AC223:AC280" si="307">LOOKUP(M223,$E$23:$E$26,$A$23:$A$26)+LOOKUP(M223,$E$23:$E$26,$D$23:$D$26)*(M223-LOOKUP(M223,$E$23:$E$26))/LOOKUP(M223,$E$23:$E$26,$C$23:$C$26)</f>
        <v>5.32009594030157</v>
      </c>
      <c r="AD223" s="12">
        <f ca="1" t="shared" ref="AD223:AD280" si="308">LOOKUP(N223,$E$23:$E$26,$A$23:$A$26)+LOOKUP(N223,$E$23:$E$26,$D$23:$D$26)*(N223-LOOKUP(N223,$E$23:$E$26))/LOOKUP(N223,$E$23:$E$26,$C$23:$C$26)</f>
        <v>4.0604881528454</v>
      </c>
      <c r="AE223" s="12">
        <f ca="1" t="shared" ref="AE223:AE280" si="309">LOOKUP(O223,$E$23:$E$26,$A$23:$A$26)+LOOKUP(O223,$E$23:$E$26,$D$23:$D$26)*(O223-LOOKUP(O223,$E$23:$E$26))/LOOKUP(O223,$E$23:$E$26,$C$23:$C$26)</f>
        <v>4.73506199819586</v>
      </c>
      <c r="AF223" s="12">
        <f ca="1" t="shared" ref="AF223:AF280" si="310">LOOKUP(P223,$E$23:$E$26,$A$23:$A$26)+LOOKUP(P223,$E$23:$E$26,$D$23:$D$26)*(P223-LOOKUP(P223,$E$23:$E$26))/LOOKUP(P223,$E$23:$E$26,$C$23:$C$26)</f>
        <v>5.13115193920739</v>
      </c>
      <c r="AG223" s="12">
        <f ca="1" t="shared" ref="AG223:AG280" si="311">LOOKUP(Q223,$E$23:$E$26,$A$23:$A$26)+LOOKUP(Q223,$E$23:$E$26,$D$23:$D$26)*(Q223-LOOKUP(Q223,$E$23:$E$26))/LOOKUP(Q223,$E$23:$E$26,$C$23:$C$26)</f>
        <v>4.80880825365674</v>
      </c>
      <c r="AH223" s="12">
        <f ca="1" t="shared" ref="AH223:AH280" si="312">LOOKUP(R223,$E$23:$E$26,$A$23:$A$26)+LOOKUP(R223,$E$23:$E$26,$D$23:$D$26)*(R223-LOOKUP(R223,$E$23:$E$26))/LOOKUP(R223,$E$23:$E$26,$C$23:$C$26)</f>
        <v>4.94113577454962</v>
      </c>
      <c r="AI223" s="12">
        <f ca="1" t="shared" ref="AI223:AI280" si="313">LOOKUP(S223,$E$23:$E$26,$A$23:$A$26)+LOOKUP(S223,$E$23:$E$26,$D$23:$D$26)*(S223-LOOKUP(S223,$E$23:$E$26))/LOOKUP(S223,$E$23:$E$26,$C$23:$C$26)</f>
        <v>5.52777511842902</v>
      </c>
      <c r="AJ223" s="12">
        <f ca="1">SUM($T223:T223)</f>
        <v>5.1867049242681</v>
      </c>
      <c r="AK223" s="12">
        <f ca="1">SUM($T223:U223)</f>
        <v>10.5761149465942</v>
      </c>
      <c r="AL223" s="12">
        <f ca="1">SUM($T223:V223)</f>
        <v>14.6095964911431</v>
      </c>
      <c r="AM223" s="12">
        <f ca="1">SUM($T223:W223)</f>
        <v>19.4402642985272</v>
      </c>
      <c r="AN223" s="12">
        <f ca="1">SUM($T223:X223)</f>
        <v>24.861651402149</v>
      </c>
      <c r="AO223" s="12">
        <f ca="1">SUM($T223:Y223)</f>
        <v>29.3992202282374</v>
      </c>
      <c r="AP223" s="12">
        <f ca="1">SUM($T223:Z223)</f>
        <v>34.9953631176688</v>
      </c>
      <c r="AQ223" s="12">
        <f ca="1">SUM($T223:AA223)</f>
        <v>39.3341210426576</v>
      </c>
      <c r="AR223" s="12">
        <f ca="1">SUM($T223:AB223)</f>
        <v>44.1614012956763</v>
      </c>
      <c r="AS223" s="12">
        <f ca="1">SUM($T223:AC223)</f>
        <v>49.4814972359779</v>
      </c>
      <c r="AT223" s="12">
        <f ca="1">SUM($T223:AD223)</f>
        <v>53.5419853888233</v>
      </c>
      <c r="AU223" s="12">
        <f ca="1">SUM($T223:AE223)</f>
        <v>58.2770473870191</v>
      </c>
      <c r="AV223" s="12">
        <f ca="1">SUM($T223:AF223)</f>
        <v>63.4081993262265</v>
      </c>
      <c r="AW223" s="12">
        <f ca="1">SUM($T223:AG223)</f>
        <v>68.2170075798833</v>
      </c>
      <c r="AX223" s="12">
        <f ca="1">SUM($T223:AH223)</f>
        <v>73.1581433544329</v>
      </c>
      <c r="AY223" s="12">
        <f ca="1">SUM($T223:AI223)</f>
        <v>78.6859184728619</v>
      </c>
      <c r="AZ223" s="12">
        <f ca="1" t="shared" ref="AZ223:AZ280" si="314">MAX(C223-AJ223,0)</f>
        <v>60.7957761043279</v>
      </c>
      <c r="BA223" s="12">
        <f ca="1" t="shared" ref="BA223:BA280" si="315">MAX(C223-AK223,0)</f>
        <v>55.4063660820018</v>
      </c>
      <c r="BB223" s="12">
        <f ca="1" t="shared" ref="BB223:BB280" si="316">MAX(C223-AL223,0)</f>
        <v>51.3728845374528</v>
      </c>
      <c r="BC223" s="12">
        <f ca="1" t="shared" ref="BC223:BC280" si="317">MAX(C223-AM223,0)</f>
        <v>46.5422167300687</v>
      </c>
      <c r="BD223" s="12">
        <f ca="1" t="shared" ref="BD223:BD280" si="318">MAX(C223-AN223,0)</f>
        <v>41.1208296264469</v>
      </c>
      <c r="BE223" s="12">
        <f ca="1" t="shared" ref="BE223:BE280" si="319">MAX(C223-AO223,0)</f>
        <v>36.5832608003586</v>
      </c>
      <c r="BF223" s="12">
        <f ca="1" t="shared" ref="BF223:BF280" si="320">MAX(C223-AP223,0)</f>
        <v>30.9871179109272</v>
      </c>
      <c r="BG223" s="12">
        <f ca="1" t="shared" ref="BG223:BG280" si="321">MAX(C223-AQ223,0)</f>
        <v>26.6483599859384</v>
      </c>
      <c r="BH223" s="12">
        <f ca="1" t="shared" ref="BH223:BH280" si="322">MAX(C223-AR223,0)</f>
        <v>21.8210797329197</v>
      </c>
      <c r="BI223" s="12">
        <f ca="1" t="shared" ref="BI223:BI280" si="323">MAX(C223-AS223,0)</f>
        <v>16.5009837926181</v>
      </c>
      <c r="BJ223" s="12">
        <f ca="1" t="shared" ref="BJ223:BJ280" si="324">MAX(C223-AT223,0)</f>
        <v>12.4404956397727</v>
      </c>
      <c r="BK223" s="12">
        <f ca="1" t="shared" ref="BK223:BK280" si="325">MAX(C223-AU223,0)</f>
        <v>7.70543364157684</v>
      </c>
      <c r="BL223" s="12">
        <f ca="1" t="shared" ref="BL223:BL280" si="326">MAX(C223-AV223,0)</f>
        <v>2.57428170236945</v>
      </c>
      <c r="BM223" s="12">
        <f ca="1" t="shared" ref="BM223:BM280" si="327">MAX(C223-AW223,0)</f>
        <v>0</v>
      </c>
      <c r="BN223" s="12">
        <f ca="1" t="shared" ref="BN223:BN280" si="328">MAX(C223-AX223,0)</f>
        <v>0</v>
      </c>
      <c r="BO223" s="12">
        <f ca="1" t="shared" ref="BO223:BO280" si="329">MAX(C223-AY223,0)</f>
        <v>0</v>
      </c>
    </row>
    <row r="224" spans="1:67">
      <c r="A224" s="3">
        <v>194</v>
      </c>
      <c r="B224" s="11">
        <f ca="1" t="shared" si="295"/>
        <v>0.497495496286787</v>
      </c>
      <c r="C224" s="12">
        <f ca="1" t="shared" si="296"/>
        <v>64.1249249381131</v>
      </c>
      <c r="D224" s="11">
        <f ca="1" t="shared" ref="D224:S224" si="330">RAND()</f>
        <v>0.757313858541367</v>
      </c>
      <c r="E224" s="11">
        <f ca="1" t="shared" si="330"/>
        <v>0.841256568915117</v>
      </c>
      <c r="F224" s="11">
        <f ca="1" t="shared" si="330"/>
        <v>0.329746514712547</v>
      </c>
      <c r="G224" s="11">
        <f ca="1" t="shared" si="330"/>
        <v>0.122322441387263</v>
      </c>
      <c r="H224" s="11">
        <f ca="1" t="shared" si="330"/>
        <v>0.553609636266984</v>
      </c>
      <c r="I224" s="11">
        <f ca="1" t="shared" si="330"/>
        <v>0.0162888708693469</v>
      </c>
      <c r="J224" s="11">
        <f ca="1" t="shared" si="330"/>
        <v>0.260285530408106</v>
      </c>
      <c r="K224" s="11">
        <f ca="1" t="shared" si="330"/>
        <v>0.0467369297658826</v>
      </c>
      <c r="L224" s="11">
        <f ca="1" t="shared" si="330"/>
        <v>0.885631441072378</v>
      </c>
      <c r="M224" s="11">
        <f ca="1" t="shared" si="330"/>
        <v>0.478504964050974</v>
      </c>
      <c r="N224" s="11">
        <f ca="1" t="shared" si="330"/>
        <v>0.974651231354098</v>
      </c>
      <c r="O224" s="11">
        <f ca="1" t="shared" si="330"/>
        <v>0.0376408730122917</v>
      </c>
      <c r="P224" s="11">
        <f ca="1" t="shared" si="330"/>
        <v>0.844399861040704</v>
      </c>
      <c r="Q224" s="11">
        <f ca="1" t="shared" si="330"/>
        <v>0.908609718221292</v>
      </c>
      <c r="R224" s="11">
        <f ca="1" t="shared" si="330"/>
        <v>0.177329189539957</v>
      </c>
      <c r="S224" s="11">
        <f ca="1" t="shared" si="330"/>
        <v>0.648579572971059</v>
      </c>
      <c r="T224" s="12">
        <f ca="1" t="shared" si="298"/>
        <v>5.14328464635342</v>
      </c>
      <c r="U224" s="12">
        <f ca="1" t="shared" si="299"/>
        <v>5.35314142228779</v>
      </c>
      <c r="V224" s="12">
        <f ca="1" t="shared" si="300"/>
        <v>4.53718314339068</v>
      </c>
      <c r="W224" s="12">
        <f ca="1" t="shared" si="301"/>
        <v>4.20387073564544</v>
      </c>
      <c r="X224" s="12">
        <f ca="1" t="shared" si="302"/>
        <v>4.81701204533373</v>
      </c>
      <c r="Y224" s="12">
        <f ca="1" t="shared" si="303"/>
        <v>4.02714811811558</v>
      </c>
      <c r="Z224" s="12">
        <f ca="1" t="shared" si="304"/>
        <v>4.43380921734684</v>
      </c>
      <c r="AA224" s="12">
        <f ca="1" t="shared" si="305"/>
        <v>4.07789488294314</v>
      </c>
      <c r="AB224" s="12">
        <f ca="1" t="shared" si="306"/>
        <v>5.46407860268094</v>
      </c>
      <c r="AC224" s="12">
        <f ca="1" t="shared" si="307"/>
        <v>4.72313120506372</v>
      </c>
      <c r="AD224" s="12">
        <f ca="1" t="shared" si="308"/>
        <v>5.87325615677049</v>
      </c>
      <c r="AE224" s="12">
        <f ca="1" t="shared" si="309"/>
        <v>4.06273478835382</v>
      </c>
      <c r="AF224" s="12">
        <f ca="1" t="shared" si="310"/>
        <v>5.36099965260176</v>
      </c>
      <c r="AG224" s="12">
        <f ca="1" t="shared" si="311"/>
        <v>5.54304859110646</v>
      </c>
      <c r="AH224" s="12">
        <f ca="1" t="shared" si="312"/>
        <v>4.29554864923326</v>
      </c>
      <c r="AI224" s="12">
        <f ca="1" t="shared" si="313"/>
        <v>4.93572446621382</v>
      </c>
      <c r="AJ224" s="12">
        <f ca="1">SUM($T224:T224)</f>
        <v>5.14328464635342</v>
      </c>
      <c r="AK224" s="12">
        <f ca="1">SUM($T224:U224)</f>
        <v>10.4964260686412</v>
      </c>
      <c r="AL224" s="12">
        <f ca="1">SUM($T224:V224)</f>
        <v>15.0336092120319</v>
      </c>
      <c r="AM224" s="12">
        <f ca="1">SUM($T224:W224)</f>
        <v>19.2374799476773</v>
      </c>
      <c r="AN224" s="12">
        <f ca="1">SUM($T224:X224)</f>
        <v>24.0544919930111</v>
      </c>
      <c r="AO224" s="12">
        <f ca="1">SUM($T224:Y224)</f>
        <v>28.0816401111266</v>
      </c>
      <c r="AP224" s="12">
        <f ca="1">SUM($T224:Z224)</f>
        <v>32.5154493284735</v>
      </c>
      <c r="AQ224" s="12">
        <f ca="1">SUM($T224:AA224)</f>
        <v>36.5933442114166</v>
      </c>
      <c r="AR224" s="12">
        <f ca="1">SUM($T224:AB224)</f>
        <v>42.0574228140976</v>
      </c>
      <c r="AS224" s="12">
        <f ca="1">SUM($T224:AC224)</f>
        <v>46.7805540191613</v>
      </c>
      <c r="AT224" s="12">
        <f ca="1">SUM($T224:AD224)</f>
        <v>52.6538101759318</v>
      </c>
      <c r="AU224" s="12">
        <f ca="1">SUM($T224:AE224)</f>
        <v>56.7165449642856</v>
      </c>
      <c r="AV224" s="12">
        <f ca="1">SUM($T224:AF224)</f>
        <v>62.0775446168874</v>
      </c>
      <c r="AW224" s="12">
        <f ca="1">SUM($T224:AG224)</f>
        <v>67.6205932079938</v>
      </c>
      <c r="AX224" s="12">
        <f ca="1">SUM($T224:AH224)</f>
        <v>71.9161418572271</v>
      </c>
      <c r="AY224" s="12">
        <f ca="1">SUM($T224:AI224)</f>
        <v>76.8518663234409</v>
      </c>
      <c r="AZ224" s="12">
        <f ca="1" t="shared" si="314"/>
        <v>58.9816402917597</v>
      </c>
      <c r="BA224" s="12">
        <f ca="1" t="shared" si="315"/>
        <v>53.6284988694719</v>
      </c>
      <c r="BB224" s="12">
        <f ca="1" t="shared" si="316"/>
        <v>49.0913157260812</v>
      </c>
      <c r="BC224" s="12">
        <f ca="1" t="shared" si="317"/>
        <v>44.8874449904358</v>
      </c>
      <c r="BD224" s="12">
        <f ca="1" t="shared" si="318"/>
        <v>40.070432945102</v>
      </c>
      <c r="BE224" s="12">
        <f ca="1" t="shared" si="319"/>
        <v>36.0432848269865</v>
      </c>
      <c r="BF224" s="12">
        <f ca="1" t="shared" si="320"/>
        <v>31.6094756096396</v>
      </c>
      <c r="BG224" s="12">
        <f ca="1" t="shared" si="321"/>
        <v>27.5315807266965</v>
      </c>
      <c r="BH224" s="12">
        <f ca="1" t="shared" si="322"/>
        <v>22.0675021240155</v>
      </c>
      <c r="BI224" s="12">
        <f ca="1" t="shared" si="323"/>
        <v>17.3443709189518</v>
      </c>
      <c r="BJ224" s="12">
        <f ca="1" t="shared" si="324"/>
        <v>11.4711147621813</v>
      </c>
      <c r="BK224" s="12">
        <f ca="1" t="shared" si="325"/>
        <v>7.40837997382752</v>
      </c>
      <c r="BL224" s="12">
        <f ca="1" t="shared" si="326"/>
        <v>2.04738032122576</v>
      </c>
      <c r="BM224" s="12">
        <f ca="1" t="shared" si="327"/>
        <v>0</v>
      </c>
      <c r="BN224" s="12">
        <f ca="1" t="shared" si="328"/>
        <v>0</v>
      </c>
      <c r="BO224" s="12">
        <f ca="1" t="shared" si="329"/>
        <v>0</v>
      </c>
    </row>
    <row r="225" spans="1:67">
      <c r="A225" s="3">
        <v>195</v>
      </c>
      <c r="B225" s="11">
        <f ca="1" t="shared" si="295"/>
        <v>0.625069349295095</v>
      </c>
      <c r="C225" s="12">
        <f ca="1" t="shared" si="296"/>
        <v>66.0724192756442</v>
      </c>
      <c r="D225" s="11">
        <f ca="1" t="shared" ref="D225:S225" si="331">RAND()</f>
        <v>0.126920805891161</v>
      </c>
      <c r="E225" s="11">
        <f ca="1" t="shared" si="331"/>
        <v>0.0664777710018698</v>
      </c>
      <c r="F225" s="11">
        <f ca="1" t="shared" si="331"/>
        <v>0.614244180213213</v>
      </c>
      <c r="G225" s="11">
        <f ca="1" t="shared" si="331"/>
        <v>0.954158858737166</v>
      </c>
      <c r="H225" s="11">
        <f ca="1" t="shared" si="331"/>
        <v>0.463227598862468</v>
      </c>
      <c r="I225" s="11">
        <f ca="1" t="shared" si="331"/>
        <v>0.156551416181959</v>
      </c>
      <c r="J225" s="11">
        <f ca="1" t="shared" si="331"/>
        <v>0.465191773859764</v>
      </c>
      <c r="K225" s="11">
        <f ca="1" t="shared" si="331"/>
        <v>0.445557781954917</v>
      </c>
      <c r="L225" s="11">
        <f ca="1" t="shared" si="331"/>
        <v>0.774673253857621</v>
      </c>
      <c r="M225" s="11">
        <f ca="1" t="shared" si="331"/>
        <v>0.753338215074626</v>
      </c>
      <c r="N225" s="11">
        <f ca="1" t="shared" si="331"/>
        <v>0.577392638736127</v>
      </c>
      <c r="O225" s="11">
        <f ca="1" t="shared" si="331"/>
        <v>0.733422946942996</v>
      </c>
      <c r="P225" s="11">
        <f ca="1" t="shared" si="331"/>
        <v>0.680974338416672</v>
      </c>
      <c r="Q225" s="11">
        <f ca="1" t="shared" si="331"/>
        <v>0.845206313605924</v>
      </c>
      <c r="R225" s="11">
        <f ca="1" t="shared" si="331"/>
        <v>0.593679361367866</v>
      </c>
      <c r="S225" s="11">
        <f ca="1" t="shared" si="331"/>
        <v>0.56930813055461</v>
      </c>
      <c r="T225" s="12">
        <f ca="1" t="shared" si="298"/>
        <v>4.21153467648527</v>
      </c>
      <c r="U225" s="12">
        <f ca="1" t="shared" si="299"/>
        <v>4.11079628500312</v>
      </c>
      <c r="V225" s="12">
        <f ca="1" t="shared" si="300"/>
        <v>4.89280522526652</v>
      </c>
      <c r="W225" s="12">
        <f ca="1" t="shared" si="301"/>
        <v>5.77079429368583</v>
      </c>
      <c r="X225" s="12">
        <f ca="1" t="shared" si="302"/>
        <v>4.70403449857809</v>
      </c>
      <c r="Y225" s="12">
        <f ca="1" t="shared" si="303"/>
        <v>4.26091902696993</v>
      </c>
      <c r="Z225" s="12">
        <f ca="1" t="shared" si="304"/>
        <v>4.7064897173247</v>
      </c>
      <c r="AA225" s="12">
        <f ca="1" t="shared" si="305"/>
        <v>4.68194722744365</v>
      </c>
      <c r="AB225" s="12">
        <f ca="1" t="shared" si="306"/>
        <v>5.18668313464405</v>
      </c>
      <c r="AC225" s="12">
        <f ca="1" t="shared" si="307"/>
        <v>5.13334553768657</v>
      </c>
      <c r="AD225" s="12">
        <f ca="1" t="shared" si="308"/>
        <v>4.84674079842016</v>
      </c>
      <c r="AE225" s="12">
        <f ca="1" t="shared" si="309"/>
        <v>5.08355736735749</v>
      </c>
      <c r="AF225" s="12">
        <f ca="1" t="shared" si="310"/>
        <v>4.97621792302084</v>
      </c>
      <c r="AG225" s="12">
        <f ca="1" t="shared" si="311"/>
        <v>5.36301578401481</v>
      </c>
      <c r="AH225" s="12">
        <f ca="1" t="shared" si="312"/>
        <v>4.86709920170983</v>
      </c>
      <c r="AI225" s="12">
        <f ca="1" t="shared" si="313"/>
        <v>4.83663516319326</v>
      </c>
      <c r="AJ225" s="12">
        <f ca="1">SUM($T225:T225)</f>
        <v>4.21153467648527</v>
      </c>
      <c r="AK225" s="12">
        <f ca="1">SUM($T225:U225)</f>
        <v>8.32233096148839</v>
      </c>
      <c r="AL225" s="12">
        <f ca="1">SUM($T225:V225)</f>
        <v>13.2151361867549</v>
      </c>
      <c r="AM225" s="12">
        <f ca="1">SUM($T225:W225)</f>
        <v>18.9859304804407</v>
      </c>
      <c r="AN225" s="12">
        <f ca="1">SUM($T225:X225)</f>
        <v>23.6899649790188</v>
      </c>
      <c r="AO225" s="12">
        <f ca="1">SUM($T225:Y225)</f>
        <v>27.9508840059888</v>
      </c>
      <c r="AP225" s="12">
        <f ca="1">SUM($T225:Z225)</f>
        <v>32.6573737233135</v>
      </c>
      <c r="AQ225" s="12">
        <f ca="1">SUM($T225:AA225)</f>
        <v>37.3393209507571</v>
      </c>
      <c r="AR225" s="12">
        <f ca="1">SUM($T225:AB225)</f>
        <v>42.5260040854012</v>
      </c>
      <c r="AS225" s="12">
        <f ca="1">SUM($T225:AC225)</f>
        <v>47.6593496230877</v>
      </c>
      <c r="AT225" s="12">
        <f ca="1">SUM($T225:AD225)</f>
        <v>52.5060904215079</v>
      </c>
      <c r="AU225" s="12">
        <f ca="1">SUM($T225:AE225)</f>
        <v>57.5896477888654</v>
      </c>
      <c r="AV225" s="12">
        <f ca="1">SUM($T225:AF225)</f>
        <v>62.5658657118862</v>
      </c>
      <c r="AW225" s="12">
        <f ca="1">SUM($T225:AG225)</f>
        <v>67.928881495901</v>
      </c>
      <c r="AX225" s="12">
        <f ca="1">SUM($T225:AH225)</f>
        <v>72.7959806976109</v>
      </c>
      <c r="AY225" s="12">
        <f ca="1">SUM($T225:AI225)</f>
        <v>77.6326158608041</v>
      </c>
      <c r="AZ225" s="12">
        <f ca="1" t="shared" si="314"/>
        <v>61.860884599159</v>
      </c>
      <c r="BA225" s="12">
        <f ca="1" t="shared" si="315"/>
        <v>57.7500883141558</v>
      </c>
      <c r="BB225" s="12">
        <f ca="1" t="shared" si="316"/>
        <v>52.8572830888893</v>
      </c>
      <c r="BC225" s="12">
        <f ca="1" t="shared" si="317"/>
        <v>47.0864887952035</v>
      </c>
      <c r="BD225" s="12">
        <f ca="1" t="shared" si="318"/>
        <v>42.3824542966254</v>
      </c>
      <c r="BE225" s="12">
        <f ca="1" t="shared" si="319"/>
        <v>38.1215352696555</v>
      </c>
      <c r="BF225" s="12">
        <f ca="1" t="shared" si="320"/>
        <v>33.4150455523308</v>
      </c>
      <c r="BG225" s="12">
        <f ca="1" t="shared" si="321"/>
        <v>28.7330983248871</v>
      </c>
      <c r="BH225" s="12">
        <f ca="1" t="shared" si="322"/>
        <v>23.5464151902431</v>
      </c>
      <c r="BI225" s="12">
        <f ca="1" t="shared" si="323"/>
        <v>18.4130696525565</v>
      </c>
      <c r="BJ225" s="12">
        <f ca="1" t="shared" si="324"/>
        <v>13.5663288541363</v>
      </c>
      <c r="BK225" s="12">
        <f ca="1" t="shared" si="325"/>
        <v>8.48277148677885</v>
      </c>
      <c r="BL225" s="12">
        <f ca="1" t="shared" si="326"/>
        <v>3.50655356375801</v>
      </c>
      <c r="BM225" s="12">
        <f ca="1" t="shared" si="327"/>
        <v>0</v>
      </c>
      <c r="BN225" s="12">
        <f ca="1" t="shared" si="328"/>
        <v>0</v>
      </c>
      <c r="BO225" s="12">
        <f ca="1" t="shared" si="329"/>
        <v>0</v>
      </c>
    </row>
    <row r="226" spans="1:67">
      <c r="A226" s="3">
        <v>196</v>
      </c>
      <c r="B226" s="11">
        <f ca="1" t="shared" si="295"/>
        <v>0.614653680543555</v>
      </c>
      <c r="C226" s="12">
        <f ca="1" t="shared" si="296"/>
        <v>65.9236240077651</v>
      </c>
      <c r="D226" s="11">
        <f ca="1" t="shared" ref="D226:S226" si="332">RAND()</f>
        <v>0.825574284846088</v>
      </c>
      <c r="E226" s="11">
        <f ca="1" t="shared" si="332"/>
        <v>0.335034758752254</v>
      </c>
      <c r="F226" s="11">
        <f ca="1" t="shared" si="332"/>
        <v>0.855768063361418</v>
      </c>
      <c r="G226" s="11">
        <f ca="1" t="shared" si="332"/>
        <v>0.107643679421845</v>
      </c>
      <c r="H226" s="11">
        <f ca="1" t="shared" si="332"/>
        <v>0.950918702032682</v>
      </c>
      <c r="I226" s="11">
        <f ca="1" t="shared" si="332"/>
        <v>0.0200947363796011</v>
      </c>
      <c r="J226" s="11">
        <f ca="1" t="shared" si="332"/>
        <v>0.697753484659752</v>
      </c>
      <c r="K226" s="11">
        <f ca="1" t="shared" si="332"/>
        <v>0.725817509485122</v>
      </c>
      <c r="L226" s="11">
        <f ca="1" t="shared" si="332"/>
        <v>0.549105805680445</v>
      </c>
      <c r="M226" s="11">
        <f ca="1" t="shared" si="332"/>
        <v>0.706779882001269</v>
      </c>
      <c r="N226" s="11">
        <f ca="1" t="shared" si="332"/>
        <v>0.9192369394586</v>
      </c>
      <c r="O226" s="11">
        <f ca="1" t="shared" si="332"/>
        <v>0.310374676053472</v>
      </c>
      <c r="P226" s="11">
        <f ca="1" t="shared" si="332"/>
        <v>0.285768248646879</v>
      </c>
      <c r="Q226" s="11">
        <f ca="1" t="shared" si="332"/>
        <v>0.207079140106216</v>
      </c>
      <c r="R226" s="11">
        <f ca="1" t="shared" si="332"/>
        <v>0.782201808948436</v>
      </c>
      <c r="S226" s="11">
        <f ca="1" t="shared" si="332"/>
        <v>0.752454748232375</v>
      </c>
      <c r="T226" s="12">
        <f ca="1" t="shared" si="298"/>
        <v>5.31393571211522</v>
      </c>
      <c r="U226" s="12">
        <f ca="1" t="shared" si="299"/>
        <v>4.54379344844032</v>
      </c>
      <c r="V226" s="12">
        <f ca="1" t="shared" si="300"/>
        <v>5.38942015840354</v>
      </c>
      <c r="W226" s="12">
        <f ca="1" t="shared" si="301"/>
        <v>4.17940613236974</v>
      </c>
      <c r="X226" s="12">
        <f ca="1" t="shared" si="302"/>
        <v>5.75459351016341</v>
      </c>
      <c r="Y226" s="12">
        <f ca="1" t="shared" si="303"/>
        <v>4.03349122729934</v>
      </c>
      <c r="Z226" s="12">
        <f ca="1" t="shared" si="304"/>
        <v>4.99719185582469</v>
      </c>
      <c r="AA226" s="12">
        <f ca="1" t="shared" si="305"/>
        <v>5.0645437737128</v>
      </c>
      <c r="AB226" s="12">
        <f ca="1" t="shared" si="306"/>
        <v>4.81138225710056</v>
      </c>
      <c r="AC226" s="12">
        <f ca="1" t="shared" si="307"/>
        <v>5.01694970500317</v>
      </c>
      <c r="AD226" s="12">
        <f ca="1" t="shared" si="308"/>
        <v>5.596184697293</v>
      </c>
      <c r="AE226" s="12">
        <f ca="1" t="shared" si="309"/>
        <v>4.51296834506684</v>
      </c>
      <c r="AF226" s="12">
        <f ca="1" t="shared" si="310"/>
        <v>4.47628041441147</v>
      </c>
      <c r="AG226" s="12">
        <f ca="1" t="shared" si="311"/>
        <v>4.34513190017703</v>
      </c>
      <c r="AH226" s="12">
        <f ca="1" t="shared" si="312"/>
        <v>5.20550452237109</v>
      </c>
      <c r="AI226" s="12">
        <f ca="1" t="shared" si="313"/>
        <v>5.13113687058094</v>
      </c>
      <c r="AJ226" s="12">
        <f ca="1">SUM($T226:T226)</f>
        <v>5.31393571211522</v>
      </c>
      <c r="AK226" s="12">
        <f ca="1">SUM($T226:U226)</f>
        <v>9.85772916055554</v>
      </c>
      <c r="AL226" s="12">
        <f ca="1">SUM($T226:V226)</f>
        <v>15.2471493189591</v>
      </c>
      <c r="AM226" s="12">
        <f ca="1">SUM($T226:W226)</f>
        <v>19.4265554513288</v>
      </c>
      <c r="AN226" s="12">
        <f ca="1">SUM($T226:X226)</f>
        <v>25.1811489614922</v>
      </c>
      <c r="AO226" s="12">
        <f ca="1">SUM($T226:Y226)</f>
        <v>29.2146401887916</v>
      </c>
      <c r="AP226" s="12">
        <f ca="1">SUM($T226:Z226)</f>
        <v>34.2118320446163</v>
      </c>
      <c r="AQ226" s="12">
        <f ca="1">SUM($T226:AA226)</f>
        <v>39.2763758183291</v>
      </c>
      <c r="AR226" s="12">
        <f ca="1">SUM($T226:AB226)</f>
        <v>44.0877580754296</v>
      </c>
      <c r="AS226" s="12">
        <f ca="1">SUM($T226:AC226)</f>
        <v>49.1047077804328</v>
      </c>
      <c r="AT226" s="12">
        <f ca="1">SUM($T226:AD226)</f>
        <v>54.7008924777258</v>
      </c>
      <c r="AU226" s="12">
        <f ca="1">SUM($T226:AE226)</f>
        <v>59.2138608227926</v>
      </c>
      <c r="AV226" s="12">
        <f ca="1">SUM($T226:AF226)</f>
        <v>63.6901412372041</v>
      </c>
      <c r="AW226" s="12">
        <f ca="1">SUM($T226:AG226)</f>
        <v>68.0352731373811</v>
      </c>
      <c r="AX226" s="12">
        <f ca="1">SUM($T226:AH226)</f>
        <v>73.2407776597522</v>
      </c>
      <c r="AY226" s="12">
        <f ca="1">SUM($T226:AI226)</f>
        <v>78.3719145303331</v>
      </c>
      <c r="AZ226" s="12">
        <f ca="1" t="shared" si="314"/>
        <v>60.6096882956499</v>
      </c>
      <c r="BA226" s="12">
        <f ca="1" t="shared" si="315"/>
        <v>56.0658948472095</v>
      </c>
      <c r="BB226" s="12">
        <f ca="1" t="shared" si="316"/>
        <v>50.676474688806</v>
      </c>
      <c r="BC226" s="12">
        <f ca="1" t="shared" si="317"/>
        <v>46.4970685564362</v>
      </c>
      <c r="BD226" s="12">
        <f ca="1" t="shared" si="318"/>
        <v>40.7424750462728</v>
      </c>
      <c r="BE226" s="12">
        <f ca="1" t="shared" si="319"/>
        <v>36.7089838189735</v>
      </c>
      <c r="BF226" s="12">
        <f ca="1" t="shared" si="320"/>
        <v>31.7117919631488</v>
      </c>
      <c r="BG226" s="12">
        <f ca="1" t="shared" si="321"/>
        <v>26.647248189436</v>
      </c>
      <c r="BH226" s="12">
        <f ca="1" t="shared" si="322"/>
        <v>21.8358659323355</v>
      </c>
      <c r="BI226" s="12">
        <f ca="1" t="shared" si="323"/>
        <v>16.8189162273323</v>
      </c>
      <c r="BJ226" s="12">
        <f ca="1" t="shared" si="324"/>
        <v>11.2227315300393</v>
      </c>
      <c r="BK226" s="12">
        <f ca="1" t="shared" si="325"/>
        <v>6.70976318497245</v>
      </c>
      <c r="BL226" s="12">
        <f ca="1" t="shared" si="326"/>
        <v>2.23348277056098</v>
      </c>
      <c r="BM226" s="12">
        <f ca="1" t="shared" si="327"/>
        <v>0</v>
      </c>
      <c r="BN226" s="12">
        <f ca="1" t="shared" si="328"/>
        <v>0</v>
      </c>
      <c r="BO226" s="12">
        <f ca="1" t="shared" si="329"/>
        <v>0</v>
      </c>
    </row>
    <row r="227" spans="1:67">
      <c r="A227" s="3">
        <v>197</v>
      </c>
      <c r="B227" s="11">
        <f ca="1" t="shared" si="295"/>
        <v>0.5373834828662</v>
      </c>
      <c r="C227" s="12">
        <f ca="1" t="shared" si="296"/>
        <v>64.7897247144367</v>
      </c>
      <c r="D227" s="11">
        <f ca="1" t="shared" ref="D227:S227" si="333">RAND()</f>
        <v>0.564530962163921</v>
      </c>
      <c r="E227" s="11">
        <f ca="1" t="shared" si="333"/>
        <v>0.0401693710606021</v>
      </c>
      <c r="F227" s="11">
        <f ca="1" t="shared" si="333"/>
        <v>0.119173959346983</v>
      </c>
      <c r="G227" s="11">
        <f ca="1" t="shared" si="333"/>
        <v>0.269889510718138</v>
      </c>
      <c r="H227" s="11">
        <f ca="1" t="shared" si="333"/>
        <v>0.704841702004428</v>
      </c>
      <c r="I227" s="11">
        <f ca="1" t="shared" si="333"/>
        <v>0.905570756869123</v>
      </c>
      <c r="J227" s="11">
        <f ca="1" t="shared" si="333"/>
        <v>0.683308275241198</v>
      </c>
      <c r="K227" s="11">
        <f ca="1" t="shared" si="333"/>
        <v>0.676823870430198</v>
      </c>
      <c r="L227" s="11">
        <f ca="1" t="shared" si="333"/>
        <v>0.463239185226521</v>
      </c>
      <c r="M227" s="11">
        <f ca="1" t="shared" si="333"/>
        <v>0.00311015069765785</v>
      </c>
      <c r="N227" s="11">
        <f ca="1" t="shared" si="333"/>
        <v>0.964121293566746</v>
      </c>
      <c r="O227" s="11">
        <f ca="1" t="shared" si="333"/>
        <v>0.978798166210723</v>
      </c>
      <c r="P227" s="11">
        <f ca="1" t="shared" si="333"/>
        <v>0.927337650935598</v>
      </c>
      <c r="Q227" s="11">
        <f ca="1" t="shared" si="333"/>
        <v>0.602004540324876</v>
      </c>
      <c r="R227" s="11">
        <f ca="1" t="shared" si="333"/>
        <v>0.480303555748771</v>
      </c>
      <c r="S227" s="11">
        <f ca="1" t="shared" si="333"/>
        <v>0.251427530680032</v>
      </c>
      <c r="T227" s="12">
        <f ca="1" t="shared" si="298"/>
        <v>4.8306637027049</v>
      </c>
      <c r="U227" s="12">
        <f ca="1" t="shared" si="299"/>
        <v>4.06694895176767</v>
      </c>
      <c r="V227" s="12">
        <f ca="1" t="shared" si="300"/>
        <v>4.19862326557831</v>
      </c>
      <c r="W227" s="12">
        <f ca="1" t="shared" si="301"/>
        <v>4.4498158511969</v>
      </c>
      <c r="X227" s="12">
        <f ca="1" t="shared" si="302"/>
        <v>5.01210425501107</v>
      </c>
      <c r="Y227" s="12">
        <f ca="1" t="shared" si="303"/>
        <v>5.52785378434561</v>
      </c>
      <c r="Z227" s="12">
        <f ca="1" t="shared" si="304"/>
        <v>4.9791353440515</v>
      </c>
      <c r="AA227" s="12">
        <f ca="1" t="shared" si="305"/>
        <v>4.97102983803775</v>
      </c>
      <c r="AB227" s="12">
        <f ca="1" t="shared" si="306"/>
        <v>4.70404898153315</v>
      </c>
      <c r="AC227" s="12">
        <f ca="1" t="shared" si="307"/>
        <v>4.0051835844961</v>
      </c>
      <c r="AD227" s="12">
        <f ca="1" t="shared" si="308"/>
        <v>5.82060646783373</v>
      </c>
      <c r="AE227" s="12">
        <f ca="1" t="shared" si="309"/>
        <v>5.89399083105362</v>
      </c>
      <c r="AF227" s="12">
        <f ca="1" t="shared" si="310"/>
        <v>5.63668825467799</v>
      </c>
      <c r="AG227" s="12">
        <f ca="1" t="shared" si="311"/>
        <v>4.87750567540609</v>
      </c>
      <c r="AH227" s="12">
        <f ca="1" t="shared" si="312"/>
        <v>4.72537944468596</v>
      </c>
      <c r="AI227" s="12">
        <f ca="1" t="shared" si="313"/>
        <v>4.41904588446672</v>
      </c>
      <c r="AJ227" s="12">
        <f ca="1">SUM($T227:T227)</f>
        <v>4.8306637027049</v>
      </c>
      <c r="AK227" s="12">
        <f ca="1">SUM($T227:U227)</f>
        <v>8.89761265447257</v>
      </c>
      <c r="AL227" s="12">
        <f ca="1">SUM($T227:V227)</f>
        <v>13.0962359200509</v>
      </c>
      <c r="AM227" s="12">
        <f ca="1">SUM($T227:W227)</f>
        <v>17.5460517712478</v>
      </c>
      <c r="AN227" s="12">
        <f ca="1">SUM($T227:X227)</f>
        <v>22.5581560262588</v>
      </c>
      <c r="AO227" s="12">
        <f ca="1">SUM($T227:Y227)</f>
        <v>28.0860098106045</v>
      </c>
      <c r="AP227" s="12">
        <f ca="1">SUM($T227:Z227)</f>
        <v>33.065145154656</v>
      </c>
      <c r="AQ227" s="12">
        <f ca="1">SUM($T227:AA227)</f>
        <v>38.0361749926937</v>
      </c>
      <c r="AR227" s="12">
        <f ca="1">SUM($T227:AB227)</f>
        <v>42.7402239742269</v>
      </c>
      <c r="AS227" s="12">
        <f ca="1">SUM($T227:AC227)</f>
        <v>46.7454075587229</v>
      </c>
      <c r="AT227" s="12">
        <f ca="1">SUM($T227:AD227)</f>
        <v>52.5660140265567</v>
      </c>
      <c r="AU227" s="12">
        <f ca="1">SUM($T227:AE227)</f>
        <v>58.4600048576103</v>
      </c>
      <c r="AV227" s="12">
        <f ca="1">SUM($T227:AF227)</f>
        <v>64.0966931122883</v>
      </c>
      <c r="AW227" s="12">
        <f ca="1">SUM($T227:AG227)</f>
        <v>68.9741987876944</v>
      </c>
      <c r="AX227" s="12">
        <f ca="1">SUM($T227:AH227)</f>
        <v>73.6995782323803</v>
      </c>
      <c r="AY227" s="12">
        <f ca="1">SUM($T227:AI227)</f>
        <v>78.1186241168471</v>
      </c>
      <c r="AZ227" s="12">
        <f ca="1" t="shared" si="314"/>
        <v>59.9590610117318</v>
      </c>
      <c r="BA227" s="12">
        <f ca="1" t="shared" si="315"/>
        <v>55.8921120599641</v>
      </c>
      <c r="BB227" s="12">
        <f ca="1" t="shared" si="316"/>
        <v>51.6934887943858</v>
      </c>
      <c r="BC227" s="12">
        <f ca="1" t="shared" si="317"/>
        <v>47.2436729431889</v>
      </c>
      <c r="BD227" s="12">
        <f ca="1" t="shared" si="318"/>
        <v>42.2315686881778</v>
      </c>
      <c r="BE227" s="12">
        <f ca="1" t="shared" si="319"/>
        <v>36.7037149038322</v>
      </c>
      <c r="BF227" s="12">
        <f ca="1" t="shared" si="320"/>
        <v>31.7245795597807</v>
      </c>
      <c r="BG227" s="12">
        <f ca="1" t="shared" si="321"/>
        <v>26.753549721743</v>
      </c>
      <c r="BH227" s="12">
        <f ca="1" t="shared" si="322"/>
        <v>22.0495007402098</v>
      </c>
      <c r="BI227" s="12">
        <f ca="1" t="shared" si="323"/>
        <v>18.0443171557137</v>
      </c>
      <c r="BJ227" s="12">
        <f ca="1" t="shared" si="324"/>
        <v>12.22371068788</v>
      </c>
      <c r="BK227" s="12">
        <f ca="1" t="shared" si="325"/>
        <v>6.32971985682639</v>
      </c>
      <c r="BL227" s="12">
        <f ca="1" t="shared" si="326"/>
        <v>0.693031602148395</v>
      </c>
      <c r="BM227" s="12">
        <f ca="1" t="shared" si="327"/>
        <v>0</v>
      </c>
      <c r="BN227" s="12">
        <f ca="1" t="shared" si="328"/>
        <v>0</v>
      </c>
      <c r="BO227" s="12">
        <f ca="1" t="shared" si="329"/>
        <v>0</v>
      </c>
    </row>
    <row r="228" spans="1:67">
      <c r="A228" s="3">
        <v>198</v>
      </c>
      <c r="B228" s="11">
        <f ca="1" t="shared" si="295"/>
        <v>0.591956358789873</v>
      </c>
      <c r="C228" s="12">
        <f ca="1" t="shared" si="296"/>
        <v>65.599376554141</v>
      </c>
      <c r="D228" s="11">
        <f ca="1" t="shared" ref="D228:S228" si="334">RAND()</f>
        <v>0.955852595621732</v>
      </c>
      <c r="E228" s="11">
        <f ca="1" t="shared" si="334"/>
        <v>0.721282630902244</v>
      </c>
      <c r="F228" s="11">
        <f ca="1" t="shared" si="334"/>
        <v>0.329767259433589</v>
      </c>
      <c r="G228" s="11">
        <f ca="1" t="shared" si="334"/>
        <v>0.0169018393381482</v>
      </c>
      <c r="H228" s="11">
        <f ca="1" t="shared" si="334"/>
        <v>0.122682807931061</v>
      </c>
      <c r="I228" s="11">
        <f ca="1" t="shared" si="334"/>
        <v>0.0467497783703386</v>
      </c>
      <c r="J228" s="11">
        <f ca="1" t="shared" si="334"/>
        <v>0.669131890212397</v>
      </c>
      <c r="K228" s="11">
        <f ca="1" t="shared" si="334"/>
        <v>0.0577819626798917</v>
      </c>
      <c r="L228" s="11">
        <f ca="1" t="shared" si="334"/>
        <v>0.0376455472948278</v>
      </c>
      <c r="M228" s="11">
        <f ca="1" t="shared" si="334"/>
        <v>0.522994077827848</v>
      </c>
      <c r="N228" s="11">
        <f ca="1" t="shared" si="334"/>
        <v>0.99767944496</v>
      </c>
      <c r="O228" s="11">
        <f ca="1" t="shared" si="334"/>
        <v>0.999207430897538</v>
      </c>
      <c r="P228" s="11">
        <f ca="1" t="shared" si="334"/>
        <v>0.648587144523546</v>
      </c>
      <c r="Q228" s="11">
        <f ca="1" t="shared" si="334"/>
        <v>0.434911190746072</v>
      </c>
      <c r="R228" s="11">
        <f ca="1" t="shared" si="334"/>
        <v>0.504184069070478</v>
      </c>
      <c r="S228" s="11">
        <f ca="1" t="shared" si="334"/>
        <v>0.954151370052379</v>
      </c>
      <c r="T228" s="12">
        <f ca="1" t="shared" si="298"/>
        <v>5.77926297810866</v>
      </c>
      <c r="U228" s="12">
        <f ca="1" t="shared" si="299"/>
        <v>5.05320657725561</v>
      </c>
      <c r="V228" s="12">
        <f ca="1" t="shared" si="300"/>
        <v>4.53720907429199</v>
      </c>
      <c r="W228" s="12">
        <f ca="1" t="shared" si="301"/>
        <v>4.02816973223025</v>
      </c>
      <c r="X228" s="12">
        <f ca="1" t="shared" si="302"/>
        <v>4.20447134655177</v>
      </c>
      <c r="Y228" s="12">
        <f ca="1" t="shared" si="303"/>
        <v>4.0779162972839</v>
      </c>
      <c r="Z228" s="12">
        <f ca="1" t="shared" si="304"/>
        <v>4.9614148627655</v>
      </c>
      <c r="AA228" s="12">
        <f ca="1" t="shared" si="305"/>
        <v>4.09630327113315</v>
      </c>
      <c r="AB228" s="12">
        <f ca="1" t="shared" si="306"/>
        <v>4.06274257882471</v>
      </c>
      <c r="AC228" s="12">
        <f ca="1" t="shared" si="307"/>
        <v>4.77874259728481</v>
      </c>
      <c r="AD228" s="12">
        <f ca="1" t="shared" si="308"/>
        <v>5.9883972248</v>
      </c>
      <c r="AE228" s="12">
        <f ca="1" t="shared" si="309"/>
        <v>5.99603715448769</v>
      </c>
      <c r="AF228" s="12">
        <f ca="1" t="shared" si="310"/>
        <v>4.93573393065443</v>
      </c>
      <c r="AG228" s="12">
        <f ca="1" t="shared" si="311"/>
        <v>4.66863898843259</v>
      </c>
      <c r="AH228" s="12">
        <f ca="1" t="shared" si="312"/>
        <v>4.7552300863381</v>
      </c>
      <c r="AI228" s="12">
        <f ca="1" t="shared" si="313"/>
        <v>5.7707568502619</v>
      </c>
      <c r="AJ228" s="12">
        <f ca="1">SUM($T228:T228)</f>
        <v>5.77926297810866</v>
      </c>
      <c r="AK228" s="12">
        <f ca="1">SUM($T228:U228)</f>
        <v>10.8324695553643</v>
      </c>
      <c r="AL228" s="12">
        <f ca="1">SUM($T228:V228)</f>
        <v>15.3696786296563</v>
      </c>
      <c r="AM228" s="12">
        <f ca="1">SUM($T228:W228)</f>
        <v>19.3978483618865</v>
      </c>
      <c r="AN228" s="12">
        <f ca="1">SUM($T228:X228)</f>
        <v>23.6023197084383</v>
      </c>
      <c r="AO228" s="12">
        <f ca="1">SUM($T228:Y228)</f>
        <v>27.6802360057222</v>
      </c>
      <c r="AP228" s="12">
        <f ca="1">SUM($T228:Z228)</f>
        <v>32.6416508684877</v>
      </c>
      <c r="AQ228" s="12">
        <f ca="1">SUM($T228:AA228)</f>
        <v>36.7379541396208</v>
      </c>
      <c r="AR228" s="12">
        <f ca="1">SUM($T228:AB228)</f>
        <v>40.8006967184455</v>
      </c>
      <c r="AS228" s="12">
        <f ca="1">SUM($T228:AC228)</f>
        <v>45.5794393157303</v>
      </c>
      <c r="AT228" s="12">
        <f ca="1">SUM($T228:AD228)</f>
        <v>51.5678365405303</v>
      </c>
      <c r="AU228" s="12">
        <f ca="1">SUM($T228:AE228)</f>
        <v>57.563873695018</v>
      </c>
      <c r="AV228" s="12">
        <f ca="1">SUM($T228:AF228)</f>
        <v>62.4996076256725</v>
      </c>
      <c r="AW228" s="12">
        <f ca="1">SUM($T228:AG228)</f>
        <v>67.168246614105</v>
      </c>
      <c r="AX228" s="12">
        <f ca="1">SUM($T228:AH228)</f>
        <v>71.9234767004431</v>
      </c>
      <c r="AY228" s="12">
        <f ca="1">SUM($T228:AI228)</f>
        <v>77.694233550705</v>
      </c>
      <c r="AZ228" s="12">
        <f ca="1" t="shared" si="314"/>
        <v>59.8201135760324</v>
      </c>
      <c r="BA228" s="12">
        <f ca="1" t="shared" si="315"/>
        <v>54.7669069987768</v>
      </c>
      <c r="BB228" s="12">
        <f ca="1" t="shared" si="316"/>
        <v>50.2296979244848</v>
      </c>
      <c r="BC228" s="12">
        <f ca="1" t="shared" si="317"/>
        <v>46.2015281922545</v>
      </c>
      <c r="BD228" s="12">
        <f ca="1" t="shared" si="318"/>
        <v>41.9970568457028</v>
      </c>
      <c r="BE228" s="12">
        <f ca="1" t="shared" si="319"/>
        <v>37.9191405484189</v>
      </c>
      <c r="BF228" s="12">
        <f ca="1" t="shared" si="320"/>
        <v>32.9577256856534</v>
      </c>
      <c r="BG228" s="12">
        <f ca="1" t="shared" si="321"/>
        <v>28.8614224145202</v>
      </c>
      <c r="BH228" s="12">
        <f ca="1" t="shared" si="322"/>
        <v>24.7986798356955</v>
      </c>
      <c r="BI228" s="12">
        <f ca="1" t="shared" si="323"/>
        <v>20.0199372384107</v>
      </c>
      <c r="BJ228" s="12">
        <f ca="1" t="shared" si="324"/>
        <v>14.0315400136107</v>
      </c>
      <c r="BK228" s="12">
        <f ca="1" t="shared" si="325"/>
        <v>8.03550285912302</v>
      </c>
      <c r="BL228" s="12">
        <f ca="1" t="shared" si="326"/>
        <v>3.09976892846859</v>
      </c>
      <c r="BM228" s="12">
        <f ca="1" t="shared" si="327"/>
        <v>0</v>
      </c>
      <c r="BN228" s="12">
        <f ca="1" t="shared" si="328"/>
        <v>0</v>
      </c>
      <c r="BO228" s="12">
        <f ca="1" t="shared" si="329"/>
        <v>0</v>
      </c>
    </row>
    <row r="229" spans="1:67">
      <c r="A229" s="3">
        <v>199</v>
      </c>
      <c r="B229" s="11">
        <f ca="1" t="shared" si="295"/>
        <v>0.756658187622954</v>
      </c>
      <c r="C229" s="12">
        <f ca="1" t="shared" si="296"/>
        <v>67.9522598231851</v>
      </c>
      <c r="D229" s="11">
        <f ca="1" t="shared" ref="D229:S229" si="335">RAND()</f>
        <v>0.74097814038634</v>
      </c>
      <c r="E229" s="11">
        <f ca="1" t="shared" si="335"/>
        <v>0.209245800855838</v>
      </c>
      <c r="F229" s="11">
        <f ca="1" t="shared" si="335"/>
        <v>0.219077574262661</v>
      </c>
      <c r="G229" s="11">
        <f ca="1" t="shared" si="335"/>
        <v>0.465208521180606</v>
      </c>
      <c r="H229" s="11">
        <f ca="1" t="shared" si="335"/>
        <v>0.10909922012131</v>
      </c>
      <c r="I229" s="11">
        <f ca="1" t="shared" si="335"/>
        <v>0.765966144528879</v>
      </c>
      <c r="J229" s="11">
        <f ca="1" t="shared" si="335"/>
        <v>0.75335603211949</v>
      </c>
      <c r="K229" s="11">
        <f ca="1" t="shared" si="335"/>
        <v>0.854740232363678</v>
      </c>
      <c r="L229" s="11">
        <f ca="1" t="shared" si="335"/>
        <v>0.107653641581156</v>
      </c>
      <c r="M229" s="11">
        <f ca="1" t="shared" si="335"/>
        <v>0.0494114375390127</v>
      </c>
      <c r="N229" s="11">
        <f ca="1" t="shared" si="335"/>
        <v>0.330548007764617</v>
      </c>
      <c r="O229" s="11">
        <f ca="1" t="shared" si="335"/>
        <v>0.577415678476098</v>
      </c>
      <c r="P229" s="11">
        <f ca="1" t="shared" si="335"/>
        <v>0.441378120943514</v>
      </c>
      <c r="Q229" s="11">
        <f ca="1" t="shared" si="335"/>
        <v>0.845199531714936</v>
      </c>
      <c r="R229" s="11">
        <f ca="1" t="shared" si="335"/>
        <v>0.825567669670935</v>
      </c>
      <c r="S229" s="11">
        <f ca="1" t="shared" si="335"/>
        <v>0.548513896514589</v>
      </c>
      <c r="T229" s="12">
        <f ca="1" t="shared" si="298"/>
        <v>5.10244535096585</v>
      </c>
      <c r="U229" s="12">
        <f ca="1" t="shared" si="299"/>
        <v>4.3487430014264</v>
      </c>
      <c r="V229" s="12">
        <f ca="1" t="shared" si="300"/>
        <v>4.36512929043777</v>
      </c>
      <c r="W229" s="12">
        <f ca="1" t="shared" si="301"/>
        <v>4.70651065147576</v>
      </c>
      <c r="X229" s="12">
        <f ca="1" t="shared" si="302"/>
        <v>4.18183203353552</v>
      </c>
      <c r="Y229" s="12">
        <f ca="1" t="shared" si="303"/>
        <v>5.1649153613222</v>
      </c>
      <c r="Z229" s="12">
        <f ca="1" t="shared" si="304"/>
        <v>5.13339008029872</v>
      </c>
      <c r="AA229" s="12">
        <f ca="1" t="shared" si="305"/>
        <v>5.3868505809092</v>
      </c>
      <c r="AB229" s="12">
        <f ca="1" t="shared" si="306"/>
        <v>4.17942273596859</v>
      </c>
      <c r="AC229" s="12">
        <f ca="1" t="shared" si="307"/>
        <v>4.08235239589835</v>
      </c>
      <c r="AD229" s="12">
        <f ca="1" t="shared" si="308"/>
        <v>4.53818500970577</v>
      </c>
      <c r="AE229" s="12">
        <f ca="1" t="shared" si="309"/>
        <v>4.84676959809512</v>
      </c>
      <c r="AF229" s="12">
        <f ca="1" t="shared" si="310"/>
        <v>4.67672265117939</v>
      </c>
      <c r="AG229" s="12">
        <f ca="1" t="shared" si="311"/>
        <v>5.36299882928734</v>
      </c>
      <c r="AH229" s="12">
        <f ca="1" t="shared" si="312"/>
        <v>5.31391917417734</v>
      </c>
      <c r="AI229" s="12">
        <f ca="1" t="shared" si="313"/>
        <v>4.81064237064324</v>
      </c>
      <c r="AJ229" s="12">
        <f ca="1">SUM($T229:T229)</f>
        <v>5.10244535096585</v>
      </c>
      <c r="AK229" s="12">
        <f ca="1">SUM($T229:U229)</f>
        <v>9.45118835239225</v>
      </c>
      <c r="AL229" s="12">
        <f ca="1">SUM($T229:V229)</f>
        <v>13.81631764283</v>
      </c>
      <c r="AM229" s="12">
        <f ca="1">SUM($T229:W229)</f>
        <v>18.5228282943058</v>
      </c>
      <c r="AN229" s="12">
        <f ca="1">SUM($T229:X229)</f>
        <v>22.7046603278413</v>
      </c>
      <c r="AO229" s="12">
        <f ca="1">SUM($T229:Y229)</f>
        <v>27.8695756891635</v>
      </c>
      <c r="AP229" s="12">
        <f ca="1">SUM($T229:Z229)</f>
        <v>33.0029657694622</v>
      </c>
      <c r="AQ229" s="12">
        <f ca="1">SUM($T229:AA229)</f>
        <v>38.3898163503714</v>
      </c>
      <c r="AR229" s="12">
        <f ca="1">SUM($T229:AB229)</f>
        <v>42.56923908634</v>
      </c>
      <c r="AS229" s="12">
        <f ca="1">SUM($T229:AC229)</f>
        <v>46.6515914822384</v>
      </c>
      <c r="AT229" s="12">
        <f ca="1">SUM($T229:AD229)</f>
        <v>51.1897764919441</v>
      </c>
      <c r="AU229" s="12">
        <f ca="1">SUM($T229:AE229)</f>
        <v>56.0365460900392</v>
      </c>
      <c r="AV229" s="12">
        <f ca="1">SUM($T229:AF229)</f>
        <v>60.7132687412186</v>
      </c>
      <c r="AW229" s="12">
        <f ca="1">SUM($T229:AG229)</f>
        <v>66.076267570506</v>
      </c>
      <c r="AX229" s="12">
        <f ca="1">SUM($T229:AH229)</f>
        <v>71.3901867446833</v>
      </c>
      <c r="AY229" s="12">
        <f ca="1">SUM($T229:AI229)</f>
        <v>76.2008291153266</v>
      </c>
      <c r="AZ229" s="12">
        <f ca="1" t="shared" si="314"/>
        <v>62.8498144722192</v>
      </c>
      <c r="BA229" s="12">
        <f ca="1" t="shared" si="315"/>
        <v>58.5010714707928</v>
      </c>
      <c r="BB229" s="12">
        <f ca="1" t="shared" si="316"/>
        <v>54.135942180355</v>
      </c>
      <c r="BC229" s="12">
        <f ca="1" t="shared" si="317"/>
        <v>49.4294315288793</v>
      </c>
      <c r="BD229" s="12">
        <f ca="1" t="shared" si="318"/>
        <v>45.2475994953438</v>
      </c>
      <c r="BE229" s="12">
        <f ca="1" t="shared" si="319"/>
        <v>40.0826841340216</v>
      </c>
      <c r="BF229" s="12">
        <f ca="1" t="shared" si="320"/>
        <v>34.9492940537229</v>
      </c>
      <c r="BG229" s="12">
        <f ca="1" t="shared" si="321"/>
        <v>29.5624434728137</v>
      </c>
      <c r="BH229" s="12">
        <f ca="1" t="shared" si="322"/>
        <v>25.3830207368451</v>
      </c>
      <c r="BI229" s="12">
        <f ca="1" t="shared" si="323"/>
        <v>21.3006683409467</v>
      </c>
      <c r="BJ229" s="12">
        <f ca="1" t="shared" si="324"/>
        <v>16.7624833312409</v>
      </c>
      <c r="BK229" s="12">
        <f ca="1" t="shared" si="325"/>
        <v>11.9157137331458</v>
      </c>
      <c r="BL229" s="12">
        <f ca="1" t="shared" si="326"/>
        <v>7.23899108196642</v>
      </c>
      <c r="BM229" s="12">
        <f ca="1" t="shared" si="327"/>
        <v>1.87599225267908</v>
      </c>
      <c r="BN229" s="12">
        <f ca="1" t="shared" si="328"/>
        <v>0</v>
      </c>
      <c r="BO229" s="12">
        <f ca="1" t="shared" si="329"/>
        <v>0</v>
      </c>
    </row>
    <row r="230" spans="1:67">
      <c r="A230" s="3">
        <v>200</v>
      </c>
      <c r="B230" s="11">
        <f ca="1" t="shared" si="295"/>
        <v>0.660455946935398</v>
      </c>
      <c r="C230" s="12">
        <f ca="1" t="shared" si="296"/>
        <v>66.5779420990771</v>
      </c>
      <c r="D230" s="11">
        <f ca="1" t="shared" ref="D230:S230" si="336">RAND()</f>
        <v>0.16062358191652</v>
      </c>
      <c r="E230" s="11">
        <f ca="1" t="shared" si="336"/>
        <v>0.967546891199311</v>
      </c>
      <c r="F230" s="11">
        <f ca="1" t="shared" si="336"/>
        <v>0.397207793588452</v>
      </c>
      <c r="G230" s="11">
        <f ca="1" t="shared" si="336"/>
        <v>0.824455316315611</v>
      </c>
      <c r="H230" s="11">
        <f ca="1" t="shared" si="336"/>
        <v>0.73792897469566</v>
      </c>
      <c r="I230" s="11">
        <f ca="1" t="shared" si="336"/>
        <v>0.561810333193757</v>
      </c>
      <c r="J230" s="11">
        <f ca="1" t="shared" si="336"/>
        <v>0.190519665824413</v>
      </c>
      <c r="K230" s="11">
        <f ca="1" t="shared" si="336"/>
        <v>0.889769659276536</v>
      </c>
      <c r="L230" s="11">
        <f ca="1" t="shared" si="336"/>
        <v>0.122335611190687</v>
      </c>
      <c r="M230" s="11">
        <f ca="1" t="shared" si="336"/>
        <v>0.549691789319895</v>
      </c>
      <c r="N230" s="11">
        <f ca="1" t="shared" si="336"/>
        <v>0.158909040762643</v>
      </c>
      <c r="O230" s="11">
        <f ca="1" t="shared" si="336"/>
        <v>0.859106554504594</v>
      </c>
      <c r="P230" s="11">
        <f ca="1" t="shared" si="336"/>
        <v>0.553593266026283</v>
      </c>
      <c r="Q230" s="11">
        <f ca="1" t="shared" si="336"/>
        <v>0.501383398851836</v>
      </c>
      <c r="R230" s="11">
        <f ca="1" t="shared" si="336"/>
        <v>0.68100521337664</v>
      </c>
      <c r="S230" s="11">
        <f ca="1" t="shared" si="336"/>
        <v>0.626262372901621</v>
      </c>
      <c r="T230" s="12">
        <f ca="1" t="shared" si="298"/>
        <v>4.26770596986087</v>
      </c>
      <c r="U230" s="12">
        <f ca="1" t="shared" si="299"/>
        <v>5.83773445599655</v>
      </c>
      <c r="V230" s="12">
        <f ca="1" t="shared" si="300"/>
        <v>4.62150974198557</v>
      </c>
      <c r="W230" s="12">
        <f ca="1" t="shared" si="301"/>
        <v>5.31113829078903</v>
      </c>
      <c r="X230" s="12">
        <f ca="1" t="shared" si="302"/>
        <v>5.09482243673915</v>
      </c>
      <c r="Y230" s="12">
        <f ca="1" t="shared" si="303"/>
        <v>4.8272629164922</v>
      </c>
      <c r="Z230" s="12">
        <f ca="1" t="shared" si="304"/>
        <v>4.31753277637402</v>
      </c>
      <c r="AA230" s="12">
        <f ca="1" t="shared" si="305"/>
        <v>5.47442414819134</v>
      </c>
      <c r="AB230" s="12">
        <f ca="1" t="shared" si="306"/>
        <v>4.20389268531781</v>
      </c>
      <c r="AC230" s="12">
        <f ca="1" t="shared" si="307"/>
        <v>4.81211473664987</v>
      </c>
      <c r="AD230" s="12">
        <f ca="1" t="shared" si="308"/>
        <v>4.26484840127107</v>
      </c>
      <c r="AE230" s="12">
        <f ca="1" t="shared" si="309"/>
        <v>5.39776638626149</v>
      </c>
      <c r="AF230" s="12">
        <f ca="1" t="shared" si="310"/>
        <v>4.81699158253285</v>
      </c>
      <c r="AG230" s="12">
        <f ca="1" t="shared" si="311"/>
        <v>4.7517292485648</v>
      </c>
      <c r="AH230" s="12">
        <f ca="1" t="shared" si="312"/>
        <v>4.9762565167208</v>
      </c>
      <c r="AI230" s="12">
        <f ca="1" t="shared" si="313"/>
        <v>4.90782796612703</v>
      </c>
      <c r="AJ230" s="12">
        <f ca="1">SUM($T230:T230)</f>
        <v>4.26770596986087</v>
      </c>
      <c r="AK230" s="12">
        <f ca="1">SUM($T230:U230)</f>
        <v>10.1054404258574</v>
      </c>
      <c r="AL230" s="12">
        <f ca="1">SUM($T230:V230)</f>
        <v>14.726950167843</v>
      </c>
      <c r="AM230" s="12">
        <f ca="1">SUM($T230:W230)</f>
        <v>20.038088458632</v>
      </c>
      <c r="AN230" s="12">
        <f ca="1">SUM($T230:X230)</f>
        <v>25.1329108953712</v>
      </c>
      <c r="AO230" s="12">
        <f ca="1">SUM($T230:Y230)</f>
        <v>29.9601738118634</v>
      </c>
      <c r="AP230" s="12">
        <f ca="1">SUM($T230:Z230)</f>
        <v>34.2777065882374</v>
      </c>
      <c r="AQ230" s="12">
        <f ca="1">SUM($T230:AA230)</f>
        <v>39.7521307364287</v>
      </c>
      <c r="AR230" s="12">
        <f ca="1">SUM($T230:AB230)</f>
        <v>43.9560234217465</v>
      </c>
      <c r="AS230" s="12">
        <f ca="1">SUM($T230:AC230)</f>
        <v>48.7681381583964</v>
      </c>
      <c r="AT230" s="12">
        <f ca="1">SUM($T230:AD230)</f>
        <v>53.0329865596675</v>
      </c>
      <c r="AU230" s="12">
        <f ca="1">SUM($T230:AE230)</f>
        <v>58.430752945929</v>
      </c>
      <c r="AV230" s="12">
        <f ca="1">SUM($T230:AF230)</f>
        <v>63.2477445284618</v>
      </c>
      <c r="AW230" s="12">
        <f ca="1">SUM($T230:AG230)</f>
        <v>67.9994737770266</v>
      </c>
      <c r="AX230" s="12">
        <f ca="1">SUM($T230:AH230)</f>
        <v>72.9757302937474</v>
      </c>
      <c r="AY230" s="12">
        <f ca="1">SUM($T230:AI230)</f>
        <v>77.8835582598744</v>
      </c>
      <c r="AZ230" s="12">
        <f ca="1" t="shared" si="314"/>
        <v>62.3102361292162</v>
      </c>
      <c r="BA230" s="12">
        <f ca="1" t="shared" si="315"/>
        <v>56.4725016732197</v>
      </c>
      <c r="BB230" s="12">
        <f ca="1" t="shared" si="316"/>
        <v>51.8509919312341</v>
      </c>
      <c r="BC230" s="12">
        <f ca="1" t="shared" si="317"/>
        <v>46.5398536404451</v>
      </c>
      <c r="BD230" s="12">
        <f ca="1" t="shared" si="318"/>
        <v>41.445031203706</v>
      </c>
      <c r="BE230" s="12">
        <f ca="1" t="shared" si="319"/>
        <v>36.6177682872138</v>
      </c>
      <c r="BF230" s="12">
        <f ca="1" t="shared" si="320"/>
        <v>32.3002355108397</v>
      </c>
      <c r="BG230" s="12">
        <f ca="1" t="shared" si="321"/>
        <v>26.8258113626484</v>
      </c>
      <c r="BH230" s="12">
        <f ca="1" t="shared" si="322"/>
        <v>22.6219186773306</v>
      </c>
      <c r="BI230" s="12">
        <f ca="1" t="shared" si="323"/>
        <v>17.8098039406807</v>
      </c>
      <c r="BJ230" s="12">
        <f ca="1" t="shared" si="324"/>
        <v>13.5449555394096</v>
      </c>
      <c r="BK230" s="12">
        <f ca="1" t="shared" si="325"/>
        <v>8.14718915314816</v>
      </c>
      <c r="BL230" s="12">
        <f ca="1" t="shared" si="326"/>
        <v>3.33019757061531</v>
      </c>
      <c r="BM230" s="12">
        <f ca="1" t="shared" si="327"/>
        <v>0</v>
      </c>
      <c r="BN230" s="12">
        <f ca="1" t="shared" si="328"/>
        <v>0</v>
      </c>
      <c r="BO230" s="12">
        <f ca="1" t="shared" si="329"/>
        <v>0</v>
      </c>
    </row>
    <row r="231" spans="1:67">
      <c r="A231" s="3">
        <v>201</v>
      </c>
      <c r="B231" s="11">
        <f ca="1" t="shared" si="295"/>
        <v>0.678059637841963</v>
      </c>
      <c r="C231" s="12">
        <f ca="1" t="shared" si="296"/>
        <v>66.8294233977423</v>
      </c>
      <c r="D231" s="11">
        <f ca="1" t="shared" ref="D231:S231" si="337">RAND()</f>
        <v>0.0207302822841977</v>
      </c>
      <c r="E231" s="11">
        <f ca="1" t="shared" si="337"/>
        <v>0.549123213161655</v>
      </c>
      <c r="F231" s="11">
        <f ca="1" t="shared" si="337"/>
        <v>0.768305216506972</v>
      </c>
      <c r="G231" s="11">
        <f ca="1" t="shared" si="337"/>
        <v>0.151151897400505</v>
      </c>
      <c r="H231" s="11">
        <f ca="1" t="shared" si="337"/>
        <v>0.885642315187483</v>
      </c>
      <c r="I231" s="11">
        <f ca="1" t="shared" si="337"/>
        <v>0.245573060018724</v>
      </c>
      <c r="J231" s="11">
        <f ca="1" t="shared" si="337"/>
        <v>0.119176416121366</v>
      </c>
      <c r="K231" s="11">
        <f ca="1" t="shared" si="337"/>
        <v>0.564524133128366</v>
      </c>
      <c r="L231" s="11">
        <f ca="1" t="shared" si="337"/>
        <v>0.651902268506632</v>
      </c>
      <c r="M231" s="11">
        <f ca="1" t="shared" si="337"/>
        <v>0.765724043216841</v>
      </c>
      <c r="N231" s="11">
        <f ca="1" t="shared" si="337"/>
        <v>0.964115800715331</v>
      </c>
      <c r="O231" s="11">
        <f ca="1" t="shared" si="337"/>
        <v>0.883991953636215</v>
      </c>
      <c r="P231" s="11">
        <f ca="1" t="shared" si="337"/>
        <v>0.905551653096621</v>
      </c>
      <c r="Q231" s="11">
        <f ca="1" t="shared" si="337"/>
        <v>0.738011187447077</v>
      </c>
      <c r="R231" s="11">
        <f ca="1" t="shared" si="337"/>
        <v>0.329748402205092</v>
      </c>
      <c r="S231" s="11">
        <f ca="1" t="shared" si="337"/>
        <v>0.706768220507497</v>
      </c>
      <c r="T231" s="12">
        <f ca="1" t="shared" si="298"/>
        <v>4.03455047047366</v>
      </c>
      <c r="U231" s="12">
        <f ca="1" t="shared" si="299"/>
        <v>4.81140401645207</v>
      </c>
      <c r="V231" s="12">
        <f ca="1" t="shared" si="300"/>
        <v>5.17076304126743</v>
      </c>
      <c r="W231" s="12">
        <f ca="1" t="shared" si="301"/>
        <v>4.25191982900084</v>
      </c>
      <c r="X231" s="12">
        <f ca="1" t="shared" si="302"/>
        <v>5.46410578796871</v>
      </c>
      <c r="Y231" s="12">
        <f ca="1" t="shared" si="303"/>
        <v>4.40928843336454</v>
      </c>
      <c r="Z231" s="12">
        <f ca="1" t="shared" si="304"/>
        <v>4.19862736020228</v>
      </c>
      <c r="AA231" s="12">
        <f ca="1" t="shared" si="305"/>
        <v>4.83065516641046</v>
      </c>
      <c r="AB231" s="12">
        <f ca="1" t="shared" si="306"/>
        <v>4.93987783563329</v>
      </c>
      <c r="AC231" s="12">
        <f ca="1" t="shared" si="307"/>
        <v>5.1643101080421</v>
      </c>
      <c r="AD231" s="12">
        <f ca="1" t="shared" si="308"/>
        <v>5.82057900357666</v>
      </c>
      <c r="AE231" s="12">
        <f ca="1" t="shared" si="309"/>
        <v>5.45997988409054</v>
      </c>
      <c r="AF231" s="12">
        <f ca="1" t="shared" si="310"/>
        <v>5.52775826548311</v>
      </c>
      <c r="AG231" s="12">
        <f ca="1" t="shared" si="311"/>
        <v>5.09502796861769</v>
      </c>
      <c r="AH231" s="12">
        <f ca="1" t="shared" si="312"/>
        <v>4.53718550275636</v>
      </c>
      <c r="AI231" s="12">
        <f ca="1" t="shared" si="313"/>
        <v>5.01692055126874</v>
      </c>
      <c r="AJ231" s="12">
        <f ca="1">SUM($T231:T231)</f>
        <v>4.03455047047366</v>
      </c>
      <c r="AK231" s="12">
        <f ca="1">SUM($T231:U231)</f>
        <v>8.84595448692573</v>
      </c>
      <c r="AL231" s="12">
        <f ca="1">SUM($T231:V231)</f>
        <v>14.0167175281932</v>
      </c>
      <c r="AM231" s="12">
        <f ca="1">SUM($T231:W231)</f>
        <v>18.268637357194</v>
      </c>
      <c r="AN231" s="12">
        <f ca="1">SUM($T231:X231)</f>
        <v>23.7327431451627</v>
      </c>
      <c r="AO231" s="12">
        <f ca="1">SUM($T231:Y231)</f>
        <v>28.1420315785272</v>
      </c>
      <c r="AP231" s="12">
        <f ca="1">SUM($T231:Z231)</f>
        <v>32.3406589387295</v>
      </c>
      <c r="AQ231" s="12">
        <f ca="1">SUM($T231:AA231)</f>
        <v>37.17131410514</v>
      </c>
      <c r="AR231" s="12">
        <f ca="1">SUM($T231:AB231)</f>
        <v>42.1111919407733</v>
      </c>
      <c r="AS231" s="12">
        <f ca="1">SUM($T231:AC231)</f>
        <v>47.2755020488154</v>
      </c>
      <c r="AT231" s="12">
        <f ca="1">SUM($T231:AD231)</f>
        <v>53.096081052392</v>
      </c>
      <c r="AU231" s="12">
        <f ca="1">SUM($T231:AE231)</f>
        <v>58.5560609364826</v>
      </c>
      <c r="AV231" s="12">
        <f ca="1">SUM($T231:AF231)</f>
        <v>64.0838192019657</v>
      </c>
      <c r="AW231" s="12">
        <f ca="1">SUM($T231:AG231)</f>
        <v>69.1788471705834</v>
      </c>
      <c r="AX231" s="12">
        <f ca="1">SUM($T231:AH231)</f>
        <v>73.7160326733397</v>
      </c>
      <c r="AY231" s="12">
        <f ca="1">SUM($T231:AI231)</f>
        <v>78.7329532246085</v>
      </c>
      <c r="AZ231" s="12">
        <f ca="1" t="shared" si="314"/>
        <v>62.7948729272687</v>
      </c>
      <c r="BA231" s="12">
        <f ca="1" t="shared" si="315"/>
        <v>57.9834689108166</v>
      </c>
      <c r="BB231" s="12">
        <f ca="1" t="shared" si="316"/>
        <v>52.8127058695492</v>
      </c>
      <c r="BC231" s="12">
        <f ca="1" t="shared" si="317"/>
        <v>48.5607860405483</v>
      </c>
      <c r="BD231" s="12">
        <f ca="1" t="shared" si="318"/>
        <v>43.0966802525796</v>
      </c>
      <c r="BE231" s="12">
        <f ca="1" t="shared" si="319"/>
        <v>38.6873918192151</v>
      </c>
      <c r="BF231" s="12">
        <f ca="1" t="shared" si="320"/>
        <v>34.4887644590128</v>
      </c>
      <c r="BG231" s="12">
        <f ca="1" t="shared" si="321"/>
        <v>29.6581092926023</v>
      </c>
      <c r="BH231" s="12">
        <f ca="1" t="shared" si="322"/>
        <v>24.718231456969</v>
      </c>
      <c r="BI231" s="12">
        <f ca="1" t="shared" si="323"/>
        <v>19.5539213489269</v>
      </c>
      <c r="BJ231" s="12">
        <f ca="1" t="shared" si="324"/>
        <v>13.7333423453503</v>
      </c>
      <c r="BK231" s="12">
        <f ca="1" t="shared" si="325"/>
        <v>8.27336246125975</v>
      </c>
      <c r="BL231" s="12">
        <f ca="1" t="shared" si="326"/>
        <v>2.74560419577665</v>
      </c>
      <c r="BM231" s="12">
        <f ca="1" t="shared" si="327"/>
        <v>0</v>
      </c>
      <c r="BN231" s="12">
        <f ca="1" t="shared" si="328"/>
        <v>0</v>
      </c>
      <c r="BO231" s="12">
        <f ca="1" t="shared" si="329"/>
        <v>0</v>
      </c>
    </row>
    <row r="232" spans="1:67">
      <c r="A232" s="3">
        <v>202</v>
      </c>
      <c r="B232" s="11">
        <f ca="1" t="shared" si="295"/>
        <v>0.713395566486879</v>
      </c>
      <c r="C232" s="12">
        <f ca="1" t="shared" si="296"/>
        <v>67.334222378384</v>
      </c>
      <c r="D232" s="11">
        <f ca="1" t="shared" ref="D232:S232" si="338">RAND()</f>
        <v>0.934142168506434</v>
      </c>
      <c r="E232" s="11">
        <f ca="1" t="shared" si="338"/>
        <v>0.715919327256471</v>
      </c>
      <c r="F232" s="11">
        <f ca="1" t="shared" si="338"/>
        <v>0.0401640733576467</v>
      </c>
      <c r="G232" s="11">
        <f ca="1" t="shared" si="338"/>
        <v>0.451698904772777</v>
      </c>
      <c r="H232" s="11">
        <f ca="1" t="shared" si="338"/>
        <v>0.927342377701435</v>
      </c>
      <c r="I232" s="11">
        <f ca="1" t="shared" si="338"/>
        <v>0.00310959060899263</v>
      </c>
      <c r="J232" s="11">
        <f ca="1" t="shared" si="338"/>
        <v>0.0467373517696053</v>
      </c>
      <c r="K232" s="11">
        <f ca="1" t="shared" si="338"/>
        <v>0.601998575865897</v>
      </c>
      <c r="L232" s="11">
        <f ca="1" t="shared" si="338"/>
        <v>0.423287371517994</v>
      </c>
      <c r="M232" s="11">
        <f ca="1" t="shared" si="338"/>
        <v>0.997653754710541</v>
      </c>
      <c r="N232" s="11">
        <f ca="1" t="shared" si="338"/>
        <v>0.442048638657275</v>
      </c>
      <c r="O232" s="11">
        <f ca="1" t="shared" si="338"/>
        <v>0.897037760997818</v>
      </c>
      <c r="P232" s="11">
        <f ca="1" t="shared" si="338"/>
        <v>0.566254121507787</v>
      </c>
      <c r="Q232" s="11">
        <f ca="1" t="shared" si="338"/>
        <v>0.113331528513158</v>
      </c>
      <c r="R232" s="11">
        <f ca="1" t="shared" si="338"/>
        <v>0.0863097154543235</v>
      </c>
      <c r="S232" s="11">
        <f ca="1" t="shared" si="338"/>
        <v>0.660483065642213</v>
      </c>
      <c r="T232" s="12">
        <f ca="1" t="shared" si="298"/>
        <v>5.67071084253217</v>
      </c>
      <c r="U232" s="12">
        <f ca="1" t="shared" si="299"/>
        <v>5.03979831814118</v>
      </c>
      <c r="V232" s="12">
        <f ca="1" t="shared" si="300"/>
        <v>4.06694012226274</v>
      </c>
      <c r="W232" s="12">
        <f ca="1" t="shared" si="301"/>
        <v>4.68962363096597</v>
      </c>
      <c r="X232" s="12">
        <f ca="1" t="shared" si="302"/>
        <v>5.63671188850718</v>
      </c>
      <c r="Y232" s="12">
        <f ca="1" t="shared" si="303"/>
        <v>4.00518265101499</v>
      </c>
      <c r="Z232" s="12">
        <f ca="1" t="shared" si="304"/>
        <v>4.07789558628268</v>
      </c>
      <c r="AA232" s="12">
        <f ca="1" t="shared" si="305"/>
        <v>4.87749821983237</v>
      </c>
      <c r="AB232" s="12">
        <f ca="1" t="shared" si="306"/>
        <v>4.65410921439749</v>
      </c>
      <c r="AC232" s="12">
        <f ca="1" t="shared" si="307"/>
        <v>5.98826877355271</v>
      </c>
      <c r="AD232" s="12">
        <f ca="1" t="shared" si="308"/>
        <v>4.67756079832159</v>
      </c>
      <c r="AE232" s="12">
        <f ca="1" t="shared" si="309"/>
        <v>5.49259440249454</v>
      </c>
      <c r="AF232" s="12">
        <f ca="1" t="shared" si="310"/>
        <v>4.83281765188473</v>
      </c>
      <c r="AG232" s="12">
        <f ca="1" t="shared" si="311"/>
        <v>4.18888588085526</v>
      </c>
      <c r="AH232" s="12">
        <f ca="1" t="shared" si="312"/>
        <v>4.14384952575721</v>
      </c>
      <c r="AI232" s="12">
        <f ca="1" t="shared" si="313"/>
        <v>4.95060383205277</v>
      </c>
      <c r="AJ232" s="12">
        <f ca="1">SUM($T232:T232)</f>
        <v>5.67071084253217</v>
      </c>
      <c r="AK232" s="12">
        <f ca="1">SUM($T232:U232)</f>
        <v>10.7105091606734</v>
      </c>
      <c r="AL232" s="12">
        <f ca="1">SUM($T232:V232)</f>
        <v>14.7774492829361</v>
      </c>
      <c r="AM232" s="12">
        <f ca="1">SUM($T232:W232)</f>
        <v>19.4670729139021</v>
      </c>
      <c r="AN232" s="12">
        <f ca="1">SUM($T232:X232)</f>
        <v>25.1037848024092</v>
      </c>
      <c r="AO232" s="12">
        <f ca="1">SUM($T232:Y232)</f>
        <v>29.1089674534242</v>
      </c>
      <c r="AP232" s="12">
        <f ca="1">SUM($T232:Z232)</f>
        <v>33.1868630397069</v>
      </c>
      <c r="AQ232" s="12">
        <f ca="1">SUM($T232:AA232)</f>
        <v>38.0643612595393</v>
      </c>
      <c r="AR232" s="12">
        <f ca="1">SUM($T232:AB232)</f>
        <v>42.7184704739368</v>
      </c>
      <c r="AS232" s="12">
        <f ca="1">SUM($T232:AC232)</f>
        <v>48.7067392474895</v>
      </c>
      <c r="AT232" s="12">
        <f ca="1">SUM($T232:AD232)</f>
        <v>53.3843000458111</v>
      </c>
      <c r="AU232" s="12">
        <f ca="1">SUM($T232:AE232)</f>
        <v>58.8768944483056</v>
      </c>
      <c r="AV232" s="12">
        <f ca="1">SUM($T232:AF232)</f>
        <v>63.7097121001904</v>
      </c>
      <c r="AW232" s="12">
        <f ca="1">SUM($T232:AG232)</f>
        <v>67.8985979810456</v>
      </c>
      <c r="AX232" s="12">
        <f ca="1">SUM($T232:AH232)</f>
        <v>72.0424475068028</v>
      </c>
      <c r="AY232" s="12">
        <f ca="1">SUM($T232:AI232)</f>
        <v>76.9930513388556</v>
      </c>
      <c r="AZ232" s="12">
        <f ca="1" t="shared" si="314"/>
        <v>61.6635115358518</v>
      </c>
      <c r="BA232" s="12">
        <f ca="1" t="shared" si="315"/>
        <v>56.6237132177106</v>
      </c>
      <c r="BB232" s="12">
        <f ca="1" t="shared" si="316"/>
        <v>52.5567730954479</v>
      </c>
      <c r="BC232" s="12">
        <f ca="1" t="shared" si="317"/>
        <v>47.8671494644819</v>
      </c>
      <c r="BD232" s="12">
        <f ca="1" t="shared" si="318"/>
        <v>42.2304375759747</v>
      </c>
      <c r="BE232" s="12">
        <f ca="1" t="shared" si="319"/>
        <v>38.2252549249598</v>
      </c>
      <c r="BF232" s="12">
        <f ca="1" t="shared" si="320"/>
        <v>34.1473593386771</v>
      </c>
      <c r="BG232" s="12">
        <f ca="1" t="shared" si="321"/>
        <v>29.2698611188447</v>
      </c>
      <c r="BH232" s="12">
        <f ca="1" t="shared" si="322"/>
        <v>24.6157519044472</v>
      </c>
      <c r="BI232" s="12">
        <f ca="1" t="shared" si="323"/>
        <v>18.6274831308945</v>
      </c>
      <c r="BJ232" s="12">
        <f ca="1" t="shared" si="324"/>
        <v>13.9499223325729</v>
      </c>
      <c r="BK232" s="12">
        <f ca="1" t="shared" si="325"/>
        <v>8.45732793007836</v>
      </c>
      <c r="BL232" s="12">
        <f ca="1" t="shared" si="326"/>
        <v>3.62451027819363</v>
      </c>
      <c r="BM232" s="12">
        <f ca="1" t="shared" si="327"/>
        <v>0</v>
      </c>
      <c r="BN232" s="12">
        <f ca="1" t="shared" si="328"/>
        <v>0</v>
      </c>
      <c r="BO232" s="12">
        <f ca="1" t="shared" si="329"/>
        <v>0</v>
      </c>
    </row>
    <row r="233" spans="1:67">
      <c r="A233" s="3">
        <v>203</v>
      </c>
      <c r="B233" s="11">
        <f ca="1" t="shared" si="295"/>
        <v>0.140433027441635</v>
      </c>
      <c r="C233" s="12">
        <f ca="1" t="shared" si="296"/>
        <v>56.3477675813878</v>
      </c>
      <c r="D233" s="11">
        <f ca="1" t="shared" ref="D233:S233" si="339">RAND()</f>
        <v>0.414122531484781</v>
      </c>
      <c r="E233" s="11">
        <f ca="1" t="shared" si="339"/>
        <v>0.930767920876779</v>
      </c>
      <c r="F233" s="11">
        <f ca="1" t="shared" si="339"/>
        <v>0.504194271330933</v>
      </c>
      <c r="G233" s="11">
        <f ca="1" t="shared" si="339"/>
        <v>0.113467804009382</v>
      </c>
      <c r="H233" s="11">
        <f ca="1" t="shared" si="339"/>
        <v>0.20924052324544</v>
      </c>
      <c r="I233" s="11">
        <f ca="1" t="shared" si="339"/>
        <v>0.75695608840399</v>
      </c>
      <c r="J233" s="11">
        <f ca="1" t="shared" si="339"/>
        <v>0.51179617488619</v>
      </c>
      <c r="K233" s="11">
        <f ca="1" t="shared" si="339"/>
        <v>0.765981124763361</v>
      </c>
      <c r="L233" s="11">
        <f ca="1" t="shared" si="339"/>
        <v>0.231974547525449</v>
      </c>
      <c r="M233" s="11">
        <f ca="1" t="shared" si="339"/>
        <v>0.330075817604344</v>
      </c>
      <c r="N233" s="11">
        <f ca="1" t="shared" si="339"/>
        <v>0.0376486827068716</v>
      </c>
      <c r="O233" s="11">
        <f ca="1" t="shared" si="339"/>
        <v>0.403804142872676</v>
      </c>
      <c r="P233" s="11">
        <f ca="1" t="shared" si="339"/>
        <v>0.967534798150302</v>
      </c>
      <c r="Q233" s="11">
        <f ca="1" t="shared" si="339"/>
        <v>0.828060123314016</v>
      </c>
      <c r="R233" s="11">
        <f ca="1" t="shared" si="339"/>
        <v>0.652893811727175</v>
      </c>
      <c r="S233" s="11">
        <f ca="1" t="shared" si="339"/>
        <v>0.648583697900605</v>
      </c>
      <c r="T233" s="12">
        <f ca="1" t="shared" si="298"/>
        <v>4.64265316435598</v>
      </c>
      <c r="U233" s="12">
        <f ca="1" t="shared" si="299"/>
        <v>5.65383960438389</v>
      </c>
      <c r="V233" s="12">
        <f ca="1" t="shared" si="300"/>
        <v>4.75524283916367</v>
      </c>
      <c r="W233" s="12">
        <f ca="1" t="shared" si="301"/>
        <v>4.1891130066823</v>
      </c>
      <c r="X233" s="12">
        <f ca="1" t="shared" si="302"/>
        <v>4.34873420540907</v>
      </c>
      <c r="Y233" s="12">
        <f ca="1" t="shared" si="303"/>
        <v>5.14239022100997</v>
      </c>
      <c r="Z233" s="12">
        <f ca="1" t="shared" si="304"/>
        <v>4.76474521860774</v>
      </c>
      <c r="AA233" s="12">
        <f ca="1" t="shared" si="305"/>
        <v>5.1649528119084</v>
      </c>
      <c r="AB233" s="12">
        <f ca="1" t="shared" si="306"/>
        <v>4.38662424587575</v>
      </c>
      <c r="AC233" s="12">
        <f ca="1" t="shared" si="307"/>
        <v>4.53759477200543</v>
      </c>
      <c r="AD233" s="12">
        <f ca="1" t="shared" si="308"/>
        <v>4.06274780451145</v>
      </c>
      <c r="AE233" s="12">
        <f ca="1" t="shared" si="309"/>
        <v>4.62975517859084</v>
      </c>
      <c r="AF233" s="12">
        <f ca="1" t="shared" si="310"/>
        <v>5.83767399075151</v>
      </c>
      <c r="AG233" s="12">
        <f ca="1" t="shared" si="311"/>
        <v>5.32015030828504</v>
      </c>
      <c r="AH233" s="12">
        <f ca="1" t="shared" si="312"/>
        <v>4.94111726465897</v>
      </c>
      <c r="AI233" s="12">
        <f ca="1" t="shared" si="313"/>
        <v>4.93572962237576</v>
      </c>
      <c r="AJ233" s="12">
        <f ca="1">SUM($T233:T233)</f>
        <v>4.64265316435598</v>
      </c>
      <c r="AK233" s="12">
        <f ca="1">SUM($T233:U233)</f>
        <v>10.2964927687399</v>
      </c>
      <c r="AL233" s="12">
        <f ca="1">SUM($T233:V233)</f>
        <v>15.0517356079035</v>
      </c>
      <c r="AM233" s="12">
        <f ca="1">SUM($T233:W233)</f>
        <v>19.2408486145858</v>
      </c>
      <c r="AN233" s="12">
        <f ca="1">SUM($T233:X233)</f>
        <v>23.5895828199949</v>
      </c>
      <c r="AO233" s="12">
        <f ca="1">SUM($T233:Y233)</f>
        <v>28.7319730410049</v>
      </c>
      <c r="AP233" s="12">
        <f ca="1">SUM($T233:Z233)</f>
        <v>33.4967182596126</v>
      </c>
      <c r="AQ233" s="12">
        <f ca="1">SUM($T233:AA233)</f>
        <v>38.661671071521</v>
      </c>
      <c r="AR233" s="12">
        <f ca="1">SUM($T233:AB233)</f>
        <v>43.0482953173968</v>
      </c>
      <c r="AS233" s="12">
        <f ca="1">SUM($T233:AC233)</f>
        <v>47.5858900894022</v>
      </c>
      <c r="AT233" s="12">
        <f ca="1">SUM($T233:AD233)</f>
        <v>51.6486378939137</v>
      </c>
      <c r="AU233" s="12">
        <f ca="1">SUM($T233:AE233)</f>
        <v>56.2783930725045</v>
      </c>
      <c r="AV233" s="12">
        <f ca="1">SUM($T233:AF233)</f>
        <v>62.116067063256</v>
      </c>
      <c r="AW233" s="12">
        <f ca="1">SUM($T233:AG233)</f>
        <v>67.436217371541</v>
      </c>
      <c r="AX233" s="12">
        <f ca="1">SUM($T233:AH233)</f>
        <v>72.3773346362</v>
      </c>
      <c r="AY233" s="12">
        <f ca="1">SUM($T233:AI233)</f>
        <v>77.3130642585758</v>
      </c>
      <c r="AZ233" s="12">
        <f ca="1" t="shared" si="314"/>
        <v>51.7051144170319</v>
      </c>
      <c r="BA233" s="12">
        <f ca="1" t="shared" si="315"/>
        <v>46.051274812648</v>
      </c>
      <c r="BB233" s="12">
        <f ca="1" t="shared" si="316"/>
        <v>41.2960319734843</v>
      </c>
      <c r="BC233" s="12">
        <f ca="1" t="shared" si="317"/>
        <v>37.106918966802</v>
      </c>
      <c r="BD233" s="12">
        <f ca="1" t="shared" si="318"/>
        <v>32.7581847613929</v>
      </c>
      <c r="BE233" s="12">
        <f ca="1" t="shared" si="319"/>
        <v>27.615794540383</v>
      </c>
      <c r="BF233" s="12">
        <f ca="1" t="shared" si="320"/>
        <v>22.8510493217752</v>
      </c>
      <c r="BG233" s="12">
        <f ca="1" t="shared" si="321"/>
        <v>17.6860965098668</v>
      </c>
      <c r="BH233" s="12">
        <f ca="1" t="shared" si="322"/>
        <v>13.2994722639911</v>
      </c>
      <c r="BI233" s="12">
        <f ca="1" t="shared" si="323"/>
        <v>8.76187749198564</v>
      </c>
      <c r="BJ233" s="12">
        <f ca="1" t="shared" si="324"/>
        <v>4.69912968747418</v>
      </c>
      <c r="BK233" s="12">
        <f ca="1" t="shared" si="325"/>
        <v>0.0693745088833353</v>
      </c>
      <c r="BL233" s="12">
        <f ca="1" t="shared" si="326"/>
        <v>0</v>
      </c>
      <c r="BM233" s="12">
        <f ca="1" t="shared" si="327"/>
        <v>0</v>
      </c>
      <c r="BN233" s="12">
        <f ca="1" t="shared" si="328"/>
        <v>0</v>
      </c>
      <c r="BO233" s="12">
        <f ca="1" t="shared" si="329"/>
        <v>0</v>
      </c>
    </row>
    <row r="234" spans="1:67">
      <c r="A234" s="3">
        <v>204</v>
      </c>
      <c r="B234" s="11">
        <f ca="1" t="shared" si="295"/>
        <v>0.20811911807449</v>
      </c>
      <c r="C234" s="12">
        <f ca="1" t="shared" si="296"/>
        <v>58.603970602483</v>
      </c>
      <c r="D234" s="11">
        <f ca="1" t="shared" ref="D234:S234" si="340">RAND()</f>
        <v>0.0673009041337589</v>
      </c>
      <c r="E234" s="11">
        <f ca="1" t="shared" si="340"/>
        <v>0.841265162741468</v>
      </c>
      <c r="F234" s="11">
        <f ca="1" t="shared" si="340"/>
        <v>0.358510012143956</v>
      </c>
      <c r="G234" s="11">
        <f ca="1" t="shared" si="340"/>
        <v>0.0162818708706152</v>
      </c>
      <c r="H234" s="11">
        <f ca="1" t="shared" si="340"/>
        <v>0.286344420686712</v>
      </c>
      <c r="I234" s="11">
        <f ca="1" t="shared" si="340"/>
        <v>0.974652569260822</v>
      </c>
      <c r="J234" s="11">
        <f ca="1" t="shared" si="340"/>
        <v>0.919924455873272</v>
      </c>
      <c r="K234" s="11">
        <f ca="1" t="shared" si="340"/>
        <v>0.251424137784581</v>
      </c>
      <c r="L234" s="11">
        <f ca="1" t="shared" si="340"/>
        <v>0.4039690307011</v>
      </c>
      <c r="M234" s="11">
        <f ca="1" t="shared" si="340"/>
        <v>0.684244890172477</v>
      </c>
      <c r="N234" s="11">
        <f ca="1" t="shared" si="340"/>
        <v>0.84440533241713</v>
      </c>
      <c r="O234" s="11">
        <f ca="1" t="shared" si="340"/>
        <v>0.721254088913958</v>
      </c>
      <c r="P234" s="11">
        <f ca="1" t="shared" si="340"/>
        <v>0.177317722961813</v>
      </c>
      <c r="Q234" s="11">
        <f ca="1" t="shared" si="340"/>
        <v>0.122707400578667</v>
      </c>
      <c r="R234" s="11">
        <f ca="1" t="shared" si="340"/>
        <v>0.224283007912196</v>
      </c>
      <c r="S234" s="11">
        <f ca="1" t="shared" si="340"/>
        <v>0.673242328242227</v>
      </c>
      <c r="T234" s="12">
        <f ca="1" t="shared" si="298"/>
        <v>4.11216817355626</v>
      </c>
      <c r="U234" s="12">
        <f ca="1" t="shared" si="299"/>
        <v>5.35316290685367</v>
      </c>
      <c r="V234" s="12">
        <f ca="1" t="shared" si="300"/>
        <v>4.57313751517994</v>
      </c>
      <c r="W234" s="12">
        <f ca="1" t="shared" si="301"/>
        <v>4.02713645145103</v>
      </c>
      <c r="X234" s="12">
        <f ca="1" t="shared" si="302"/>
        <v>4.47724070114452</v>
      </c>
      <c r="Y234" s="12">
        <f ca="1" t="shared" si="303"/>
        <v>5.87326284630411</v>
      </c>
      <c r="Z234" s="12">
        <f ca="1" t="shared" si="304"/>
        <v>5.59962227936636</v>
      </c>
      <c r="AA234" s="12">
        <f ca="1" t="shared" si="305"/>
        <v>4.41904022964097</v>
      </c>
      <c r="AB234" s="12">
        <f ca="1" t="shared" si="306"/>
        <v>4.62996128837637</v>
      </c>
      <c r="AC234" s="12">
        <f ca="1" t="shared" si="307"/>
        <v>4.9803061127156</v>
      </c>
      <c r="AD234" s="12">
        <f ca="1" t="shared" si="308"/>
        <v>5.36101333104282</v>
      </c>
      <c r="AE234" s="12">
        <f ca="1" t="shared" si="309"/>
        <v>5.0531352222849</v>
      </c>
      <c r="AF234" s="12">
        <f ca="1" t="shared" si="310"/>
        <v>4.29552953826969</v>
      </c>
      <c r="AG234" s="12">
        <f ca="1" t="shared" si="311"/>
        <v>4.20451233429778</v>
      </c>
      <c r="AH234" s="12">
        <f ca="1" t="shared" si="312"/>
        <v>4.37380501318699</v>
      </c>
      <c r="AI234" s="12">
        <f ca="1" t="shared" si="313"/>
        <v>4.96655291030278</v>
      </c>
      <c r="AJ234" s="12">
        <f ca="1">SUM($T234:T234)</f>
        <v>4.11216817355626</v>
      </c>
      <c r="AK234" s="12">
        <f ca="1">SUM($T234:U234)</f>
        <v>9.46533108040994</v>
      </c>
      <c r="AL234" s="12">
        <f ca="1">SUM($T234:V234)</f>
        <v>14.0384685955899</v>
      </c>
      <c r="AM234" s="12">
        <f ca="1">SUM($T234:W234)</f>
        <v>18.0656050470409</v>
      </c>
      <c r="AN234" s="12">
        <f ca="1">SUM($T234:X234)</f>
        <v>22.5428457481854</v>
      </c>
      <c r="AO234" s="12">
        <f ca="1">SUM($T234:Y234)</f>
        <v>28.4161085944895</v>
      </c>
      <c r="AP234" s="12">
        <f ca="1">SUM($T234:Z234)</f>
        <v>34.0157308738559</v>
      </c>
      <c r="AQ234" s="12">
        <f ca="1">SUM($T234:AA234)</f>
        <v>38.4347711034969</v>
      </c>
      <c r="AR234" s="12">
        <f ca="1">SUM($T234:AB234)</f>
        <v>43.0647323918732</v>
      </c>
      <c r="AS234" s="12">
        <f ca="1">SUM($T234:AC234)</f>
        <v>48.0450385045888</v>
      </c>
      <c r="AT234" s="12">
        <f ca="1">SUM($T234:AD234)</f>
        <v>53.4060518356317</v>
      </c>
      <c r="AU234" s="12">
        <f ca="1">SUM($T234:AE234)</f>
        <v>58.4591870579166</v>
      </c>
      <c r="AV234" s="12">
        <f ca="1">SUM($T234:AF234)</f>
        <v>62.7547165961862</v>
      </c>
      <c r="AW234" s="12">
        <f ca="1">SUM($T234:AG234)</f>
        <v>66.959228930484</v>
      </c>
      <c r="AX234" s="12">
        <f ca="1">SUM($T234:AH234)</f>
        <v>71.333033943671</v>
      </c>
      <c r="AY234" s="12">
        <f ca="1">SUM($T234:AI234)</f>
        <v>76.2995868539738</v>
      </c>
      <c r="AZ234" s="12">
        <f ca="1" t="shared" si="314"/>
        <v>54.4918024289267</v>
      </c>
      <c r="BA234" s="12">
        <f ca="1" t="shared" si="315"/>
        <v>49.138639522073</v>
      </c>
      <c r="BB234" s="12">
        <f ca="1" t="shared" si="316"/>
        <v>44.5655020068931</v>
      </c>
      <c r="BC234" s="12">
        <f ca="1" t="shared" si="317"/>
        <v>40.5383655554421</v>
      </c>
      <c r="BD234" s="12">
        <f ca="1" t="shared" si="318"/>
        <v>36.0611248542976</v>
      </c>
      <c r="BE234" s="12">
        <f ca="1" t="shared" si="319"/>
        <v>30.1878620079935</v>
      </c>
      <c r="BF234" s="12">
        <f ca="1" t="shared" si="320"/>
        <v>24.5882397286271</v>
      </c>
      <c r="BG234" s="12">
        <f ca="1" t="shared" si="321"/>
        <v>20.1691994989861</v>
      </c>
      <c r="BH234" s="12">
        <f ca="1" t="shared" si="322"/>
        <v>15.5392382106098</v>
      </c>
      <c r="BI234" s="12">
        <f ca="1" t="shared" si="323"/>
        <v>10.5589320978942</v>
      </c>
      <c r="BJ234" s="12">
        <f ca="1" t="shared" si="324"/>
        <v>5.19791876685133</v>
      </c>
      <c r="BK234" s="12">
        <f ca="1" t="shared" si="325"/>
        <v>0.144783544566437</v>
      </c>
      <c r="BL234" s="12">
        <f ca="1" t="shared" si="326"/>
        <v>0</v>
      </c>
      <c r="BM234" s="12">
        <f ca="1" t="shared" si="327"/>
        <v>0</v>
      </c>
      <c r="BN234" s="12">
        <f ca="1" t="shared" si="328"/>
        <v>0</v>
      </c>
      <c r="BO234" s="12">
        <f ca="1" t="shared" si="329"/>
        <v>0</v>
      </c>
    </row>
    <row r="235" spans="1:67">
      <c r="A235" s="3">
        <v>205</v>
      </c>
      <c r="B235" s="11">
        <f ca="1" t="shared" si="295"/>
        <v>0.0131636883286013</v>
      </c>
      <c r="C235" s="12">
        <f ca="1" t="shared" si="296"/>
        <v>50.6581844164301</v>
      </c>
      <c r="D235" s="11">
        <f ca="1" t="shared" ref="D235:S235" si="341">RAND()</f>
        <v>0.0664677132783127</v>
      </c>
      <c r="E235" s="11">
        <f ca="1" t="shared" si="341"/>
        <v>0.164582856938757</v>
      </c>
      <c r="F235" s="11">
        <f ca="1" t="shared" si="341"/>
        <v>0.0577827467152563</v>
      </c>
      <c r="G235" s="11">
        <f ca="1" t="shared" si="341"/>
        <v>0.457109936122108</v>
      </c>
      <c r="H235" s="11">
        <f ca="1" t="shared" si="341"/>
        <v>0.701173791187836</v>
      </c>
      <c r="I235" s="11">
        <f ca="1" t="shared" si="341"/>
        <v>0.211789835097803</v>
      </c>
      <c r="J235" s="11">
        <f ca="1" t="shared" si="341"/>
        <v>0.999214650342789</v>
      </c>
      <c r="K235" s="11">
        <f ca="1" t="shared" si="341"/>
        <v>0.73340343962042</v>
      </c>
      <c r="L235" s="11">
        <f ca="1" t="shared" si="341"/>
        <v>0.10645226246067</v>
      </c>
      <c r="M235" s="11">
        <f ca="1" t="shared" si="341"/>
        <v>0.954132212972574</v>
      </c>
      <c r="N235" s="11">
        <f ca="1" t="shared" si="341"/>
        <v>0.674354770140804</v>
      </c>
      <c r="O235" s="11">
        <f ca="1" t="shared" si="341"/>
        <v>0.210474257990654</v>
      </c>
      <c r="P235" s="11">
        <f ca="1" t="shared" si="341"/>
        <v>0.569325772190687</v>
      </c>
      <c r="Q235" s="11">
        <f ca="1" t="shared" si="341"/>
        <v>0.109096314518569</v>
      </c>
      <c r="R235" s="11">
        <f ca="1" t="shared" si="341"/>
        <v>0.0257596474608981</v>
      </c>
      <c r="S235" s="11">
        <f ca="1" t="shared" si="341"/>
        <v>0.8703652799865</v>
      </c>
      <c r="T235" s="12">
        <f ca="1" t="shared" si="298"/>
        <v>4.11077952213052</v>
      </c>
      <c r="U235" s="12">
        <f ca="1" t="shared" si="299"/>
        <v>4.27430476156459</v>
      </c>
      <c r="V235" s="12">
        <f ca="1" t="shared" si="300"/>
        <v>4.09630457785876</v>
      </c>
      <c r="W235" s="12">
        <f ca="1" t="shared" si="301"/>
        <v>4.69638742015263</v>
      </c>
      <c r="X235" s="12">
        <f ca="1" t="shared" si="302"/>
        <v>5.00293447796959</v>
      </c>
      <c r="Y235" s="12">
        <f ca="1" t="shared" si="303"/>
        <v>4.35298305849634</v>
      </c>
      <c r="Z235" s="12">
        <f ca="1" t="shared" si="304"/>
        <v>5.99607325171395</v>
      </c>
      <c r="AA235" s="12">
        <f ca="1" t="shared" si="305"/>
        <v>5.08350859905105</v>
      </c>
      <c r="AB235" s="12">
        <f ca="1" t="shared" si="306"/>
        <v>4.17742043743445</v>
      </c>
      <c r="AC235" s="12">
        <f ca="1" t="shared" si="307"/>
        <v>5.77066106486287</v>
      </c>
      <c r="AD235" s="12">
        <f ca="1" t="shared" si="308"/>
        <v>4.967943462676</v>
      </c>
      <c r="AE235" s="12">
        <f ca="1" t="shared" si="309"/>
        <v>4.35079042998442</v>
      </c>
      <c r="AF235" s="12">
        <f ca="1" t="shared" si="310"/>
        <v>4.83665721523836</v>
      </c>
      <c r="AG235" s="12">
        <f ca="1" t="shared" si="311"/>
        <v>4.18182719086428</v>
      </c>
      <c r="AH235" s="12">
        <f ca="1" t="shared" si="312"/>
        <v>4.04293274576816</v>
      </c>
      <c r="AI235" s="12">
        <f ca="1" t="shared" si="313"/>
        <v>5.42591319996625</v>
      </c>
      <c r="AJ235" s="12">
        <f ca="1">SUM($T235:T235)</f>
        <v>4.11077952213052</v>
      </c>
      <c r="AK235" s="12">
        <f ca="1">SUM($T235:U235)</f>
        <v>8.38508428369511</v>
      </c>
      <c r="AL235" s="12">
        <f ca="1">SUM($T235:V235)</f>
        <v>12.4813888615539</v>
      </c>
      <c r="AM235" s="12">
        <f ca="1">SUM($T235:W235)</f>
        <v>17.1777762817065</v>
      </c>
      <c r="AN235" s="12">
        <f ca="1">SUM($T235:X235)</f>
        <v>22.1807107596761</v>
      </c>
      <c r="AO235" s="12">
        <f ca="1">SUM($T235:Y235)</f>
        <v>26.5336938181724</v>
      </c>
      <c r="AP235" s="12">
        <f ca="1">SUM($T235:Z235)</f>
        <v>32.5297670698864</v>
      </c>
      <c r="AQ235" s="12">
        <f ca="1">SUM($T235:AA235)</f>
        <v>37.6132756689374</v>
      </c>
      <c r="AR235" s="12">
        <f ca="1">SUM($T235:AB235)</f>
        <v>41.7906961063719</v>
      </c>
      <c r="AS235" s="12">
        <f ca="1">SUM($T235:AC235)</f>
        <v>47.5613571712348</v>
      </c>
      <c r="AT235" s="12">
        <f ca="1">SUM($T235:AD235)</f>
        <v>52.5293006339108</v>
      </c>
      <c r="AU235" s="12">
        <f ca="1">SUM($T235:AE235)</f>
        <v>56.8800910638952</v>
      </c>
      <c r="AV235" s="12">
        <f ca="1">SUM($T235:AF235)</f>
        <v>61.7167482791335</v>
      </c>
      <c r="AW235" s="12">
        <f ca="1">SUM($T235:AG235)</f>
        <v>65.8985754699978</v>
      </c>
      <c r="AX235" s="12">
        <f ca="1">SUM($T235:AH235)</f>
        <v>69.941508215766</v>
      </c>
      <c r="AY235" s="12">
        <f ca="1">SUM($T235:AI235)</f>
        <v>75.3674214157322</v>
      </c>
      <c r="AZ235" s="12">
        <f ca="1" t="shared" si="314"/>
        <v>46.5474048942995</v>
      </c>
      <c r="BA235" s="12">
        <f ca="1" t="shared" si="315"/>
        <v>42.2731001327349</v>
      </c>
      <c r="BB235" s="12">
        <f ca="1" t="shared" si="316"/>
        <v>38.1767955548762</v>
      </c>
      <c r="BC235" s="12">
        <f ca="1" t="shared" si="317"/>
        <v>33.4804081347236</v>
      </c>
      <c r="BD235" s="12">
        <f ca="1" t="shared" si="318"/>
        <v>28.477473656754</v>
      </c>
      <c r="BE235" s="12">
        <f ca="1" t="shared" si="319"/>
        <v>24.1244905982576</v>
      </c>
      <c r="BF235" s="12">
        <f ca="1" t="shared" si="320"/>
        <v>18.1284173465437</v>
      </c>
      <c r="BG235" s="12">
        <f ca="1" t="shared" si="321"/>
        <v>13.0449087474926</v>
      </c>
      <c r="BH235" s="12">
        <f ca="1" t="shared" si="322"/>
        <v>8.86748831005818</v>
      </c>
      <c r="BI235" s="12">
        <f ca="1" t="shared" si="323"/>
        <v>3.09682724519531</v>
      </c>
      <c r="BJ235" s="12">
        <f ca="1" t="shared" si="324"/>
        <v>0</v>
      </c>
      <c r="BK235" s="12">
        <f ca="1" t="shared" si="325"/>
        <v>0</v>
      </c>
      <c r="BL235" s="12">
        <f ca="1" t="shared" si="326"/>
        <v>0</v>
      </c>
      <c r="BM235" s="12">
        <f ca="1" t="shared" si="327"/>
        <v>0</v>
      </c>
      <c r="BN235" s="12">
        <f ca="1" t="shared" si="328"/>
        <v>0</v>
      </c>
      <c r="BO235" s="12">
        <f ca="1" t="shared" si="329"/>
        <v>0</v>
      </c>
    </row>
    <row r="236" spans="1:67">
      <c r="A236" s="3">
        <v>206</v>
      </c>
      <c r="B236" s="11">
        <f ca="1" t="shared" si="295"/>
        <v>0.511809335325456</v>
      </c>
      <c r="C236" s="12">
        <f ca="1" t="shared" si="296"/>
        <v>64.3634889220909</v>
      </c>
      <c r="D236" s="11">
        <f ca="1" t="shared" ref="D236:S236" si="342">RAND()</f>
        <v>0.697726580213039</v>
      </c>
      <c r="E236" s="11">
        <f ca="1" t="shared" si="342"/>
        <v>0.591872555864458</v>
      </c>
      <c r="F236" s="11">
        <f ca="1" t="shared" si="342"/>
        <v>0.0648363226017803</v>
      </c>
      <c r="G236" s="11">
        <f ca="1" t="shared" si="342"/>
        <v>0.441398800837592</v>
      </c>
      <c r="H236" s="11">
        <f ca="1" t="shared" si="342"/>
        <v>0.820979148229485</v>
      </c>
      <c r="I236" s="11">
        <f ca="1" t="shared" si="342"/>
        <v>0.465184553912471</v>
      </c>
      <c r="J236" s="11">
        <f ca="1" t="shared" si="342"/>
        <v>0.331658655797234</v>
      </c>
      <c r="K236" s="11">
        <f ca="1" t="shared" si="342"/>
        <v>0.423302217625654</v>
      </c>
      <c r="L236" s="11">
        <f ca="1" t="shared" si="342"/>
        <v>0.577407664556302</v>
      </c>
      <c r="M236" s="11">
        <f ca="1" t="shared" si="342"/>
        <v>0.044672082168445</v>
      </c>
      <c r="N236" s="11">
        <f ca="1" t="shared" si="342"/>
        <v>0.0863178964319256</v>
      </c>
      <c r="O236" s="11">
        <f ca="1" t="shared" si="342"/>
        <v>0.84521164685739</v>
      </c>
      <c r="P236" s="11">
        <f ca="1" t="shared" si="342"/>
        <v>0.310384510574296</v>
      </c>
      <c r="Q236" s="11">
        <f ca="1" t="shared" si="342"/>
        <v>0.264521457642985</v>
      </c>
      <c r="R236" s="11">
        <f ca="1" t="shared" si="342"/>
        <v>0.256644494439451</v>
      </c>
      <c r="S236" s="11">
        <f ca="1" t="shared" si="342"/>
        <v>0.930782099471717</v>
      </c>
      <c r="T236" s="12">
        <f ca="1" t="shared" si="298"/>
        <v>4.9971582252663</v>
      </c>
      <c r="U236" s="12">
        <f ca="1" t="shared" si="299"/>
        <v>4.86484069483057</v>
      </c>
      <c r="V236" s="12">
        <f ca="1" t="shared" si="300"/>
        <v>4.10806053766963</v>
      </c>
      <c r="W236" s="12">
        <f ca="1" t="shared" si="301"/>
        <v>4.67674850104699</v>
      </c>
      <c r="X236" s="12">
        <f ca="1" t="shared" si="302"/>
        <v>5.30244787057371</v>
      </c>
      <c r="Y236" s="12">
        <f ca="1" t="shared" si="303"/>
        <v>4.70648069239059</v>
      </c>
      <c r="Z236" s="12">
        <f ca="1" t="shared" si="304"/>
        <v>4.53957331974654</v>
      </c>
      <c r="AA236" s="12">
        <f ca="1" t="shared" si="305"/>
        <v>4.65412777203207</v>
      </c>
      <c r="AB236" s="12">
        <f ca="1" t="shared" si="306"/>
        <v>4.84675958069538</v>
      </c>
      <c r="AC236" s="12">
        <f ca="1" t="shared" si="307"/>
        <v>4.07445347028074</v>
      </c>
      <c r="AD236" s="12">
        <f ca="1" t="shared" si="308"/>
        <v>4.14386316071988</v>
      </c>
      <c r="AE236" s="12">
        <f ca="1" t="shared" si="309"/>
        <v>5.36302911714347</v>
      </c>
      <c r="AF236" s="12">
        <f ca="1" t="shared" si="310"/>
        <v>4.51298063821787</v>
      </c>
      <c r="AG236" s="12">
        <f ca="1" t="shared" si="311"/>
        <v>4.44086909607164</v>
      </c>
      <c r="AH236" s="12">
        <f ca="1" t="shared" si="312"/>
        <v>4.42774082406575</v>
      </c>
      <c r="AI236" s="12">
        <f ca="1" t="shared" si="313"/>
        <v>5.65391049735858</v>
      </c>
      <c r="AJ236" s="12">
        <f ca="1">SUM($T236:T236)</f>
        <v>4.9971582252663</v>
      </c>
      <c r="AK236" s="12">
        <f ca="1">SUM($T236:U236)</f>
        <v>9.86199892009687</v>
      </c>
      <c r="AL236" s="12">
        <f ca="1">SUM($T236:V236)</f>
        <v>13.9700594577665</v>
      </c>
      <c r="AM236" s="12">
        <f ca="1">SUM($T236:W236)</f>
        <v>18.6468079588135</v>
      </c>
      <c r="AN236" s="12">
        <f ca="1">SUM($T236:X236)</f>
        <v>23.9492558293872</v>
      </c>
      <c r="AO236" s="12">
        <f ca="1">SUM($T236:Y236)</f>
        <v>28.6557365217778</v>
      </c>
      <c r="AP236" s="12">
        <f ca="1">SUM($T236:Z236)</f>
        <v>33.1953098415243</v>
      </c>
      <c r="AQ236" s="12">
        <f ca="1">SUM($T236:AA236)</f>
        <v>37.8494376135564</v>
      </c>
      <c r="AR236" s="12">
        <f ca="1">SUM($T236:AB236)</f>
        <v>42.6961971942518</v>
      </c>
      <c r="AS236" s="12">
        <f ca="1">SUM($T236:AC236)</f>
        <v>46.7706506645325</v>
      </c>
      <c r="AT236" s="12">
        <f ca="1">SUM($T236:AD236)</f>
        <v>50.9145138252524</v>
      </c>
      <c r="AU236" s="12">
        <f ca="1">SUM($T236:AE236)</f>
        <v>56.2775429423959</v>
      </c>
      <c r="AV236" s="12">
        <f ca="1">SUM($T236:AF236)</f>
        <v>60.7905235806137</v>
      </c>
      <c r="AW236" s="12">
        <f ca="1">SUM($T236:AG236)</f>
        <v>65.2313926766854</v>
      </c>
      <c r="AX236" s="12">
        <f ca="1">SUM($T236:AH236)</f>
        <v>69.6591335007511</v>
      </c>
      <c r="AY236" s="12">
        <f ca="1">SUM($T236:AI236)</f>
        <v>75.3130439981097</v>
      </c>
      <c r="AZ236" s="12">
        <f ca="1" t="shared" si="314"/>
        <v>59.3663306968246</v>
      </c>
      <c r="BA236" s="12">
        <f ca="1" t="shared" si="315"/>
        <v>54.5014900019941</v>
      </c>
      <c r="BB236" s="12">
        <f ca="1" t="shared" si="316"/>
        <v>50.3934294643244</v>
      </c>
      <c r="BC236" s="12">
        <f ca="1" t="shared" si="317"/>
        <v>45.7166809632774</v>
      </c>
      <c r="BD236" s="12">
        <f ca="1" t="shared" si="318"/>
        <v>40.4142330927037</v>
      </c>
      <c r="BE236" s="12">
        <f ca="1" t="shared" si="319"/>
        <v>35.7077524003131</v>
      </c>
      <c r="BF236" s="12">
        <f ca="1" t="shared" si="320"/>
        <v>31.1681790805666</v>
      </c>
      <c r="BG236" s="12">
        <f ca="1" t="shared" si="321"/>
        <v>26.5140513085345</v>
      </c>
      <c r="BH236" s="12">
        <f ca="1" t="shared" si="322"/>
        <v>21.6672917278392</v>
      </c>
      <c r="BI236" s="12">
        <f ca="1" t="shared" si="323"/>
        <v>17.5928382575584</v>
      </c>
      <c r="BJ236" s="12">
        <f ca="1" t="shared" si="324"/>
        <v>13.4489750968385</v>
      </c>
      <c r="BK236" s="12">
        <f ca="1" t="shared" si="325"/>
        <v>8.08594597969506</v>
      </c>
      <c r="BL236" s="12">
        <f ca="1" t="shared" si="326"/>
        <v>3.57296534147719</v>
      </c>
      <c r="BM236" s="12">
        <f ca="1" t="shared" si="327"/>
        <v>0</v>
      </c>
      <c r="BN236" s="12">
        <f ca="1" t="shared" si="328"/>
        <v>0</v>
      </c>
      <c r="BO236" s="12">
        <f ca="1" t="shared" si="329"/>
        <v>0</v>
      </c>
    </row>
    <row r="237" spans="1:67">
      <c r="A237" s="3">
        <v>207</v>
      </c>
      <c r="B237" s="11">
        <f ca="1" t="shared" si="295"/>
        <v>0.45196043740125</v>
      </c>
      <c r="C237" s="12">
        <f ca="1" t="shared" si="296"/>
        <v>63.3660072900208</v>
      </c>
      <c r="D237" s="11">
        <f ca="1" t="shared" ref="D237:S237" si="343">RAND()</f>
        <v>0.825576002530515</v>
      </c>
      <c r="E237" s="11">
        <f ca="1" t="shared" si="343"/>
        <v>0.676840415532169</v>
      </c>
      <c r="F237" s="11">
        <f ca="1" t="shared" si="343"/>
        <v>0.867316376151664</v>
      </c>
      <c r="G237" s="11">
        <f ca="1" t="shared" si="343"/>
        <v>0.511799110085708</v>
      </c>
      <c r="H237" s="11">
        <f ca="1" t="shared" si="343"/>
        <v>0.114206745406768</v>
      </c>
      <c r="I237" s="11">
        <f ca="1" t="shared" si="343"/>
        <v>0.206929520088616</v>
      </c>
      <c r="J237" s="11">
        <f ca="1" t="shared" si="343"/>
        <v>0.0168785039942083</v>
      </c>
      <c r="K237" s="11">
        <f ca="1" t="shared" si="343"/>
        <v>0.549121331951899</v>
      </c>
      <c r="L237" s="11">
        <f ca="1" t="shared" si="343"/>
        <v>0.996512689943455</v>
      </c>
      <c r="M237" s="11">
        <f ca="1" t="shared" si="343"/>
        <v>0.276042888382093</v>
      </c>
      <c r="N237" s="11">
        <f ca="1" t="shared" si="343"/>
        <v>0.330061280146444</v>
      </c>
      <c r="O237" s="11">
        <f ca="1" t="shared" si="343"/>
        <v>0.954089679634778</v>
      </c>
      <c r="P237" s="11">
        <f ca="1" t="shared" si="343"/>
        <v>0.828046394376896</v>
      </c>
      <c r="Q237" s="11">
        <f ca="1" t="shared" si="343"/>
        <v>0.669155499639842</v>
      </c>
      <c r="R237" s="11">
        <f ca="1" t="shared" si="343"/>
        <v>0.652895779846424</v>
      </c>
      <c r="S237" s="11">
        <f ca="1" t="shared" si="343"/>
        <v>0.523005213273523</v>
      </c>
      <c r="T237" s="12">
        <f ca="1" t="shared" si="298"/>
        <v>5.31394000632629</v>
      </c>
      <c r="U237" s="12">
        <f ca="1" t="shared" si="299"/>
        <v>4.97105051941521</v>
      </c>
      <c r="V237" s="12">
        <f ca="1" t="shared" si="300"/>
        <v>5.41829094037916</v>
      </c>
      <c r="W237" s="12">
        <f ca="1" t="shared" si="301"/>
        <v>4.76474888760713</v>
      </c>
      <c r="X237" s="12">
        <f ca="1" t="shared" si="302"/>
        <v>4.19034457567795</v>
      </c>
      <c r="Y237" s="12">
        <f ca="1" t="shared" si="303"/>
        <v>4.34488253348103</v>
      </c>
      <c r="Z237" s="12">
        <f ca="1" t="shared" si="304"/>
        <v>4.02813083999035</v>
      </c>
      <c r="AA237" s="12">
        <f ca="1" t="shared" si="305"/>
        <v>4.81140166493987</v>
      </c>
      <c r="AB237" s="12">
        <f ca="1" t="shared" si="306"/>
        <v>5.98256344971728</v>
      </c>
      <c r="AC237" s="12">
        <f ca="1" t="shared" si="307"/>
        <v>4.46007148063682</v>
      </c>
      <c r="AD237" s="12">
        <f ca="1" t="shared" si="308"/>
        <v>4.53757660018305</v>
      </c>
      <c r="AE237" s="12">
        <f ca="1" t="shared" si="309"/>
        <v>5.77044839817389</v>
      </c>
      <c r="AF237" s="12">
        <f ca="1" t="shared" si="310"/>
        <v>5.32011598594224</v>
      </c>
      <c r="AG237" s="12">
        <f ca="1" t="shared" si="311"/>
        <v>4.9614443745498</v>
      </c>
      <c r="AH237" s="12">
        <f ca="1" t="shared" si="312"/>
        <v>4.94111972480803</v>
      </c>
      <c r="AI237" s="12">
        <f ca="1" t="shared" si="313"/>
        <v>4.7787565165919</v>
      </c>
      <c r="AJ237" s="12">
        <f ca="1">SUM($T237:T237)</f>
        <v>5.31394000632629</v>
      </c>
      <c r="AK237" s="12">
        <f ca="1">SUM($T237:U237)</f>
        <v>10.2849905257415</v>
      </c>
      <c r="AL237" s="12">
        <f ca="1">SUM($T237:V237)</f>
        <v>15.7032814661207</v>
      </c>
      <c r="AM237" s="12">
        <f ca="1">SUM($T237:W237)</f>
        <v>20.4680303537278</v>
      </c>
      <c r="AN237" s="12">
        <f ca="1">SUM($T237:X237)</f>
        <v>24.6583749294057</v>
      </c>
      <c r="AO237" s="12">
        <f ca="1">SUM($T237:Y237)</f>
        <v>29.0032574628868</v>
      </c>
      <c r="AP237" s="12">
        <f ca="1">SUM($T237:Z237)</f>
        <v>33.0313883028771</v>
      </c>
      <c r="AQ237" s="12">
        <f ca="1">SUM($T237:AA237)</f>
        <v>37.842789967817</v>
      </c>
      <c r="AR237" s="12">
        <f ca="1">SUM($T237:AB237)</f>
        <v>43.8253534175343</v>
      </c>
      <c r="AS237" s="12">
        <f ca="1">SUM($T237:AC237)</f>
        <v>48.2854248981711</v>
      </c>
      <c r="AT237" s="12">
        <f ca="1">SUM($T237:AD237)</f>
        <v>52.8230014983541</v>
      </c>
      <c r="AU237" s="12">
        <f ca="1">SUM($T237:AE237)</f>
        <v>58.593449896528</v>
      </c>
      <c r="AV237" s="12">
        <f ca="1">SUM($T237:AF237)</f>
        <v>63.9135658824703</v>
      </c>
      <c r="AW237" s="12">
        <f ca="1">SUM($T237:AG237)</f>
        <v>68.8750102570201</v>
      </c>
      <c r="AX237" s="12">
        <f ca="1">SUM($T237:AH237)</f>
        <v>73.8161299818281</v>
      </c>
      <c r="AY237" s="12">
        <f ca="1">SUM($T237:AI237)</f>
        <v>78.59488649842</v>
      </c>
      <c r="AZ237" s="12">
        <f ca="1" t="shared" si="314"/>
        <v>58.0520672836946</v>
      </c>
      <c r="BA237" s="12">
        <f ca="1" t="shared" si="315"/>
        <v>53.0810167642793</v>
      </c>
      <c r="BB237" s="12">
        <f ca="1" t="shared" si="316"/>
        <v>47.6627258239002</v>
      </c>
      <c r="BC237" s="12">
        <f ca="1" t="shared" si="317"/>
        <v>42.897976936293</v>
      </c>
      <c r="BD237" s="12">
        <f ca="1" t="shared" si="318"/>
        <v>38.7076323606151</v>
      </c>
      <c r="BE237" s="12">
        <f ca="1" t="shared" si="319"/>
        <v>34.3627498271341</v>
      </c>
      <c r="BF237" s="12">
        <f ca="1" t="shared" si="320"/>
        <v>30.3346189871437</v>
      </c>
      <c r="BG237" s="12">
        <f ca="1" t="shared" si="321"/>
        <v>25.5232173222038</v>
      </c>
      <c r="BH237" s="12">
        <f ca="1" t="shared" si="322"/>
        <v>19.5406538724866</v>
      </c>
      <c r="BI237" s="12">
        <f ca="1" t="shared" si="323"/>
        <v>15.0805823918498</v>
      </c>
      <c r="BJ237" s="12">
        <f ca="1" t="shared" si="324"/>
        <v>10.5430057916667</v>
      </c>
      <c r="BK237" s="12">
        <f ca="1" t="shared" si="325"/>
        <v>4.7725573934928</v>
      </c>
      <c r="BL237" s="12">
        <f ca="1" t="shared" si="326"/>
        <v>0</v>
      </c>
      <c r="BM237" s="12">
        <f ca="1" t="shared" si="327"/>
        <v>0</v>
      </c>
      <c r="BN237" s="12">
        <f ca="1" t="shared" si="328"/>
        <v>0</v>
      </c>
      <c r="BO237" s="12">
        <f ca="1" t="shared" si="329"/>
        <v>0</v>
      </c>
    </row>
    <row r="238" spans="1:67">
      <c r="A238" s="3">
        <v>208</v>
      </c>
      <c r="B238" s="11">
        <f ca="1" t="shared" si="295"/>
        <v>0.0390364015580038</v>
      </c>
      <c r="C238" s="12">
        <f ca="1" t="shared" si="296"/>
        <v>51.9518200779002</v>
      </c>
      <c r="D238" s="11">
        <f ca="1" t="shared" ref="D238:S238" si="344">RAND()</f>
        <v>0.8272576511125</v>
      </c>
      <c r="E238" s="11">
        <f ca="1" t="shared" si="344"/>
        <v>0.113795752133117</v>
      </c>
      <c r="F238" s="11">
        <f ca="1" t="shared" si="344"/>
        <v>0.434909939235887</v>
      </c>
      <c r="G238" s="11">
        <f ca="1" t="shared" si="344"/>
        <v>0.119186221270968</v>
      </c>
      <c r="H238" s="11">
        <f ca="1" t="shared" si="344"/>
        <v>0.38174991826362</v>
      </c>
      <c r="I238" s="11">
        <f ca="1" t="shared" si="344"/>
        <v>0.819290995565163</v>
      </c>
      <c r="J238" s="11">
        <f ca="1" t="shared" si="344"/>
        <v>0.875617946328855</v>
      </c>
      <c r="K238" s="11">
        <f ca="1" t="shared" si="344"/>
        <v>0.964130282672227</v>
      </c>
      <c r="L238" s="11">
        <f ca="1" t="shared" si="344"/>
        <v>0.112897055667856</v>
      </c>
      <c r="M238" s="11">
        <f ca="1" t="shared" si="344"/>
        <v>0.992003376349935</v>
      </c>
      <c r="N238" s="11">
        <f ca="1" t="shared" si="344"/>
        <v>0.628935152433595</v>
      </c>
      <c r="O238" s="11">
        <f ca="1" t="shared" si="344"/>
        <v>0.841270800728228</v>
      </c>
      <c r="P238" s="11">
        <f ca="1" t="shared" si="344"/>
        <v>0.734296198891198</v>
      </c>
      <c r="Q238" s="11">
        <f ca="1" t="shared" si="344"/>
        <v>0.927351610962588</v>
      </c>
      <c r="R238" s="11">
        <f ca="1" t="shared" si="344"/>
        <v>0.140774306811079</v>
      </c>
      <c r="S238" s="11">
        <f ca="1" t="shared" si="344"/>
        <v>0.375590861362528</v>
      </c>
      <c r="T238" s="12">
        <f ca="1" t="shared" si="298"/>
        <v>5.31814412778125</v>
      </c>
      <c r="U238" s="12">
        <f ca="1" t="shared" si="299"/>
        <v>4.18965958688853</v>
      </c>
      <c r="V238" s="12">
        <f ca="1" t="shared" si="300"/>
        <v>4.66863742404486</v>
      </c>
      <c r="W238" s="12">
        <f ca="1" t="shared" si="301"/>
        <v>4.19864370211828</v>
      </c>
      <c r="X238" s="12">
        <f ca="1" t="shared" si="302"/>
        <v>4.60218739782952</v>
      </c>
      <c r="Y238" s="12">
        <f ca="1" t="shared" si="303"/>
        <v>5.29822748891291</v>
      </c>
      <c r="Z238" s="12">
        <f ca="1" t="shared" si="304"/>
        <v>5.43904486582214</v>
      </c>
      <c r="AA238" s="12">
        <f ca="1" t="shared" si="305"/>
        <v>5.82065141336114</v>
      </c>
      <c r="AB238" s="12">
        <f ca="1" t="shared" si="306"/>
        <v>4.18816175944643</v>
      </c>
      <c r="AC238" s="12">
        <f ca="1" t="shared" si="307"/>
        <v>5.96001688174968</v>
      </c>
      <c r="AD238" s="12">
        <f ca="1" t="shared" si="308"/>
        <v>4.91116894054199</v>
      </c>
      <c r="AE238" s="12">
        <f ca="1" t="shared" si="309"/>
        <v>5.35317700182057</v>
      </c>
      <c r="AF238" s="12">
        <f ca="1" t="shared" si="310"/>
        <v>5.085740497228</v>
      </c>
      <c r="AG238" s="12">
        <f ca="1" t="shared" si="311"/>
        <v>5.63675805481294</v>
      </c>
      <c r="AH238" s="12">
        <f ca="1" t="shared" si="312"/>
        <v>4.23462384468513</v>
      </c>
      <c r="AI238" s="12">
        <f ca="1" t="shared" si="313"/>
        <v>4.59448857670316</v>
      </c>
      <c r="AJ238" s="12">
        <f ca="1">SUM($T238:T238)</f>
        <v>5.31814412778125</v>
      </c>
      <c r="AK238" s="12">
        <f ca="1">SUM($T238:U238)</f>
        <v>9.50780371466978</v>
      </c>
      <c r="AL238" s="12">
        <f ca="1">SUM($T238:V238)</f>
        <v>14.1764411387146</v>
      </c>
      <c r="AM238" s="12">
        <f ca="1">SUM($T238:W238)</f>
        <v>18.3750848408329</v>
      </c>
      <c r="AN238" s="12">
        <f ca="1">SUM($T238:X238)</f>
        <v>22.9772722386624</v>
      </c>
      <c r="AO238" s="12">
        <f ca="1">SUM($T238:Y238)</f>
        <v>28.2754997275753</v>
      </c>
      <c r="AP238" s="12">
        <f ca="1">SUM($T238:Z238)</f>
        <v>33.7145445933975</v>
      </c>
      <c r="AQ238" s="12">
        <f ca="1">SUM($T238:AA238)</f>
        <v>39.5351960067586</v>
      </c>
      <c r="AR238" s="12">
        <f ca="1">SUM($T238:AB238)</f>
        <v>43.723357766205</v>
      </c>
      <c r="AS238" s="12">
        <f ca="1">SUM($T238:AC238)</f>
        <v>49.6833746479547</v>
      </c>
      <c r="AT238" s="12">
        <f ca="1">SUM($T238:AD238)</f>
        <v>54.5945435884967</v>
      </c>
      <c r="AU238" s="12">
        <f ca="1">SUM($T238:AE238)</f>
        <v>59.9477205903173</v>
      </c>
      <c r="AV238" s="12">
        <f ca="1">SUM($T238:AF238)</f>
        <v>65.0334610875453</v>
      </c>
      <c r="AW238" s="12">
        <f ca="1">SUM($T238:AG238)</f>
        <v>70.6702191423582</v>
      </c>
      <c r="AX238" s="12">
        <f ca="1">SUM($T238:AH238)</f>
        <v>74.9048429870434</v>
      </c>
      <c r="AY238" s="12">
        <f ca="1">SUM($T238:AI238)</f>
        <v>79.4993315637465</v>
      </c>
      <c r="AZ238" s="12">
        <f ca="1" t="shared" si="314"/>
        <v>46.6336759501189</v>
      </c>
      <c r="BA238" s="12">
        <f ca="1" t="shared" si="315"/>
        <v>42.4440163632304</v>
      </c>
      <c r="BB238" s="12">
        <f ca="1" t="shared" si="316"/>
        <v>37.7753789391856</v>
      </c>
      <c r="BC238" s="12">
        <f ca="1" t="shared" si="317"/>
        <v>33.5767352370673</v>
      </c>
      <c r="BD238" s="12">
        <f ca="1" t="shared" si="318"/>
        <v>28.9745478392377</v>
      </c>
      <c r="BE238" s="12">
        <f ca="1" t="shared" si="319"/>
        <v>23.6763203503248</v>
      </c>
      <c r="BF238" s="12">
        <f ca="1" t="shared" si="320"/>
        <v>18.2372754845027</v>
      </c>
      <c r="BG238" s="12">
        <f ca="1" t="shared" si="321"/>
        <v>12.4166240711416</v>
      </c>
      <c r="BH238" s="12">
        <f ca="1" t="shared" si="322"/>
        <v>8.22846231169515</v>
      </c>
      <c r="BI238" s="12">
        <f ca="1" t="shared" si="323"/>
        <v>2.26844542994547</v>
      </c>
      <c r="BJ238" s="12">
        <f ca="1" t="shared" si="324"/>
        <v>0</v>
      </c>
      <c r="BK238" s="12">
        <f ca="1" t="shared" si="325"/>
        <v>0</v>
      </c>
      <c r="BL238" s="12">
        <f ca="1" t="shared" si="326"/>
        <v>0</v>
      </c>
      <c r="BM238" s="12">
        <f ca="1" t="shared" si="327"/>
        <v>0</v>
      </c>
      <c r="BN238" s="12">
        <f ca="1" t="shared" si="328"/>
        <v>0</v>
      </c>
      <c r="BO238" s="12">
        <f ca="1" t="shared" si="329"/>
        <v>0</v>
      </c>
    </row>
    <row r="239" spans="1:67">
      <c r="A239" s="3">
        <v>209</v>
      </c>
      <c r="B239" s="11">
        <f ca="1" t="shared" si="295"/>
        <v>0.313355461150009</v>
      </c>
      <c r="C239" s="12">
        <f ca="1" t="shared" si="296"/>
        <v>61.0559243525001</v>
      </c>
      <c r="D239" s="11">
        <f ca="1" t="shared" ref="D239:S239" si="345">RAND()</f>
        <v>0.602010361292875</v>
      </c>
      <c r="E239" s="11">
        <f ca="1" t="shared" si="345"/>
        <v>0.333512882775998</v>
      </c>
      <c r="F239" s="11">
        <f ca="1" t="shared" si="345"/>
        <v>0.0162834939366701</v>
      </c>
      <c r="G239" s="11">
        <f ca="1" t="shared" si="345"/>
        <v>0.113885809158526</v>
      </c>
      <c r="H239" s="11">
        <f ca="1" t="shared" si="345"/>
        <v>0.592458339380322</v>
      </c>
      <c r="I239" s="11">
        <f ca="1" t="shared" si="345"/>
        <v>0.397212900499428</v>
      </c>
      <c r="J239" s="11">
        <f ca="1" t="shared" si="345"/>
        <v>0.110383622662756</v>
      </c>
      <c r="K239" s="11">
        <f ca="1" t="shared" si="345"/>
        <v>0.974651934822784</v>
      </c>
      <c r="L239" s="11">
        <f ca="1" t="shared" si="345"/>
        <v>0.0562911387279224</v>
      </c>
      <c r="M239" s="11">
        <f ca="1" t="shared" si="345"/>
        <v>0.251407335146453</v>
      </c>
      <c r="N239" s="11">
        <f ca="1" t="shared" si="345"/>
        <v>0.0697017522590277</v>
      </c>
      <c r="O239" s="11">
        <f ca="1" t="shared" si="345"/>
        <v>0.561809218820821</v>
      </c>
      <c r="P239" s="11">
        <f ca="1" t="shared" si="345"/>
        <v>0.721253242245331</v>
      </c>
      <c r="Q239" s="11">
        <f ca="1" t="shared" si="345"/>
        <v>0.123600693053702</v>
      </c>
      <c r="R239" s="11">
        <f ca="1" t="shared" si="345"/>
        <v>0.11986570703908</v>
      </c>
      <c r="S239" s="11">
        <f ca="1" t="shared" si="345"/>
        <v>0.122331484091086</v>
      </c>
      <c r="T239" s="12">
        <f ca="1" t="shared" si="298"/>
        <v>4.87751295161609</v>
      </c>
      <c r="U239" s="12">
        <f ca="1" t="shared" si="299"/>
        <v>4.54189110347</v>
      </c>
      <c r="V239" s="12">
        <f ca="1" t="shared" si="300"/>
        <v>4.02713915656112</v>
      </c>
      <c r="W239" s="12">
        <f ca="1" t="shared" si="301"/>
        <v>4.18980968193088</v>
      </c>
      <c r="X239" s="12">
        <f ca="1" t="shared" si="302"/>
        <v>4.8655729242254</v>
      </c>
      <c r="Y239" s="12">
        <f ca="1" t="shared" si="303"/>
        <v>4.62151612562428</v>
      </c>
      <c r="Z239" s="12">
        <f ca="1" t="shared" si="304"/>
        <v>4.18397270443793</v>
      </c>
      <c r="AA239" s="12">
        <f ca="1" t="shared" si="305"/>
        <v>5.87325967411392</v>
      </c>
      <c r="AB239" s="12">
        <f ca="1" t="shared" si="306"/>
        <v>4.09381856454654</v>
      </c>
      <c r="AC239" s="12">
        <f ca="1" t="shared" si="307"/>
        <v>4.41901222524409</v>
      </c>
      <c r="AD239" s="12">
        <f ca="1" t="shared" si="308"/>
        <v>4.11616958709838</v>
      </c>
      <c r="AE239" s="12">
        <f ca="1" t="shared" si="309"/>
        <v>4.82726152352603</v>
      </c>
      <c r="AF239" s="12">
        <f ca="1" t="shared" si="310"/>
        <v>5.05313310561333</v>
      </c>
      <c r="AG239" s="12">
        <f ca="1" t="shared" si="311"/>
        <v>4.2060011550895</v>
      </c>
      <c r="AH239" s="12">
        <f ca="1" t="shared" si="312"/>
        <v>4.19977617839847</v>
      </c>
      <c r="AI239" s="12">
        <f ca="1" t="shared" si="313"/>
        <v>4.20388580681848</v>
      </c>
      <c r="AJ239" s="12">
        <f ca="1">SUM($T239:T239)</f>
        <v>4.87751295161609</v>
      </c>
      <c r="AK239" s="12">
        <f ca="1">SUM($T239:U239)</f>
        <v>9.41940405508609</v>
      </c>
      <c r="AL239" s="12">
        <f ca="1">SUM($T239:V239)</f>
        <v>13.4465432116472</v>
      </c>
      <c r="AM239" s="12">
        <f ca="1">SUM($T239:W239)</f>
        <v>17.6363528935781</v>
      </c>
      <c r="AN239" s="12">
        <f ca="1">SUM($T239:X239)</f>
        <v>22.5019258178035</v>
      </c>
      <c r="AO239" s="12">
        <f ca="1">SUM($T239:Y239)</f>
        <v>27.1234419434278</v>
      </c>
      <c r="AP239" s="12">
        <f ca="1">SUM($T239:Z239)</f>
        <v>31.3074146478657</v>
      </c>
      <c r="AQ239" s="12">
        <f ca="1">SUM($T239:AA239)</f>
        <v>37.1806743219796</v>
      </c>
      <c r="AR239" s="12">
        <f ca="1">SUM($T239:AB239)</f>
        <v>41.2744928865262</v>
      </c>
      <c r="AS239" s="12">
        <f ca="1">SUM($T239:AC239)</f>
        <v>45.6935051117702</v>
      </c>
      <c r="AT239" s="12">
        <f ca="1">SUM($T239:AD239)</f>
        <v>49.8096746988686</v>
      </c>
      <c r="AU239" s="12">
        <f ca="1">SUM($T239:AE239)</f>
        <v>54.6369362223947</v>
      </c>
      <c r="AV239" s="12">
        <f ca="1">SUM($T239:AF239)</f>
        <v>59.690069328008</v>
      </c>
      <c r="AW239" s="12">
        <f ca="1">SUM($T239:AG239)</f>
        <v>63.8960704830975</v>
      </c>
      <c r="AX239" s="12">
        <f ca="1">SUM($T239:AH239)</f>
        <v>68.095846661496</v>
      </c>
      <c r="AY239" s="12">
        <f ca="1">SUM($T239:AI239)</f>
        <v>72.2997324683144</v>
      </c>
      <c r="AZ239" s="12">
        <f ca="1" t="shared" si="314"/>
        <v>56.1784114008841</v>
      </c>
      <c r="BA239" s="12">
        <f ca="1" t="shared" si="315"/>
        <v>51.6365202974141</v>
      </c>
      <c r="BB239" s="12">
        <f ca="1" t="shared" si="316"/>
        <v>47.6093811408529</v>
      </c>
      <c r="BC239" s="12">
        <f ca="1" t="shared" si="317"/>
        <v>43.4195714589221</v>
      </c>
      <c r="BD239" s="12">
        <f ca="1" t="shared" si="318"/>
        <v>38.5539985346967</v>
      </c>
      <c r="BE239" s="12">
        <f ca="1" t="shared" si="319"/>
        <v>33.9324824090724</v>
      </c>
      <c r="BF239" s="12">
        <f ca="1" t="shared" si="320"/>
        <v>29.7485097046344</v>
      </c>
      <c r="BG239" s="12">
        <f ca="1" t="shared" si="321"/>
        <v>23.8752500305205</v>
      </c>
      <c r="BH239" s="12">
        <f ca="1" t="shared" si="322"/>
        <v>19.781431465974</v>
      </c>
      <c r="BI239" s="12">
        <f ca="1" t="shared" si="323"/>
        <v>15.3624192407299</v>
      </c>
      <c r="BJ239" s="12">
        <f ca="1" t="shared" si="324"/>
        <v>11.2462496536315</v>
      </c>
      <c r="BK239" s="12">
        <f ca="1" t="shared" si="325"/>
        <v>6.41898813010549</v>
      </c>
      <c r="BL239" s="12">
        <f ca="1" t="shared" si="326"/>
        <v>1.36585502449216</v>
      </c>
      <c r="BM239" s="12">
        <f ca="1" t="shared" si="327"/>
        <v>0</v>
      </c>
      <c r="BN239" s="12">
        <f ca="1" t="shared" si="328"/>
        <v>0</v>
      </c>
      <c r="BO239" s="12">
        <f ca="1" t="shared" si="329"/>
        <v>0</v>
      </c>
    </row>
    <row r="240" spans="1:67">
      <c r="A240" s="3">
        <v>210</v>
      </c>
      <c r="B240" s="11">
        <f ca="1" t="shared" si="295"/>
        <v>0.615056133705947</v>
      </c>
      <c r="C240" s="12">
        <f ca="1" t="shared" si="296"/>
        <v>65.9293733386564</v>
      </c>
      <c r="D240" s="11">
        <f ca="1" t="shared" ref="D240:S240" si="346">RAND()</f>
        <v>0.122689775193441</v>
      </c>
      <c r="E240" s="11">
        <f ca="1" t="shared" si="346"/>
        <v>0.844391196586633</v>
      </c>
      <c r="F240" s="11">
        <f ca="1" t="shared" si="346"/>
        <v>0.553614615865072</v>
      </c>
      <c r="G240" s="11">
        <f ca="1" t="shared" si="346"/>
        <v>0.997583448144943</v>
      </c>
      <c r="H240" s="11">
        <f ca="1" t="shared" si="346"/>
        <v>0.899073590146948</v>
      </c>
      <c r="I240" s="11">
        <f ca="1" t="shared" si="346"/>
        <v>0.177317459670373</v>
      </c>
      <c r="J240" s="11">
        <f ca="1" t="shared" si="346"/>
        <v>0.761878190682295</v>
      </c>
      <c r="K240" s="11">
        <f ca="1" t="shared" si="346"/>
        <v>0.0664739761843394</v>
      </c>
      <c r="L240" s="11">
        <f ca="1" t="shared" si="346"/>
        <v>0.885629080426128</v>
      </c>
      <c r="M240" s="11">
        <f ca="1" t="shared" si="346"/>
        <v>0.0577904118838521</v>
      </c>
      <c r="N240" s="11">
        <f ca="1" t="shared" si="346"/>
        <v>0.733425502977811</v>
      </c>
      <c r="O240" s="11">
        <f ca="1" t="shared" si="346"/>
        <v>0.535926329568233</v>
      </c>
      <c r="P240" s="11">
        <f ca="1" t="shared" si="346"/>
        <v>0.564515793554897</v>
      </c>
      <c r="Q240" s="11">
        <f ca="1" t="shared" si="346"/>
        <v>0.0789503893921668</v>
      </c>
      <c r="R240" s="11">
        <f ca="1" t="shared" si="346"/>
        <v>0.740976988158417</v>
      </c>
      <c r="S240" s="11">
        <f ca="1" t="shared" si="346"/>
        <v>0.905571398084715</v>
      </c>
      <c r="T240" s="12">
        <f ca="1" t="shared" si="298"/>
        <v>4.20448295865573</v>
      </c>
      <c r="U240" s="12">
        <f ca="1" t="shared" si="299"/>
        <v>5.36097799146658</v>
      </c>
      <c r="V240" s="12">
        <f ca="1" t="shared" si="300"/>
        <v>4.81701826983134</v>
      </c>
      <c r="W240" s="12">
        <f ca="1" t="shared" si="301"/>
        <v>5.98791724072472</v>
      </c>
      <c r="X240" s="12">
        <f ca="1" t="shared" si="302"/>
        <v>5.49768397536737</v>
      </c>
      <c r="Y240" s="12">
        <f ca="1" t="shared" si="303"/>
        <v>4.29552909945062</v>
      </c>
      <c r="Z240" s="12">
        <f ca="1" t="shared" si="304"/>
        <v>5.15469547670574</v>
      </c>
      <c r="AA240" s="12">
        <f ca="1" t="shared" si="305"/>
        <v>4.11078996030723</v>
      </c>
      <c r="AB240" s="12">
        <f ca="1" t="shared" si="306"/>
        <v>5.46407270106532</v>
      </c>
      <c r="AC240" s="12">
        <f ca="1" t="shared" si="307"/>
        <v>4.09631735313975</v>
      </c>
      <c r="AD240" s="12">
        <f ca="1" t="shared" si="308"/>
        <v>5.08356375744453</v>
      </c>
      <c r="AE240" s="12">
        <f ca="1" t="shared" si="309"/>
        <v>4.79490791196029</v>
      </c>
      <c r="AF240" s="12">
        <f ca="1" t="shared" si="310"/>
        <v>4.83064474194362</v>
      </c>
      <c r="AG240" s="12">
        <f ca="1" t="shared" si="311"/>
        <v>4.13158398232028</v>
      </c>
      <c r="AH240" s="12">
        <f ca="1" t="shared" si="312"/>
        <v>5.10244247039604</v>
      </c>
      <c r="AI240" s="12">
        <f ca="1" t="shared" si="313"/>
        <v>5.52785699042358</v>
      </c>
      <c r="AJ240" s="12">
        <f ca="1">SUM($T240:T240)</f>
        <v>4.20448295865573</v>
      </c>
      <c r="AK240" s="12">
        <f ca="1">SUM($T240:U240)</f>
        <v>9.56546095012231</v>
      </c>
      <c r="AL240" s="12">
        <f ca="1">SUM($T240:V240)</f>
        <v>14.3824792199537</v>
      </c>
      <c r="AM240" s="12">
        <f ca="1">SUM($T240:W240)</f>
        <v>20.3703964606784</v>
      </c>
      <c r="AN240" s="12">
        <f ca="1">SUM($T240:X240)</f>
        <v>25.8680804360457</v>
      </c>
      <c r="AO240" s="12">
        <f ca="1">SUM($T240:Y240)</f>
        <v>30.1636095354964</v>
      </c>
      <c r="AP240" s="12">
        <f ca="1">SUM($T240:Z240)</f>
        <v>35.3183050122021</v>
      </c>
      <c r="AQ240" s="12">
        <f ca="1">SUM($T240:AA240)</f>
        <v>39.4290949725093</v>
      </c>
      <c r="AR240" s="12">
        <f ca="1">SUM($T240:AB240)</f>
        <v>44.8931676735747</v>
      </c>
      <c r="AS240" s="12">
        <f ca="1">SUM($T240:AC240)</f>
        <v>48.9894850267144</v>
      </c>
      <c r="AT240" s="12">
        <f ca="1">SUM($T240:AD240)</f>
        <v>54.0730487841589</v>
      </c>
      <c r="AU240" s="12">
        <f ca="1">SUM($T240:AE240)</f>
        <v>58.8679566961192</v>
      </c>
      <c r="AV240" s="12">
        <f ca="1">SUM($T240:AF240)</f>
        <v>63.6986014380629</v>
      </c>
      <c r="AW240" s="12">
        <f ca="1">SUM($T240:AG240)</f>
        <v>67.8301854203831</v>
      </c>
      <c r="AX240" s="12">
        <f ca="1">SUM($T240:AH240)</f>
        <v>72.9326278907792</v>
      </c>
      <c r="AY240" s="12">
        <f ca="1">SUM($T240:AI240)</f>
        <v>78.4604848812027</v>
      </c>
      <c r="AZ240" s="12">
        <f ca="1" t="shared" si="314"/>
        <v>61.7248903800007</v>
      </c>
      <c r="BA240" s="12">
        <f ca="1" t="shared" si="315"/>
        <v>56.3639123885341</v>
      </c>
      <c r="BB240" s="12">
        <f ca="1" t="shared" si="316"/>
        <v>51.5468941187027</v>
      </c>
      <c r="BC240" s="12">
        <f ca="1" t="shared" si="317"/>
        <v>45.558976877978</v>
      </c>
      <c r="BD240" s="12">
        <f ca="1" t="shared" si="318"/>
        <v>40.0612929026106</v>
      </c>
      <c r="BE240" s="12">
        <f ca="1" t="shared" si="319"/>
        <v>35.76576380316</v>
      </c>
      <c r="BF240" s="12">
        <f ca="1" t="shared" si="320"/>
        <v>30.6110683264543</v>
      </c>
      <c r="BG240" s="12">
        <f ca="1" t="shared" si="321"/>
        <v>26.5002783661471</v>
      </c>
      <c r="BH240" s="12">
        <f ca="1" t="shared" si="322"/>
        <v>21.0362056650817</v>
      </c>
      <c r="BI240" s="12">
        <f ca="1" t="shared" si="323"/>
        <v>16.939888311942</v>
      </c>
      <c r="BJ240" s="12">
        <f ca="1" t="shared" si="324"/>
        <v>11.8563245544975</v>
      </c>
      <c r="BK240" s="12">
        <f ca="1" t="shared" si="325"/>
        <v>7.06141664253716</v>
      </c>
      <c r="BL240" s="12">
        <f ca="1" t="shared" si="326"/>
        <v>2.23077190059354</v>
      </c>
      <c r="BM240" s="12">
        <f ca="1" t="shared" si="327"/>
        <v>0</v>
      </c>
      <c r="BN240" s="12">
        <f ca="1" t="shared" si="328"/>
        <v>0</v>
      </c>
      <c r="BO240" s="12">
        <f ca="1" t="shared" si="329"/>
        <v>0</v>
      </c>
    </row>
    <row r="241" spans="1:67">
      <c r="A241" s="3">
        <v>211</v>
      </c>
      <c r="B241" s="11">
        <f ca="1" t="shared" si="295"/>
        <v>0.330050684047498</v>
      </c>
      <c r="C241" s="12">
        <f ca="1" t="shared" si="296"/>
        <v>61.3341780674583</v>
      </c>
      <c r="D241" s="11">
        <f ca="1" t="shared" ref="D241:S241" si="347">RAND()</f>
        <v>0.999221304247864</v>
      </c>
      <c r="E241" s="11">
        <f ca="1" t="shared" si="347"/>
        <v>0.0494164487129383</v>
      </c>
      <c r="F241" s="11">
        <f ca="1" t="shared" si="347"/>
        <v>0.569312028461546</v>
      </c>
      <c r="G241" s="11">
        <f ca="1" t="shared" si="347"/>
        <v>0.922540171679301</v>
      </c>
      <c r="H241" s="11">
        <f ca="1" t="shared" si="347"/>
        <v>0.153181703022602</v>
      </c>
      <c r="I241" s="11">
        <f ca="1" t="shared" si="347"/>
        <v>0.591175381422941</v>
      </c>
      <c r="J241" s="11">
        <f ca="1" t="shared" si="347"/>
        <v>0.428900877894383</v>
      </c>
      <c r="K241" s="11">
        <f ca="1" t="shared" si="347"/>
        <v>0.414851966388541</v>
      </c>
      <c r="L241" s="11">
        <f ca="1" t="shared" si="347"/>
        <v>0.329746536500402</v>
      </c>
      <c r="M241" s="11">
        <f ca="1" t="shared" si="347"/>
        <v>0.54851379030016</v>
      </c>
      <c r="N241" s="11">
        <f ca="1" t="shared" si="347"/>
        <v>0.668480183389073</v>
      </c>
      <c r="O241" s="11">
        <f ca="1" t="shared" si="347"/>
        <v>0.0467342520570475</v>
      </c>
      <c r="P241" s="11">
        <f ca="1" t="shared" si="347"/>
        <v>0.160620155435249</v>
      </c>
      <c r="Q241" s="11">
        <f ca="1" t="shared" si="347"/>
        <v>0.697747676413764</v>
      </c>
      <c r="R241" s="11">
        <f ca="1" t="shared" si="347"/>
        <v>0.115149933653378</v>
      </c>
      <c r="S241" s="11">
        <f ca="1" t="shared" si="347"/>
        <v>0.310365545490642</v>
      </c>
      <c r="T241" s="12">
        <f ca="1" t="shared" si="298"/>
        <v>5.99610652123932</v>
      </c>
      <c r="U241" s="12">
        <f ca="1" t="shared" si="299"/>
        <v>4.0823607478549</v>
      </c>
      <c r="V241" s="12">
        <f ca="1" t="shared" si="300"/>
        <v>4.83664003557693</v>
      </c>
      <c r="W241" s="12">
        <f ca="1" t="shared" si="301"/>
        <v>5.61270085839651</v>
      </c>
      <c r="X241" s="12">
        <f ca="1" t="shared" si="302"/>
        <v>4.255302838371</v>
      </c>
      <c r="Y241" s="12">
        <f ca="1" t="shared" si="303"/>
        <v>4.86396922677868</v>
      </c>
      <c r="Z241" s="12">
        <f ca="1" t="shared" si="304"/>
        <v>4.66112609736798</v>
      </c>
      <c r="AA241" s="12">
        <f ca="1" t="shared" si="305"/>
        <v>4.64356495798568</v>
      </c>
      <c r="AB241" s="12">
        <f ca="1" t="shared" si="306"/>
        <v>4.5371831706255</v>
      </c>
      <c r="AC241" s="12">
        <f ca="1" t="shared" si="307"/>
        <v>4.8106422378752</v>
      </c>
      <c r="AD241" s="12">
        <f ca="1" t="shared" si="308"/>
        <v>4.96060022923634</v>
      </c>
      <c r="AE241" s="12">
        <f ca="1" t="shared" si="309"/>
        <v>4.07789042009508</v>
      </c>
      <c r="AF241" s="12">
        <f ca="1" t="shared" si="310"/>
        <v>4.26770025905875</v>
      </c>
      <c r="AG241" s="12">
        <f ca="1" t="shared" si="311"/>
        <v>4.99718459551721</v>
      </c>
      <c r="AH241" s="12">
        <f ca="1" t="shared" si="312"/>
        <v>4.19191655608896</v>
      </c>
      <c r="AI241" s="12">
        <f ca="1" t="shared" si="313"/>
        <v>4.5129569318633</v>
      </c>
      <c r="AJ241" s="12">
        <f ca="1">SUM($T241:T241)</f>
        <v>5.99610652123932</v>
      </c>
      <c r="AK241" s="12">
        <f ca="1">SUM($T241:U241)</f>
        <v>10.0784672690942</v>
      </c>
      <c r="AL241" s="12">
        <f ca="1">SUM($T241:V241)</f>
        <v>14.9151073046712</v>
      </c>
      <c r="AM241" s="12">
        <f ca="1">SUM($T241:W241)</f>
        <v>20.5278081630677</v>
      </c>
      <c r="AN241" s="12">
        <f ca="1">SUM($T241:X241)</f>
        <v>24.7831110014387</v>
      </c>
      <c r="AO241" s="12">
        <f ca="1">SUM($T241:Y241)</f>
        <v>29.6470802282173</v>
      </c>
      <c r="AP241" s="12">
        <f ca="1">SUM($T241:Z241)</f>
        <v>34.3082063255853</v>
      </c>
      <c r="AQ241" s="12">
        <f ca="1">SUM($T241:AA241)</f>
        <v>38.951771283571</v>
      </c>
      <c r="AR241" s="12">
        <f ca="1">SUM($T241:AB241)</f>
        <v>43.4889544541965</v>
      </c>
      <c r="AS241" s="12">
        <f ca="1">SUM($T241:AC241)</f>
        <v>48.2995966920717</v>
      </c>
      <c r="AT241" s="12">
        <f ca="1">SUM($T241:AD241)</f>
        <v>53.260196921308</v>
      </c>
      <c r="AU241" s="12">
        <f ca="1">SUM($T241:AE241)</f>
        <v>57.3380873414031</v>
      </c>
      <c r="AV241" s="12">
        <f ca="1">SUM($T241:AF241)</f>
        <v>61.6057876004619</v>
      </c>
      <c r="AW241" s="12">
        <f ca="1">SUM($T241:AG241)</f>
        <v>66.6029721959791</v>
      </c>
      <c r="AX241" s="12">
        <f ca="1">SUM($T241:AH241)</f>
        <v>70.794888752068</v>
      </c>
      <c r="AY241" s="12">
        <f ca="1">SUM($T241:AI241)</f>
        <v>75.3078456839313</v>
      </c>
      <c r="AZ241" s="12">
        <f ca="1" t="shared" si="314"/>
        <v>55.338071546219</v>
      </c>
      <c r="BA241" s="12">
        <f ca="1" t="shared" si="315"/>
        <v>51.2557107983641</v>
      </c>
      <c r="BB241" s="12">
        <f ca="1" t="shared" si="316"/>
        <v>46.4190707627871</v>
      </c>
      <c r="BC241" s="12">
        <f ca="1" t="shared" si="317"/>
        <v>40.8063699043906</v>
      </c>
      <c r="BD241" s="12">
        <f ca="1" t="shared" si="318"/>
        <v>36.5510670660196</v>
      </c>
      <c r="BE241" s="12">
        <f ca="1" t="shared" si="319"/>
        <v>31.687097839241</v>
      </c>
      <c r="BF241" s="12">
        <f ca="1" t="shared" si="320"/>
        <v>27.025971741873</v>
      </c>
      <c r="BG241" s="12">
        <f ca="1" t="shared" si="321"/>
        <v>22.3824067838873</v>
      </c>
      <c r="BH241" s="12">
        <f ca="1" t="shared" si="322"/>
        <v>17.8452236132618</v>
      </c>
      <c r="BI241" s="12">
        <f ca="1" t="shared" si="323"/>
        <v>13.0345813753866</v>
      </c>
      <c r="BJ241" s="12">
        <f ca="1" t="shared" si="324"/>
        <v>8.07398114615026</v>
      </c>
      <c r="BK241" s="12">
        <f ca="1" t="shared" si="325"/>
        <v>3.99609072605518</v>
      </c>
      <c r="BL241" s="12">
        <f ca="1" t="shared" si="326"/>
        <v>0</v>
      </c>
      <c r="BM241" s="12">
        <f ca="1" t="shared" si="327"/>
        <v>0</v>
      </c>
      <c r="BN241" s="12">
        <f ca="1" t="shared" si="328"/>
        <v>0</v>
      </c>
      <c r="BO241" s="12">
        <f ca="1" t="shared" si="329"/>
        <v>0</v>
      </c>
    </row>
    <row r="242" spans="1:67">
      <c r="A242" s="3">
        <v>212</v>
      </c>
      <c r="B242" s="11">
        <f ca="1" t="shared" si="295"/>
        <v>0.0579586638811591</v>
      </c>
      <c r="C242" s="12">
        <f ca="1" t="shared" si="296"/>
        <v>52.897933194058</v>
      </c>
      <c r="D242" s="11">
        <f ca="1" t="shared" ref="D242:S242" si="348">RAND()</f>
        <v>0.454865608646359</v>
      </c>
      <c r="E242" s="11">
        <f ca="1" t="shared" si="348"/>
        <v>0.03764332786764</v>
      </c>
      <c r="F242" s="11">
        <f ca="1" t="shared" si="348"/>
        <v>0.648562773276055</v>
      </c>
      <c r="G242" s="11">
        <f ca="1" t="shared" si="348"/>
        <v>0.737933804201657</v>
      </c>
      <c r="H242" s="11">
        <f ca="1" t="shared" si="348"/>
        <v>0.541750623304764</v>
      </c>
      <c r="I242" s="11">
        <f ca="1" t="shared" si="348"/>
        <v>0.676840709682764</v>
      </c>
      <c r="J242" s="11">
        <f ca="1" t="shared" si="348"/>
        <v>0.0168925771987194</v>
      </c>
      <c r="K242" s="11">
        <f ca="1" t="shared" si="348"/>
        <v>0.954141215927841</v>
      </c>
      <c r="L242" s="11">
        <f ca="1" t="shared" si="348"/>
        <v>0.621483018624246</v>
      </c>
      <c r="M242" s="11">
        <f ca="1" t="shared" si="348"/>
        <v>0.465203560849253</v>
      </c>
      <c r="N242" s="11">
        <f ca="1" t="shared" si="348"/>
        <v>0.190514063422542</v>
      </c>
      <c r="O242" s="11">
        <f ca="1" t="shared" si="348"/>
        <v>0.742444441760717</v>
      </c>
      <c r="P242" s="11">
        <f ca="1" t="shared" si="348"/>
        <v>0.669145443900802</v>
      </c>
      <c r="Q242" s="11">
        <f ca="1" t="shared" si="348"/>
        <v>0.97512287952435</v>
      </c>
      <c r="R242" s="11">
        <f ca="1" t="shared" si="348"/>
        <v>0.522987538173498</v>
      </c>
      <c r="S242" s="11">
        <f ca="1" t="shared" si="348"/>
        <v>0.15668124885785</v>
      </c>
      <c r="T242" s="12">
        <f ca="1" t="shared" si="298"/>
        <v>4.69358201080795</v>
      </c>
      <c r="U242" s="12">
        <f ca="1" t="shared" si="299"/>
        <v>4.0627388797794</v>
      </c>
      <c r="V242" s="12">
        <f ca="1" t="shared" si="300"/>
        <v>4.93570346659507</v>
      </c>
      <c r="W242" s="12">
        <f ca="1" t="shared" si="301"/>
        <v>5.09483451050414</v>
      </c>
      <c r="X242" s="12">
        <f ca="1" t="shared" si="302"/>
        <v>4.80218827913095</v>
      </c>
      <c r="Y242" s="12">
        <f ca="1" t="shared" si="303"/>
        <v>4.97105088710346</v>
      </c>
      <c r="Z242" s="12">
        <f ca="1" t="shared" si="304"/>
        <v>4.0281542953312</v>
      </c>
      <c r="AA242" s="12">
        <f ca="1" t="shared" si="305"/>
        <v>5.7707060796392</v>
      </c>
      <c r="AB242" s="12">
        <f ca="1" t="shared" si="306"/>
        <v>4.90185377328031</v>
      </c>
      <c r="AC242" s="12">
        <f ca="1" t="shared" si="307"/>
        <v>4.70650445106157</v>
      </c>
      <c r="AD242" s="12">
        <f ca="1" t="shared" si="308"/>
        <v>4.31752343903757</v>
      </c>
      <c r="AE242" s="12">
        <f ca="1" t="shared" si="309"/>
        <v>5.10611110440179</v>
      </c>
      <c r="AF242" s="12">
        <f ca="1" t="shared" si="310"/>
        <v>4.961431804876</v>
      </c>
      <c r="AG242" s="12">
        <f ca="1" t="shared" si="311"/>
        <v>5.87561439762175</v>
      </c>
      <c r="AH242" s="12">
        <f ca="1" t="shared" si="312"/>
        <v>4.77873442271687</v>
      </c>
      <c r="AI242" s="12">
        <f ca="1" t="shared" si="313"/>
        <v>4.26113541476308</v>
      </c>
      <c r="AJ242" s="12">
        <f ca="1">SUM($T242:T242)</f>
        <v>4.69358201080795</v>
      </c>
      <c r="AK242" s="12">
        <f ca="1">SUM($T242:U242)</f>
        <v>8.75632089058735</v>
      </c>
      <c r="AL242" s="12">
        <f ca="1">SUM($T242:V242)</f>
        <v>13.6920243571824</v>
      </c>
      <c r="AM242" s="12">
        <f ca="1">SUM($T242:W242)</f>
        <v>18.7868588676866</v>
      </c>
      <c r="AN242" s="12">
        <f ca="1">SUM($T242:X242)</f>
        <v>23.5890471468175</v>
      </c>
      <c r="AO242" s="12">
        <f ca="1">SUM($T242:Y242)</f>
        <v>28.560098033921</v>
      </c>
      <c r="AP242" s="12">
        <f ca="1">SUM($T242:Z242)</f>
        <v>32.5882523292522</v>
      </c>
      <c r="AQ242" s="12">
        <f ca="1">SUM($T242:AA242)</f>
        <v>38.3589584088914</v>
      </c>
      <c r="AR242" s="12">
        <f ca="1">SUM($T242:AB242)</f>
        <v>43.2608121821717</v>
      </c>
      <c r="AS242" s="12">
        <f ca="1">SUM($T242:AC242)</f>
        <v>47.9673166332333</v>
      </c>
      <c r="AT242" s="12">
        <f ca="1">SUM($T242:AD242)</f>
        <v>52.2848400722708</v>
      </c>
      <c r="AU242" s="12">
        <f ca="1">SUM($T242:AE242)</f>
        <v>57.3909511766726</v>
      </c>
      <c r="AV242" s="12">
        <f ca="1">SUM($T242:AF242)</f>
        <v>62.3523829815486</v>
      </c>
      <c r="AW242" s="12">
        <f ca="1">SUM($T242:AG242)</f>
        <v>68.2279973791704</v>
      </c>
      <c r="AX242" s="12">
        <f ca="1">SUM($T242:AH242)</f>
        <v>73.0067318018872</v>
      </c>
      <c r="AY242" s="12">
        <f ca="1">SUM($T242:AI242)</f>
        <v>77.2678672166503</v>
      </c>
      <c r="AZ242" s="12">
        <f ca="1" t="shared" si="314"/>
        <v>48.20435118325</v>
      </c>
      <c r="BA242" s="12">
        <f ca="1" t="shared" si="315"/>
        <v>44.1416123034706</v>
      </c>
      <c r="BB242" s="12">
        <f ca="1" t="shared" si="316"/>
        <v>39.2059088368755</v>
      </c>
      <c r="BC242" s="12">
        <f ca="1" t="shared" si="317"/>
        <v>34.1110743263714</v>
      </c>
      <c r="BD242" s="12">
        <f ca="1" t="shared" si="318"/>
        <v>29.3088860472404</v>
      </c>
      <c r="BE242" s="12">
        <f ca="1" t="shared" si="319"/>
        <v>24.337835160137</v>
      </c>
      <c r="BF242" s="12">
        <f ca="1" t="shared" si="320"/>
        <v>20.3096808648058</v>
      </c>
      <c r="BG242" s="12">
        <f ca="1" t="shared" si="321"/>
        <v>14.5389747851666</v>
      </c>
      <c r="BH242" s="12">
        <f ca="1" t="shared" si="322"/>
        <v>9.63712101188627</v>
      </c>
      <c r="BI242" s="12">
        <f ca="1" t="shared" si="323"/>
        <v>4.9306165608247</v>
      </c>
      <c r="BJ242" s="12">
        <f ca="1" t="shared" si="324"/>
        <v>0.613093121787131</v>
      </c>
      <c r="BK242" s="12">
        <f ca="1" t="shared" si="325"/>
        <v>0</v>
      </c>
      <c r="BL242" s="12">
        <f ca="1" t="shared" si="326"/>
        <v>0</v>
      </c>
      <c r="BM242" s="12">
        <f ca="1" t="shared" si="327"/>
        <v>0</v>
      </c>
      <c r="BN242" s="12">
        <f ca="1" t="shared" si="328"/>
        <v>0</v>
      </c>
      <c r="BO242" s="12">
        <f ca="1" t="shared" si="329"/>
        <v>0</v>
      </c>
    </row>
    <row r="243" spans="1:67">
      <c r="A243" s="3">
        <v>213</v>
      </c>
      <c r="B243" s="11">
        <f ca="1" t="shared" si="295"/>
        <v>0.612749283501137</v>
      </c>
      <c r="C243" s="12">
        <f ca="1" t="shared" si="296"/>
        <v>65.8964183357305</v>
      </c>
      <c r="D243" s="11">
        <f ca="1" t="shared" ref="D243:S243" si="349">RAND()</f>
        <v>0.577415815325947</v>
      </c>
      <c r="E243" s="11">
        <f ca="1" t="shared" si="349"/>
        <v>0.873139315315851</v>
      </c>
      <c r="F243" s="11">
        <f ca="1" t="shared" si="349"/>
        <v>0.549708357395702</v>
      </c>
      <c r="G243" s="11">
        <f ca="1" t="shared" si="349"/>
        <v>0.210766398351666</v>
      </c>
      <c r="H243" s="11">
        <f ca="1" t="shared" si="349"/>
        <v>0.109094893594987</v>
      </c>
      <c r="I243" s="11">
        <f ca="1" t="shared" si="349"/>
        <v>0.441394895812951</v>
      </c>
      <c r="J243" s="11">
        <f ca="1" t="shared" si="349"/>
        <v>0.501384462815118</v>
      </c>
      <c r="K243" s="11">
        <f ca="1" t="shared" si="349"/>
        <v>0.434907748017587</v>
      </c>
      <c r="L243" s="11">
        <f ca="1" t="shared" si="349"/>
        <v>0.423283265562326</v>
      </c>
      <c r="M243" s="11">
        <f ca="1" t="shared" si="349"/>
        <v>0.845202228352175</v>
      </c>
      <c r="N243" s="11">
        <f ca="1" t="shared" si="349"/>
        <v>0.374664898898305</v>
      </c>
      <c r="O243" s="11">
        <f ca="1" t="shared" si="349"/>
        <v>0.825580761001337</v>
      </c>
      <c r="P243" s="11">
        <f ca="1" t="shared" si="349"/>
        <v>0.0373278988811643</v>
      </c>
      <c r="Q243" s="11">
        <f ca="1" t="shared" si="349"/>
        <v>0.549104159689667</v>
      </c>
      <c r="R243" s="11">
        <f ca="1" t="shared" si="349"/>
        <v>0.740984518376189</v>
      </c>
      <c r="S243" s="11">
        <f ca="1" t="shared" si="349"/>
        <v>0.700434730606407</v>
      </c>
      <c r="T243" s="12">
        <f ca="1" t="shared" si="298"/>
        <v>4.84676976915743</v>
      </c>
      <c r="U243" s="12">
        <f ca="1" t="shared" si="299"/>
        <v>5.43284828828963</v>
      </c>
      <c r="V243" s="12">
        <f ca="1" t="shared" si="300"/>
        <v>4.81213544674463</v>
      </c>
      <c r="W243" s="12">
        <f ca="1" t="shared" si="301"/>
        <v>4.35127733058611</v>
      </c>
      <c r="X243" s="12">
        <f ca="1" t="shared" si="302"/>
        <v>4.18182482265831</v>
      </c>
      <c r="Y243" s="12">
        <f ca="1" t="shared" si="303"/>
        <v>4.67674361976619</v>
      </c>
      <c r="Z243" s="12">
        <f ca="1" t="shared" si="304"/>
        <v>4.7517305785189</v>
      </c>
      <c r="AA243" s="12">
        <f ca="1" t="shared" si="305"/>
        <v>4.66863468502198</v>
      </c>
      <c r="AB243" s="12">
        <f ca="1" t="shared" si="306"/>
        <v>4.65410408195291</v>
      </c>
      <c r="AC243" s="12">
        <f ca="1" t="shared" si="307"/>
        <v>5.36300557088044</v>
      </c>
      <c r="AD243" s="12">
        <f ca="1" t="shared" si="308"/>
        <v>4.59333112362288</v>
      </c>
      <c r="AE243" s="12">
        <f ca="1" t="shared" si="309"/>
        <v>5.31395190250334</v>
      </c>
      <c r="AF243" s="12">
        <f ca="1" t="shared" si="310"/>
        <v>4.06221316480194</v>
      </c>
      <c r="AG243" s="12">
        <f ca="1" t="shared" si="311"/>
        <v>4.81138019961208</v>
      </c>
      <c r="AH243" s="12">
        <f ca="1" t="shared" si="312"/>
        <v>5.10246129594047</v>
      </c>
      <c r="AI243" s="12">
        <f ca="1" t="shared" si="313"/>
        <v>5.00108682651602</v>
      </c>
      <c r="AJ243" s="12">
        <f ca="1">SUM($T243:T243)</f>
        <v>4.84676976915743</v>
      </c>
      <c r="AK243" s="12">
        <f ca="1">SUM($T243:U243)</f>
        <v>10.2796180574471</v>
      </c>
      <c r="AL243" s="12">
        <f ca="1">SUM($T243:V243)</f>
        <v>15.0917535041917</v>
      </c>
      <c r="AM243" s="12">
        <f ca="1">SUM($T243:W243)</f>
        <v>19.4430308347778</v>
      </c>
      <c r="AN243" s="12">
        <f ca="1">SUM($T243:X243)</f>
        <v>23.6248556574361</v>
      </c>
      <c r="AO243" s="12">
        <f ca="1">SUM($T243:Y243)</f>
        <v>28.3015992772023</v>
      </c>
      <c r="AP243" s="12">
        <f ca="1">SUM($T243:Z243)</f>
        <v>33.0533298557212</v>
      </c>
      <c r="AQ243" s="12">
        <f ca="1">SUM($T243:AA243)</f>
        <v>37.7219645407432</v>
      </c>
      <c r="AR243" s="12">
        <f ca="1">SUM($T243:AB243)</f>
        <v>42.3760686226961</v>
      </c>
      <c r="AS243" s="12">
        <f ca="1">SUM($T243:AC243)</f>
        <v>47.7390741935765</v>
      </c>
      <c r="AT243" s="12">
        <f ca="1">SUM($T243:AD243)</f>
        <v>52.3324053171994</v>
      </c>
      <c r="AU243" s="12">
        <f ca="1">SUM($T243:AE243)</f>
        <v>57.6463572197028</v>
      </c>
      <c r="AV243" s="12">
        <f ca="1">SUM($T243:AF243)</f>
        <v>61.7085703845047</v>
      </c>
      <c r="AW243" s="12">
        <f ca="1">SUM($T243:AG243)</f>
        <v>66.5199505841168</v>
      </c>
      <c r="AX243" s="12">
        <f ca="1">SUM($T243:AH243)</f>
        <v>71.6224118800573</v>
      </c>
      <c r="AY243" s="12">
        <f ca="1">SUM($T243:AI243)</f>
        <v>76.6234987065733</v>
      </c>
      <c r="AZ243" s="12">
        <f ca="1" t="shared" si="314"/>
        <v>61.0496485665731</v>
      </c>
      <c r="BA243" s="12">
        <f ca="1" t="shared" si="315"/>
        <v>55.6168002782835</v>
      </c>
      <c r="BB243" s="12">
        <f ca="1" t="shared" si="316"/>
        <v>50.8046648315388</v>
      </c>
      <c r="BC243" s="12">
        <f ca="1" t="shared" si="317"/>
        <v>46.4533875009527</v>
      </c>
      <c r="BD243" s="12">
        <f ca="1" t="shared" si="318"/>
        <v>42.2715626782944</v>
      </c>
      <c r="BE243" s="12">
        <f ca="1" t="shared" si="319"/>
        <v>37.5948190585282</v>
      </c>
      <c r="BF243" s="12">
        <f ca="1" t="shared" si="320"/>
        <v>32.8430884800093</v>
      </c>
      <c r="BG243" s="12">
        <f ca="1" t="shared" si="321"/>
        <v>28.1744537949873</v>
      </c>
      <c r="BH243" s="12">
        <f ca="1" t="shared" si="322"/>
        <v>23.5203497130344</v>
      </c>
      <c r="BI243" s="12">
        <f ca="1" t="shared" si="323"/>
        <v>18.157344142154</v>
      </c>
      <c r="BJ243" s="12">
        <f ca="1" t="shared" si="324"/>
        <v>13.5640130185311</v>
      </c>
      <c r="BK243" s="12">
        <f ca="1" t="shared" si="325"/>
        <v>8.25006111602777</v>
      </c>
      <c r="BL243" s="12">
        <f ca="1" t="shared" si="326"/>
        <v>4.18784795122583</v>
      </c>
      <c r="BM243" s="12">
        <f ca="1" t="shared" si="327"/>
        <v>0</v>
      </c>
      <c r="BN243" s="12">
        <f ca="1" t="shared" si="328"/>
        <v>0</v>
      </c>
      <c r="BO243" s="12">
        <f ca="1" t="shared" si="329"/>
        <v>0</v>
      </c>
    </row>
    <row r="244" spans="1:67">
      <c r="A244" s="3">
        <v>214</v>
      </c>
      <c r="B244" s="11">
        <f ca="1" t="shared" si="295"/>
        <v>0.623545882734155</v>
      </c>
      <c r="C244" s="12">
        <f ca="1" t="shared" si="296"/>
        <v>66.0506554676308</v>
      </c>
      <c r="D244" s="11">
        <f ca="1" t="shared" ref="D244:S244" si="350">RAND()</f>
        <v>0.681021489324569</v>
      </c>
      <c r="E244" s="11">
        <f ca="1" t="shared" si="350"/>
        <v>0.0494177929315556</v>
      </c>
      <c r="F244" s="11">
        <f ca="1" t="shared" si="350"/>
        <v>0.468913057725561</v>
      </c>
      <c r="G244" s="11">
        <f ca="1" t="shared" si="350"/>
        <v>0.0863281154834719</v>
      </c>
      <c r="H244" s="11">
        <f ca="1" t="shared" si="350"/>
        <v>0.53298272258478</v>
      </c>
      <c r="I244" s="11">
        <f ca="1" t="shared" si="350"/>
        <v>0.0531673564890547</v>
      </c>
      <c r="J244" s="11">
        <f ca="1" t="shared" si="350"/>
        <v>0.119172442768206</v>
      </c>
      <c r="K244" s="11">
        <f ca="1" t="shared" si="350"/>
        <v>0.25823480314164</v>
      </c>
      <c r="L244" s="11">
        <f ca="1" t="shared" si="350"/>
        <v>0.76829933886472</v>
      </c>
      <c r="M244" s="11">
        <f ca="1" t="shared" si="350"/>
        <v>0.9307570078353</v>
      </c>
      <c r="N244" s="11">
        <f ca="1" t="shared" si="350"/>
        <v>0.511781145646314</v>
      </c>
      <c r="O244" s="11">
        <f ca="1" t="shared" si="350"/>
        <v>0.437978597508339</v>
      </c>
      <c r="P244" s="11">
        <f ca="1" t="shared" si="350"/>
        <v>0.765719494015292</v>
      </c>
      <c r="Q244" s="11">
        <f ca="1" t="shared" si="350"/>
        <v>0.33006007685403</v>
      </c>
      <c r="R244" s="11">
        <f ca="1" t="shared" si="350"/>
        <v>0.777618430599769</v>
      </c>
      <c r="S244" s="11">
        <f ca="1" t="shared" si="350"/>
        <v>0.374874517278758</v>
      </c>
      <c r="T244" s="12">
        <f ca="1" t="shared" si="298"/>
        <v>4.97627686165571</v>
      </c>
      <c r="U244" s="12">
        <f ca="1" t="shared" si="299"/>
        <v>4.08236298821926</v>
      </c>
      <c r="V244" s="12">
        <f ca="1" t="shared" si="300"/>
        <v>4.71114132215695</v>
      </c>
      <c r="W244" s="12">
        <f ca="1" t="shared" si="301"/>
        <v>4.14388019247245</v>
      </c>
      <c r="X244" s="12">
        <f ca="1" t="shared" si="302"/>
        <v>4.79122840323098</v>
      </c>
      <c r="Y244" s="12">
        <f ca="1" t="shared" si="303"/>
        <v>4.08861226081509</v>
      </c>
      <c r="Z244" s="12">
        <f ca="1" t="shared" si="304"/>
        <v>4.19862073794701</v>
      </c>
      <c r="AA244" s="12">
        <f ca="1" t="shared" si="305"/>
        <v>4.4303913385694</v>
      </c>
      <c r="AB244" s="12">
        <f ca="1" t="shared" si="306"/>
        <v>5.1707483471618</v>
      </c>
      <c r="AC244" s="12">
        <f ca="1" t="shared" si="307"/>
        <v>5.6537850391765</v>
      </c>
      <c r="AD244" s="12">
        <f ca="1" t="shared" si="308"/>
        <v>4.76472643205789</v>
      </c>
      <c r="AE244" s="12">
        <f ca="1" t="shared" si="309"/>
        <v>4.67247324688542</v>
      </c>
      <c r="AF244" s="12">
        <f ca="1" t="shared" si="310"/>
        <v>5.16429873503823</v>
      </c>
      <c r="AG244" s="12">
        <f ca="1" t="shared" si="311"/>
        <v>4.53757509606754</v>
      </c>
      <c r="AH244" s="12">
        <f ca="1" t="shared" si="312"/>
        <v>5.19404607649942</v>
      </c>
      <c r="AI244" s="12">
        <f ca="1" t="shared" si="313"/>
        <v>4.59359314659845</v>
      </c>
      <c r="AJ244" s="12">
        <f ca="1">SUM($T244:T244)</f>
        <v>4.97627686165571</v>
      </c>
      <c r="AK244" s="12">
        <f ca="1">SUM($T244:U244)</f>
        <v>9.05863984987497</v>
      </c>
      <c r="AL244" s="12">
        <f ca="1">SUM($T244:V244)</f>
        <v>13.7697811720319</v>
      </c>
      <c r="AM244" s="12">
        <f ca="1">SUM($T244:W244)</f>
        <v>17.9136613645044</v>
      </c>
      <c r="AN244" s="12">
        <f ca="1">SUM($T244:X244)</f>
        <v>22.7048897677353</v>
      </c>
      <c r="AO244" s="12">
        <f ca="1">SUM($T244:Y244)</f>
        <v>26.7935020285504</v>
      </c>
      <c r="AP244" s="12">
        <f ca="1">SUM($T244:Z244)</f>
        <v>30.9921227664974</v>
      </c>
      <c r="AQ244" s="12">
        <f ca="1">SUM($T244:AA244)</f>
        <v>35.4225141050669</v>
      </c>
      <c r="AR244" s="12">
        <f ca="1">SUM($T244:AB244)</f>
        <v>40.5932624522287</v>
      </c>
      <c r="AS244" s="12">
        <f ca="1">SUM($T244:AC244)</f>
        <v>46.2470474914051</v>
      </c>
      <c r="AT244" s="12">
        <f ca="1">SUM($T244:AD244)</f>
        <v>51.011773923463</v>
      </c>
      <c r="AU244" s="12">
        <f ca="1">SUM($T244:AE244)</f>
        <v>55.6842471703485</v>
      </c>
      <c r="AV244" s="12">
        <f ca="1">SUM($T244:AF244)</f>
        <v>60.8485459053867</v>
      </c>
      <c r="AW244" s="12">
        <f ca="1">SUM($T244:AG244)</f>
        <v>65.3861210014542</v>
      </c>
      <c r="AX244" s="12">
        <f ca="1">SUM($T244:AH244)</f>
        <v>70.5801670779536</v>
      </c>
      <c r="AY244" s="12">
        <f ca="1">SUM($T244:AI244)</f>
        <v>75.1737602245521</v>
      </c>
      <c r="AZ244" s="12">
        <f ca="1" t="shared" si="314"/>
        <v>61.0743786059751</v>
      </c>
      <c r="BA244" s="12">
        <f ca="1" t="shared" si="315"/>
        <v>56.9920156177558</v>
      </c>
      <c r="BB244" s="12">
        <f ca="1" t="shared" si="316"/>
        <v>52.2808742955989</v>
      </c>
      <c r="BC244" s="12">
        <f ca="1" t="shared" si="317"/>
        <v>48.1369941031264</v>
      </c>
      <c r="BD244" s="12">
        <f ca="1" t="shared" si="318"/>
        <v>43.3457656998954</v>
      </c>
      <c r="BE244" s="12">
        <f ca="1" t="shared" si="319"/>
        <v>39.2571534390804</v>
      </c>
      <c r="BF244" s="12">
        <f ca="1" t="shared" si="320"/>
        <v>35.0585327011333</v>
      </c>
      <c r="BG244" s="12">
        <f ca="1" t="shared" si="321"/>
        <v>30.6281413625639</v>
      </c>
      <c r="BH244" s="12">
        <f ca="1" t="shared" si="322"/>
        <v>25.4573930154021</v>
      </c>
      <c r="BI244" s="12">
        <f ca="1" t="shared" si="323"/>
        <v>19.8036079762256</v>
      </c>
      <c r="BJ244" s="12">
        <f ca="1" t="shared" si="324"/>
        <v>15.0388815441678</v>
      </c>
      <c r="BK244" s="12">
        <f ca="1" t="shared" si="325"/>
        <v>10.3664082972823</v>
      </c>
      <c r="BL244" s="12">
        <f ca="1" t="shared" si="326"/>
        <v>5.2021095622441</v>
      </c>
      <c r="BM244" s="12">
        <f ca="1" t="shared" si="327"/>
        <v>0.664534466176562</v>
      </c>
      <c r="BN244" s="12">
        <f ca="1" t="shared" si="328"/>
        <v>0</v>
      </c>
      <c r="BO244" s="12">
        <f ca="1" t="shared" si="329"/>
        <v>0</v>
      </c>
    </row>
    <row r="245" spans="1:67">
      <c r="A245" s="3">
        <v>215</v>
      </c>
      <c r="B245" s="11">
        <f ca="1" t="shared" si="295"/>
        <v>0.828050660161706</v>
      </c>
      <c r="C245" s="12">
        <f ca="1" t="shared" si="296"/>
        <v>68.9721522880244</v>
      </c>
      <c r="D245" s="11">
        <f ca="1" t="shared" ref="D245:S245" si="351">RAND()</f>
        <v>0.451705982322303</v>
      </c>
      <c r="E245" s="11">
        <f ca="1" t="shared" si="351"/>
        <v>0.625085276537298</v>
      </c>
      <c r="F245" s="11">
        <f ca="1" t="shared" si="351"/>
        <v>0.828051429854339</v>
      </c>
      <c r="G245" s="11">
        <f ca="1" t="shared" si="351"/>
        <v>0.159761305552938</v>
      </c>
      <c r="H245" s="11">
        <f ca="1" t="shared" si="351"/>
        <v>0.162360005576101</v>
      </c>
      <c r="I245" s="11">
        <f ca="1" t="shared" si="351"/>
        <v>0.65291135726968</v>
      </c>
      <c r="J245" s="11">
        <f ca="1" t="shared" si="351"/>
        <v>0.356336132274652</v>
      </c>
      <c r="K245" s="11">
        <f ca="1" t="shared" si="351"/>
        <v>0.313379313656283</v>
      </c>
      <c r="L245" s="11">
        <f ca="1" t="shared" si="351"/>
        <v>0.841258270177708</v>
      </c>
      <c r="M245" s="11">
        <f ca="1" t="shared" si="351"/>
        <v>0.660472306449039</v>
      </c>
      <c r="N245" s="11">
        <f ca="1" t="shared" si="351"/>
        <v>0.646546813969114</v>
      </c>
      <c r="O245" s="11">
        <f ca="1" t="shared" si="351"/>
        <v>0.612759155525885</v>
      </c>
      <c r="P245" s="11">
        <f ca="1" t="shared" si="351"/>
        <v>0.0162811389274691</v>
      </c>
      <c r="Q245" s="11">
        <f ca="1" t="shared" si="351"/>
        <v>0.186453459939184</v>
      </c>
      <c r="R245" s="11">
        <f ca="1" t="shared" si="351"/>
        <v>0.164606553563096</v>
      </c>
      <c r="S245" s="11">
        <f ca="1" t="shared" si="351"/>
        <v>0.294321255063182</v>
      </c>
      <c r="T245" s="12">
        <f ca="1" t="shared" si="298"/>
        <v>4.68963247790288</v>
      </c>
      <c r="U245" s="12">
        <f ca="1" t="shared" si="299"/>
        <v>4.90635659567162</v>
      </c>
      <c r="V245" s="12">
        <f ca="1" t="shared" si="300"/>
        <v>5.32012857463585</v>
      </c>
      <c r="W245" s="12">
        <f ca="1" t="shared" si="301"/>
        <v>4.26626884258823</v>
      </c>
      <c r="X245" s="12">
        <f ca="1" t="shared" si="302"/>
        <v>4.2706000092935</v>
      </c>
      <c r="Y245" s="12">
        <f ca="1" t="shared" si="303"/>
        <v>4.9411391965871</v>
      </c>
      <c r="Z245" s="12">
        <f ca="1" t="shared" si="304"/>
        <v>4.57042016534332</v>
      </c>
      <c r="AA245" s="12">
        <f ca="1" t="shared" si="305"/>
        <v>4.51672414207035</v>
      </c>
      <c r="AB245" s="12">
        <f ca="1" t="shared" si="306"/>
        <v>5.35314567544427</v>
      </c>
      <c r="AC245" s="12">
        <f ca="1" t="shared" si="307"/>
        <v>4.9505903830613</v>
      </c>
      <c r="AD245" s="12">
        <f ca="1" t="shared" si="308"/>
        <v>4.93318351746139</v>
      </c>
      <c r="AE245" s="12">
        <f ca="1" t="shared" si="309"/>
        <v>4.89094894440736</v>
      </c>
      <c r="AF245" s="12">
        <f ca="1" t="shared" si="310"/>
        <v>4.02713523154578</v>
      </c>
      <c r="AG245" s="12">
        <f ca="1" t="shared" si="311"/>
        <v>4.31075576656531</v>
      </c>
      <c r="AH245" s="12">
        <f ca="1" t="shared" si="312"/>
        <v>4.27434425593849</v>
      </c>
      <c r="AI245" s="12">
        <f ca="1" t="shared" si="313"/>
        <v>4.4905354251053</v>
      </c>
      <c r="AJ245" s="12">
        <f ca="1">SUM($T245:T245)</f>
        <v>4.68963247790288</v>
      </c>
      <c r="AK245" s="12">
        <f ca="1">SUM($T245:U245)</f>
        <v>9.5959890735745</v>
      </c>
      <c r="AL245" s="12">
        <f ca="1">SUM($T245:V245)</f>
        <v>14.9161176482103</v>
      </c>
      <c r="AM245" s="12">
        <f ca="1">SUM($T245:W245)</f>
        <v>19.1823864907986</v>
      </c>
      <c r="AN245" s="12">
        <f ca="1">SUM($T245:X245)</f>
        <v>23.4529865000921</v>
      </c>
      <c r="AO245" s="12">
        <f ca="1">SUM($T245:Y245)</f>
        <v>28.3941256966792</v>
      </c>
      <c r="AP245" s="12">
        <f ca="1">SUM($T245:Z245)</f>
        <v>32.9645458620225</v>
      </c>
      <c r="AQ245" s="12">
        <f ca="1">SUM($T245:AA245)</f>
        <v>37.4812700040928</v>
      </c>
      <c r="AR245" s="12">
        <f ca="1">SUM($T245:AB245)</f>
        <v>42.8344156795371</v>
      </c>
      <c r="AS245" s="12">
        <f ca="1">SUM($T245:AC245)</f>
        <v>47.7850060625984</v>
      </c>
      <c r="AT245" s="12">
        <f ca="1">SUM($T245:AD245)</f>
        <v>52.7181895800598</v>
      </c>
      <c r="AU245" s="12">
        <f ca="1">SUM($T245:AE245)</f>
        <v>57.6091385244672</v>
      </c>
      <c r="AV245" s="12">
        <f ca="1">SUM($T245:AF245)</f>
        <v>61.6362737560129</v>
      </c>
      <c r="AW245" s="12">
        <f ca="1">SUM($T245:AG245)</f>
        <v>65.9470295225782</v>
      </c>
      <c r="AX245" s="12">
        <f ca="1">SUM($T245:AH245)</f>
        <v>70.2213737785167</v>
      </c>
      <c r="AY245" s="12">
        <f ca="1">SUM($T245:AI245)</f>
        <v>74.711909203622</v>
      </c>
      <c r="AZ245" s="12">
        <f ca="1" t="shared" si="314"/>
        <v>64.2825198101215</v>
      </c>
      <c r="BA245" s="12">
        <f ca="1" t="shared" si="315"/>
        <v>59.3761632144499</v>
      </c>
      <c r="BB245" s="12">
        <f ca="1" t="shared" si="316"/>
        <v>54.056034639814</v>
      </c>
      <c r="BC245" s="12">
        <f ca="1" t="shared" si="317"/>
        <v>49.7897657972258</v>
      </c>
      <c r="BD245" s="12">
        <f ca="1" t="shared" si="318"/>
        <v>45.5191657879323</v>
      </c>
      <c r="BE245" s="12">
        <f ca="1" t="shared" si="319"/>
        <v>40.5780265913452</v>
      </c>
      <c r="BF245" s="12">
        <f ca="1" t="shared" si="320"/>
        <v>36.0076064260019</v>
      </c>
      <c r="BG245" s="12">
        <f ca="1" t="shared" si="321"/>
        <v>31.4908822839315</v>
      </c>
      <c r="BH245" s="12">
        <f ca="1" t="shared" si="322"/>
        <v>26.1377366084873</v>
      </c>
      <c r="BI245" s="12">
        <f ca="1" t="shared" si="323"/>
        <v>21.187146225426</v>
      </c>
      <c r="BJ245" s="12">
        <f ca="1" t="shared" si="324"/>
        <v>16.2539627079646</v>
      </c>
      <c r="BK245" s="12">
        <f ca="1" t="shared" si="325"/>
        <v>11.3630137635572</v>
      </c>
      <c r="BL245" s="12">
        <f ca="1" t="shared" si="326"/>
        <v>7.33587853201143</v>
      </c>
      <c r="BM245" s="12">
        <f ca="1" t="shared" si="327"/>
        <v>3.02512276544613</v>
      </c>
      <c r="BN245" s="12">
        <f ca="1" t="shared" si="328"/>
        <v>0</v>
      </c>
      <c r="BO245" s="12">
        <f ca="1" t="shared" si="329"/>
        <v>0</v>
      </c>
    </row>
    <row r="246" spans="1:67">
      <c r="A246" s="3">
        <v>216</v>
      </c>
      <c r="B246" s="11">
        <f ca="1" t="shared" si="295"/>
        <v>0.855813949764983</v>
      </c>
      <c r="C246" s="12">
        <f ca="1" t="shared" si="296"/>
        <v>69.3687707109283</v>
      </c>
      <c r="D246" s="11">
        <f ca="1" t="shared" ref="D246:S246" si="352">RAND()</f>
        <v>0.974667593593064</v>
      </c>
      <c r="E246" s="11">
        <f ca="1" t="shared" si="352"/>
        <v>0.905293388859025</v>
      </c>
      <c r="F246" s="11">
        <f ca="1" t="shared" si="352"/>
        <v>0.457110876586923</v>
      </c>
      <c r="G246" s="11">
        <f ca="1" t="shared" si="352"/>
        <v>0.422221820845719</v>
      </c>
      <c r="H246" s="11">
        <f ca="1" t="shared" si="352"/>
        <v>0.72114955441081</v>
      </c>
      <c r="I246" s="11">
        <f ca="1" t="shared" si="352"/>
        <v>0.964133159223889</v>
      </c>
      <c r="J246" s="11">
        <f ca="1" t="shared" si="352"/>
        <v>0.54850685810062</v>
      </c>
      <c r="K246" s="11">
        <f ca="1" t="shared" si="352"/>
        <v>0.927337663821318</v>
      </c>
      <c r="L246" s="11">
        <f ca="1" t="shared" si="352"/>
        <v>0.152439118585772</v>
      </c>
      <c r="M246" s="11">
        <f ca="1" t="shared" si="352"/>
        <v>0.211767383093316</v>
      </c>
      <c r="N246" s="11">
        <f ca="1" t="shared" si="352"/>
        <v>0.235360030686786</v>
      </c>
      <c r="O246" s="11">
        <f ca="1" t="shared" si="352"/>
        <v>0.720149721981606</v>
      </c>
      <c r="P246" s="11">
        <f ca="1" t="shared" si="352"/>
        <v>0.160632693931116</v>
      </c>
      <c r="Q246" s="11">
        <f ca="1" t="shared" si="352"/>
        <v>0.674360515387912</v>
      </c>
      <c r="R246" s="11">
        <f ca="1" t="shared" si="352"/>
        <v>0.180861542653996</v>
      </c>
      <c r="S246" s="11">
        <f ca="1" t="shared" si="352"/>
        <v>0.396282082783375</v>
      </c>
      <c r="T246" s="12">
        <f ca="1" t="shared" si="298"/>
        <v>5.87333796796532</v>
      </c>
      <c r="U246" s="12">
        <f ca="1" t="shared" si="299"/>
        <v>5.52646694429512</v>
      </c>
      <c r="V246" s="12">
        <f ca="1" t="shared" si="300"/>
        <v>4.69638859573365</v>
      </c>
      <c r="W246" s="12">
        <f ca="1" t="shared" si="301"/>
        <v>4.65277727605715</v>
      </c>
      <c r="X246" s="12">
        <f ca="1" t="shared" si="302"/>
        <v>5.05287388602702</v>
      </c>
      <c r="Y246" s="12">
        <f ca="1" t="shared" si="303"/>
        <v>5.82066579611945</v>
      </c>
      <c r="Z246" s="12">
        <f ca="1" t="shared" si="304"/>
        <v>4.81063357262577</v>
      </c>
      <c r="AA246" s="12">
        <f ca="1" t="shared" si="305"/>
        <v>5.63668831910659</v>
      </c>
      <c r="AB246" s="12">
        <f ca="1" t="shared" si="306"/>
        <v>4.25406519764295</v>
      </c>
      <c r="AC246" s="12">
        <f ca="1" t="shared" si="307"/>
        <v>4.35294563848886</v>
      </c>
      <c r="AD246" s="12">
        <f ca="1" t="shared" si="308"/>
        <v>4.39226671781131</v>
      </c>
      <c r="AE246" s="12">
        <f ca="1" t="shared" si="309"/>
        <v>5.05037430495402</v>
      </c>
      <c r="AF246" s="12">
        <f ca="1" t="shared" si="310"/>
        <v>4.26772115655186</v>
      </c>
      <c r="AG246" s="12">
        <f ca="1" t="shared" si="311"/>
        <v>4.96795064423489</v>
      </c>
      <c r="AH246" s="12">
        <f ca="1" t="shared" si="312"/>
        <v>4.30143590442333</v>
      </c>
      <c r="AI246" s="12">
        <f ca="1" t="shared" si="313"/>
        <v>4.62035260347922</v>
      </c>
      <c r="AJ246" s="12">
        <f ca="1">SUM($T246:T246)</f>
        <v>5.87333796796532</v>
      </c>
      <c r="AK246" s="12">
        <f ca="1">SUM($T246:U246)</f>
        <v>11.3998049122604</v>
      </c>
      <c r="AL246" s="12">
        <f ca="1">SUM($T246:V246)</f>
        <v>16.0961935079941</v>
      </c>
      <c r="AM246" s="12">
        <f ca="1">SUM($T246:W246)</f>
        <v>20.7489707840512</v>
      </c>
      <c r="AN246" s="12">
        <f ca="1">SUM($T246:X246)</f>
        <v>25.8018446700783</v>
      </c>
      <c r="AO246" s="12">
        <f ca="1">SUM($T246:Y246)</f>
        <v>31.6225104661977</v>
      </c>
      <c r="AP246" s="12">
        <f ca="1">SUM($T246:Z246)</f>
        <v>36.4331440388235</v>
      </c>
      <c r="AQ246" s="12">
        <f ca="1">SUM($T246:AA246)</f>
        <v>42.0698323579301</v>
      </c>
      <c r="AR246" s="12">
        <f ca="1">SUM($T246:AB246)</f>
        <v>46.323897555573</v>
      </c>
      <c r="AS246" s="12">
        <f ca="1">SUM($T246:AC246)</f>
        <v>50.6768431940619</v>
      </c>
      <c r="AT246" s="12">
        <f ca="1">SUM($T246:AD246)</f>
        <v>55.0691099118732</v>
      </c>
      <c r="AU246" s="12">
        <f ca="1">SUM($T246:AE246)</f>
        <v>60.1194842168272</v>
      </c>
      <c r="AV246" s="12">
        <f ca="1">SUM($T246:AF246)</f>
        <v>64.3872053733791</v>
      </c>
      <c r="AW246" s="12">
        <f ca="1">SUM($T246:AG246)</f>
        <v>69.355156017614</v>
      </c>
      <c r="AX246" s="12">
        <f ca="1">SUM($T246:AH246)</f>
        <v>73.6565919220373</v>
      </c>
      <c r="AY246" s="12">
        <f ca="1">SUM($T246:AI246)</f>
        <v>78.2769445255165</v>
      </c>
      <c r="AZ246" s="12">
        <f ca="1" t="shared" si="314"/>
        <v>63.495432742963</v>
      </c>
      <c r="BA246" s="12">
        <f ca="1" t="shared" si="315"/>
        <v>57.9689657986679</v>
      </c>
      <c r="BB246" s="12">
        <f ca="1" t="shared" si="316"/>
        <v>53.2725772029342</v>
      </c>
      <c r="BC246" s="12">
        <f ca="1" t="shared" si="317"/>
        <v>48.6197999268771</v>
      </c>
      <c r="BD246" s="12">
        <f ca="1" t="shared" si="318"/>
        <v>43.5669260408501</v>
      </c>
      <c r="BE246" s="12">
        <f ca="1" t="shared" si="319"/>
        <v>37.7462602447306</v>
      </c>
      <c r="BF246" s="12">
        <f ca="1" t="shared" si="320"/>
        <v>32.9356266721048</v>
      </c>
      <c r="BG246" s="12">
        <f ca="1" t="shared" si="321"/>
        <v>27.2989383529982</v>
      </c>
      <c r="BH246" s="12">
        <f ca="1" t="shared" si="322"/>
        <v>23.0448731553553</v>
      </c>
      <c r="BI246" s="12">
        <f ca="1" t="shared" si="323"/>
        <v>18.6919275168664</v>
      </c>
      <c r="BJ246" s="12">
        <f ca="1" t="shared" si="324"/>
        <v>14.2996607990551</v>
      </c>
      <c r="BK246" s="12">
        <f ca="1" t="shared" si="325"/>
        <v>9.24928649410111</v>
      </c>
      <c r="BL246" s="12">
        <f ca="1" t="shared" si="326"/>
        <v>4.98156533754926</v>
      </c>
      <c r="BM246" s="12">
        <f ca="1" t="shared" si="327"/>
        <v>0.0136146933143664</v>
      </c>
      <c r="BN246" s="12">
        <f ca="1" t="shared" si="328"/>
        <v>0</v>
      </c>
      <c r="BO246" s="12">
        <f ca="1" t="shared" si="329"/>
        <v>0</v>
      </c>
    </row>
    <row r="247" spans="1:67">
      <c r="A247" s="3">
        <v>217</v>
      </c>
      <c r="B247" s="11">
        <f ca="1" t="shared" si="295"/>
        <v>0.287811800800442</v>
      </c>
      <c r="C247" s="12">
        <f ca="1" t="shared" si="296"/>
        <v>60.6301966800074</v>
      </c>
      <c r="D247" s="11">
        <f ca="1" t="shared" ref="D247:S247" si="353">RAND()</f>
        <v>0.601991473261611</v>
      </c>
      <c r="E247" s="11">
        <f ca="1" t="shared" si="353"/>
        <v>0.605901327880419</v>
      </c>
      <c r="F247" s="11">
        <f ca="1" t="shared" si="353"/>
        <v>0.737940712063119</v>
      </c>
      <c r="G247" s="11">
        <f ca="1" t="shared" si="353"/>
        <v>0.190507007940996</v>
      </c>
      <c r="H247" s="11">
        <f ca="1" t="shared" si="353"/>
        <v>0.844416151229501</v>
      </c>
      <c r="I247" s="11">
        <f ca="1" t="shared" si="353"/>
        <v>0.490900200527569</v>
      </c>
      <c r="J247" s="11">
        <f ca="1" t="shared" si="353"/>
        <v>0.283392582815788</v>
      </c>
      <c r="K247" s="11">
        <f ca="1" t="shared" si="353"/>
        <v>0.584667632257795</v>
      </c>
      <c r="L247" s="11">
        <f ca="1" t="shared" si="353"/>
        <v>0.251426298474782</v>
      </c>
      <c r="M247" s="11">
        <f ca="1" t="shared" si="353"/>
        <v>0.635579935237302</v>
      </c>
      <c r="N247" s="11">
        <f ca="1" t="shared" si="353"/>
        <v>0.549683758805459</v>
      </c>
      <c r="O247" s="11">
        <f ca="1" t="shared" si="353"/>
        <v>0.210459318981747</v>
      </c>
      <c r="P247" s="11">
        <f ca="1" t="shared" si="353"/>
        <v>0.247642991912859</v>
      </c>
      <c r="Q247" s="11">
        <f ca="1" t="shared" si="353"/>
        <v>0.501401595996364</v>
      </c>
      <c r="R247" s="11">
        <f ca="1" t="shared" si="353"/>
        <v>0.56662432101846</v>
      </c>
      <c r="S247" s="11">
        <f ca="1" t="shared" si="353"/>
        <v>0.681023134449508</v>
      </c>
      <c r="T247" s="12">
        <f ca="1" t="shared" si="298"/>
        <v>4.87748934157701</v>
      </c>
      <c r="U247" s="12">
        <f ca="1" t="shared" si="299"/>
        <v>4.88237665985052</v>
      </c>
      <c r="V247" s="12">
        <f ca="1" t="shared" si="300"/>
        <v>5.0948517801578</v>
      </c>
      <c r="W247" s="12">
        <f ca="1" t="shared" si="301"/>
        <v>4.31751167990166</v>
      </c>
      <c r="X247" s="12">
        <f ca="1" t="shared" si="302"/>
        <v>5.36104037807375</v>
      </c>
      <c r="Y247" s="12">
        <f ca="1" t="shared" si="303"/>
        <v>4.73862525065946</v>
      </c>
      <c r="Z247" s="12">
        <f ca="1" t="shared" si="304"/>
        <v>4.47232097135965</v>
      </c>
      <c r="AA247" s="12">
        <f ca="1" t="shared" si="305"/>
        <v>4.85583454032224</v>
      </c>
      <c r="AB247" s="12">
        <f ca="1" t="shared" si="306"/>
        <v>4.4190438307913</v>
      </c>
      <c r="AC247" s="12">
        <f ca="1" t="shared" si="307"/>
        <v>4.91947491904663</v>
      </c>
      <c r="AD247" s="12">
        <f ca="1" t="shared" si="308"/>
        <v>4.81210469850682</v>
      </c>
      <c r="AE247" s="12">
        <f ca="1" t="shared" si="309"/>
        <v>4.35076553163625</v>
      </c>
      <c r="AF247" s="12">
        <f ca="1" t="shared" si="310"/>
        <v>4.41273831985476</v>
      </c>
      <c r="AG247" s="12">
        <f ca="1" t="shared" si="311"/>
        <v>4.75175199499545</v>
      </c>
      <c r="AH247" s="12">
        <f ca="1" t="shared" si="312"/>
        <v>4.83328040127308</v>
      </c>
      <c r="AI247" s="12">
        <f ca="1" t="shared" si="313"/>
        <v>4.97627891806188</v>
      </c>
      <c r="AJ247" s="12">
        <f ca="1">SUM($T247:T247)</f>
        <v>4.87748934157701</v>
      </c>
      <c r="AK247" s="12">
        <f ca="1">SUM($T247:U247)</f>
        <v>9.75986600142754</v>
      </c>
      <c r="AL247" s="12">
        <f ca="1">SUM($T247:V247)</f>
        <v>14.8547177815853</v>
      </c>
      <c r="AM247" s="12">
        <f ca="1">SUM($T247:W247)</f>
        <v>19.172229461487</v>
      </c>
      <c r="AN247" s="12">
        <f ca="1">SUM($T247:X247)</f>
        <v>24.5332698395607</v>
      </c>
      <c r="AO247" s="12">
        <f ca="1">SUM($T247:Y247)</f>
        <v>29.2718950902202</v>
      </c>
      <c r="AP247" s="12">
        <f ca="1">SUM($T247:Z247)</f>
        <v>33.7442160615798</v>
      </c>
      <c r="AQ247" s="12">
        <f ca="1">SUM($T247:AA247)</f>
        <v>38.6000506019021</v>
      </c>
      <c r="AR247" s="12">
        <f ca="1">SUM($T247:AB247)</f>
        <v>43.0190944326934</v>
      </c>
      <c r="AS247" s="12">
        <f ca="1">SUM($T247:AC247)</f>
        <v>47.93856935174</v>
      </c>
      <c r="AT247" s="12">
        <f ca="1">SUM($T247:AD247)</f>
        <v>52.7506740502468</v>
      </c>
      <c r="AU247" s="12">
        <f ca="1">SUM($T247:AE247)</f>
        <v>57.1014395818831</v>
      </c>
      <c r="AV247" s="12">
        <f ca="1">SUM($T247:AF247)</f>
        <v>61.5141779017379</v>
      </c>
      <c r="AW247" s="12">
        <f ca="1">SUM($T247:AG247)</f>
        <v>66.2659298967333</v>
      </c>
      <c r="AX247" s="12">
        <f ca="1">SUM($T247:AH247)</f>
        <v>71.0992102980064</v>
      </c>
      <c r="AY247" s="12">
        <f ca="1">SUM($T247:AI247)</f>
        <v>76.0754892160683</v>
      </c>
      <c r="AZ247" s="12">
        <f ca="1" t="shared" si="314"/>
        <v>55.7527073384304</v>
      </c>
      <c r="BA247" s="12">
        <f ca="1" t="shared" si="315"/>
        <v>50.8703306785798</v>
      </c>
      <c r="BB247" s="12">
        <f ca="1" t="shared" si="316"/>
        <v>45.775478898422</v>
      </c>
      <c r="BC247" s="12">
        <f ca="1" t="shared" si="317"/>
        <v>41.4579672185204</v>
      </c>
      <c r="BD247" s="12">
        <f ca="1" t="shared" si="318"/>
        <v>36.0969268404466</v>
      </c>
      <c r="BE247" s="12">
        <f ca="1" t="shared" si="319"/>
        <v>31.3583015897872</v>
      </c>
      <c r="BF247" s="12">
        <f ca="1" t="shared" si="320"/>
        <v>26.8859806184275</v>
      </c>
      <c r="BG247" s="12">
        <f ca="1" t="shared" si="321"/>
        <v>22.0301460781053</v>
      </c>
      <c r="BH247" s="12">
        <f ca="1" t="shared" si="322"/>
        <v>17.611102247314</v>
      </c>
      <c r="BI247" s="12">
        <f ca="1" t="shared" si="323"/>
        <v>12.6916273282673</v>
      </c>
      <c r="BJ247" s="12">
        <f ca="1" t="shared" si="324"/>
        <v>7.87952262976052</v>
      </c>
      <c r="BK247" s="12">
        <f ca="1" t="shared" si="325"/>
        <v>3.52875709812428</v>
      </c>
      <c r="BL247" s="12">
        <f ca="1" t="shared" si="326"/>
        <v>0</v>
      </c>
      <c r="BM247" s="12">
        <f ca="1" t="shared" si="327"/>
        <v>0</v>
      </c>
      <c r="BN247" s="12">
        <f ca="1" t="shared" si="328"/>
        <v>0</v>
      </c>
      <c r="BO247" s="12">
        <f ca="1" t="shared" si="329"/>
        <v>0</v>
      </c>
    </row>
    <row r="248" spans="1:67">
      <c r="A248" s="3">
        <v>218</v>
      </c>
      <c r="B248" s="11">
        <f ca="1" t="shared" si="295"/>
        <v>0.422238062869494</v>
      </c>
      <c r="C248" s="12">
        <f ca="1" t="shared" si="296"/>
        <v>62.8706343811582</v>
      </c>
      <c r="D248" s="11">
        <f ca="1" t="shared" ref="D248:S248" si="354">RAND()</f>
        <v>0.479363154218156</v>
      </c>
      <c r="E248" s="11">
        <f ca="1" t="shared" si="354"/>
        <v>0.603236525003546</v>
      </c>
      <c r="F248" s="11">
        <f ca="1" t="shared" si="354"/>
        <v>0.768283809502803</v>
      </c>
      <c r="G248" s="11">
        <f ca="1" t="shared" si="354"/>
        <v>0.278565648651528</v>
      </c>
      <c r="H248" s="11">
        <f ca="1" t="shared" si="354"/>
        <v>0.419189750606106</v>
      </c>
      <c r="I248" s="11">
        <f ca="1" t="shared" si="354"/>
        <v>0.0648230457180883</v>
      </c>
      <c r="J248" s="11">
        <f ca="1" t="shared" si="354"/>
        <v>0.325585144013685</v>
      </c>
      <c r="K248" s="11">
        <f ca="1" t="shared" si="354"/>
        <v>0.0344449897372856</v>
      </c>
      <c r="L248" s="11">
        <f ca="1" t="shared" si="354"/>
        <v>0.893519772141736</v>
      </c>
      <c r="M248" s="11">
        <f ca="1" t="shared" si="354"/>
        <v>0.177322581511614</v>
      </c>
      <c r="N248" s="11">
        <f ca="1" t="shared" si="354"/>
        <v>0.50306606056501</v>
      </c>
      <c r="O248" s="11">
        <f ca="1" t="shared" si="354"/>
        <v>0.129781162645335</v>
      </c>
      <c r="P248" s="11">
        <f ca="1" t="shared" si="354"/>
        <v>0.96864600767669</v>
      </c>
      <c r="Q248" s="11">
        <f ca="1" t="shared" si="354"/>
        <v>0.809455750417662</v>
      </c>
      <c r="R248" s="11">
        <f ca="1" t="shared" si="354"/>
        <v>0.820960309005345</v>
      </c>
      <c r="S248" s="11">
        <f ca="1" t="shared" si="354"/>
        <v>0.765735309882593</v>
      </c>
      <c r="T248" s="12">
        <f ca="1" t="shared" si="298"/>
        <v>4.72420394277269</v>
      </c>
      <c r="U248" s="12">
        <f ca="1" t="shared" si="299"/>
        <v>4.87904565625443</v>
      </c>
      <c r="V248" s="12">
        <f ca="1" t="shared" si="300"/>
        <v>5.17070952375701</v>
      </c>
      <c r="W248" s="12">
        <f ca="1" t="shared" si="301"/>
        <v>4.46427608108588</v>
      </c>
      <c r="X248" s="12">
        <f ca="1" t="shared" si="302"/>
        <v>4.64898718825763</v>
      </c>
      <c r="Y248" s="12">
        <f ca="1" t="shared" si="303"/>
        <v>4.10803840953015</v>
      </c>
      <c r="Z248" s="12">
        <f ca="1" t="shared" si="304"/>
        <v>4.53198143001711</v>
      </c>
      <c r="AA248" s="12">
        <f ca="1" t="shared" si="305"/>
        <v>4.05740831622881</v>
      </c>
      <c r="AB248" s="12">
        <f ca="1" t="shared" si="306"/>
        <v>5.48379943035434</v>
      </c>
      <c r="AC248" s="12">
        <f ca="1" t="shared" si="307"/>
        <v>4.29553763585269</v>
      </c>
      <c r="AD248" s="12">
        <f ca="1" t="shared" si="308"/>
        <v>4.75383257570626</v>
      </c>
      <c r="AE248" s="12">
        <f ca="1" t="shared" si="309"/>
        <v>4.21630193774222</v>
      </c>
      <c r="AF248" s="12">
        <f ca="1" t="shared" si="310"/>
        <v>5.84323003838345</v>
      </c>
      <c r="AG248" s="12">
        <f ca="1" t="shared" si="311"/>
        <v>5.27363937604416</v>
      </c>
      <c r="AH248" s="12">
        <f ca="1" t="shared" si="312"/>
        <v>5.30240077251336</v>
      </c>
      <c r="AI248" s="12">
        <f ca="1" t="shared" si="313"/>
        <v>5.16433827470648</v>
      </c>
      <c r="AJ248" s="12">
        <f ca="1">SUM($T248:T248)</f>
        <v>4.72420394277269</v>
      </c>
      <c r="AK248" s="12">
        <f ca="1">SUM($T248:U248)</f>
        <v>9.60324959902713</v>
      </c>
      <c r="AL248" s="12">
        <f ca="1">SUM($T248:V248)</f>
        <v>14.7739591227841</v>
      </c>
      <c r="AM248" s="12">
        <f ca="1">SUM($T248:W248)</f>
        <v>19.23823520387</v>
      </c>
      <c r="AN248" s="12">
        <f ca="1">SUM($T248:X248)</f>
        <v>23.8872223921276</v>
      </c>
      <c r="AO248" s="12">
        <f ca="1">SUM($T248:Y248)</f>
        <v>27.9952608016578</v>
      </c>
      <c r="AP248" s="12">
        <f ca="1">SUM($T248:Z248)</f>
        <v>32.5272422316749</v>
      </c>
      <c r="AQ248" s="12">
        <f ca="1">SUM($T248:AA248)</f>
        <v>36.5846505479037</v>
      </c>
      <c r="AR248" s="12">
        <f ca="1">SUM($T248:AB248)</f>
        <v>42.068449978258</v>
      </c>
      <c r="AS248" s="12">
        <f ca="1">SUM($T248:AC248)</f>
        <v>46.3639876141107</v>
      </c>
      <c r="AT248" s="12">
        <f ca="1">SUM($T248:AD248)</f>
        <v>51.117820189817</v>
      </c>
      <c r="AU248" s="12">
        <f ca="1">SUM($T248:AE248)</f>
        <v>55.3341221275592</v>
      </c>
      <c r="AV248" s="12">
        <f ca="1">SUM($T248:AF248)</f>
        <v>61.1773521659427</v>
      </c>
      <c r="AW248" s="12">
        <f ca="1">SUM($T248:AG248)</f>
        <v>66.4509915419868</v>
      </c>
      <c r="AX248" s="12">
        <f ca="1">SUM($T248:AH248)</f>
        <v>71.7533923145002</v>
      </c>
      <c r="AY248" s="12">
        <f ca="1">SUM($T248:AI248)</f>
        <v>76.9177305892067</v>
      </c>
      <c r="AZ248" s="12">
        <f ca="1" t="shared" si="314"/>
        <v>58.1464304383855</v>
      </c>
      <c r="BA248" s="12">
        <f ca="1" t="shared" si="315"/>
        <v>53.2673847821311</v>
      </c>
      <c r="BB248" s="12">
        <f ca="1" t="shared" si="316"/>
        <v>48.0966752583741</v>
      </c>
      <c r="BC248" s="12">
        <f ca="1" t="shared" si="317"/>
        <v>43.6323991772882</v>
      </c>
      <c r="BD248" s="12">
        <f ca="1" t="shared" si="318"/>
        <v>38.9834119890306</v>
      </c>
      <c r="BE248" s="12">
        <f ca="1" t="shared" si="319"/>
        <v>34.8753735795004</v>
      </c>
      <c r="BF248" s="12">
        <f ca="1" t="shared" si="320"/>
        <v>30.3433921494833</v>
      </c>
      <c r="BG248" s="12">
        <f ca="1" t="shared" si="321"/>
        <v>26.2859838332545</v>
      </c>
      <c r="BH248" s="12">
        <f ca="1" t="shared" si="322"/>
        <v>20.8021844029002</v>
      </c>
      <c r="BI248" s="12">
        <f ca="1" t="shared" si="323"/>
        <v>16.5066467670475</v>
      </c>
      <c r="BJ248" s="12">
        <f ca="1" t="shared" si="324"/>
        <v>11.7528141913412</v>
      </c>
      <c r="BK248" s="12">
        <f ca="1" t="shared" si="325"/>
        <v>7.53651225359902</v>
      </c>
      <c r="BL248" s="12">
        <f ca="1" t="shared" si="326"/>
        <v>1.69328221521557</v>
      </c>
      <c r="BM248" s="12">
        <f ca="1" t="shared" si="327"/>
        <v>0</v>
      </c>
      <c r="BN248" s="12">
        <f ca="1" t="shared" si="328"/>
        <v>0</v>
      </c>
      <c r="BO248" s="12">
        <f ca="1" t="shared" si="329"/>
        <v>0</v>
      </c>
    </row>
    <row r="249" spans="1:67">
      <c r="A249" s="3">
        <v>219</v>
      </c>
      <c r="B249" s="11">
        <f ca="1" t="shared" si="295"/>
        <v>0.652896879392777</v>
      </c>
      <c r="C249" s="12">
        <f ca="1" t="shared" si="296"/>
        <v>66.4699554198968</v>
      </c>
      <c r="D249" s="11">
        <f ca="1" t="shared" ref="D249:S249" si="355">RAND()</f>
        <v>0.216125251515688</v>
      </c>
      <c r="E249" s="11">
        <f ca="1" t="shared" si="355"/>
        <v>0.16506146975801</v>
      </c>
      <c r="F249" s="11">
        <f ca="1" t="shared" si="355"/>
        <v>0.451695710576453</v>
      </c>
      <c r="G249" s="11">
        <f ca="1" t="shared" si="355"/>
        <v>0.264518754630189</v>
      </c>
      <c r="H249" s="11">
        <f ca="1" t="shared" si="355"/>
        <v>0.0664692880756648</v>
      </c>
      <c r="I249" s="11">
        <f ca="1" t="shared" si="355"/>
        <v>0.47511866537576</v>
      </c>
      <c r="J249" s="11">
        <f ca="1" t="shared" si="355"/>
        <v>0.263722661525199</v>
      </c>
      <c r="K249" s="11">
        <f ca="1" t="shared" si="355"/>
        <v>0.733403168978443</v>
      </c>
      <c r="L249" s="11">
        <f ca="1" t="shared" si="355"/>
        <v>0.660468183307559</v>
      </c>
      <c r="M249" s="11">
        <f ca="1" t="shared" si="355"/>
        <v>0.00118450433460882</v>
      </c>
      <c r="N249" s="11">
        <f ca="1" t="shared" si="355"/>
        <v>0.506839197223547</v>
      </c>
      <c r="O249" s="11">
        <f ca="1" t="shared" si="355"/>
        <v>0.56932168502518</v>
      </c>
      <c r="P249" s="11">
        <f ca="1" t="shared" si="355"/>
        <v>0.96436008608696</v>
      </c>
      <c r="Q249" s="11">
        <f ca="1" t="shared" si="355"/>
        <v>0.867337272208986</v>
      </c>
      <c r="R249" s="11">
        <f ca="1" t="shared" si="355"/>
        <v>0.0805890973428693</v>
      </c>
      <c r="S249" s="11">
        <f ca="1" t="shared" si="355"/>
        <v>0.721276780291993</v>
      </c>
      <c r="T249" s="12">
        <f ca="1" t="shared" si="298"/>
        <v>4.36020875252615</v>
      </c>
      <c r="U249" s="12">
        <f ca="1" t="shared" si="299"/>
        <v>4.27510244959668</v>
      </c>
      <c r="V249" s="12">
        <f ca="1" t="shared" si="300"/>
        <v>4.68961963822057</v>
      </c>
      <c r="W249" s="12">
        <f ca="1" t="shared" si="301"/>
        <v>4.44086459105031</v>
      </c>
      <c r="X249" s="12">
        <f ca="1" t="shared" si="302"/>
        <v>4.11078214679277</v>
      </c>
      <c r="Y249" s="12">
        <f ca="1" t="shared" si="303"/>
        <v>4.7188983317197</v>
      </c>
      <c r="Z249" s="12">
        <f ca="1" t="shared" si="304"/>
        <v>4.43953776920866</v>
      </c>
      <c r="AA249" s="12">
        <f ca="1" t="shared" si="305"/>
        <v>5.08350792244611</v>
      </c>
      <c r="AB249" s="12">
        <f ca="1" t="shared" si="306"/>
        <v>4.95058522913445</v>
      </c>
      <c r="AC249" s="12">
        <f ca="1" t="shared" si="307"/>
        <v>4.00197417389102</v>
      </c>
      <c r="AD249" s="12">
        <f ca="1" t="shared" si="308"/>
        <v>4.75854899652943</v>
      </c>
      <c r="AE249" s="12">
        <f ca="1" t="shared" si="309"/>
        <v>4.83665210628148</v>
      </c>
      <c r="AF249" s="12">
        <f ca="1" t="shared" si="310"/>
        <v>5.8218004304348</v>
      </c>
      <c r="AG249" s="12">
        <f ca="1" t="shared" si="311"/>
        <v>5.41834318052247</v>
      </c>
      <c r="AH249" s="12">
        <f ca="1" t="shared" si="312"/>
        <v>4.13431516223812</v>
      </c>
      <c r="AI249" s="12">
        <f ca="1" t="shared" si="313"/>
        <v>5.05319195072998</v>
      </c>
      <c r="AJ249" s="12">
        <f ca="1">SUM($T249:T249)</f>
        <v>4.36020875252615</v>
      </c>
      <c r="AK249" s="12">
        <f ca="1">SUM($T249:U249)</f>
        <v>8.63531120212283</v>
      </c>
      <c r="AL249" s="12">
        <f ca="1">SUM($T249:V249)</f>
        <v>13.3249308403434</v>
      </c>
      <c r="AM249" s="12">
        <f ca="1">SUM($T249:W249)</f>
        <v>17.7657954313937</v>
      </c>
      <c r="AN249" s="12">
        <f ca="1">SUM($T249:X249)</f>
        <v>21.8765775781865</v>
      </c>
      <c r="AO249" s="12">
        <f ca="1">SUM($T249:Y249)</f>
        <v>26.5954759099062</v>
      </c>
      <c r="AP249" s="12">
        <f ca="1">SUM($T249:Z249)</f>
        <v>31.0350136791148</v>
      </c>
      <c r="AQ249" s="12">
        <f ca="1">SUM($T249:AA249)</f>
        <v>36.118521601561</v>
      </c>
      <c r="AR249" s="12">
        <f ca="1">SUM($T249:AB249)</f>
        <v>41.0691068306954</v>
      </c>
      <c r="AS249" s="12">
        <f ca="1">SUM($T249:AC249)</f>
        <v>45.0710810045864</v>
      </c>
      <c r="AT249" s="12">
        <f ca="1">SUM($T249:AD249)</f>
        <v>49.8296300011159</v>
      </c>
      <c r="AU249" s="12">
        <f ca="1">SUM($T249:AE249)</f>
        <v>54.6662821073973</v>
      </c>
      <c r="AV249" s="12">
        <f ca="1">SUM($T249:AF249)</f>
        <v>60.4880825378321</v>
      </c>
      <c r="AW249" s="12">
        <f ca="1">SUM($T249:AG249)</f>
        <v>65.9064257183546</v>
      </c>
      <c r="AX249" s="12">
        <f ca="1">SUM($T249:AH249)</f>
        <v>70.0407408805927</v>
      </c>
      <c r="AY249" s="12">
        <f ca="1">SUM($T249:AI249)</f>
        <v>75.0939328313227</v>
      </c>
      <c r="AZ249" s="12">
        <f ca="1" t="shared" si="314"/>
        <v>62.1097466673707</v>
      </c>
      <c r="BA249" s="12">
        <f ca="1" t="shared" si="315"/>
        <v>57.834644217774</v>
      </c>
      <c r="BB249" s="12">
        <f ca="1" t="shared" si="316"/>
        <v>53.1450245795534</v>
      </c>
      <c r="BC249" s="12">
        <f ca="1" t="shared" si="317"/>
        <v>48.7041599885031</v>
      </c>
      <c r="BD249" s="12">
        <f ca="1" t="shared" si="318"/>
        <v>44.5933778417103</v>
      </c>
      <c r="BE249" s="12">
        <f ca="1" t="shared" si="319"/>
        <v>39.8744795099906</v>
      </c>
      <c r="BF249" s="12">
        <f ca="1" t="shared" si="320"/>
        <v>35.434941740782</v>
      </c>
      <c r="BG249" s="12">
        <f ca="1" t="shared" si="321"/>
        <v>30.3514338183359</v>
      </c>
      <c r="BH249" s="12">
        <f ca="1" t="shared" si="322"/>
        <v>25.4008485892014</v>
      </c>
      <c r="BI249" s="12">
        <f ca="1" t="shared" si="323"/>
        <v>21.3988744153104</v>
      </c>
      <c r="BJ249" s="12">
        <f ca="1" t="shared" si="324"/>
        <v>16.640325418781</v>
      </c>
      <c r="BK249" s="12">
        <f ca="1" t="shared" si="325"/>
        <v>11.8036733124995</v>
      </c>
      <c r="BL249" s="12">
        <f ca="1" t="shared" si="326"/>
        <v>5.98187288206469</v>
      </c>
      <c r="BM249" s="12">
        <f ca="1" t="shared" si="327"/>
        <v>0.563529701542222</v>
      </c>
      <c r="BN249" s="12">
        <f ca="1" t="shared" si="328"/>
        <v>0</v>
      </c>
      <c r="BO249" s="12">
        <f ca="1" t="shared" si="329"/>
        <v>0</v>
      </c>
    </row>
    <row r="250" spans="1:67">
      <c r="A250" s="3">
        <v>220</v>
      </c>
      <c r="B250" s="11">
        <f ca="1" t="shared" si="295"/>
        <v>0.942633181237586</v>
      </c>
      <c r="C250" s="12">
        <f ca="1" t="shared" si="296"/>
        <v>77.6645738273491</v>
      </c>
      <c r="D250" s="11">
        <f ca="1" t="shared" ref="D250:S250" si="356">RAND()</f>
        <v>0.697749503035648</v>
      </c>
      <c r="E250" s="11">
        <f ca="1" t="shared" si="356"/>
        <v>0.751579209630314</v>
      </c>
      <c r="F250" s="11">
        <f ca="1" t="shared" si="356"/>
        <v>0.323456672012131</v>
      </c>
      <c r="G250" s="11">
        <f ca="1" t="shared" si="356"/>
        <v>0.122696320577608</v>
      </c>
      <c r="H250" s="11">
        <f ca="1" t="shared" si="356"/>
        <v>0.164586309435214</v>
      </c>
      <c r="I250" s="11">
        <f ca="1" t="shared" si="356"/>
        <v>0.457119288869037</v>
      </c>
      <c r="J250" s="11">
        <f ca="1" t="shared" si="356"/>
        <v>0.276037004578924</v>
      </c>
      <c r="K250" s="11">
        <f ca="1" t="shared" si="356"/>
        <v>0.0577984229878528</v>
      </c>
      <c r="L250" s="11">
        <f ca="1" t="shared" si="356"/>
        <v>0.113770736399491</v>
      </c>
      <c r="M250" s="11">
        <f ca="1" t="shared" si="356"/>
        <v>0.999214230392705</v>
      </c>
      <c r="N250" s="11">
        <f ca="1" t="shared" si="356"/>
        <v>0.992182476339192</v>
      </c>
      <c r="O250" s="11">
        <f ca="1" t="shared" si="356"/>
        <v>0.307338243332481</v>
      </c>
      <c r="P250" s="11">
        <f ca="1" t="shared" si="356"/>
        <v>0.211775334081536</v>
      </c>
      <c r="Q250" s="11">
        <f ca="1" t="shared" si="356"/>
        <v>0.310380875218472</v>
      </c>
      <c r="R250" s="11">
        <f ca="1" t="shared" si="356"/>
        <v>0.109095749380389</v>
      </c>
      <c r="S250" s="11">
        <f ca="1" t="shared" si="356"/>
        <v>0.763420673026628</v>
      </c>
      <c r="T250" s="12">
        <f ca="1" t="shared" si="298"/>
        <v>4.99718687879456</v>
      </c>
      <c r="U250" s="12">
        <f ca="1" t="shared" si="299"/>
        <v>5.12894802407579</v>
      </c>
      <c r="V250" s="12">
        <f ca="1" t="shared" si="300"/>
        <v>4.52932084001516</v>
      </c>
      <c r="W250" s="12">
        <f ca="1" t="shared" si="301"/>
        <v>4.20449386762935</v>
      </c>
      <c r="X250" s="12">
        <f ca="1" t="shared" si="302"/>
        <v>4.27431051572536</v>
      </c>
      <c r="Y250" s="12">
        <f ca="1" t="shared" si="303"/>
        <v>4.6963991110863</v>
      </c>
      <c r="Z250" s="12">
        <f ca="1" t="shared" si="304"/>
        <v>4.46006167429821</v>
      </c>
      <c r="AA250" s="12">
        <f ca="1" t="shared" si="305"/>
        <v>4.09633070497975</v>
      </c>
      <c r="AB250" s="12">
        <f ca="1" t="shared" si="306"/>
        <v>4.18961789399915</v>
      </c>
      <c r="AC250" s="12">
        <f ca="1" t="shared" si="307"/>
        <v>5.99607115196353</v>
      </c>
      <c r="AD250" s="12">
        <f ca="1" t="shared" si="308"/>
        <v>5.96091238169596</v>
      </c>
      <c r="AE250" s="12">
        <f ca="1" t="shared" si="309"/>
        <v>4.5091728041656</v>
      </c>
      <c r="AF250" s="12">
        <f ca="1" t="shared" si="310"/>
        <v>4.35295889013589</v>
      </c>
      <c r="AG250" s="12">
        <f ca="1" t="shared" si="311"/>
        <v>4.51297609402309</v>
      </c>
      <c r="AH250" s="12">
        <f ca="1" t="shared" si="312"/>
        <v>4.18182624896731</v>
      </c>
      <c r="AI250" s="12">
        <f ca="1" t="shared" si="313"/>
        <v>5.15855168256657</v>
      </c>
      <c r="AJ250" s="12">
        <f ca="1">SUM($T250:T250)</f>
        <v>4.99718687879456</v>
      </c>
      <c r="AK250" s="12">
        <f ca="1">SUM($T250:U250)</f>
        <v>10.1261349028703</v>
      </c>
      <c r="AL250" s="12">
        <f ca="1">SUM($T250:V250)</f>
        <v>14.6554557428855</v>
      </c>
      <c r="AM250" s="12">
        <f ca="1">SUM($T250:W250)</f>
        <v>18.8599496105149</v>
      </c>
      <c r="AN250" s="12">
        <f ca="1">SUM($T250:X250)</f>
        <v>23.1342601262402</v>
      </c>
      <c r="AO250" s="12">
        <f ca="1">SUM($T250:Y250)</f>
        <v>27.8306592373265</v>
      </c>
      <c r="AP250" s="12">
        <f ca="1">SUM($T250:Z250)</f>
        <v>32.2907209116247</v>
      </c>
      <c r="AQ250" s="12">
        <f ca="1">SUM($T250:AA250)</f>
        <v>36.3870516166045</v>
      </c>
      <c r="AR250" s="12">
        <f ca="1">SUM($T250:AB250)</f>
        <v>40.5766695106036</v>
      </c>
      <c r="AS250" s="12">
        <f ca="1">SUM($T250:AC250)</f>
        <v>46.5727406625671</v>
      </c>
      <c r="AT250" s="12">
        <f ca="1">SUM($T250:AD250)</f>
        <v>52.5336530442631</v>
      </c>
      <c r="AU250" s="12">
        <f ca="1">SUM($T250:AE250)</f>
        <v>57.0428258484287</v>
      </c>
      <c r="AV250" s="12">
        <f ca="1">SUM($T250:AF250)</f>
        <v>61.3957847385646</v>
      </c>
      <c r="AW250" s="12">
        <f ca="1">SUM($T250:AG250)</f>
        <v>65.9087608325877</v>
      </c>
      <c r="AX250" s="12">
        <f ca="1">SUM($T250:AH250)</f>
        <v>70.090587081555</v>
      </c>
      <c r="AY250" s="12">
        <f ca="1">SUM($T250:AI250)</f>
        <v>75.2491387641216</v>
      </c>
      <c r="AZ250" s="12">
        <f ca="1" t="shared" si="314"/>
        <v>72.6673869485546</v>
      </c>
      <c r="BA250" s="12">
        <f ca="1" t="shared" si="315"/>
        <v>67.5384389244788</v>
      </c>
      <c r="BB250" s="12">
        <f ca="1" t="shared" si="316"/>
        <v>63.0091180844636</v>
      </c>
      <c r="BC250" s="12">
        <f ca="1" t="shared" si="317"/>
        <v>58.8046242168343</v>
      </c>
      <c r="BD250" s="12">
        <f ca="1" t="shared" si="318"/>
        <v>54.5303137011089</v>
      </c>
      <c r="BE250" s="12">
        <f ca="1" t="shared" si="319"/>
        <v>49.8339145900226</v>
      </c>
      <c r="BF250" s="12">
        <f ca="1" t="shared" si="320"/>
        <v>45.3738529157244</v>
      </c>
      <c r="BG250" s="12">
        <f ca="1" t="shared" si="321"/>
        <v>41.2775222107446</v>
      </c>
      <c r="BH250" s="12">
        <f ca="1" t="shared" si="322"/>
        <v>37.0879043167455</v>
      </c>
      <c r="BI250" s="12">
        <f ca="1" t="shared" si="323"/>
        <v>31.091833164782</v>
      </c>
      <c r="BJ250" s="12">
        <f ca="1" t="shared" si="324"/>
        <v>25.130920783086</v>
      </c>
      <c r="BK250" s="12">
        <f ca="1" t="shared" si="325"/>
        <v>20.6217479789204</v>
      </c>
      <c r="BL250" s="12">
        <f ca="1" t="shared" si="326"/>
        <v>16.2687890887845</v>
      </c>
      <c r="BM250" s="12">
        <f ca="1" t="shared" si="327"/>
        <v>11.7558129947614</v>
      </c>
      <c r="BN250" s="12">
        <f ca="1" t="shared" si="328"/>
        <v>7.5739867457941</v>
      </c>
      <c r="BO250" s="12">
        <f ca="1" t="shared" si="329"/>
        <v>2.41543506322753</v>
      </c>
    </row>
    <row r="251" spans="1:67">
      <c r="A251" s="3">
        <v>221</v>
      </c>
      <c r="B251" s="11">
        <f ca="1" t="shared" si="295"/>
        <v>0.713694769402533</v>
      </c>
      <c r="C251" s="12">
        <f ca="1" t="shared" si="296"/>
        <v>67.3384967057505</v>
      </c>
      <c r="D251" s="11">
        <f ca="1" t="shared" ref="D251:S251" si="357">RAND()</f>
        <v>0.441404874064861</v>
      </c>
      <c r="E251" s="11">
        <f ca="1" t="shared" si="357"/>
        <v>0.237176558484545</v>
      </c>
      <c r="F251" s="11">
        <f ca="1" t="shared" si="357"/>
        <v>0.832838840543356</v>
      </c>
      <c r="G251" s="11">
        <f ca="1" t="shared" si="357"/>
        <v>0.657104135373457</v>
      </c>
      <c r="H251" s="11">
        <f ca="1" t="shared" si="357"/>
        <v>0.676824182677919</v>
      </c>
      <c r="I251" s="11">
        <f ca="1" t="shared" si="357"/>
        <v>0.674362458470592</v>
      </c>
      <c r="J251" s="11">
        <f ca="1" t="shared" si="357"/>
        <v>0.81928692050503</v>
      </c>
      <c r="K251" s="11">
        <f ca="1" t="shared" si="357"/>
        <v>0.423301135012274</v>
      </c>
      <c r="L251" s="11">
        <f ca="1" t="shared" si="357"/>
        <v>0.361173579584498</v>
      </c>
      <c r="M251" s="11">
        <f ca="1" t="shared" si="357"/>
        <v>0.0169063699514442</v>
      </c>
      <c r="N251" s="11">
        <f ca="1" t="shared" si="357"/>
        <v>0.210452168787241</v>
      </c>
      <c r="O251" s="11">
        <f ca="1" t="shared" si="357"/>
        <v>0.694364700976469</v>
      </c>
      <c r="P251" s="11">
        <f ca="1" t="shared" si="357"/>
        <v>0.669150572745152</v>
      </c>
      <c r="Q251" s="11">
        <f ca="1" t="shared" si="357"/>
        <v>0.522982178903208</v>
      </c>
      <c r="R251" s="11">
        <f ca="1" t="shared" si="357"/>
        <v>0.230575951734179</v>
      </c>
      <c r="S251" s="11">
        <f ca="1" t="shared" si="357"/>
        <v>0.567141941871511</v>
      </c>
      <c r="T251" s="12">
        <f ca="1" t="shared" si="298"/>
        <v>4.67675609258108</v>
      </c>
      <c r="U251" s="12">
        <f ca="1" t="shared" si="299"/>
        <v>4.39529426414091</v>
      </c>
      <c r="V251" s="12">
        <f ca="1" t="shared" si="300"/>
        <v>5.33209710135839</v>
      </c>
      <c r="W251" s="12">
        <f ca="1" t="shared" si="301"/>
        <v>4.94638016921682</v>
      </c>
      <c r="X251" s="12">
        <f ca="1" t="shared" si="302"/>
        <v>4.9710302283474</v>
      </c>
      <c r="Y251" s="12">
        <f ca="1" t="shared" si="303"/>
        <v>4.96795307308824</v>
      </c>
      <c r="Z251" s="12">
        <f ca="1" t="shared" si="304"/>
        <v>5.29821730126258</v>
      </c>
      <c r="AA251" s="12">
        <f ca="1" t="shared" si="305"/>
        <v>4.65412641876534</v>
      </c>
      <c r="AB251" s="12">
        <f ca="1" t="shared" si="306"/>
        <v>4.57646697448062</v>
      </c>
      <c r="AC251" s="12">
        <f ca="1" t="shared" si="307"/>
        <v>4.02817728325241</v>
      </c>
      <c r="AD251" s="12">
        <f ca="1" t="shared" si="308"/>
        <v>4.3507536146454</v>
      </c>
      <c r="AE251" s="12">
        <f ca="1" t="shared" si="309"/>
        <v>4.99295587622059</v>
      </c>
      <c r="AF251" s="12">
        <f ca="1" t="shared" si="310"/>
        <v>4.96143821593144</v>
      </c>
      <c r="AG251" s="12">
        <f ca="1" t="shared" si="311"/>
        <v>4.77872772362901</v>
      </c>
      <c r="AH251" s="12">
        <f ca="1" t="shared" si="312"/>
        <v>4.3842932528903</v>
      </c>
      <c r="AI251" s="12">
        <f ca="1" t="shared" si="313"/>
        <v>4.83392742733939</v>
      </c>
      <c r="AJ251" s="12">
        <f ca="1">SUM($T251:T251)</f>
        <v>4.67675609258108</v>
      </c>
      <c r="AK251" s="12">
        <f ca="1">SUM($T251:U251)</f>
        <v>9.07205035672198</v>
      </c>
      <c r="AL251" s="12">
        <f ca="1">SUM($T251:V251)</f>
        <v>14.4041474580804</v>
      </c>
      <c r="AM251" s="12">
        <f ca="1">SUM($T251:W251)</f>
        <v>19.3505276272972</v>
      </c>
      <c r="AN251" s="12">
        <f ca="1">SUM($T251:X251)</f>
        <v>24.3215578556446</v>
      </c>
      <c r="AO251" s="12">
        <f ca="1">SUM($T251:Y251)</f>
        <v>29.2895109287328</v>
      </c>
      <c r="AP251" s="12">
        <f ca="1">SUM($T251:Z251)</f>
        <v>34.5877282299954</v>
      </c>
      <c r="AQ251" s="12">
        <f ca="1">SUM($T251:AA251)</f>
        <v>39.2418546487608</v>
      </c>
      <c r="AR251" s="12">
        <f ca="1">SUM($T251:AB251)</f>
        <v>43.8183216232414</v>
      </c>
      <c r="AS251" s="12">
        <f ca="1">SUM($T251:AC251)</f>
        <v>47.8464989064938</v>
      </c>
      <c r="AT251" s="12">
        <f ca="1">SUM($T251:AD251)</f>
        <v>52.1972525211392</v>
      </c>
      <c r="AU251" s="12">
        <f ca="1">SUM($T251:AE251)</f>
        <v>57.1902083973598</v>
      </c>
      <c r="AV251" s="12">
        <f ca="1">SUM($T251:AF251)</f>
        <v>62.1516466132912</v>
      </c>
      <c r="AW251" s="12">
        <f ca="1">SUM($T251:AG251)</f>
        <v>66.9303743369202</v>
      </c>
      <c r="AX251" s="12">
        <f ca="1">SUM($T251:AH251)</f>
        <v>71.3146675898105</v>
      </c>
      <c r="AY251" s="12">
        <f ca="1">SUM($T251:AI251)</f>
        <v>76.1485950171499</v>
      </c>
      <c r="AZ251" s="12">
        <f ca="1" t="shared" si="314"/>
        <v>62.6617406131694</v>
      </c>
      <c r="BA251" s="12">
        <f ca="1" t="shared" si="315"/>
        <v>58.2664463490285</v>
      </c>
      <c r="BB251" s="12">
        <f ca="1" t="shared" si="316"/>
        <v>52.9343492476701</v>
      </c>
      <c r="BC251" s="12">
        <f ca="1" t="shared" si="317"/>
        <v>47.9879690784533</v>
      </c>
      <c r="BD251" s="12">
        <f ca="1" t="shared" si="318"/>
        <v>43.0169388501059</v>
      </c>
      <c r="BE251" s="12">
        <f ca="1" t="shared" si="319"/>
        <v>38.0489857770176</v>
      </c>
      <c r="BF251" s="12">
        <f ca="1" t="shared" si="320"/>
        <v>32.7507684757551</v>
      </c>
      <c r="BG251" s="12">
        <f ca="1" t="shared" si="321"/>
        <v>28.0966420569897</v>
      </c>
      <c r="BH251" s="12">
        <f ca="1" t="shared" si="322"/>
        <v>23.5201750825091</v>
      </c>
      <c r="BI251" s="12">
        <f ca="1" t="shared" si="323"/>
        <v>19.4919977992567</v>
      </c>
      <c r="BJ251" s="12">
        <f ca="1" t="shared" si="324"/>
        <v>15.1412441846113</v>
      </c>
      <c r="BK251" s="12">
        <f ca="1" t="shared" si="325"/>
        <v>10.1482883083907</v>
      </c>
      <c r="BL251" s="12">
        <f ca="1" t="shared" si="326"/>
        <v>5.18685009245926</v>
      </c>
      <c r="BM251" s="12">
        <f ca="1" t="shared" si="327"/>
        <v>0.408122368830249</v>
      </c>
      <c r="BN251" s="12">
        <f ca="1" t="shared" si="328"/>
        <v>0</v>
      </c>
      <c r="BO251" s="12">
        <f ca="1" t="shared" si="329"/>
        <v>0</v>
      </c>
    </row>
    <row r="252" spans="1:67">
      <c r="A252" s="3">
        <v>222</v>
      </c>
      <c r="B252" s="11">
        <f ca="1" t="shared" si="295"/>
        <v>0.721152846015835</v>
      </c>
      <c r="C252" s="12">
        <f ca="1" t="shared" si="296"/>
        <v>67.4450406573691</v>
      </c>
      <c r="D252" s="11">
        <f ca="1" t="shared" ref="D252:S252" si="358">RAND()</f>
        <v>0.172901330998002</v>
      </c>
      <c r="E252" s="11">
        <f ca="1" t="shared" si="358"/>
        <v>0.374783979353971</v>
      </c>
      <c r="F252" s="11">
        <f ca="1" t="shared" si="358"/>
        <v>0.0648205775059008</v>
      </c>
      <c r="G252" s="11">
        <f ca="1" t="shared" si="358"/>
        <v>0.0863051110428084</v>
      </c>
      <c r="H252" s="11">
        <f ca="1" t="shared" si="358"/>
        <v>0.930756818782274</v>
      </c>
      <c r="I252" s="11">
        <f ca="1" t="shared" si="358"/>
        <v>0.434925057224256</v>
      </c>
      <c r="J252" s="11">
        <f ca="1" t="shared" si="358"/>
        <v>0.989372799127524</v>
      </c>
      <c r="K252" s="11">
        <f ca="1" t="shared" si="358"/>
        <v>0.511801112814869</v>
      </c>
      <c r="L252" s="11">
        <f ca="1" t="shared" si="358"/>
        <v>0.424868400998878</v>
      </c>
      <c r="M252" s="11">
        <f ca="1" t="shared" si="358"/>
        <v>0.740975962159262</v>
      </c>
      <c r="N252" s="11">
        <f ca="1" t="shared" si="358"/>
        <v>0.330070783905873</v>
      </c>
      <c r="O252" s="11">
        <f ca="1" t="shared" si="358"/>
        <v>0.828043242219236</v>
      </c>
      <c r="P252" s="11">
        <f ca="1" t="shared" si="358"/>
        <v>0.940630827993206</v>
      </c>
      <c r="Q252" s="11">
        <f ca="1" t="shared" si="358"/>
        <v>0.734305940585355</v>
      </c>
      <c r="R252" s="11">
        <f ca="1" t="shared" si="358"/>
        <v>0.0494125246325638</v>
      </c>
      <c r="S252" s="11">
        <f ca="1" t="shared" si="358"/>
        <v>0.333498589872128</v>
      </c>
      <c r="T252" s="12">
        <f ca="1" t="shared" si="298"/>
        <v>4.28816888499667</v>
      </c>
      <c r="U252" s="12">
        <f ca="1" t="shared" si="299"/>
        <v>4.59347997419246</v>
      </c>
      <c r="V252" s="12">
        <f ca="1" t="shared" si="300"/>
        <v>4.10803429584317</v>
      </c>
      <c r="W252" s="12">
        <f ca="1" t="shared" si="301"/>
        <v>4.14384185173801</v>
      </c>
      <c r="X252" s="12">
        <f ca="1" t="shared" si="302"/>
        <v>5.65378409391137</v>
      </c>
      <c r="Y252" s="12">
        <f ca="1" t="shared" si="303"/>
        <v>4.66865632153032</v>
      </c>
      <c r="Z252" s="12">
        <f ca="1" t="shared" si="304"/>
        <v>5.94686399563762</v>
      </c>
      <c r="AA252" s="12">
        <f ca="1" t="shared" si="305"/>
        <v>4.76475139101859</v>
      </c>
      <c r="AB252" s="12">
        <f ca="1" t="shared" si="306"/>
        <v>4.6560855012486</v>
      </c>
      <c r="AC252" s="12">
        <f ca="1" t="shared" si="307"/>
        <v>5.10243990539816</v>
      </c>
      <c r="AD252" s="12">
        <f ca="1" t="shared" si="308"/>
        <v>4.53758847988234</v>
      </c>
      <c r="AE252" s="12">
        <f ca="1" t="shared" si="309"/>
        <v>5.32010810554809</v>
      </c>
      <c r="AF252" s="12">
        <f ca="1" t="shared" si="310"/>
        <v>5.70315413996603</v>
      </c>
      <c r="AG252" s="12">
        <f ca="1" t="shared" si="311"/>
        <v>5.08576485146339</v>
      </c>
      <c r="AH252" s="12">
        <f ca="1" t="shared" si="312"/>
        <v>4.08235420772094</v>
      </c>
      <c r="AI252" s="12">
        <f ca="1" t="shared" si="313"/>
        <v>4.54187323734016</v>
      </c>
      <c r="AJ252" s="12">
        <f ca="1">SUM($T252:T252)</f>
        <v>4.28816888499667</v>
      </c>
      <c r="AK252" s="12">
        <f ca="1">SUM($T252:U252)</f>
        <v>8.88164885918913</v>
      </c>
      <c r="AL252" s="12">
        <f ca="1">SUM($T252:V252)</f>
        <v>12.9896831550323</v>
      </c>
      <c r="AM252" s="12">
        <f ca="1">SUM($T252:W252)</f>
        <v>17.1335250067703</v>
      </c>
      <c r="AN252" s="12">
        <f ca="1">SUM($T252:X252)</f>
        <v>22.7873091006817</v>
      </c>
      <c r="AO252" s="12">
        <f ca="1">SUM($T252:Y252)</f>
        <v>27.455965422212</v>
      </c>
      <c r="AP252" s="12">
        <f ca="1">SUM($T252:Z252)</f>
        <v>33.4028294178496</v>
      </c>
      <c r="AQ252" s="12">
        <f ca="1">SUM($T252:AA252)</f>
        <v>38.1675808088682</v>
      </c>
      <c r="AR252" s="12">
        <f ca="1">SUM($T252:AB252)</f>
        <v>42.8236663101168</v>
      </c>
      <c r="AS252" s="12">
        <f ca="1">SUM($T252:AC252)</f>
        <v>47.926106215515</v>
      </c>
      <c r="AT252" s="12">
        <f ca="1">SUM($T252:AD252)</f>
        <v>52.4636946953973</v>
      </c>
      <c r="AU252" s="12">
        <f ca="1">SUM($T252:AE252)</f>
        <v>57.7838028009454</v>
      </c>
      <c r="AV252" s="12">
        <f ca="1">SUM($T252:AF252)</f>
        <v>63.4869569409114</v>
      </c>
      <c r="AW252" s="12">
        <f ca="1">SUM($T252:AG252)</f>
        <v>68.5727217923748</v>
      </c>
      <c r="AX252" s="12">
        <f ca="1">SUM($T252:AH252)</f>
        <v>72.6550760000957</v>
      </c>
      <c r="AY252" s="12">
        <f ca="1">SUM($T252:AI252)</f>
        <v>77.1969492374359</v>
      </c>
      <c r="AZ252" s="12">
        <f ca="1" t="shared" si="314"/>
        <v>63.1568717723724</v>
      </c>
      <c r="BA252" s="12">
        <f ca="1" t="shared" si="315"/>
        <v>58.5633917981799</v>
      </c>
      <c r="BB252" s="12">
        <f ca="1" t="shared" si="316"/>
        <v>54.4553575023368</v>
      </c>
      <c r="BC252" s="12">
        <f ca="1" t="shared" si="317"/>
        <v>50.3115156505988</v>
      </c>
      <c r="BD252" s="12">
        <f ca="1" t="shared" si="318"/>
        <v>44.6577315566874</v>
      </c>
      <c r="BE252" s="12">
        <f ca="1" t="shared" si="319"/>
        <v>39.9890752351571</v>
      </c>
      <c r="BF252" s="12">
        <f ca="1" t="shared" si="320"/>
        <v>34.0422112395194</v>
      </c>
      <c r="BG252" s="12">
        <f ca="1" t="shared" si="321"/>
        <v>29.2774598485009</v>
      </c>
      <c r="BH252" s="12">
        <f ca="1" t="shared" si="322"/>
        <v>24.6213743472523</v>
      </c>
      <c r="BI252" s="12">
        <f ca="1" t="shared" si="323"/>
        <v>19.5189344418541</v>
      </c>
      <c r="BJ252" s="12">
        <f ca="1" t="shared" si="324"/>
        <v>14.9813459619718</v>
      </c>
      <c r="BK252" s="12">
        <f ca="1" t="shared" si="325"/>
        <v>9.66123785642368</v>
      </c>
      <c r="BL252" s="12">
        <f ca="1" t="shared" si="326"/>
        <v>3.95808371645765</v>
      </c>
      <c r="BM252" s="12">
        <f ca="1" t="shared" si="327"/>
        <v>0</v>
      </c>
      <c r="BN252" s="12">
        <f ca="1" t="shared" si="328"/>
        <v>0</v>
      </c>
      <c r="BO252" s="12">
        <f ca="1" t="shared" si="329"/>
        <v>0</v>
      </c>
    </row>
    <row r="253" spans="1:67">
      <c r="A253" s="3">
        <v>223</v>
      </c>
      <c r="B253" s="11">
        <f ca="1" t="shared" si="295"/>
        <v>0.0804849559119818</v>
      </c>
      <c r="C253" s="12">
        <f ca="1" t="shared" si="296"/>
        <v>54.0242477955991</v>
      </c>
      <c r="D253" s="11">
        <f ca="1" t="shared" ref="D253:S253" si="359">RAND()</f>
        <v>0.548496812402402</v>
      </c>
      <c r="E253" s="11">
        <f ca="1" t="shared" si="359"/>
        <v>0.652914399520362</v>
      </c>
      <c r="F253" s="11">
        <f ca="1" t="shared" si="359"/>
        <v>0.795971012593185</v>
      </c>
      <c r="G253" s="11">
        <f ca="1" t="shared" si="359"/>
        <v>0.996515045633225</v>
      </c>
      <c r="H253" s="11">
        <f ca="1" t="shared" si="359"/>
        <v>0.6717291120465</v>
      </c>
      <c r="I253" s="11">
        <f ca="1" t="shared" si="359"/>
        <v>0.947117611400368</v>
      </c>
      <c r="J253" s="11">
        <f ca="1" t="shared" si="359"/>
        <v>0.923186595591849</v>
      </c>
      <c r="K253" s="11">
        <f ca="1" t="shared" si="359"/>
        <v>0.699259873041914</v>
      </c>
      <c r="L253" s="11">
        <f ca="1" t="shared" si="359"/>
        <v>0.507584240951708</v>
      </c>
      <c r="M253" s="11">
        <f ca="1" t="shared" si="359"/>
        <v>0.405203770831597</v>
      </c>
      <c r="N253" s="11">
        <f ca="1" t="shared" si="359"/>
        <v>0.642575104633931</v>
      </c>
      <c r="O253" s="11">
        <f ca="1" t="shared" si="359"/>
        <v>0.641683776545944</v>
      </c>
      <c r="P253" s="11">
        <f ca="1" t="shared" si="359"/>
        <v>0.16063099148982</v>
      </c>
      <c r="Q253" s="11">
        <f ca="1" t="shared" si="359"/>
        <v>0.103895186262213</v>
      </c>
      <c r="R253" s="11">
        <f ca="1" t="shared" si="359"/>
        <v>0.907153244023329</v>
      </c>
      <c r="S253" s="11">
        <f ca="1" t="shared" si="359"/>
        <v>0.720136343148741</v>
      </c>
      <c r="T253" s="12">
        <f ca="1" t="shared" si="298"/>
        <v>4.810621015503</v>
      </c>
      <c r="U253" s="12">
        <f ca="1" t="shared" si="299"/>
        <v>4.94114299940045</v>
      </c>
      <c r="V253" s="12">
        <f ca="1" t="shared" si="300"/>
        <v>5.23992753148296</v>
      </c>
      <c r="W253" s="12">
        <f ca="1" t="shared" si="301"/>
        <v>5.98257522816612</v>
      </c>
      <c r="X253" s="12">
        <f ca="1" t="shared" si="302"/>
        <v>4.96466139005812</v>
      </c>
      <c r="Y253" s="12">
        <f ca="1" t="shared" si="303"/>
        <v>5.73558805700184</v>
      </c>
      <c r="Z253" s="12">
        <f ca="1" t="shared" si="304"/>
        <v>5.61593297795925</v>
      </c>
      <c r="AA253" s="12">
        <f ca="1" t="shared" si="305"/>
        <v>4.99907484130239</v>
      </c>
      <c r="AB253" s="12">
        <f ca="1" t="shared" si="306"/>
        <v>4.75948030118964</v>
      </c>
      <c r="AC253" s="12">
        <f ca="1" t="shared" si="307"/>
        <v>4.6315047135395</v>
      </c>
      <c r="AD253" s="12">
        <f ca="1" t="shared" si="308"/>
        <v>4.92821888079241</v>
      </c>
      <c r="AE253" s="12">
        <f ca="1" t="shared" si="309"/>
        <v>4.92710472068243</v>
      </c>
      <c r="AF253" s="12">
        <f ca="1" t="shared" si="310"/>
        <v>4.2677183191497</v>
      </c>
      <c r="AG253" s="12">
        <f ca="1" t="shared" si="311"/>
        <v>4.17315864377036</v>
      </c>
      <c r="AH253" s="12">
        <f ca="1" t="shared" si="312"/>
        <v>5.53576622011665</v>
      </c>
      <c r="AI253" s="12">
        <f ca="1" t="shared" si="313"/>
        <v>5.05034085787185</v>
      </c>
      <c r="AJ253" s="12">
        <f ca="1">SUM($T253:T253)</f>
        <v>4.810621015503</v>
      </c>
      <c r="AK253" s="12">
        <f ca="1">SUM($T253:U253)</f>
        <v>9.75176401490345</v>
      </c>
      <c r="AL253" s="12">
        <f ca="1">SUM($T253:V253)</f>
        <v>14.9916915463864</v>
      </c>
      <c r="AM253" s="12">
        <f ca="1">SUM($T253:W253)</f>
        <v>20.9742667745525</v>
      </c>
      <c r="AN253" s="12">
        <f ca="1">SUM($T253:X253)</f>
        <v>25.9389281646107</v>
      </c>
      <c r="AO253" s="12">
        <f ca="1">SUM($T253:Y253)</f>
        <v>31.6745162216125</v>
      </c>
      <c r="AP253" s="12">
        <f ca="1">SUM($T253:Z253)</f>
        <v>37.2904491995718</v>
      </c>
      <c r="AQ253" s="12">
        <f ca="1">SUM($T253:AA253)</f>
        <v>42.2895240408741</v>
      </c>
      <c r="AR253" s="12">
        <f ca="1">SUM($T253:AB253)</f>
        <v>47.0490043420638</v>
      </c>
      <c r="AS253" s="12">
        <f ca="1">SUM($T253:AC253)</f>
        <v>51.6805090556033</v>
      </c>
      <c r="AT253" s="12">
        <f ca="1">SUM($T253:AD253)</f>
        <v>56.6087279363957</v>
      </c>
      <c r="AU253" s="12">
        <f ca="1">SUM($T253:AE253)</f>
        <v>61.5358326570781</v>
      </c>
      <c r="AV253" s="12">
        <f ca="1">SUM($T253:AF253)</f>
        <v>65.8035509762278</v>
      </c>
      <c r="AW253" s="12">
        <f ca="1">SUM($T253:AG253)</f>
        <v>69.9767096199982</v>
      </c>
      <c r="AX253" s="12">
        <f ca="1">SUM($T253:AH253)</f>
        <v>75.5124758401148</v>
      </c>
      <c r="AY253" s="12">
        <f ca="1">SUM($T253:AI253)</f>
        <v>80.5628166979867</v>
      </c>
      <c r="AZ253" s="12">
        <f ca="1" t="shared" si="314"/>
        <v>49.2136267800961</v>
      </c>
      <c r="BA253" s="12">
        <f ca="1" t="shared" si="315"/>
        <v>44.2724837806956</v>
      </c>
      <c r="BB253" s="12">
        <f ca="1" t="shared" si="316"/>
        <v>39.0325562492127</v>
      </c>
      <c r="BC253" s="12">
        <f ca="1" t="shared" si="317"/>
        <v>33.0499810210465</v>
      </c>
      <c r="BD253" s="12">
        <f ca="1" t="shared" si="318"/>
        <v>28.0853196309884</v>
      </c>
      <c r="BE253" s="12">
        <f ca="1" t="shared" si="319"/>
        <v>22.3497315739866</v>
      </c>
      <c r="BF253" s="12">
        <f ca="1" t="shared" si="320"/>
        <v>16.7337985960273</v>
      </c>
      <c r="BG253" s="12">
        <f ca="1" t="shared" si="321"/>
        <v>11.7347237547249</v>
      </c>
      <c r="BH253" s="12">
        <f ca="1" t="shared" si="322"/>
        <v>6.97524345353531</v>
      </c>
      <c r="BI253" s="12">
        <f ca="1" t="shared" si="323"/>
        <v>2.34373873999581</v>
      </c>
      <c r="BJ253" s="12">
        <f ca="1" t="shared" si="324"/>
        <v>0</v>
      </c>
      <c r="BK253" s="12">
        <f ca="1" t="shared" si="325"/>
        <v>0</v>
      </c>
      <c r="BL253" s="12">
        <f ca="1" t="shared" si="326"/>
        <v>0</v>
      </c>
      <c r="BM253" s="12">
        <f ca="1" t="shared" si="327"/>
        <v>0</v>
      </c>
      <c r="BN253" s="12">
        <f ca="1" t="shared" si="328"/>
        <v>0</v>
      </c>
      <c r="BO253" s="12">
        <f ca="1" t="shared" si="329"/>
        <v>0</v>
      </c>
    </row>
    <row r="254" spans="1:67">
      <c r="A254" s="3">
        <v>224</v>
      </c>
      <c r="B254" s="11">
        <f ca="1" t="shared" si="295"/>
        <v>0.841256278491631</v>
      </c>
      <c r="C254" s="12">
        <f ca="1" t="shared" si="296"/>
        <v>69.1608039784519</v>
      </c>
      <c r="D254" s="11">
        <f ca="1" t="shared" ref="D254:S254" si="360">RAND()</f>
        <v>0.832834685766139</v>
      </c>
      <c r="E254" s="11">
        <f ca="1" t="shared" si="360"/>
        <v>0.693648951036298</v>
      </c>
      <c r="F254" s="11">
        <f ca="1" t="shared" si="360"/>
        <v>0.803845711796198</v>
      </c>
      <c r="G254" s="11">
        <f ca="1" t="shared" si="360"/>
        <v>0.820978761059409</v>
      </c>
      <c r="H254" s="11">
        <f ca="1" t="shared" si="360"/>
        <v>0.759610185269705</v>
      </c>
      <c r="I254" s="11">
        <f ca="1" t="shared" si="360"/>
        <v>0.878877294578667</v>
      </c>
      <c r="J254" s="11">
        <f ca="1" t="shared" si="360"/>
        <v>0.806595958715483</v>
      </c>
      <c r="K254" s="11">
        <f ca="1" t="shared" si="360"/>
        <v>0.841255327100146</v>
      </c>
      <c r="L254" s="11">
        <f ca="1" t="shared" si="360"/>
        <v>0.110404525928733</v>
      </c>
      <c r="M254" s="11">
        <f ca="1" t="shared" si="360"/>
        <v>0.971872012992375</v>
      </c>
      <c r="N254" s="11">
        <f ca="1" t="shared" si="360"/>
        <v>0.0162727965382043</v>
      </c>
      <c r="O254" s="11">
        <f ca="1" t="shared" si="360"/>
        <v>0.478087940749186</v>
      </c>
      <c r="P254" s="11">
        <f ca="1" t="shared" si="360"/>
        <v>0.0672709618247715</v>
      </c>
      <c r="Q254" s="11">
        <f ca="1" t="shared" si="360"/>
        <v>0.562731443835299</v>
      </c>
      <c r="R254" s="11">
        <f ca="1" t="shared" si="360"/>
        <v>0.974651046297392</v>
      </c>
      <c r="S254" s="11">
        <f ca="1" t="shared" si="360"/>
        <v>0.123602407001924</v>
      </c>
      <c r="T254" s="12">
        <f ca="1" t="shared" si="298"/>
        <v>5.33208671441535</v>
      </c>
      <c r="U254" s="12">
        <f ca="1" t="shared" si="299"/>
        <v>4.99206118879537</v>
      </c>
      <c r="V254" s="12">
        <f ca="1" t="shared" si="300"/>
        <v>5.25961427949049</v>
      </c>
      <c r="W254" s="12">
        <f ca="1" t="shared" si="301"/>
        <v>5.30244690264852</v>
      </c>
      <c r="X254" s="12">
        <f ca="1" t="shared" si="302"/>
        <v>5.14902546317426</v>
      </c>
      <c r="Y254" s="12">
        <f ca="1" t="shared" si="303"/>
        <v>5.44719323644667</v>
      </c>
      <c r="Z254" s="12">
        <f ca="1" t="shared" si="304"/>
        <v>5.26648989678871</v>
      </c>
      <c r="AA254" s="12">
        <f ca="1" t="shared" si="305"/>
        <v>5.35313831775037</v>
      </c>
      <c r="AB254" s="12">
        <f ca="1" t="shared" si="306"/>
        <v>4.18400754321456</v>
      </c>
      <c r="AC254" s="12">
        <f ca="1" t="shared" si="307"/>
        <v>5.85936006496187</v>
      </c>
      <c r="AD254" s="12">
        <f ca="1" t="shared" si="308"/>
        <v>4.02712132756367</v>
      </c>
      <c r="AE254" s="12">
        <f ca="1" t="shared" si="309"/>
        <v>4.72260992593648</v>
      </c>
      <c r="AF254" s="12">
        <f ca="1" t="shared" si="310"/>
        <v>4.11211826970795</v>
      </c>
      <c r="AG254" s="12">
        <f ca="1" t="shared" si="311"/>
        <v>4.82841430479412</v>
      </c>
      <c r="AH254" s="12">
        <f ca="1" t="shared" si="312"/>
        <v>5.87325523148696</v>
      </c>
      <c r="AI254" s="12">
        <f ca="1" t="shared" si="313"/>
        <v>4.20600401166987</v>
      </c>
      <c r="AJ254" s="12">
        <f ca="1">SUM($T254:T254)</f>
        <v>5.33208671441535</v>
      </c>
      <c r="AK254" s="12">
        <f ca="1">SUM($T254:U254)</f>
        <v>10.3241479032107</v>
      </c>
      <c r="AL254" s="12">
        <f ca="1">SUM($T254:V254)</f>
        <v>15.5837621827012</v>
      </c>
      <c r="AM254" s="12">
        <f ca="1">SUM($T254:W254)</f>
        <v>20.8862090853497</v>
      </c>
      <c r="AN254" s="12">
        <f ca="1">SUM($T254:X254)</f>
        <v>26.035234548524</v>
      </c>
      <c r="AO254" s="12">
        <f ca="1">SUM($T254:Y254)</f>
        <v>31.4824277849707</v>
      </c>
      <c r="AP254" s="12">
        <f ca="1">SUM($T254:Z254)</f>
        <v>36.7489176817594</v>
      </c>
      <c r="AQ254" s="12">
        <f ca="1">SUM($T254:AA254)</f>
        <v>42.1020559995097</v>
      </c>
      <c r="AR254" s="12">
        <f ca="1">SUM($T254:AB254)</f>
        <v>46.2860635427243</v>
      </c>
      <c r="AS254" s="12">
        <f ca="1">SUM($T254:AC254)</f>
        <v>52.1454236076862</v>
      </c>
      <c r="AT254" s="12">
        <f ca="1">SUM($T254:AD254)</f>
        <v>56.1725449352498</v>
      </c>
      <c r="AU254" s="12">
        <f ca="1">SUM($T254:AE254)</f>
        <v>60.8951548611863</v>
      </c>
      <c r="AV254" s="12">
        <f ca="1">SUM($T254:AF254)</f>
        <v>65.0072731308943</v>
      </c>
      <c r="AW254" s="12">
        <f ca="1">SUM($T254:AG254)</f>
        <v>69.8356874356884</v>
      </c>
      <c r="AX254" s="12">
        <f ca="1">SUM($T254:AH254)</f>
        <v>75.7089426671754</v>
      </c>
      <c r="AY254" s="12">
        <f ca="1">SUM($T254:AI254)</f>
        <v>79.9149466788452</v>
      </c>
      <c r="AZ254" s="12">
        <f ca="1" t="shared" si="314"/>
        <v>63.8287172640365</v>
      </c>
      <c r="BA254" s="12">
        <f ca="1" t="shared" si="315"/>
        <v>58.8366560752411</v>
      </c>
      <c r="BB254" s="12">
        <f ca="1" t="shared" si="316"/>
        <v>53.5770417957507</v>
      </c>
      <c r="BC254" s="12">
        <f ca="1" t="shared" si="317"/>
        <v>48.2745948931021</v>
      </c>
      <c r="BD254" s="12">
        <f ca="1" t="shared" si="318"/>
        <v>43.1255694299279</v>
      </c>
      <c r="BE254" s="12">
        <f ca="1" t="shared" si="319"/>
        <v>37.6783761934812</v>
      </c>
      <c r="BF254" s="12">
        <f ca="1" t="shared" si="320"/>
        <v>32.4118862966925</v>
      </c>
      <c r="BG254" s="12">
        <f ca="1" t="shared" si="321"/>
        <v>27.0587479789421</v>
      </c>
      <c r="BH254" s="12">
        <f ca="1" t="shared" si="322"/>
        <v>22.8747404357276</v>
      </c>
      <c r="BI254" s="12">
        <f ca="1" t="shared" si="323"/>
        <v>17.0153803707657</v>
      </c>
      <c r="BJ254" s="12">
        <f ca="1" t="shared" si="324"/>
        <v>12.988259043202</v>
      </c>
      <c r="BK254" s="12">
        <f ca="1" t="shared" si="325"/>
        <v>8.26564911726554</v>
      </c>
      <c r="BL254" s="12">
        <f ca="1" t="shared" si="326"/>
        <v>4.15353084755759</v>
      </c>
      <c r="BM254" s="12">
        <f ca="1" t="shared" si="327"/>
        <v>0</v>
      </c>
      <c r="BN254" s="12">
        <f ca="1" t="shared" si="328"/>
        <v>0</v>
      </c>
      <c r="BO254" s="12">
        <f ca="1" t="shared" si="329"/>
        <v>0</v>
      </c>
    </row>
    <row r="255" spans="1:67">
      <c r="A255" s="3">
        <v>225</v>
      </c>
      <c r="B255" s="11">
        <f ca="1" t="shared" si="295"/>
        <v>0.633353737781021</v>
      </c>
      <c r="C255" s="12">
        <f ca="1" t="shared" si="296"/>
        <v>66.190767682586</v>
      </c>
      <c r="D255" s="11">
        <f ca="1" t="shared" ref="D255:S255" si="361">RAND()</f>
        <v>0.891468657246912</v>
      </c>
      <c r="E255" s="11">
        <f ca="1" t="shared" si="361"/>
        <v>0.264505498075522</v>
      </c>
      <c r="F255" s="11">
        <f ca="1" t="shared" si="361"/>
        <v>0.844415867976471</v>
      </c>
      <c r="G255" s="11">
        <f ca="1" t="shared" si="361"/>
        <v>0.997582646705488</v>
      </c>
      <c r="H255" s="11">
        <f ca="1" t="shared" si="361"/>
        <v>0.560991475280472</v>
      </c>
      <c r="I255" s="11">
        <f ca="1" t="shared" si="361"/>
        <v>0.177322851880742</v>
      </c>
      <c r="J255" s="11">
        <f ca="1" t="shared" si="361"/>
        <v>0.0664816914351705</v>
      </c>
      <c r="K255" s="11">
        <f ca="1" t="shared" si="361"/>
        <v>0.605101593787184</v>
      </c>
      <c r="L255" s="11">
        <f ca="1" t="shared" si="361"/>
        <v>0.733421810423865</v>
      </c>
      <c r="M255" s="11">
        <f ca="1" t="shared" si="361"/>
        <v>0.395734298366548</v>
      </c>
      <c r="N255" s="11">
        <f ca="1" t="shared" si="361"/>
        <v>0.63058602186643</v>
      </c>
      <c r="O255" s="11">
        <f ca="1" t="shared" si="361"/>
        <v>0.160464486823671</v>
      </c>
      <c r="P255" s="11">
        <f ca="1" t="shared" si="361"/>
        <v>0.569308067006396</v>
      </c>
      <c r="Q255" s="11">
        <f ca="1" t="shared" si="361"/>
        <v>0.153179649592749</v>
      </c>
      <c r="R255" s="11">
        <f ca="1" t="shared" si="361"/>
        <v>0.867327690909677</v>
      </c>
      <c r="S255" s="11">
        <f ca="1" t="shared" si="361"/>
        <v>0.505741549824927</v>
      </c>
      <c r="T255" s="12">
        <f ca="1" t="shared" si="298"/>
        <v>5.47867164311728</v>
      </c>
      <c r="U255" s="12">
        <f ca="1" t="shared" si="299"/>
        <v>4.44084249679254</v>
      </c>
      <c r="V255" s="12">
        <f ca="1" t="shared" si="300"/>
        <v>5.36103966994118</v>
      </c>
      <c r="W255" s="12">
        <f ca="1" t="shared" si="301"/>
        <v>5.98791323352744</v>
      </c>
      <c r="X255" s="12">
        <f ca="1" t="shared" si="302"/>
        <v>4.82623934410059</v>
      </c>
      <c r="Y255" s="12">
        <f ca="1" t="shared" si="303"/>
        <v>4.2955380864679</v>
      </c>
      <c r="Z255" s="12">
        <f ca="1" t="shared" si="304"/>
        <v>4.11080281905862</v>
      </c>
      <c r="AA255" s="12">
        <f ca="1" t="shared" si="305"/>
        <v>4.88137699223398</v>
      </c>
      <c r="AB255" s="12">
        <f ca="1" t="shared" si="306"/>
        <v>5.08355452605966</v>
      </c>
      <c r="AC255" s="12">
        <f ca="1" t="shared" si="307"/>
        <v>4.61966787295818</v>
      </c>
      <c r="AD255" s="12">
        <f ca="1" t="shared" si="308"/>
        <v>4.91323252733304</v>
      </c>
      <c r="AE255" s="12">
        <f ca="1" t="shared" si="309"/>
        <v>4.26744081137279</v>
      </c>
      <c r="AF255" s="12">
        <f ca="1" t="shared" si="310"/>
        <v>4.836635083758</v>
      </c>
      <c r="AG255" s="12">
        <f ca="1" t="shared" si="311"/>
        <v>4.25529941598792</v>
      </c>
      <c r="AH255" s="12">
        <f ca="1" t="shared" si="312"/>
        <v>5.41831922727419</v>
      </c>
      <c r="AI255" s="12">
        <f ca="1" t="shared" si="313"/>
        <v>4.75717693728116</v>
      </c>
      <c r="AJ255" s="12">
        <f ca="1">SUM($T255:T255)</f>
        <v>5.47867164311728</v>
      </c>
      <c r="AK255" s="12">
        <f ca="1">SUM($T255:U255)</f>
        <v>9.91951413990982</v>
      </c>
      <c r="AL255" s="12">
        <f ca="1">SUM($T255:V255)</f>
        <v>15.280553809851</v>
      </c>
      <c r="AM255" s="12">
        <f ca="1">SUM($T255:W255)</f>
        <v>21.2684670433784</v>
      </c>
      <c r="AN255" s="12">
        <f ca="1">SUM($T255:X255)</f>
        <v>26.094706387479</v>
      </c>
      <c r="AO255" s="12">
        <f ca="1">SUM($T255:Y255)</f>
        <v>30.3902444739469</v>
      </c>
      <c r="AP255" s="12">
        <f ca="1">SUM($T255:Z255)</f>
        <v>34.5010472930055</v>
      </c>
      <c r="AQ255" s="12">
        <f ca="1">SUM($T255:AA255)</f>
        <v>39.3824242852395</v>
      </c>
      <c r="AR255" s="12">
        <f ca="1">SUM($T255:AB255)</f>
        <v>44.4659788112992</v>
      </c>
      <c r="AS255" s="12">
        <f ca="1">SUM($T255:AC255)</f>
        <v>49.0856466842574</v>
      </c>
      <c r="AT255" s="12">
        <f ca="1">SUM($T255:AD255)</f>
        <v>53.9988792115904</v>
      </c>
      <c r="AU255" s="12">
        <f ca="1">SUM($T255:AE255)</f>
        <v>58.2663200229632</v>
      </c>
      <c r="AV255" s="12">
        <f ca="1">SUM($T255:AF255)</f>
        <v>63.1029551067212</v>
      </c>
      <c r="AW255" s="12">
        <f ca="1">SUM($T255:AG255)</f>
        <v>67.3582545227091</v>
      </c>
      <c r="AX255" s="12">
        <f ca="1">SUM($T255:AH255)</f>
        <v>72.7765737499833</v>
      </c>
      <c r="AY255" s="12">
        <f ca="1">SUM($T255:AI255)</f>
        <v>77.5337506872645</v>
      </c>
      <c r="AZ255" s="12">
        <f ca="1" t="shared" si="314"/>
        <v>60.7120960394687</v>
      </c>
      <c r="BA255" s="12">
        <f ca="1" t="shared" si="315"/>
        <v>56.2712535426762</v>
      </c>
      <c r="BB255" s="12">
        <f ca="1" t="shared" si="316"/>
        <v>50.910213872735</v>
      </c>
      <c r="BC255" s="12">
        <f ca="1" t="shared" si="317"/>
        <v>44.9223006392076</v>
      </c>
      <c r="BD255" s="12">
        <f ca="1" t="shared" si="318"/>
        <v>40.096061295107</v>
      </c>
      <c r="BE255" s="12">
        <f ca="1" t="shared" si="319"/>
        <v>35.8005232086391</v>
      </c>
      <c r="BF255" s="12">
        <f ca="1" t="shared" si="320"/>
        <v>31.6897203895805</v>
      </c>
      <c r="BG255" s="12">
        <f ca="1" t="shared" si="321"/>
        <v>26.8083433973465</v>
      </c>
      <c r="BH255" s="12">
        <f ca="1" t="shared" si="322"/>
        <v>21.7247888712868</v>
      </c>
      <c r="BI255" s="12">
        <f ca="1" t="shared" si="323"/>
        <v>17.1051209983286</v>
      </c>
      <c r="BJ255" s="12">
        <f ca="1" t="shared" si="324"/>
        <v>12.1918884709956</v>
      </c>
      <c r="BK255" s="12">
        <f ca="1" t="shared" si="325"/>
        <v>7.92444765962282</v>
      </c>
      <c r="BL255" s="12">
        <f ca="1" t="shared" si="326"/>
        <v>3.08781257586482</v>
      </c>
      <c r="BM255" s="12">
        <f ca="1" t="shared" si="327"/>
        <v>0</v>
      </c>
      <c r="BN255" s="12">
        <f ca="1" t="shared" si="328"/>
        <v>0</v>
      </c>
      <c r="BO255" s="12">
        <f ca="1" t="shared" si="329"/>
        <v>0</v>
      </c>
    </row>
    <row r="256" spans="1:67">
      <c r="A256" s="3">
        <v>226</v>
      </c>
      <c r="B256" s="11">
        <f ca="1" t="shared" si="295"/>
        <v>0.41124371841647</v>
      </c>
      <c r="C256" s="12">
        <f ca="1" t="shared" si="296"/>
        <v>62.6873953069412</v>
      </c>
      <c r="D256" s="11">
        <f ca="1" t="shared" ref="D256:S256" si="362">RAND()</f>
        <v>0.428916148237666</v>
      </c>
      <c r="E256" s="11">
        <f ca="1" t="shared" si="362"/>
        <v>0.276059823446288</v>
      </c>
      <c r="F256" s="11">
        <f ca="1" t="shared" si="362"/>
        <v>0.16217751582091</v>
      </c>
      <c r="G256" s="11">
        <f ca="1" t="shared" si="362"/>
        <v>0.73794411946501</v>
      </c>
      <c r="H256" s="11">
        <f ca="1" t="shared" si="362"/>
        <v>0.668469928159647</v>
      </c>
      <c r="I256" s="11">
        <f ca="1" t="shared" si="362"/>
        <v>0.00420461874902789</v>
      </c>
      <c r="J256" s="11">
        <f ca="1" t="shared" si="362"/>
        <v>0.454870721141633</v>
      </c>
      <c r="K256" s="11">
        <f ca="1" t="shared" si="362"/>
        <v>0.277444494285829</v>
      </c>
      <c r="L256" s="11">
        <f ca="1" t="shared" si="362"/>
        <v>0.411042382882735</v>
      </c>
      <c r="M256" s="11">
        <f ca="1" t="shared" si="362"/>
        <v>0.190492545456381</v>
      </c>
      <c r="N256" s="11">
        <f ca="1" t="shared" si="362"/>
        <v>0.328635585133417</v>
      </c>
      <c r="O256" s="11">
        <f ca="1" t="shared" si="362"/>
        <v>0.156695267561801</v>
      </c>
      <c r="P256" s="11">
        <f ca="1" t="shared" si="362"/>
        <v>0.0356853903751297</v>
      </c>
      <c r="Q256" s="11">
        <f ca="1" t="shared" si="362"/>
        <v>0.549691683525652</v>
      </c>
      <c r="R256" s="11">
        <f ca="1" t="shared" si="362"/>
        <v>0.402622215482344</v>
      </c>
      <c r="S256" s="11">
        <f ca="1" t="shared" si="362"/>
        <v>0.210758813318648</v>
      </c>
      <c r="T256" s="12">
        <f ca="1" t="shared" si="298"/>
        <v>4.66114518529708</v>
      </c>
      <c r="U256" s="12">
        <f ca="1" t="shared" si="299"/>
        <v>4.46009970574381</v>
      </c>
      <c r="V256" s="12">
        <f ca="1" t="shared" si="300"/>
        <v>4.27029585970152</v>
      </c>
      <c r="W256" s="12">
        <f ca="1" t="shared" si="301"/>
        <v>5.09486029866253</v>
      </c>
      <c r="X256" s="12">
        <f ca="1" t="shared" si="302"/>
        <v>4.96058741019956</v>
      </c>
      <c r="Y256" s="12">
        <f ca="1" t="shared" si="303"/>
        <v>4.00700769791505</v>
      </c>
      <c r="Z256" s="12">
        <f ca="1" t="shared" si="304"/>
        <v>4.69358840142704</v>
      </c>
      <c r="AA256" s="12">
        <f ca="1" t="shared" si="305"/>
        <v>4.46240749047638</v>
      </c>
      <c r="AB256" s="12">
        <f ca="1" t="shared" si="306"/>
        <v>4.63880297860342</v>
      </c>
      <c r="AC256" s="12">
        <f ca="1" t="shared" si="307"/>
        <v>4.31748757576064</v>
      </c>
      <c r="AD256" s="12">
        <f ca="1" t="shared" si="308"/>
        <v>4.53579448141677</v>
      </c>
      <c r="AE256" s="12">
        <f ca="1" t="shared" si="309"/>
        <v>4.26115877926967</v>
      </c>
      <c r="AF256" s="12">
        <f ca="1" t="shared" si="310"/>
        <v>4.05947565062522</v>
      </c>
      <c r="AG256" s="12">
        <f ca="1" t="shared" si="311"/>
        <v>4.81211460440707</v>
      </c>
      <c r="AH256" s="12">
        <f ca="1" t="shared" si="312"/>
        <v>4.62827776935293</v>
      </c>
      <c r="AI256" s="12">
        <f ca="1" t="shared" si="313"/>
        <v>4.35126468886441</v>
      </c>
      <c r="AJ256" s="12">
        <f ca="1">SUM($T256:T256)</f>
        <v>4.66114518529708</v>
      </c>
      <c r="AK256" s="12">
        <f ca="1">SUM($T256:U256)</f>
        <v>9.1212448910409</v>
      </c>
      <c r="AL256" s="12">
        <f ca="1">SUM($T256:V256)</f>
        <v>13.3915407507424</v>
      </c>
      <c r="AM256" s="12">
        <f ca="1">SUM($T256:W256)</f>
        <v>18.4864010494049</v>
      </c>
      <c r="AN256" s="12">
        <f ca="1">SUM($T256:X256)</f>
        <v>23.4469884596045</v>
      </c>
      <c r="AO256" s="12">
        <f ca="1">SUM($T256:Y256)</f>
        <v>27.4539961575195</v>
      </c>
      <c r="AP256" s="12">
        <f ca="1">SUM($T256:Z256)</f>
        <v>32.1475845589466</v>
      </c>
      <c r="AQ256" s="12">
        <f ca="1">SUM($T256:AA256)</f>
        <v>36.609992049423</v>
      </c>
      <c r="AR256" s="12">
        <f ca="1">SUM($T256:AB256)</f>
        <v>41.2487950280264</v>
      </c>
      <c r="AS256" s="12">
        <f ca="1">SUM($T256:AC256)</f>
        <v>45.566282603787</v>
      </c>
      <c r="AT256" s="12">
        <f ca="1">SUM($T256:AD256)</f>
        <v>50.1020770852038</v>
      </c>
      <c r="AU256" s="12">
        <f ca="1">SUM($T256:AE256)</f>
        <v>54.3632358644735</v>
      </c>
      <c r="AV256" s="12">
        <f ca="1">SUM($T256:AF256)</f>
        <v>58.4227115150987</v>
      </c>
      <c r="AW256" s="12">
        <f ca="1">SUM($T256:AG256)</f>
        <v>63.2348261195057</v>
      </c>
      <c r="AX256" s="12">
        <f ca="1">SUM($T256:AH256)</f>
        <v>67.8631038888587</v>
      </c>
      <c r="AY256" s="12">
        <f ca="1">SUM($T256:AI256)</f>
        <v>72.2143685777231</v>
      </c>
      <c r="AZ256" s="12">
        <f ca="1" t="shared" si="314"/>
        <v>58.0262501216441</v>
      </c>
      <c r="BA256" s="12">
        <f ca="1" t="shared" si="315"/>
        <v>53.5661504159003</v>
      </c>
      <c r="BB256" s="12">
        <f ca="1" t="shared" si="316"/>
        <v>49.2958545561987</v>
      </c>
      <c r="BC256" s="12">
        <f ca="1" t="shared" si="317"/>
        <v>44.2009942575362</v>
      </c>
      <c r="BD256" s="12">
        <f ca="1" t="shared" si="318"/>
        <v>39.2404068473367</v>
      </c>
      <c r="BE256" s="12">
        <f ca="1" t="shared" si="319"/>
        <v>35.2333991494216</v>
      </c>
      <c r="BF256" s="12">
        <f ca="1" t="shared" si="320"/>
        <v>30.5398107479946</v>
      </c>
      <c r="BG256" s="12">
        <f ca="1" t="shared" si="321"/>
        <v>26.0774032575182</v>
      </c>
      <c r="BH256" s="12">
        <f ca="1" t="shared" si="322"/>
        <v>21.4386002789148</v>
      </c>
      <c r="BI256" s="12">
        <f ca="1" t="shared" si="323"/>
        <v>17.1211127031541</v>
      </c>
      <c r="BJ256" s="12">
        <f ca="1" t="shared" si="324"/>
        <v>12.5853182217374</v>
      </c>
      <c r="BK256" s="12">
        <f ca="1" t="shared" si="325"/>
        <v>8.32415944246771</v>
      </c>
      <c r="BL256" s="12">
        <f ca="1" t="shared" si="326"/>
        <v>4.26468379184249</v>
      </c>
      <c r="BM256" s="12">
        <f ca="1" t="shared" si="327"/>
        <v>0</v>
      </c>
      <c r="BN256" s="12">
        <f ca="1" t="shared" si="328"/>
        <v>0</v>
      </c>
      <c r="BO256" s="12">
        <f ca="1" t="shared" si="329"/>
        <v>0</v>
      </c>
    </row>
    <row r="257" spans="1:67">
      <c r="A257" s="3">
        <v>227</v>
      </c>
      <c r="B257" s="11">
        <f ca="1" t="shared" si="295"/>
        <v>0.594825915644003</v>
      </c>
      <c r="C257" s="12">
        <f ca="1" t="shared" si="296"/>
        <v>65.6403702234857</v>
      </c>
      <c r="D257" s="11">
        <f ca="1" t="shared" ref="D257:S257" si="363">RAND()</f>
        <v>0.501392590581823</v>
      </c>
      <c r="E257" s="11">
        <f ca="1" t="shared" si="363"/>
        <v>0.548245365286441</v>
      </c>
      <c r="F257" s="11">
        <f ca="1" t="shared" si="363"/>
        <v>0.697748323260948</v>
      </c>
      <c r="G257" s="11">
        <f ca="1" t="shared" si="363"/>
        <v>0.0373249683982857</v>
      </c>
      <c r="H257" s="11">
        <f ca="1" t="shared" si="363"/>
        <v>0.681010798745494</v>
      </c>
      <c r="I257" s="11">
        <f ca="1" t="shared" si="363"/>
        <v>0.560921302362498</v>
      </c>
      <c r="J257" s="11">
        <f ca="1" t="shared" si="363"/>
        <v>0.106352187635032</v>
      </c>
      <c r="K257" s="11">
        <f ca="1" t="shared" si="363"/>
        <v>0.700411788366086</v>
      </c>
      <c r="L257" s="11">
        <f ca="1" t="shared" si="363"/>
        <v>0.768289441694263</v>
      </c>
      <c r="M257" s="11">
        <f ca="1" t="shared" si="363"/>
        <v>0.46892407910241</v>
      </c>
      <c r="N257" s="11">
        <f ca="1" t="shared" si="363"/>
        <v>0.758522727349763</v>
      </c>
      <c r="O257" s="11">
        <f ca="1" t="shared" si="363"/>
        <v>0.765728334402019</v>
      </c>
      <c r="P257" s="11">
        <f ca="1" t="shared" si="363"/>
        <v>0.625081234648255</v>
      </c>
      <c r="Q257" s="11">
        <f ca="1" t="shared" si="363"/>
        <v>0.86723609482378</v>
      </c>
      <c r="R257" s="11">
        <f ca="1" t="shared" si="363"/>
        <v>0.451697204983568</v>
      </c>
      <c r="S257" s="11">
        <f ca="1" t="shared" si="363"/>
        <v>0.313382189476711</v>
      </c>
      <c r="T257" s="12">
        <f ca="1" t="shared" si="298"/>
        <v>4.75174073822728</v>
      </c>
      <c r="U257" s="12">
        <f ca="1" t="shared" si="299"/>
        <v>4.81030670660805</v>
      </c>
      <c r="V257" s="12">
        <f ca="1" t="shared" si="300"/>
        <v>4.99718540407618</v>
      </c>
      <c r="W257" s="12">
        <f ca="1" t="shared" si="301"/>
        <v>4.06220828066381</v>
      </c>
      <c r="X257" s="12">
        <f ca="1" t="shared" si="302"/>
        <v>4.97626349843187</v>
      </c>
      <c r="Y257" s="12">
        <f ca="1" t="shared" si="303"/>
        <v>4.82615162795312</v>
      </c>
      <c r="Z257" s="12">
        <f ca="1" t="shared" si="304"/>
        <v>4.17725364605839</v>
      </c>
      <c r="AA257" s="12">
        <f ca="1" t="shared" si="305"/>
        <v>5.00102947091522</v>
      </c>
      <c r="AB257" s="12">
        <f ca="1" t="shared" si="306"/>
        <v>5.17072360423566</v>
      </c>
      <c r="AC257" s="12">
        <f ca="1" t="shared" si="307"/>
        <v>4.71115509887801</v>
      </c>
      <c r="AD257" s="12">
        <f ca="1" t="shared" si="308"/>
        <v>5.14630681837441</v>
      </c>
      <c r="AE257" s="12">
        <f ca="1" t="shared" si="309"/>
        <v>5.16432083600505</v>
      </c>
      <c r="AF257" s="12">
        <f ca="1" t="shared" si="310"/>
        <v>4.90635154331032</v>
      </c>
      <c r="AG257" s="12">
        <f ca="1" t="shared" si="311"/>
        <v>5.41809023705945</v>
      </c>
      <c r="AH257" s="12">
        <f ca="1" t="shared" si="312"/>
        <v>4.68962150622946</v>
      </c>
      <c r="AI257" s="12">
        <f ca="1" t="shared" si="313"/>
        <v>4.51672773684589</v>
      </c>
      <c r="AJ257" s="12">
        <f ca="1">SUM($T257:T257)</f>
        <v>4.75174073822728</v>
      </c>
      <c r="AK257" s="12">
        <f ca="1">SUM($T257:U257)</f>
        <v>9.56204744483533</v>
      </c>
      <c r="AL257" s="12">
        <f ca="1">SUM($T257:V257)</f>
        <v>14.5592328489115</v>
      </c>
      <c r="AM257" s="12">
        <f ca="1">SUM($T257:W257)</f>
        <v>18.6214411295753</v>
      </c>
      <c r="AN257" s="12">
        <f ca="1">SUM($T257:X257)</f>
        <v>23.5977046280072</v>
      </c>
      <c r="AO257" s="12">
        <f ca="1">SUM($T257:Y257)</f>
        <v>28.4238562559603</v>
      </c>
      <c r="AP257" s="12">
        <f ca="1">SUM($T257:Z257)</f>
        <v>32.6011099020187</v>
      </c>
      <c r="AQ257" s="12">
        <f ca="1">SUM($T257:AA257)</f>
        <v>37.6021393729339</v>
      </c>
      <c r="AR257" s="12">
        <f ca="1">SUM($T257:AB257)</f>
        <v>42.7728629771696</v>
      </c>
      <c r="AS257" s="12">
        <f ca="1">SUM($T257:AC257)</f>
        <v>47.4840180760476</v>
      </c>
      <c r="AT257" s="12">
        <f ca="1">SUM($T257:AD257)</f>
        <v>52.630324894422</v>
      </c>
      <c r="AU257" s="12">
        <f ca="1">SUM($T257:AE257)</f>
        <v>57.794645730427</v>
      </c>
      <c r="AV257" s="12">
        <f ca="1">SUM($T257:AF257)</f>
        <v>62.7009972737374</v>
      </c>
      <c r="AW257" s="12">
        <f ca="1">SUM($T257:AG257)</f>
        <v>68.1190875107968</v>
      </c>
      <c r="AX257" s="12">
        <f ca="1">SUM($T257:AH257)</f>
        <v>72.8087090170263</v>
      </c>
      <c r="AY257" s="12">
        <f ca="1">SUM($T257:AI257)</f>
        <v>77.3254367538722</v>
      </c>
      <c r="AZ257" s="12">
        <f ca="1" t="shared" si="314"/>
        <v>60.8886294852585</v>
      </c>
      <c r="BA257" s="12">
        <f ca="1" t="shared" si="315"/>
        <v>56.0783227786504</v>
      </c>
      <c r="BB257" s="12">
        <f ca="1" t="shared" si="316"/>
        <v>51.0811373745742</v>
      </c>
      <c r="BC257" s="12">
        <f ca="1" t="shared" si="317"/>
        <v>47.0189290939104</v>
      </c>
      <c r="BD257" s="12">
        <f ca="1" t="shared" si="318"/>
        <v>42.0426655954786</v>
      </c>
      <c r="BE257" s="12">
        <f ca="1" t="shared" si="319"/>
        <v>37.2165139675254</v>
      </c>
      <c r="BF257" s="12">
        <f ca="1" t="shared" si="320"/>
        <v>33.039260321467</v>
      </c>
      <c r="BG257" s="12">
        <f ca="1" t="shared" si="321"/>
        <v>28.0382308505518</v>
      </c>
      <c r="BH257" s="12">
        <f ca="1" t="shared" si="322"/>
        <v>22.8675072463162</v>
      </c>
      <c r="BI257" s="12">
        <f ca="1" t="shared" si="323"/>
        <v>18.1563521474382</v>
      </c>
      <c r="BJ257" s="12">
        <f ca="1" t="shared" si="324"/>
        <v>13.0100453290638</v>
      </c>
      <c r="BK257" s="12">
        <f ca="1" t="shared" si="325"/>
        <v>7.8457244930587</v>
      </c>
      <c r="BL257" s="12">
        <f ca="1" t="shared" si="326"/>
        <v>2.93937294974838</v>
      </c>
      <c r="BM257" s="12">
        <f ca="1" t="shared" si="327"/>
        <v>0</v>
      </c>
      <c r="BN257" s="12">
        <f ca="1" t="shared" si="328"/>
        <v>0</v>
      </c>
      <c r="BO257" s="12">
        <f ca="1" t="shared" si="329"/>
        <v>0</v>
      </c>
    </row>
    <row r="258" spans="1:67">
      <c r="A258" s="3">
        <v>228</v>
      </c>
      <c r="B258" s="11">
        <f ca="1" t="shared" si="295"/>
        <v>0.180865936582971</v>
      </c>
      <c r="C258" s="12">
        <f ca="1" t="shared" si="296"/>
        <v>57.6955312194324</v>
      </c>
      <c r="D258" s="11">
        <f ca="1" t="shared" ref="D258:S258" si="364">RAND()</f>
        <v>0.660488389131162</v>
      </c>
      <c r="E258" s="11">
        <f ca="1" t="shared" si="364"/>
        <v>0.735380264385831</v>
      </c>
      <c r="F258" s="11">
        <f ca="1" t="shared" si="364"/>
        <v>0.612746171284846</v>
      </c>
      <c r="G258" s="11">
        <f ca="1" t="shared" si="364"/>
        <v>0.164595329043329</v>
      </c>
      <c r="H258" s="11">
        <f ca="1" t="shared" si="364"/>
        <v>0.882242587967433</v>
      </c>
      <c r="I258" s="11">
        <f ca="1" t="shared" si="364"/>
        <v>0.795266513802257</v>
      </c>
      <c r="J258" s="11">
        <f ca="1" t="shared" si="364"/>
        <v>0.11379531995033</v>
      </c>
      <c r="K258" s="11">
        <f ca="1" t="shared" si="364"/>
        <v>0.355830156436624</v>
      </c>
      <c r="L258" s="11">
        <f ca="1" t="shared" si="364"/>
        <v>0.819296951993303</v>
      </c>
      <c r="M258" s="11">
        <f ca="1" t="shared" si="364"/>
        <v>0.460517470922748</v>
      </c>
      <c r="N258" s="11">
        <f ca="1" t="shared" si="364"/>
        <v>0.534115284064907</v>
      </c>
      <c r="O258" s="11">
        <f ca="1" t="shared" si="364"/>
        <v>0.310382527632102</v>
      </c>
      <c r="P258" s="11">
        <f ca="1" t="shared" si="364"/>
        <v>0.734290018614584</v>
      </c>
      <c r="Q258" s="11">
        <f ca="1" t="shared" si="364"/>
        <v>0.749972723311783</v>
      </c>
      <c r="R258" s="11">
        <f ca="1" t="shared" si="364"/>
        <v>0.770472504581135</v>
      </c>
      <c r="S258" s="11">
        <f ca="1" t="shared" si="364"/>
        <v>0.315456313091375</v>
      </c>
      <c r="T258" s="12">
        <f ca="1" t="shared" si="298"/>
        <v>4.95061048641395</v>
      </c>
      <c r="U258" s="12">
        <f ca="1" t="shared" si="299"/>
        <v>5.08845066096458</v>
      </c>
      <c r="V258" s="12">
        <f ca="1" t="shared" si="300"/>
        <v>4.89093271410606</v>
      </c>
      <c r="W258" s="12">
        <f ca="1" t="shared" si="301"/>
        <v>4.27432554840555</v>
      </c>
      <c r="X258" s="12">
        <f ca="1" t="shared" si="302"/>
        <v>5.45560646991858</v>
      </c>
      <c r="Y258" s="12">
        <f ca="1" t="shared" si="303"/>
        <v>5.23816628450564</v>
      </c>
      <c r="Z258" s="12">
        <f ca="1" t="shared" si="304"/>
        <v>4.18965886658388</v>
      </c>
      <c r="AA258" s="12">
        <f ca="1" t="shared" si="305"/>
        <v>4.56978769554578</v>
      </c>
      <c r="AB258" s="12">
        <f ca="1" t="shared" si="306"/>
        <v>5.29824237998326</v>
      </c>
      <c r="AC258" s="12">
        <f ca="1" t="shared" si="307"/>
        <v>4.70064683865343</v>
      </c>
      <c r="AD258" s="12">
        <f ca="1" t="shared" si="308"/>
        <v>4.79264410508113</v>
      </c>
      <c r="AE258" s="12">
        <f ca="1" t="shared" si="309"/>
        <v>4.51297815954013</v>
      </c>
      <c r="AF258" s="12">
        <f ca="1" t="shared" si="310"/>
        <v>5.08572504653646</v>
      </c>
      <c r="AG258" s="12">
        <f ca="1" t="shared" si="311"/>
        <v>5.12493180827946</v>
      </c>
      <c r="AH258" s="12">
        <f ca="1" t="shared" si="312"/>
        <v>5.17618126145284</v>
      </c>
      <c r="AI258" s="12">
        <f ca="1" t="shared" si="313"/>
        <v>4.51932039136422</v>
      </c>
      <c r="AJ258" s="12">
        <f ca="1">SUM($T258:T258)</f>
        <v>4.95061048641395</v>
      </c>
      <c r="AK258" s="12">
        <f ca="1">SUM($T258:U258)</f>
        <v>10.0390611473785</v>
      </c>
      <c r="AL258" s="12">
        <f ca="1">SUM($T258:V258)</f>
        <v>14.9299938614846</v>
      </c>
      <c r="AM258" s="12">
        <f ca="1">SUM($T258:W258)</f>
        <v>19.2043194098901</v>
      </c>
      <c r="AN258" s="12">
        <f ca="1">SUM($T258:X258)</f>
        <v>24.6599258798087</v>
      </c>
      <c r="AO258" s="12">
        <f ca="1">SUM($T258:Y258)</f>
        <v>29.8980921643144</v>
      </c>
      <c r="AP258" s="12">
        <f ca="1">SUM($T258:Z258)</f>
        <v>34.0877510308982</v>
      </c>
      <c r="AQ258" s="12">
        <f ca="1">SUM($T258:AA258)</f>
        <v>38.657538726444</v>
      </c>
      <c r="AR258" s="12">
        <f ca="1">SUM($T258:AB258)</f>
        <v>43.9557811064273</v>
      </c>
      <c r="AS258" s="12">
        <f ca="1">SUM($T258:AC258)</f>
        <v>48.6564279450807</v>
      </c>
      <c r="AT258" s="12">
        <f ca="1">SUM($T258:AD258)</f>
        <v>53.4490720501618</v>
      </c>
      <c r="AU258" s="12">
        <f ca="1">SUM($T258:AE258)</f>
        <v>57.962050209702</v>
      </c>
      <c r="AV258" s="12">
        <f ca="1">SUM($T258:AF258)</f>
        <v>63.0477752562384</v>
      </c>
      <c r="AW258" s="12">
        <f ca="1">SUM($T258:AG258)</f>
        <v>68.1727070645179</v>
      </c>
      <c r="AX258" s="12">
        <f ca="1">SUM($T258:AH258)</f>
        <v>73.3488883259707</v>
      </c>
      <c r="AY258" s="12">
        <f ca="1">SUM($T258:AI258)</f>
        <v>77.868208717335</v>
      </c>
      <c r="AZ258" s="12">
        <f ca="1" t="shared" si="314"/>
        <v>52.7449207330184</v>
      </c>
      <c r="BA258" s="12">
        <f ca="1" t="shared" si="315"/>
        <v>47.6564700720538</v>
      </c>
      <c r="BB258" s="12">
        <f ca="1" t="shared" si="316"/>
        <v>42.7655373579478</v>
      </c>
      <c r="BC258" s="12">
        <f ca="1" t="shared" si="317"/>
        <v>38.4912118095422</v>
      </c>
      <c r="BD258" s="12">
        <f ca="1" t="shared" si="318"/>
        <v>33.0356053396237</v>
      </c>
      <c r="BE258" s="12">
        <f ca="1" t="shared" si="319"/>
        <v>27.797439055118</v>
      </c>
      <c r="BF258" s="12">
        <f ca="1" t="shared" si="320"/>
        <v>23.6077801885341</v>
      </c>
      <c r="BG258" s="12">
        <f ca="1" t="shared" si="321"/>
        <v>19.0379924929884</v>
      </c>
      <c r="BH258" s="12">
        <f ca="1" t="shared" si="322"/>
        <v>13.7397501130051</v>
      </c>
      <c r="BI258" s="12">
        <f ca="1" t="shared" si="323"/>
        <v>9.03910327435166</v>
      </c>
      <c r="BJ258" s="12">
        <f ca="1" t="shared" si="324"/>
        <v>4.24645916927053</v>
      </c>
      <c r="BK258" s="12">
        <f ca="1" t="shared" si="325"/>
        <v>0</v>
      </c>
      <c r="BL258" s="12">
        <f ca="1" t="shared" si="326"/>
        <v>0</v>
      </c>
      <c r="BM258" s="12">
        <f ca="1" t="shared" si="327"/>
        <v>0</v>
      </c>
      <c r="BN258" s="12">
        <f ca="1" t="shared" si="328"/>
        <v>0</v>
      </c>
      <c r="BO258" s="12">
        <f ca="1" t="shared" si="329"/>
        <v>0</v>
      </c>
    </row>
    <row r="259" spans="1:67">
      <c r="A259" s="3">
        <v>229</v>
      </c>
      <c r="B259" s="11">
        <f ca="1" t="shared" si="295"/>
        <v>0.786371758124694</v>
      </c>
      <c r="C259" s="12">
        <f ca="1" t="shared" si="296"/>
        <v>68.3767394017814</v>
      </c>
      <c r="D259" s="11">
        <f ca="1" t="shared" ref="D259:S259" si="365">RAND()</f>
        <v>0.67684537494857</v>
      </c>
      <c r="E259" s="11">
        <f ca="1" t="shared" si="365"/>
        <v>0.333523477789007</v>
      </c>
      <c r="F259" s="11">
        <f ca="1" t="shared" si="365"/>
        <v>0.000313043866511764</v>
      </c>
      <c r="G259" s="11">
        <f ca="1" t="shared" si="365"/>
        <v>0.110397930729722</v>
      </c>
      <c r="H259" s="11">
        <f ca="1" t="shared" si="365"/>
        <v>0.0111636456234356</v>
      </c>
      <c r="I259" s="11">
        <f ca="1" t="shared" si="365"/>
        <v>0.123618604227629</v>
      </c>
      <c r="J259" s="11">
        <f ca="1" t="shared" si="365"/>
        <v>0.893662163442118</v>
      </c>
      <c r="K259" s="11">
        <f ca="1" t="shared" si="365"/>
        <v>0.685985179688487</v>
      </c>
      <c r="L259" s="11">
        <f ca="1" t="shared" si="365"/>
        <v>0.997577200192828</v>
      </c>
      <c r="M259" s="11">
        <f ca="1" t="shared" si="365"/>
        <v>0.457106590387595</v>
      </c>
      <c r="N259" s="11">
        <f ca="1" t="shared" si="365"/>
        <v>0.462004740974941</v>
      </c>
      <c r="O259" s="11">
        <f ca="1" t="shared" si="365"/>
        <v>0.211772607172676</v>
      </c>
      <c r="P259" s="11">
        <f ca="1" t="shared" si="365"/>
        <v>0.231199285962445</v>
      </c>
      <c r="Q259" s="11">
        <f ca="1" t="shared" si="365"/>
        <v>0.153178232967439</v>
      </c>
      <c r="R259" s="11">
        <f ca="1" t="shared" si="365"/>
        <v>0.674372828645597</v>
      </c>
      <c r="S259" s="11">
        <f ca="1" t="shared" si="365"/>
        <v>0.750297880639726</v>
      </c>
      <c r="T259" s="12">
        <f ca="1" t="shared" si="298"/>
        <v>4.97105671868571</v>
      </c>
      <c r="U259" s="12">
        <f ca="1" t="shared" si="299"/>
        <v>4.54190434723626</v>
      </c>
      <c r="V259" s="12">
        <f ca="1" t="shared" si="300"/>
        <v>4.00052173977752</v>
      </c>
      <c r="W259" s="12">
        <f ca="1" t="shared" si="301"/>
        <v>4.1839965512162</v>
      </c>
      <c r="X259" s="12">
        <f ca="1" t="shared" si="302"/>
        <v>4.01860607603906</v>
      </c>
      <c r="Y259" s="12">
        <f ca="1" t="shared" si="303"/>
        <v>4.20603100704605</v>
      </c>
      <c r="Z259" s="12">
        <f ca="1" t="shared" si="304"/>
        <v>5.48415540860529</v>
      </c>
      <c r="AA259" s="12">
        <f ca="1" t="shared" si="305"/>
        <v>4.98248147461061</v>
      </c>
      <c r="AB259" s="12">
        <f ca="1" t="shared" si="306"/>
        <v>5.98788600096414</v>
      </c>
      <c r="AC259" s="12">
        <f ca="1" t="shared" si="307"/>
        <v>4.69638323798449</v>
      </c>
      <c r="AD259" s="12">
        <f ca="1" t="shared" si="308"/>
        <v>4.70250592621868</v>
      </c>
      <c r="AE259" s="12">
        <f ca="1" t="shared" si="309"/>
        <v>4.35295434528779</v>
      </c>
      <c r="AF259" s="12">
        <f ca="1" t="shared" si="310"/>
        <v>4.38533214327074</v>
      </c>
      <c r="AG259" s="12">
        <f ca="1" t="shared" si="311"/>
        <v>4.25529705494573</v>
      </c>
      <c r="AH259" s="12">
        <f ca="1" t="shared" si="312"/>
        <v>4.967966035807</v>
      </c>
      <c r="AI259" s="12">
        <f ca="1" t="shared" si="313"/>
        <v>5.12574470159931</v>
      </c>
      <c r="AJ259" s="12">
        <f ca="1">SUM($T259:T259)</f>
        <v>4.97105671868571</v>
      </c>
      <c r="AK259" s="12">
        <f ca="1">SUM($T259:U259)</f>
        <v>9.51296106592197</v>
      </c>
      <c r="AL259" s="12">
        <f ca="1">SUM($T259:V259)</f>
        <v>13.5134828056995</v>
      </c>
      <c r="AM259" s="12">
        <f ca="1">SUM($T259:W259)</f>
        <v>17.6974793569157</v>
      </c>
      <c r="AN259" s="12">
        <f ca="1">SUM($T259:X259)</f>
        <v>21.7160854329548</v>
      </c>
      <c r="AO259" s="12">
        <f ca="1">SUM($T259:Y259)</f>
        <v>25.9221164400008</v>
      </c>
      <c r="AP259" s="12">
        <f ca="1">SUM($T259:Z259)</f>
        <v>31.4062718486061</v>
      </c>
      <c r="AQ259" s="12">
        <f ca="1">SUM($T259:AA259)</f>
        <v>36.3887533232167</v>
      </c>
      <c r="AR259" s="12">
        <f ca="1">SUM($T259:AB259)</f>
        <v>42.3766393241808</v>
      </c>
      <c r="AS259" s="12">
        <f ca="1">SUM($T259:AC259)</f>
        <v>47.0730225621653</v>
      </c>
      <c r="AT259" s="12">
        <f ca="1">SUM($T259:AD259)</f>
        <v>51.775528488384</v>
      </c>
      <c r="AU259" s="12">
        <f ca="1">SUM($T259:AE259)</f>
        <v>56.1284828336718</v>
      </c>
      <c r="AV259" s="12">
        <f ca="1">SUM($T259:AF259)</f>
        <v>60.5138149769425</v>
      </c>
      <c r="AW259" s="12">
        <f ca="1">SUM($T259:AG259)</f>
        <v>64.7691120318883</v>
      </c>
      <c r="AX259" s="12">
        <f ca="1">SUM($T259:AH259)</f>
        <v>69.7370780676953</v>
      </c>
      <c r="AY259" s="12">
        <f ca="1">SUM($T259:AI259)</f>
        <v>74.8628227692946</v>
      </c>
      <c r="AZ259" s="12">
        <f ca="1" t="shared" si="314"/>
        <v>63.4056826830956</v>
      </c>
      <c r="BA259" s="12">
        <f ca="1" t="shared" si="315"/>
        <v>58.8637783358594</v>
      </c>
      <c r="BB259" s="12">
        <f ca="1" t="shared" si="316"/>
        <v>54.8632565960819</v>
      </c>
      <c r="BC259" s="12">
        <f ca="1" t="shared" si="317"/>
        <v>50.6792600448657</v>
      </c>
      <c r="BD259" s="12">
        <f ca="1" t="shared" si="318"/>
        <v>46.6606539688266</v>
      </c>
      <c r="BE259" s="12">
        <f ca="1" t="shared" si="319"/>
        <v>42.4546229617806</v>
      </c>
      <c r="BF259" s="12">
        <f ca="1" t="shared" si="320"/>
        <v>36.9704675531753</v>
      </c>
      <c r="BG259" s="12">
        <f ca="1" t="shared" si="321"/>
        <v>31.9879860785646</v>
      </c>
      <c r="BH259" s="12">
        <f ca="1" t="shared" si="322"/>
        <v>26.0001000776005</v>
      </c>
      <c r="BI259" s="12">
        <f ca="1" t="shared" si="323"/>
        <v>21.303716839616</v>
      </c>
      <c r="BJ259" s="12">
        <f ca="1" t="shared" si="324"/>
        <v>16.6012109133973</v>
      </c>
      <c r="BK259" s="12">
        <f ca="1" t="shared" si="325"/>
        <v>12.2482565681095</v>
      </c>
      <c r="BL259" s="12">
        <f ca="1" t="shared" si="326"/>
        <v>7.86292442483881</v>
      </c>
      <c r="BM259" s="12">
        <f ca="1" t="shared" si="327"/>
        <v>3.60762736989308</v>
      </c>
      <c r="BN259" s="12">
        <f ca="1" t="shared" si="328"/>
        <v>0</v>
      </c>
      <c r="BO259" s="12">
        <f ca="1" t="shared" si="329"/>
        <v>0</v>
      </c>
    </row>
    <row r="260" spans="1:67">
      <c r="A260" s="3">
        <v>230</v>
      </c>
      <c r="B260" s="11">
        <f ca="1" t="shared" si="295"/>
        <v>0.37957097102189</v>
      </c>
      <c r="C260" s="12">
        <f ca="1" t="shared" si="296"/>
        <v>62.1595161836982</v>
      </c>
      <c r="D260" s="11">
        <f ca="1" t="shared" ref="D260:S260" si="366">RAND()</f>
        <v>0.491111084101867</v>
      </c>
      <c r="E260" s="11">
        <f ca="1" t="shared" si="366"/>
        <v>0.210475326992536</v>
      </c>
      <c r="F260" s="11">
        <f ca="1" t="shared" si="366"/>
        <v>0.303118696019421</v>
      </c>
      <c r="G260" s="11">
        <f ca="1" t="shared" si="366"/>
        <v>0.950061092860975</v>
      </c>
      <c r="H260" s="11">
        <f ca="1" t="shared" si="366"/>
        <v>0.0648473865138779</v>
      </c>
      <c r="I260" s="11">
        <f ca="1" t="shared" si="366"/>
        <v>0.367867461140686</v>
      </c>
      <c r="J260" s="11">
        <f ca="1" t="shared" si="366"/>
        <v>0.171833357977325</v>
      </c>
      <c r="K260" s="11">
        <f ca="1" t="shared" si="366"/>
        <v>0.751772208589461</v>
      </c>
      <c r="L260" s="11">
        <f ca="1" t="shared" si="366"/>
        <v>0.609140233997386</v>
      </c>
      <c r="M260" s="11">
        <f ca="1" t="shared" si="366"/>
        <v>0.422215255534523</v>
      </c>
      <c r="N260" s="11">
        <f ca="1" t="shared" si="366"/>
        <v>0.29742846062073</v>
      </c>
      <c r="O260" s="11">
        <f ca="1" t="shared" si="366"/>
        <v>0.902674056605624</v>
      </c>
      <c r="P260" s="11">
        <f ca="1" t="shared" si="366"/>
        <v>0.581714583891264</v>
      </c>
      <c r="Q260" s="11">
        <f ca="1" t="shared" si="366"/>
        <v>0.643843151710101</v>
      </c>
      <c r="R260" s="11">
        <f ca="1" t="shared" si="366"/>
        <v>0.826057979898362</v>
      </c>
      <c r="S260" s="11">
        <f ca="1" t="shared" si="366"/>
        <v>0.676994564506737</v>
      </c>
      <c r="T260" s="12">
        <f ca="1" t="shared" si="298"/>
        <v>4.73888885512733</v>
      </c>
      <c r="U260" s="12">
        <f ca="1" t="shared" si="299"/>
        <v>4.35079221165423</v>
      </c>
      <c r="V260" s="12">
        <f ca="1" t="shared" si="300"/>
        <v>4.50389837002428</v>
      </c>
      <c r="W260" s="12">
        <f ca="1" t="shared" si="301"/>
        <v>5.75030546430488</v>
      </c>
      <c r="X260" s="12">
        <f ca="1" t="shared" si="302"/>
        <v>4.10807897752313</v>
      </c>
      <c r="Y260" s="12">
        <f ca="1" t="shared" si="303"/>
        <v>4.58483432642586</v>
      </c>
      <c r="Z260" s="12">
        <f ca="1" t="shared" si="304"/>
        <v>4.28638892996221</v>
      </c>
      <c r="AA260" s="12">
        <f ca="1" t="shared" si="305"/>
        <v>5.12943052147365</v>
      </c>
      <c r="AB260" s="12">
        <f ca="1" t="shared" si="306"/>
        <v>4.88642529249673</v>
      </c>
      <c r="AC260" s="12">
        <f ca="1" t="shared" si="307"/>
        <v>4.65276906941815</v>
      </c>
      <c r="AD260" s="12">
        <f ca="1" t="shared" si="308"/>
        <v>4.49571410103455</v>
      </c>
      <c r="AE260" s="12">
        <f ca="1" t="shared" si="309"/>
        <v>5.51337028302812</v>
      </c>
      <c r="AF260" s="12">
        <f ca="1" t="shared" si="310"/>
        <v>4.85214322986408</v>
      </c>
      <c r="AG260" s="12">
        <f ca="1" t="shared" si="311"/>
        <v>4.92980393963763</v>
      </c>
      <c r="AH260" s="12">
        <f ca="1" t="shared" si="312"/>
        <v>5.31514494974591</v>
      </c>
      <c r="AI260" s="12">
        <f ca="1" t="shared" si="313"/>
        <v>4.97124320563342</v>
      </c>
      <c r="AJ260" s="12">
        <f ca="1">SUM($T260:T260)</f>
        <v>4.73888885512733</v>
      </c>
      <c r="AK260" s="12">
        <f ca="1">SUM($T260:U260)</f>
        <v>9.08968106678156</v>
      </c>
      <c r="AL260" s="12">
        <f ca="1">SUM($T260:V260)</f>
        <v>13.5935794368058</v>
      </c>
      <c r="AM260" s="12">
        <f ca="1">SUM($T260:W260)</f>
        <v>19.3438849011107</v>
      </c>
      <c r="AN260" s="12">
        <f ca="1">SUM($T260:X260)</f>
        <v>23.4519638786338</v>
      </c>
      <c r="AO260" s="12">
        <f ca="1">SUM($T260:Y260)</f>
        <v>28.0367982050597</v>
      </c>
      <c r="AP260" s="12">
        <f ca="1">SUM($T260:Z260)</f>
        <v>32.3231871350219</v>
      </c>
      <c r="AQ260" s="12">
        <f ca="1">SUM($T260:AA260)</f>
        <v>37.4526176564956</v>
      </c>
      <c r="AR260" s="12">
        <f ca="1">SUM($T260:AB260)</f>
        <v>42.3390429489923</v>
      </c>
      <c r="AS260" s="12">
        <f ca="1">SUM($T260:AC260)</f>
        <v>46.9918120184104</v>
      </c>
      <c r="AT260" s="12">
        <f ca="1">SUM($T260:AD260)</f>
        <v>51.487526119445</v>
      </c>
      <c r="AU260" s="12">
        <f ca="1">SUM($T260:AE260)</f>
        <v>57.0008964024731</v>
      </c>
      <c r="AV260" s="12">
        <f ca="1">SUM($T260:AF260)</f>
        <v>61.8530396323372</v>
      </c>
      <c r="AW260" s="12">
        <f ca="1">SUM($T260:AG260)</f>
        <v>66.7828435719748</v>
      </c>
      <c r="AX260" s="12">
        <f ca="1">SUM($T260:AH260)</f>
        <v>72.0979885217207</v>
      </c>
      <c r="AY260" s="12">
        <f ca="1">SUM($T260:AI260)</f>
        <v>77.0692317273542</v>
      </c>
      <c r="AZ260" s="12">
        <f ca="1" t="shared" si="314"/>
        <v>57.4206273285708</v>
      </c>
      <c r="BA260" s="12">
        <f ca="1" t="shared" si="315"/>
        <v>53.0698351169166</v>
      </c>
      <c r="BB260" s="12">
        <f ca="1" t="shared" si="316"/>
        <v>48.5659367468923</v>
      </c>
      <c r="BC260" s="12">
        <f ca="1" t="shared" si="317"/>
        <v>42.8156312825875</v>
      </c>
      <c r="BD260" s="12">
        <f ca="1" t="shared" si="318"/>
        <v>38.7075523050643</v>
      </c>
      <c r="BE260" s="12">
        <f ca="1" t="shared" si="319"/>
        <v>34.1227179786385</v>
      </c>
      <c r="BF260" s="12">
        <f ca="1" t="shared" si="320"/>
        <v>29.8363290486763</v>
      </c>
      <c r="BG260" s="12">
        <f ca="1" t="shared" si="321"/>
        <v>24.7068985272026</v>
      </c>
      <c r="BH260" s="12">
        <f ca="1" t="shared" si="322"/>
        <v>19.8204732347059</v>
      </c>
      <c r="BI260" s="12">
        <f ca="1" t="shared" si="323"/>
        <v>15.1677041652877</v>
      </c>
      <c r="BJ260" s="12">
        <f ca="1" t="shared" si="324"/>
        <v>10.6719900642532</v>
      </c>
      <c r="BK260" s="12">
        <f ca="1" t="shared" si="325"/>
        <v>5.15861978122506</v>
      </c>
      <c r="BL260" s="12">
        <f ca="1" t="shared" si="326"/>
        <v>0.30647655136098</v>
      </c>
      <c r="BM260" s="12">
        <f ca="1" t="shared" si="327"/>
        <v>0</v>
      </c>
      <c r="BN260" s="12">
        <f ca="1" t="shared" si="328"/>
        <v>0</v>
      </c>
      <c r="BO260" s="12">
        <f ca="1" t="shared" si="329"/>
        <v>0</v>
      </c>
    </row>
    <row r="261" spans="1:67">
      <c r="A261" s="3">
        <v>231</v>
      </c>
      <c r="B261" s="11">
        <f ca="1" t="shared" si="295"/>
        <v>0.0952313896736634</v>
      </c>
      <c r="C261" s="12">
        <f ca="1" t="shared" si="296"/>
        <v>54.7615694836832</v>
      </c>
      <c r="D261" s="11">
        <f ca="1" t="shared" ref="D261:S261" si="367">RAND()</f>
        <v>0.705150807337391</v>
      </c>
      <c r="E261" s="11">
        <f ca="1" t="shared" si="367"/>
        <v>0.721135837529952</v>
      </c>
      <c r="F261" s="11">
        <f ca="1" t="shared" si="367"/>
        <v>0.428904884493212</v>
      </c>
      <c r="G261" s="11">
        <f ca="1" t="shared" si="367"/>
        <v>0.0168928548237961</v>
      </c>
      <c r="H261" s="11">
        <f ca="1" t="shared" si="367"/>
        <v>0.180856840679165</v>
      </c>
      <c r="I261" s="11">
        <f ca="1" t="shared" si="367"/>
        <v>0.669129082758686</v>
      </c>
      <c r="J261" s="11">
        <f ca="1" t="shared" si="367"/>
        <v>0.85481977394906</v>
      </c>
      <c r="K261" s="11">
        <f ca="1" t="shared" si="367"/>
        <v>0.820961069177388</v>
      </c>
      <c r="L261" s="11">
        <f ca="1" t="shared" si="367"/>
        <v>0.490887426705405</v>
      </c>
      <c r="M261" s="11">
        <f ca="1" t="shared" si="367"/>
        <v>0.282415623824759</v>
      </c>
      <c r="N261" s="11">
        <f ca="1" t="shared" si="367"/>
        <v>0.522987403573739</v>
      </c>
      <c r="O261" s="11">
        <f ca="1" t="shared" si="367"/>
        <v>0.668473381818439</v>
      </c>
      <c r="P261" s="11">
        <f ca="1" t="shared" si="367"/>
        <v>0.635588379320807</v>
      </c>
      <c r="Q261" s="11">
        <f ca="1" t="shared" si="367"/>
        <v>0.247648000614778</v>
      </c>
      <c r="R261" s="11">
        <f ca="1" t="shared" si="367"/>
        <v>0.603233460166472</v>
      </c>
      <c r="S261" s="11">
        <f ca="1" t="shared" si="367"/>
        <v>0.264520231584101</v>
      </c>
      <c r="T261" s="12">
        <f ca="1" t="shared" si="298"/>
        <v>5.01287701834348</v>
      </c>
      <c r="U261" s="12">
        <f ca="1" t="shared" si="299"/>
        <v>5.05283959382488</v>
      </c>
      <c r="V261" s="12">
        <f ca="1" t="shared" si="300"/>
        <v>4.66113110561651</v>
      </c>
      <c r="W261" s="12">
        <f ca="1" t="shared" si="301"/>
        <v>4.02815475803966</v>
      </c>
      <c r="X261" s="12">
        <f ca="1" t="shared" si="302"/>
        <v>4.30142806779861</v>
      </c>
      <c r="Y261" s="12">
        <f ca="1" t="shared" si="303"/>
        <v>4.96141135344836</v>
      </c>
      <c r="Z261" s="12">
        <f ca="1" t="shared" si="304"/>
        <v>5.38704943487265</v>
      </c>
      <c r="AA261" s="12">
        <f ca="1" t="shared" si="305"/>
        <v>5.30240267294347</v>
      </c>
      <c r="AB261" s="12">
        <f ca="1" t="shared" si="306"/>
        <v>4.73860928338176</v>
      </c>
      <c r="AC261" s="12">
        <f ca="1" t="shared" si="307"/>
        <v>4.4706927063746</v>
      </c>
      <c r="AD261" s="12">
        <f ca="1" t="shared" si="308"/>
        <v>4.77873425446717</v>
      </c>
      <c r="AE261" s="12">
        <f ca="1" t="shared" si="309"/>
        <v>4.96059172727305</v>
      </c>
      <c r="AF261" s="12">
        <f ca="1" t="shared" si="310"/>
        <v>4.91948547415101</v>
      </c>
      <c r="AG261" s="12">
        <f ca="1" t="shared" si="311"/>
        <v>4.4127466676913</v>
      </c>
      <c r="AH261" s="12">
        <f ca="1" t="shared" si="312"/>
        <v>4.87904182520809</v>
      </c>
      <c r="AI261" s="12">
        <f ca="1" t="shared" si="313"/>
        <v>4.44086705264017</v>
      </c>
      <c r="AJ261" s="12">
        <f ca="1">SUM($T261:T261)</f>
        <v>5.01287701834348</v>
      </c>
      <c r="AK261" s="12">
        <f ca="1">SUM($T261:U261)</f>
        <v>10.0657166121684</v>
      </c>
      <c r="AL261" s="12">
        <f ca="1">SUM($T261:V261)</f>
        <v>14.7268477177849</v>
      </c>
      <c r="AM261" s="12">
        <f ca="1">SUM($T261:W261)</f>
        <v>18.7550024758245</v>
      </c>
      <c r="AN261" s="12">
        <f ca="1">SUM($T261:X261)</f>
        <v>23.0564305436231</v>
      </c>
      <c r="AO261" s="12">
        <f ca="1">SUM($T261:Y261)</f>
        <v>28.0178418970715</v>
      </c>
      <c r="AP261" s="12">
        <f ca="1">SUM($T261:Z261)</f>
        <v>33.4048913319441</v>
      </c>
      <c r="AQ261" s="12">
        <f ca="1">SUM($T261:AA261)</f>
        <v>38.7072940048876</v>
      </c>
      <c r="AR261" s="12">
        <f ca="1">SUM($T261:AB261)</f>
        <v>43.4459032882694</v>
      </c>
      <c r="AS261" s="12">
        <f ca="1">SUM($T261:AC261)</f>
        <v>47.916595994644</v>
      </c>
      <c r="AT261" s="12">
        <f ca="1">SUM($T261:AD261)</f>
        <v>52.6953302491112</v>
      </c>
      <c r="AU261" s="12">
        <f ca="1">SUM($T261:AE261)</f>
        <v>57.6559219763842</v>
      </c>
      <c r="AV261" s="12">
        <f ca="1">SUM($T261:AF261)</f>
        <v>62.5754074505352</v>
      </c>
      <c r="AW261" s="12">
        <f ca="1">SUM($T261:AG261)</f>
        <v>66.9881541182265</v>
      </c>
      <c r="AX261" s="12">
        <f ca="1">SUM($T261:AH261)</f>
        <v>71.8671959434346</v>
      </c>
      <c r="AY261" s="12">
        <f ca="1">SUM($T261:AI261)</f>
        <v>76.3080629960748</v>
      </c>
      <c r="AZ261" s="12">
        <f ca="1" t="shared" si="314"/>
        <v>49.7486924653397</v>
      </c>
      <c r="BA261" s="12">
        <f ca="1" t="shared" si="315"/>
        <v>44.6958528715148</v>
      </c>
      <c r="BB261" s="12">
        <f ca="1" t="shared" si="316"/>
        <v>40.0347217658983</v>
      </c>
      <c r="BC261" s="12">
        <f ca="1" t="shared" si="317"/>
        <v>36.0065670078586</v>
      </c>
      <c r="BD261" s="12">
        <f ca="1" t="shared" si="318"/>
        <v>31.70513894006</v>
      </c>
      <c r="BE261" s="12">
        <f ca="1" t="shared" si="319"/>
        <v>26.7437275866117</v>
      </c>
      <c r="BF261" s="12">
        <f ca="1" t="shared" si="320"/>
        <v>21.356678151739</v>
      </c>
      <c r="BG261" s="12">
        <f ca="1" t="shared" si="321"/>
        <v>16.0542754787955</v>
      </c>
      <c r="BH261" s="12">
        <f ca="1" t="shared" si="322"/>
        <v>11.3156661954138</v>
      </c>
      <c r="BI261" s="12">
        <f ca="1" t="shared" si="323"/>
        <v>6.84497348903919</v>
      </c>
      <c r="BJ261" s="12">
        <f ca="1" t="shared" si="324"/>
        <v>2.06623923457202</v>
      </c>
      <c r="BK261" s="12">
        <f ca="1" t="shared" si="325"/>
        <v>0</v>
      </c>
      <c r="BL261" s="12">
        <f ca="1" t="shared" si="326"/>
        <v>0</v>
      </c>
      <c r="BM261" s="12">
        <f ca="1" t="shared" si="327"/>
        <v>0</v>
      </c>
      <c r="BN261" s="12">
        <f ca="1" t="shared" si="328"/>
        <v>0</v>
      </c>
      <c r="BO261" s="12">
        <f ca="1" t="shared" si="329"/>
        <v>0</v>
      </c>
    </row>
    <row r="262" spans="1:67">
      <c r="A262" s="3">
        <v>232</v>
      </c>
      <c r="B262" s="11">
        <f ca="1" t="shared" si="295"/>
        <v>0.198269152278705</v>
      </c>
      <c r="C262" s="12">
        <f ca="1" t="shared" si="296"/>
        <v>58.2756384092902</v>
      </c>
      <c r="D262" s="11">
        <f ca="1" t="shared" ref="D262:S262" si="368">RAND()</f>
        <v>0.0344408213029697</v>
      </c>
      <c r="E262" s="11">
        <f ca="1" t="shared" si="368"/>
        <v>0.94017898248711</v>
      </c>
      <c r="F262" s="11">
        <f ca="1" t="shared" si="368"/>
        <v>0.434927795019768</v>
      </c>
      <c r="G262" s="11">
        <f ca="1" t="shared" si="368"/>
        <v>0.454873729415412</v>
      </c>
      <c r="H262" s="11">
        <f ca="1" t="shared" si="368"/>
        <v>0.461768698300753</v>
      </c>
      <c r="I262" s="11">
        <f ca="1" t="shared" si="368"/>
        <v>0.740969910637994</v>
      </c>
      <c r="J262" s="11">
        <f ca="1" t="shared" si="368"/>
        <v>0.140527566174173</v>
      </c>
      <c r="K262" s="11">
        <f ca="1" t="shared" si="368"/>
        <v>0.867333737305032</v>
      </c>
      <c r="L262" s="11">
        <f ca="1" t="shared" si="368"/>
        <v>0.0494200293808462</v>
      </c>
      <c r="M262" s="11">
        <f ca="1" t="shared" si="368"/>
        <v>0.156698599517469</v>
      </c>
      <c r="N262" s="11">
        <f ca="1" t="shared" si="368"/>
        <v>0.812808377767776</v>
      </c>
      <c r="O262" s="11">
        <f ca="1" t="shared" si="368"/>
        <v>0.964597664910582</v>
      </c>
      <c r="P262" s="11">
        <f ca="1" t="shared" si="368"/>
        <v>0.548499378623557</v>
      </c>
      <c r="Q262" s="11">
        <f ca="1" t="shared" si="368"/>
        <v>0.210773400338553</v>
      </c>
      <c r="R262" s="11">
        <f ca="1" t="shared" si="368"/>
        <v>0.234558156511902</v>
      </c>
      <c r="S262" s="11">
        <f ca="1" t="shared" si="368"/>
        <v>0.0373317531341735</v>
      </c>
      <c r="T262" s="12">
        <f ca="1" t="shared" si="298"/>
        <v>4.05740136883828</v>
      </c>
      <c r="U262" s="12">
        <f ca="1" t="shared" si="299"/>
        <v>5.70089491243555</v>
      </c>
      <c r="V262" s="12">
        <f ca="1" t="shared" si="300"/>
        <v>4.66865974377471</v>
      </c>
      <c r="W262" s="12">
        <f ca="1" t="shared" si="301"/>
        <v>4.69359216176927</v>
      </c>
      <c r="X262" s="12">
        <f ca="1" t="shared" si="302"/>
        <v>4.70221087287594</v>
      </c>
      <c r="Y262" s="12">
        <f ca="1" t="shared" si="303"/>
        <v>5.10242477659499</v>
      </c>
      <c r="Z262" s="12">
        <f ca="1" t="shared" si="304"/>
        <v>4.23421261029029</v>
      </c>
      <c r="AA262" s="12">
        <f ca="1" t="shared" si="305"/>
        <v>5.41833434326258</v>
      </c>
      <c r="AB262" s="12">
        <f ca="1" t="shared" si="306"/>
        <v>4.08236671563474</v>
      </c>
      <c r="AC262" s="12">
        <f ca="1" t="shared" si="307"/>
        <v>4.26116433252911</v>
      </c>
      <c r="AD262" s="12">
        <f ca="1" t="shared" si="308"/>
        <v>5.28202094441944</v>
      </c>
      <c r="AE262" s="12">
        <f ca="1" t="shared" si="309"/>
        <v>5.82298832455291</v>
      </c>
      <c r="AF262" s="12">
        <f ca="1" t="shared" si="310"/>
        <v>4.81062422327945</v>
      </c>
      <c r="AG262" s="12">
        <f ca="1" t="shared" si="311"/>
        <v>4.35128900056426</v>
      </c>
      <c r="AH262" s="12">
        <f ca="1" t="shared" si="312"/>
        <v>4.39093026085317</v>
      </c>
      <c r="AI262" s="12">
        <f ca="1" t="shared" si="313"/>
        <v>4.06221958855696</v>
      </c>
      <c r="AJ262" s="12">
        <f ca="1">SUM($T262:T262)</f>
        <v>4.05740136883828</v>
      </c>
      <c r="AK262" s="12">
        <f ca="1">SUM($T262:U262)</f>
        <v>9.75829628127383</v>
      </c>
      <c r="AL262" s="12">
        <f ca="1">SUM($T262:V262)</f>
        <v>14.4269560250485</v>
      </c>
      <c r="AM262" s="12">
        <f ca="1">SUM($T262:W262)</f>
        <v>19.1205481868178</v>
      </c>
      <c r="AN262" s="12">
        <f ca="1">SUM($T262:X262)</f>
        <v>23.8227590596937</v>
      </c>
      <c r="AO262" s="12">
        <f ca="1">SUM($T262:Y262)</f>
        <v>28.9251838362887</v>
      </c>
      <c r="AP262" s="12">
        <f ca="1">SUM($T262:Z262)</f>
        <v>33.159396446579</v>
      </c>
      <c r="AQ262" s="12">
        <f ca="1">SUM($T262:AA262)</f>
        <v>38.5777307898416</v>
      </c>
      <c r="AR262" s="12">
        <f ca="1">SUM($T262:AB262)</f>
        <v>42.6600975054763</v>
      </c>
      <c r="AS262" s="12">
        <f ca="1">SUM($T262:AC262)</f>
        <v>46.9212618380055</v>
      </c>
      <c r="AT262" s="12">
        <f ca="1">SUM($T262:AD262)</f>
        <v>52.2032827824249</v>
      </c>
      <c r="AU262" s="12">
        <f ca="1">SUM($T262:AE262)</f>
        <v>58.0262711069778</v>
      </c>
      <c r="AV262" s="12">
        <f ca="1">SUM($T262:AF262)</f>
        <v>62.8368953302573</v>
      </c>
      <c r="AW262" s="12">
        <f ca="1">SUM($T262:AG262)</f>
        <v>67.1881843308215</v>
      </c>
      <c r="AX262" s="12">
        <f ca="1">SUM($T262:AH262)</f>
        <v>71.5791145916747</v>
      </c>
      <c r="AY262" s="12">
        <f ca="1">SUM($T262:AI262)</f>
        <v>75.6413341802316</v>
      </c>
      <c r="AZ262" s="12">
        <f ca="1" t="shared" si="314"/>
        <v>54.2182370404519</v>
      </c>
      <c r="BA262" s="12">
        <f ca="1" t="shared" si="315"/>
        <v>48.5173421280163</v>
      </c>
      <c r="BB262" s="12">
        <f ca="1" t="shared" si="316"/>
        <v>43.8486823842416</v>
      </c>
      <c r="BC262" s="12">
        <f ca="1" t="shared" si="317"/>
        <v>39.1550902224724</v>
      </c>
      <c r="BD262" s="12">
        <f ca="1" t="shared" si="318"/>
        <v>34.4528793495964</v>
      </c>
      <c r="BE262" s="12">
        <f ca="1" t="shared" si="319"/>
        <v>29.3504545730014</v>
      </c>
      <c r="BF262" s="12">
        <f ca="1" t="shared" si="320"/>
        <v>25.1162419627112</v>
      </c>
      <c r="BG262" s="12">
        <f ca="1" t="shared" si="321"/>
        <v>19.6979076194486</v>
      </c>
      <c r="BH262" s="12">
        <f ca="1" t="shared" si="322"/>
        <v>15.6155409038138</v>
      </c>
      <c r="BI262" s="12">
        <f ca="1" t="shared" si="323"/>
        <v>11.3543765712847</v>
      </c>
      <c r="BJ262" s="12">
        <f ca="1" t="shared" si="324"/>
        <v>6.07235562686527</v>
      </c>
      <c r="BK262" s="12">
        <f ca="1" t="shared" si="325"/>
        <v>0.249367302312365</v>
      </c>
      <c r="BL262" s="12">
        <f ca="1" t="shared" si="326"/>
        <v>0</v>
      </c>
      <c r="BM262" s="12">
        <f ca="1" t="shared" si="327"/>
        <v>0</v>
      </c>
      <c r="BN262" s="12">
        <f ca="1" t="shared" si="328"/>
        <v>0</v>
      </c>
      <c r="BO262" s="12">
        <f ca="1" t="shared" si="329"/>
        <v>0</v>
      </c>
    </row>
    <row r="263" spans="1:67">
      <c r="A263" s="3">
        <v>233</v>
      </c>
      <c r="B263" s="11">
        <f ca="1" t="shared" si="295"/>
        <v>0.798018610668184</v>
      </c>
      <c r="C263" s="12">
        <f ca="1" t="shared" si="296"/>
        <v>68.5431230095455</v>
      </c>
      <c r="D263" s="11">
        <f ca="1" t="shared" ref="D263:S263" si="369">RAND()</f>
        <v>0.841716760228679</v>
      </c>
      <c r="E263" s="11">
        <f ca="1" t="shared" si="369"/>
        <v>0.545883451971727</v>
      </c>
      <c r="F263" s="11">
        <f ca="1" t="shared" si="369"/>
        <v>0.375226611096225</v>
      </c>
      <c r="G263" s="11">
        <f ca="1" t="shared" si="369"/>
        <v>0.700428013385949</v>
      </c>
      <c r="H263" s="11">
        <f ca="1" t="shared" si="369"/>
        <v>0.503072026822969</v>
      </c>
      <c r="I263" s="11">
        <f ca="1" t="shared" si="369"/>
        <v>0.104502628598226</v>
      </c>
      <c r="J263" s="11">
        <f ca="1" t="shared" si="369"/>
        <v>0.468924100757479</v>
      </c>
      <c r="K263" s="11">
        <f ca="1" t="shared" si="369"/>
        <v>0.656194798318409</v>
      </c>
      <c r="L263" s="11">
        <f ca="1" t="shared" si="369"/>
        <v>0.625086741871505</v>
      </c>
      <c r="M263" s="11">
        <f ca="1" t="shared" si="369"/>
        <v>0.648165766914597</v>
      </c>
      <c r="N263" s="11">
        <f ca="1" t="shared" si="369"/>
        <v>0.878140132679051</v>
      </c>
      <c r="O263" s="11">
        <f ca="1" t="shared" si="369"/>
        <v>0.0887084618694063</v>
      </c>
      <c r="P263" s="11">
        <f ca="1" t="shared" si="369"/>
        <v>0.313377117212026</v>
      </c>
      <c r="Q263" s="11">
        <f ca="1" t="shared" si="369"/>
        <v>0.936613200086295</v>
      </c>
      <c r="R263" s="11">
        <f ca="1" t="shared" si="369"/>
        <v>0.129773077348395</v>
      </c>
      <c r="S263" s="11">
        <f ca="1" t="shared" si="369"/>
        <v>0.809463730853501</v>
      </c>
      <c r="T263" s="12">
        <f ca="1" t="shared" si="298"/>
        <v>5.3542919005717</v>
      </c>
      <c r="U263" s="12">
        <f ca="1" t="shared" si="299"/>
        <v>4.80735431496466</v>
      </c>
      <c r="V263" s="12">
        <f ca="1" t="shared" si="300"/>
        <v>4.59403326387028</v>
      </c>
      <c r="W263" s="12">
        <f ca="1" t="shared" si="301"/>
        <v>5.00107003346487</v>
      </c>
      <c r="X263" s="12">
        <f ca="1" t="shared" si="302"/>
        <v>4.75384003352871</v>
      </c>
      <c r="Y263" s="12">
        <f ca="1" t="shared" si="303"/>
        <v>4.17417104766371</v>
      </c>
      <c r="Z263" s="12">
        <f ca="1" t="shared" si="304"/>
        <v>4.71115512594685</v>
      </c>
      <c r="AA263" s="12">
        <f ca="1" t="shared" si="305"/>
        <v>4.94524349789801</v>
      </c>
      <c r="AB263" s="12">
        <f ca="1" t="shared" si="306"/>
        <v>4.90635842733938</v>
      </c>
      <c r="AC263" s="12">
        <f ca="1" t="shared" si="307"/>
        <v>4.93520720864325</v>
      </c>
      <c r="AD263" s="12">
        <f ca="1" t="shared" si="308"/>
        <v>5.44535033169763</v>
      </c>
      <c r="AE263" s="12">
        <f ca="1" t="shared" si="309"/>
        <v>4.14784743644901</v>
      </c>
      <c r="AF263" s="12">
        <f ca="1" t="shared" si="310"/>
        <v>4.51672139651503</v>
      </c>
      <c r="AG263" s="12">
        <f ca="1" t="shared" si="311"/>
        <v>5.68306600043148</v>
      </c>
      <c r="AH263" s="12">
        <f ca="1" t="shared" si="312"/>
        <v>4.21628846224732</v>
      </c>
      <c r="AI263" s="12">
        <f ca="1" t="shared" si="313"/>
        <v>5.27365932713375</v>
      </c>
      <c r="AJ263" s="12">
        <f ca="1">SUM($T263:T263)</f>
        <v>5.3542919005717</v>
      </c>
      <c r="AK263" s="12">
        <f ca="1">SUM($T263:U263)</f>
        <v>10.1616462155364</v>
      </c>
      <c r="AL263" s="12">
        <f ca="1">SUM($T263:V263)</f>
        <v>14.7556794794066</v>
      </c>
      <c r="AM263" s="12">
        <f ca="1">SUM($T263:W263)</f>
        <v>19.7567495128715</v>
      </c>
      <c r="AN263" s="12">
        <f ca="1">SUM($T263:X263)</f>
        <v>24.5105895464002</v>
      </c>
      <c r="AO263" s="12">
        <f ca="1">SUM($T263:Y263)</f>
        <v>28.6847605940639</v>
      </c>
      <c r="AP263" s="12">
        <f ca="1">SUM($T263:Z263)</f>
        <v>33.3959157200108</v>
      </c>
      <c r="AQ263" s="12">
        <f ca="1">SUM($T263:AA263)</f>
        <v>38.3411592179088</v>
      </c>
      <c r="AR263" s="12">
        <f ca="1">SUM($T263:AB263)</f>
        <v>43.2475176452482</v>
      </c>
      <c r="AS263" s="12">
        <f ca="1">SUM($T263:AC263)</f>
        <v>48.1827248538914</v>
      </c>
      <c r="AT263" s="12">
        <f ca="1">SUM($T263:AD263)</f>
        <v>53.628075185589</v>
      </c>
      <c r="AU263" s="12">
        <f ca="1">SUM($T263:AE263)</f>
        <v>57.7759226220381</v>
      </c>
      <c r="AV263" s="12">
        <f ca="1">SUM($T263:AF263)</f>
        <v>62.2926440185531</v>
      </c>
      <c r="AW263" s="12">
        <f ca="1">SUM($T263:AG263)</f>
        <v>67.9757100189846</v>
      </c>
      <c r="AX263" s="12">
        <f ca="1">SUM($T263:AH263)</f>
        <v>72.1919984812319</v>
      </c>
      <c r="AY263" s="12">
        <f ca="1">SUM($T263:AI263)</f>
        <v>77.4656578083656</v>
      </c>
      <c r="AZ263" s="12">
        <f ca="1" t="shared" si="314"/>
        <v>63.1888311089738</v>
      </c>
      <c r="BA263" s="12">
        <f ca="1" t="shared" si="315"/>
        <v>58.3814767940091</v>
      </c>
      <c r="BB263" s="12">
        <f ca="1" t="shared" si="316"/>
        <v>53.7874435301388</v>
      </c>
      <c r="BC263" s="12">
        <f ca="1" t="shared" si="317"/>
        <v>48.786373496674</v>
      </c>
      <c r="BD263" s="12">
        <f ca="1" t="shared" si="318"/>
        <v>44.0325334631453</v>
      </c>
      <c r="BE263" s="12">
        <f ca="1" t="shared" si="319"/>
        <v>39.8583624154816</v>
      </c>
      <c r="BF263" s="12">
        <f ca="1" t="shared" si="320"/>
        <v>35.1472072895347</v>
      </c>
      <c r="BG263" s="12">
        <f ca="1" t="shared" si="321"/>
        <v>30.2019637916367</v>
      </c>
      <c r="BH263" s="12">
        <f ca="1" t="shared" si="322"/>
        <v>25.2956053642973</v>
      </c>
      <c r="BI263" s="12">
        <f ca="1" t="shared" si="323"/>
        <v>20.3603981556541</v>
      </c>
      <c r="BJ263" s="12">
        <f ca="1" t="shared" si="324"/>
        <v>14.9150478239564</v>
      </c>
      <c r="BK263" s="12">
        <f ca="1" t="shared" si="325"/>
        <v>10.7672003875074</v>
      </c>
      <c r="BL263" s="12">
        <f ca="1" t="shared" si="326"/>
        <v>6.25047899099239</v>
      </c>
      <c r="BM263" s="12">
        <f ca="1" t="shared" si="327"/>
        <v>0.567412990560911</v>
      </c>
      <c r="BN263" s="12">
        <f ca="1" t="shared" si="328"/>
        <v>0</v>
      </c>
      <c r="BO263" s="12">
        <f ca="1" t="shared" si="329"/>
        <v>0</v>
      </c>
    </row>
    <row r="264" spans="1:67">
      <c r="A264" s="3">
        <v>234</v>
      </c>
      <c r="B264" s="11">
        <f ca="1" t="shared" si="295"/>
        <v>0.882880035081323</v>
      </c>
      <c r="C264" s="12">
        <f ca="1" t="shared" si="296"/>
        <v>69.7554290725903</v>
      </c>
      <c r="D264" s="11">
        <f ca="1" t="shared" ref="D264:S264" si="370">RAND()</f>
        <v>0.503433013960299</v>
      </c>
      <c r="E264" s="11">
        <f ca="1" t="shared" si="370"/>
        <v>0.263715368860167</v>
      </c>
      <c r="F264" s="11">
        <f ca="1" t="shared" si="370"/>
        <v>0.456402678573713</v>
      </c>
      <c r="G264" s="11">
        <f ca="1" t="shared" si="370"/>
        <v>0.612760572003856</v>
      </c>
      <c r="H264" s="11">
        <f ca="1" t="shared" si="370"/>
        <v>0.759304837733234</v>
      </c>
      <c r="I264" s="11">
        <f ca="1" t="shared" si="370"/>
        <v>0.422229805521622</v>
      </c>
      <c r="J264" s="11">
        <f ca="1" t="shared" si="370"/>
        <v>0.323457190094874</v>
      </c>
      <c r="K264" s="11">
        <f ca="1" t="shared" si="370"/>
        <v>0.276049683619007</v>
      </c>
      <c r="L264" s="11">
        <f ca="1" t="shared" si="370"/>
        <v>0.646717541734572</v>
      </c>
      <c r="M264" s="11">
        <f ca="1" t="shared" si="370"/>
        <v>0.93176354322959</v>
      </c>
      <c r="N264" s="11">
        <f ca="1" t="shared" si="370"/>
        <v>0.113771187277851</v>
      </c>
      <c r="O264" s="11">
        <f ca="1" t="shared" si="370"/>
        <v>0.828331057766242</v>
      </c>
      <c r="P264" s="11">
        <f ca="1" t="shared" si="370"/>
        <v>0.657089305151031</v>
      </c>
      <c r="Q264" s="11">
        <f ca="1" t="shared" si="370"/>
        <v>0.721157390084196</v>
      </c>
      <c r="R264" s="11">
        <f ca="1" t="shared" si="370"/>
        <v>0.59120983529691</v>
      </c>
      <c r="S264" s="11">
        <f ca="1" t="shared" si="370"/>
        <v>0.175264844212719</v>
      </c>
      <c r="T264" s="12">
        <f ca="1" t="shared" si="298"/>
        <v>4.75429126745037</v>
      </c>
      <c r="U264" s="12">
        <f ca="1" t="shared" si="299"/>
        <v>4.43952561476694</v>
      </c>
      <c r="V264" s="12">
        <f ca="1" t="shared" si="300"/>
        <v>4.69550334821714</v>
      </c>
      <c r="W264" s="12">
        <f ca="1" t="shared" si="301"/>
        <v>4.89095071500482</v>
      </c>
      <c r="X264" s="12">
        <f ca="1" t="shared" si="302"/>
        <v>5.14826209433309</v>
      </c>
      <c r="Y264" s="12">
        <f ca="1" t="shared" si="303"/>
        <v>4.65278725690203</v>
      </c>
      <c r="Z264" s="12">
        <f ca="1" t="shared" si="304"/>
        <v>4.52932148761859</v>
      </c>
      <c r="AA264" s="12">
        <f ca="1" t="shared" si="305"/>
        <v>4.46008280603168</v>
      </c>
      <c r="AB264" s="12">
        <f ca="1" t="shared" si="306"/>
        <v>4.93339692716821</v>
      </c>
      <c r="AC264" s="12">
        <f ca="1" t="shared" si="307"/>
        <v>5.65881771614795</v>
      </c>
      <c r="AD264" s="12">
        <f ca="1" t="shared" si="308"/>
        <v>4.18961864546309</v>
      </c>
      <c r="AE264" s="12">
        <f ca="1" t="shared" si="309"/>
        <v>5.3208276444156</v>
      </c>
      <c r="AF264" s="12">
        <f ca="1" t="shared" si="310"/>
        <v>4.94636163143879</v>
      </c>
      <c r="AG264" s="12">
        <f ca="1" t="shared" si="311"/>
        <v>5.05289347521049</v>
      </c>
      <c r="AH264" s="12">
        <f ca="1" t="shared" si="312"/>
        <v>4.86401229412114</v>
      </c>
      <c r="AI264" s="12">
        <f ca="1" t="shared" si="313"/>
        <v>4.29210807368786</v>
      </c>
      <c r="AJ264" s="12">
        <f ca="1">SUM($T264:T264)</f>
        <v>4.75429126745037</v>
      </c>
      <c r="AK264" s="12">
        <f ca="1">SUM($T264:U264)</f>
        <v>9.19381688221732</v>
      </c>
      <c r="AL264" s="12">
        <f ca="1">SUM($T264:V264)</f>
        <v>13.8893202304345</v>
      </c>
      <c r="AM264" s="12">
        <f ca="1">SUM($T264:W264)</f>
        <v>18.7802709454393</v>
      </c>
      <c r="AN264" s="12">
        <f ca="1">SUM($T264:X264)</f>
        <v>23.9285330397724</v>
      </c>
      <c r="AO264" s="12">
        <f ca="1">SUM($T264:Y264)</f>
        <v>28.5813202966744</v>
      </c>
      <c r="AP264" s="12">
        <f ca="1">SUM($T264:Z264)</f>
        <v>33.110641784293</v>
      </c>
      <c r="AQ264" s="12">
        <f ca="1">SUM($T264:AA264)</f>
        <v>37.5707245903247</v>
      </c>
      <c r="AR264" s="12">
        <f ca="1">SUM($T264:AB264)</f>
        <v>42.5041215174929</v>
      </c>
      <c r="AS264" s="12">
        <f ca="1">SUM($T264:AC264)</f>
        <v>48.1629392336408</v>
      </c>
      <c r="AT264" s="12">
        <f ca="1">SUM($T264:AD264)</f>
        <v>52.3525578791039</v>
      </c>
      <c r="AU264" s="12">
        <f ca="1">SUM($T264:AE264)</f>
        <v>57.6733855235195</v>
      </c>
      <c r="AV264" s="12">
        <f ca="1">SUM($T264:AF264)</f>
        <v>62.6197471549583</v>
      </c>
      <c r="AW264" s="12">
        <f ca="1">SUM($T264:AG264)</f>
        <v>67.6726406301688</v>
      </c>
      <c r="AX264" s="12">
        <f ca="1">SUM($T264:AH264)</f>
        <v>72.5366529242899</v>
      </c>
      <c r="AY264" s="12">
        <f ca="1">SUM($T264:AI264)</f>
        <v>76.8287609979778</v>
      </c>
      <c r="AZ264" s="12">
        <f ca="1" t="shared" si="314"/>
        <v>65.0011378051399</v>
      </c>
      <c r="BA264" s="12">
        <f ca="1" t="shared" si="315"/>
        <v>60.561612190373</v>
      </c>
      <c r="BB264" s="12">
        <f ca="1" t="shared" si="316"/>
        <v>55.8661088421559</v>
      </c>
      <c r="BC264" s="12">
        <f ca="1" t="shared" si="317"/>
        <v>50.975158127151</v>
      </c>
      <c r="BD264" s="12">
        <f ca="1" t="shared" si="318"/>
        <v>45.8268960328179</v>
      </c>
      <c r="BE264" s="12">
        <f ca="1" t="shared" si="319"/>
        <v>41.1741087759159</v>
      </c>
      <c r="BF264" s="12">
        <f ca="1" t="shared" si="320"/>
        <v>36.6447872882973</v>
      </c>
      <c r="BG264" s="12">
        <f ca="1" t="shared" si="321"/>
        <v>32.1847044822657</v>
      </c>
      <c r="BH264" s="12">
        <f ca="1" t="shared" si="322"/>
        <v>27.2513075550974</v>
      </c>
      <c r="BI264" s="12">
        <f ca="1" t="shared" si="323"/>
        <v>21.5924898389495</v>
      </c>
      <c r="BJ264" s="12">
        <f ca="1" t="shared" si="324"/>
        <v>17.4028711934864</v>
      </c>
      <c r="BK264" s="12">
        <f ca="1" t="shared" si="325"/>
        <v>12.0820435490708</v>
      </c>
      <c r="BL264" s="12">
        <f ca="1" t="shared" si="326"/>
        <v>7.13568191763201</v>
      </c>
      <c r="BM264" s="12">
        <f ca="1" t="shared" si="327"/>
        <v>2.08278844242152</v>
      </c>
      <c r="BN264" s="12">
        <f ca="1" t="shared" si="328"/>
        <v>0</v>
      </c>
      <c r="BO264" s="12">
        <f ca="1" t="shared" si="329"/>
        <v>0</v>
      </c>
    </row>
    <row r="265" spans="1:67">
      <c r="A265" s="3">
        <v>235</v>
      </c>
      <c r="B265" s="11">
        <f ca="1" t="shared" si="295"/>
        <v>0.651728823339385</v>
      </c>
      <c r="C265" s="12">
        <f ca="1" t="shared" si="296"/>
        <v>66.4532689048484</v>
      </c>
      <c r="D265" s="11">
        <f ca="1" t="shared" ref="D265:S265" si="371">RAND()</f>
        <v>0.819293035985604</v>
      </c>
      <c r="E265" s="11">
        <f ca="1" t="shared" si="371"/>
        <v>0.568468840351816</v>
      </c>
      <c r="F265" s="11">
        <f ca="1" t="shared" si="371"/>
        <v>0.169967796425394</v>
      </c>
      <c r="G265" s="11">
        <f ca="1" t="shared" si="371"/>
        <v>0.230588799425502</v>
      </c>
      <c r="H265" s="11">
        <f ca="1" t="shared" si="371"/>
        <v>0.734293180592968</v>
      </c>
      <c r="I265" s="11">
        <f ca="1" t="shared" si="371"/>
        <v>0.428653419932609</v>
      </c>
      <c r="J265" s="11">
        <f ca="1" t="shared" si="371"/>
        <v>0.160635415386646</v>
      </c>
      <c r="K265" s="11">
        <f ca="1" t="shared" si="371"/>
        <v>0.745623445571396</v>
      </c>
      <c r="L265" s="11">
        <f ca="1" t="shared" si="371"/>
        <v>0.244070943731251</v>
      </c>
      <c r="M265" s="11">
        <f ca="1" t="shared" si="371"/>
        <v>0.125053513981364</v>
      </c>
      <c r="N265" s="11">
        <f ca="1" t="shared" si="371"/>
        <v>0.73792591960837</v>
      </c>
      <c r="O265" s="11">
        <f ca="1" t="shared" si="371"/>
        <v>0.180875008045017</v>
      </c>
      <c r="P265" s="11">
        <f ca="1" t="shared" si="371"/>
        <v>0.333521703286628</v>
      </c>
      <c r="Q265" s="11">
        <f ca="1" t="shared" si="371"/>
        <v>0.172886599426648</v>
      </c>
      <c r="R265" s="11">
        <f ca="1" t="shared" si="371"/>
        <v>0.190504837604694</v>
      </c>
      <c r="S265" s="11">
        <f ca="1" t="shared" si="371"/>
        <v>0.110396867768703</v>
      </c>
      <c r="T265" s="12">
        <f ca="1" t="shared" si="298"/>
        <v>5.29823258996401</v>
      </c>
      <c r="U265" s="12">
        <f ca="1" t="shared" si="299"/>
        <v>4.83558605043977</v>
      </c>
      <c r="V265" s="12">
        <f ca="1" t="shared" si="300"/>
        <v>4.28327966070899</v>
      </c>
      <c r="W265" s="12">
        <f ca="1" t="shared" si="301"/>
        <v>4.38431466570917</v>
      </c>
      <c r="X265" s="12">
        <f ca="1" t="shared" si="302"/>
        <v>5.08573295148242</v>
      </c>
      <c r="Y265" s="12">
        <f ca="1" t="shared" si="303"/>
        <v>4.66081677491576</v>
      </c>
      <c r="Z265" s="12">
        <f ca="1" t="shared" si="304"/>
        <v>4.26772569231108</v>
      </c>
      <c r="AA265" s="12">
        <f ca="1" t="shared" si="305"/>
        <v>5.11405861392849</v>
      </c>
      <c r="AB265" s="12">
        <f ca="1" t="shared" si="306"/>
        <v>4.40678490621875</v>
      </c>
      <c r="AC265" s="12">
        <f ca="1" t="shared" si="307"/>
        <v>4.20842252330227</v>
      </c>
      <c r="AD265" s="12">
        <f ca="1" t="shared" si="308"/>
        <v>5.09481479902092</v>
      </c>
      <c r="AE265" s="12">
        <f ca="1" t="shared" si="309"/>
        <v>4.30145834674169</v>
      </c>
      <c r="AF265" s="12">
        <f ca="1" t="shared" si="310"/>
        <v>4.54190212910828</v>
      </c>
      <c r="AG265" s="12">
        <f ca="1" t="shared" si="311"/>
        <v>4.28814433237775</v>
      </c>
      <c r="AH265" s="12">
        <f ca="1" t="shared" si="312"/>
        <v>4.31750806267449</v>
      </c>
      <c r="AI265" s="12">
        <f ca="1" t="shared" si="313"/>
        <v>4.18399477961451</v>
      </c>
      <c r="AJ265" s="12">
        <f ca="1">SUM($T265:T265)</f>
        <v>5.29823258996401</v>
      </c>
      <c r="AK265" s="12">
        <f ca="1">SUM($T265:U265)</f>
        <v>10.1338186404038</v>
      </c>
      <c r="AL265" s="12">
        <f ca="1">SUM($T265:V265)</f>
        <v>14.4170983011128</v>
      </c>
      <c r="AM265" s="12">
        <f ca="1">SUM($T265:W265)</f>
        <v>18.8014129668219</v>
      </c>
      <c r="AN265" s="12">
        <f ca="1">SUM($T265:X265)</f>
        <v>23.8871459183044</v>
      </c>
      <c r="AO265" s="12">
        <f ca="1">SUM($T265:Y265)</f>
        <v>28.5479626932201</v>
      </c>
      <c r="AP265" s="12">
        <f ca="1">SUM($T265:Z265)</f>
        <v>32.8156883855312</v>
      </c>
      <c r="AQ265" s="12">
        <f ca="1">SUM($T265:AA265)</f>
        <v>37.9297469994597</v>
      </c>
      <c r="AR265" s="12">
        <f ca="1">SUM($T265:AB265)</f>
        <v>42.3365319056784</v>
      </c>
      <c r="AS265" s="12">
        <f ca="1">SUM($T265:AC265)</f>
        <v>46.5449544289807</v>
      </c>
      <c r="AT265" s="12">
        <f ca="1">SUM($T265:AD265)</f>
        <v>51.6397692280016</v>
      </c>
      <c r="AU265" s="12">
        <f ca="1">SUM($T265:AE265)</f>
        <v>55.9412275747433</v>
      </c>
      <c r="AV265" s="12">
        <f ca="1">SUM($T265:AF265)</f>
        <v>60.4831297038516</v>
      </c>
      <c r="AW265" s="12">
        <f ca="1">SUM($T265:AG265)</f>
        <v>64.7712740362294</v>
      </c>
      <c r="AX265" s="12">
        <f ca="1">SUM($T265:AH265)</f>
        <v>69.0887820989039</v>
      </c>
      <c r="AY265" s="12">
        <f ca="1">SUM($T265:AI265)</f>
        <v>73.2727768785184</v>
      </c>
      <c r="AZ265" s="12">
        <f ca="1" t="shared" si="314"/>
        <v>61.1550363148843</v>
      </c>
      <c r="BA265" s="12">
        <f ca="1" t="shared" si="315"/>
        <v>56.3194502644446</v>
      </c>
      <c r="BB265" s="12">
        <f ca="1" t="shared" si="316"/>
        <v>52.0361706037356</v>
      </c>
      <c r="BC265" s="12">
        <f ca="1" t="shared" si="317"/>
        <v>47.6518559380264</v>
      </c>
      <c r="BD265" s="12">
        <f ca="1" t="shared" si="318"/>
        <v>42.566122986544</v>
      </c>
      <c r="BE265" s="12">
        <f ca="1" t="shared" si="319"/>
        <v>37.9053062116282</v>
      </c>
      <c r="BF265" s="12">
        <f ca="1" t="shared" si="320"/>
        <v>33.6375805193172</v>
      </c>
      <c r="BG265" s="12">
        <f ca="1" t="shared" si="321"/>
        <v>28.5235219053887</v>
      </c>
      <c r="BH265" s="12">
        <f ca="1" t="shared" si="322"/>
        <v>24.1167369991699</v>
      </c>
      <c r="BI265" s="12">
        <f ca="1" t="shared" si="323"/>
        <v>19.9083144758676</v>
      </c>
      <c r="BJ265" s="12">
        <f ca="1" t="shared" si="324"/>
        <v>14.8134996768467</v>
      </c>
      <c r="BK265" s="12">
        <f ca="1" t="shared" si="325"/>
        <v>10.512041330105</v>
      </c>
      <c r="BL265" s="12">
        <f ca="1" t="shared" si="326"/>
        <v>5.97013920099673</v>
      </c>
      <c r="BM265" s="12">
        <f ca="1" t="shared" si="327"/>
        <v>1.68199486861899</v>
      </c>
      <c r="BN265" s="12">
        <f ca="1" t="shared" si="328"/>
        <v>0</v>
      </c>
      <c r="BO265" s="12">
        <f ca="1" t="shared" si="329"/>
        <v>0</v>
      </c>
    </row>
    <row r="266" spans="1:67">
      <c r="A266" s="3">
        <v>236</v>
      </c>
      <c r="B266" s="11">
        <f ca="1" t="shared" si="295"/>
        <v>0.49088019193153</v>
      </c>
      <c r="C266" s="12">
        <f ca="1" t="shared" si="296"/>
        <v>64.0146698655255</v>
      </c>
      <c r="D266" s="11">
        <f ca="1" t="shared" ref="D266:S266" si="372">RAND()</f>
        <v>0.143879718259266</v>
      </c>
      <c r="E266" s="11">
        <f ca="1" t="shared" si="372"/>
        <v>0.748035369845695</v>
      </c>
      <c r="F266" s="11">
        <f ca="1" t="shared" si="372"/>
        <v>0.12360425307608</v>
      </c>
      <c r="G266" s="11">
        <f ca="1" t="shared" si="372"/>
        <v>0.549702297627136</v>
      </c>
      <c r="H266" s="11">
        <f ca="1" t="shared" si="372"/>
        <v>0.501400100337783</v>
      </c>
      <c r="I266" s="11">
        <f ca="1" t="shared" si="372"/>
        <v>0.813318928551617</v>
      </c>
      <c r="J266" s="11">
        <f ca="1" t="shared" si="372"/>
        <v>0.681013133509343</v>
      </c>
      <c r="K266" s="11">
        <f ca="1" t="shared" si="372"/>
        <v>0.281934610090753</v>
      </c>
      <c r="L266" s="11">
        <f ca="1" t="shared" si="372"/>
        <v>0.768295932536033</v>
      </c>
      <c r="M266" s="11">
        <f ca="1" t="shared" si="372"/>
        <v>0.507582954968037</v>
      </c>
      <c r="N266" s="11">
        <f ca="1" t="shared" si="372"/>
        <v>0.710897590300627</v>
      </c>
      <c r="O266" s="11">
        <f ca="1" t="shared" si="372"/>
        <v>0.997559509398562</v>
      </c>
      <c r="P266" s="11">
        <f ca="1" t="shared" si="372"/>
        <v>0.152583283754817</v>
      </c>
      <c r="Q266" s="11">
        <f ca="1" t="shared" si="372"/>
        <v>0.616987542449033</v>
      </c>
      <c r="R266" s="11">
        <f ca="1" t="shared" si="372"/>
        <v>0.415998713679103</v>
      </c>
      <c r="S266" s="11">
        <f ca="1" t="shared" si="372"/>
        <v>0.153188012833089</v>
      </c>
      <c r="T266" s="12">
        <f ca="1" t="shared" si="298"/>
        <v>4.23979953043211</v>
      </c>
      <c r="U266" s="12">
        <f ca="1" t="shared" si="299"/>
        <v>5.12008842461424</v>
      </c>
      <c r="V266" s="12">
        <f ca="1" t="shared" si="300"/>
        <v>4.20600708846013</v>
      </c>
      <c r="W266" s="12">
        <f ca="1" t="shared" si="301"/>
        <v>4.81212787203392</v>
      </c>
      <c r="X266" s="12">
        <f ca="1" t="shared" si="302"/>
        <v>4.75175012542223</v>
      </c>
      <c r="Y266" s="12">
        <f ca="1" t="shared" si="303"/>
        <v>5.28329732137904</v>
      </c>
      <c r="Z266" s="12">
        <f ca="1" t="shared" si="304"/>
        <v>4.97626641688668</v>
      </c>
      <c r="AA266" s="12">
        <f ca="1" t="shared" si="305"/>
        <v>4.46989101681792</v>
      </c>
      <c r="AB266" s="12">
        <f ca="1" t="shared" si="306"/>
        <v>5.17073983134008</v>
      </c>
      <c r="AC266" s="12">
        <f ca="1" t="shared" si="307"/>
        <v>4.75947869371005</v>
      </c>
      <c r="AD266" s="12">
        <f ca="1" t="shared" si="308"/>
        <v>5.02724397575157</v>
      </c>
      <c r="AE266" s="12">
        <f ca="1" t="shared" si="309"/>
        <v>5.98779754699281</v>
      </c>
      <c r="AF266" s="12">
        <f ca="1" t="shared" si="310"/>
        <v>4.2543054729247</v>
      </c>
      <c r="AG266" s="12">
        <f ca="1" t="shared" si="311"/>
        <v>4.89623442806129</v>
      </c>
      <c r="AH266" s="12">
        <f ca="1" t="shared" si="312"/>
        <v>4.64499839209888</v>
      </c>
      <c r="AI266" s="12">
        <f ca="1" t="shared" si="313"/>
        <v>4.25531335472182</v>
      </c>
      <c r="AJ266" s="12">
        <f ca="1">SUM($T266:T266)</f>
        <v>4.23979953043211</v>
      </c>
      <c r="AK266" s="12">
        <f ca="1">SUM($T266:U266)</f>
        <v>9.35988795504635</v>
      </c>
      <c r="AL266" s="12">
        <f ca="1">SUM($T266:V266)</f>
        <v>13.5658950435065</v>
      </c>
      <c r="AM266" s="12">
        <f ca="1">SUM($T266:W266)</f>
        <v>18.3780229155404</v>
      </c>
      <c r="AN266" s="12">
        <f ca="1">SUM($T266:X266)</f>
        <v>23.1297730409626</v>
      </c>
      <c r="AO266" s="12">
        <f ca="1">SUM($T266:Y266)</f>
        <v>28.4130703623417</v>
      </c>
      <c r="AP266" s="12">
        <f ca="1">SUM($T266:Z266)</f>
        <v>33.3893367792284</v>
      </c>
      <c r="AQ266" s="12">
        <f ca="1">SUM($T266:AA266)</f>
        <v>37.8592277960463</v>
      </c>
      <c r="AR266" s="12">
        <f ca="1">SUM($T266:AB266)</f>
        <v>43.0299676273864</v>
      </c>
      <c r="AS266" s="12">
        <f ca="1">SUM($T266:AC266)</f>
        <v>47.7894463210964</v>
      </c>
      <c r="AT266" s="12">
        <f ca="1">SUM($T266:AD266)</f>
        <v>52.816690296848</v>
      </c>
      <c r="AU266" s="12">
        <f ca="1">SUM($T266:AE266)</f>
        <v>58.8044878438408</v>
      </c>
      <c r="AV266" s="12">
        <f ca="1">SUM($T266:AF266)</f>
        <v>63.0587933167655</v>
      </c>
      <c r="AW266" s="12">
        <f ca="1">SUM($T266:AG266)</f>
        <v>67.9550277448268</v>
      </c>
      <c r="AX266" s="12">
        <f ca="1">SUM($T266:AH266)</f>
        <v>72.6000261369257</v>
      </c>
      <c r="AY266" s="12">
        <f ca="1">SUM($T266:AI266)</f>
        <v>76.8553394916475</v>
      </c>
      <c r="AZ266" s="12">
        <f ca="1" t="shared" si="314"/>
        <v>59.7748703350934</v>
      </c>
      <c r="BA266" s="12">
        <f ca="1" t="shared" si="315"/>
        <v>54.6547819104792</v>
      </c>
      <c r="BB266" s="12">
        <f ca="1" t="shared" si="316"/>
        <v>50.448774822019</v>
      </c>
      <c r="BC266" s="12">
        <f ca="1" t="shared" si="317"/>
        <v>45.6366469499851</v>
      </c>
      <c r="BD266" s="12">
        <f ca="1" t="shared" si="318"/>
        <v>40.8848968245629</v>
      </c>
      <c r="BE266" s="12">
        <f ca="1" t="shared" si="319"/>
        <v>35.6015995031838</v>
      </c>
      <c r="BF266" s="12">
        <f ca="1" t="shared" si="320"/>
        <v>30.6253330862971</v>
      </c>
      <c r="BG266" s="12">
        <f ca="1" t="shared" si="321"/>
        <v>26.1554420694792</v>
      </c>
      <c r="BH266" s="12">
        <f ca="1" t="shared" si="322"/>
        <v>20.9847022381391</v>
      </c>
      <c r="BI266" s="12">
        <f ca="1" t="shared" si="323"/>
        <v>16.2252235444291</v>
      </c>
      <c r="BJ266" s="12">
        <f ca="1" t="shared" si="324"/>
        <v>11.1979795686775</v>
      </c>
      <c r="BK266" s="12">
        <f ca="1" t="shared" si="325"/>
        <v>5.21018202168472</v>
      </c>
      <c r="BL266" s="12">
        <f ca="1" t="shared" si="326"/>
        <v>0.955876548760017</v>
      </c>
      <c r="BM266" s="12">
        <f ca="1" t="shared" si="327"/>
        <v>0</v>
      </c>
      <c r="BN266" s="12">
        <f ca="1" t="shared" si="328"/>
        <v>0</v>
      </c>
      <c r="BO266" s="12">
        <f ca="1" t="shared" si="329"/>
        <v>0</v>
      </c>
    </row>
    <row r="267" spans="1:67">
      <c r="A267" s="3">
        <v>237</v>
      </c>
      <c r="B267" s="11">
        <f ca="1" t="shared" si="295"/>
        <v>0.016266526199787</v>
      </c>
      <c r="C267" s="12">
        <f ca="1" t="shared" si="296"/>
        <v>50.8133263099893</v>
      </c>
      <c r="D267" s="11">
        <f ca="1" t="shared" ref="D267:S267" si="373">RAND()</f>
        <v>0.765742119231226</v>
      </c>
      <c r="E267" s="11">
        <f ca="1" t="shared" si="373"/>
        <v>0.801319472745487</v>
      </c>
      <c r="F267" s="11">
        <f ca="1" t="shared" si="373"/>
        <v>0.250670386166705</v>
      </c>
      <c r="G267" s="11">
        <f ca="1" t="shared" si="373"/>
        <v>0.42890932175961</v>
      </c>
      <c r="H267" s="11">
        <f ca="1" t="shared" si="373"/>
        <v>0.642557886300334</v>
      </c>
      <c r="I267" s="11">
        <f ca="1" t="shared" si="373"/>
        <v>0.668469436896084</v>
      </c>
      <c r="J267" s="11">
        <f ca="1" t="shared" si="373"/>
        <v>0.537110093400049</v>
      </c>
      <c r="K267" s="11">
        <f ca="1" t="shared" si="373"/>
        <v>0.251945138264877</v>
      </c>
      <c r="L267" s="11">
        <f ca="1" t="shared" si="373"/>
        <v>0.103909825996431</v>
      </c>
      <c r="M267" s="11">
        <f ca="1" t="shared" si="373"/>
        <v>0.451713105366573</v>
      </c>
      <c r="N267" s="11">
        <f ca="1" t="shared" si="373"/>
        <v>0.454875275789236</v>
      </c>
      <c r="O267" s="11">
        <f ca="1" t="shared" si="373"/>
        <v>0.461440675489591</v>
      </c>
      <c r="P267" s="11">
        <f ca="1" t="shared" si="373"/>
        <v>0.953217365096273</v>
      </c>
      <c r="Q267" s="11">
        <f ca="1" t="shared" si="373"/>
        <v>0.660478132650271</v>
      </c>
      <c r="R267" s="11">
        <f ca="1" t="shared" si="373"/>
        <v>0.156703517108027</v>
      </c>
      <c r="S267" s="11">
        <f ca="1" t="shared" si="373"/>
        <v>0.164603190828308</v>
      </c>
      <c r="T267" s="12">
        <f ca="1" t="shared" si="298"/>
        <v>5.16435529807806</v>
      </c>
      <c r="U267" s="12">
        <f ca="1" t="shared" si="299"/>
        <v>5.25329868186372</v>
      </c>
      <c r="V267" s="12">
        <f ca="1" t="shared" si="300"/>
        <v>4.41778397694451</v>
      </c>
      <c r="W267" s="12">
        <f ca="1" t="shared" si="301"/>
        <v>4.66113665219951</v>
      </c>
      <c r="X267" s="12">
        <f ca="1" t="shared" si="302"/>
        <v>4.92819735787542</v>
      </c>
      <c r="Y267" s="12">
        <f ca="1" t="shared" si="303"/>
        <v>4.9605867961201</v>
      </c>
      <c r="Z267" s="12">
        <f ca="1" t="shared" si="304"/>
        <v>4.79638761675006</v>
      </c>
      <c r="AA267" s="12">
        <f ca="1" t="shared" si="305"/>
        <v>4.4199085637748</v>
      </c>
      <c r="AB267" s="12">
        <f ca="1" t="shared" si="306"/>
        <v>4.17318304332739</v>
      </c>
      <c r="AC267" s="12">
        <f ca="1" t="shared" si="307"/>
        <v>4.68964138170822</v>
      </c>
      <c r="AD267" s="12">
        <f ca="1" t="shared" si="308"/>
        <v>4.69359409473654</v>
      </c>
      <c r="AE267" s="12">
        <f ca="1" t="shared" si="309"/>
        <v>4.70180084436199</v>
      </c>
      <c r="AF267" s="12">
        <f ca="1" t="shared" si="310"/>
        <v>5.76608682548137</v>
      </c>
      <c r="AG267" s="12">
        <f ca="1" t="shared" si="311"/>
        <v>4.95059766581284</v>
      </c>
      <c r="AH267" s="12">
        <f ca="1" t="shared" si="312"/>
        <v>4.26117252851338</v>
      </c>
      <c r="AI267" s="12">
        <f ca="1" t="shared" si="313"/>
        <v>4.27433865138051</v>
      </c>
      <c r="AJ267" s="12">
        <f ca="1">SUM($T267:T267)</f>
        <v>5.16435529807806</v>
      </c>
      <c r="AK267" s="12">
        <f ca="1">SUM($T267:U267)</f>
        <v>10.4176539799418</v>
      </c>
      <c r="AL267" s="12">
        <f ca="1">SUM($T267:V267)</f>
        <v>14.8354379568863</v>
      </c>
      <c r="AM267" s="12">
        <f ca="1">SUM($T267:W267)</f>
        <v>19.4965746090858</v>
      </c>
      <c r="AN267" s="12">
        <f ca="1">SUM($T267:X267)</f>
        <v>24.4247719669612</v>
      </c>
      <c r="AO267" s="12">
        <f ca="1">SUM($T267:Y267)</f>
        <v>29.3853587630813</v>
      </c>
      <c r="AP267" s="12">
        <f ca="1">SUM($T267:Z267)</f>
        <v>34.1817463798314</v>
      </c>
      <c r="AQ267" s="12">
        <f ca="1">SUM($T267:AA267)</f>
        <v>38.6016549436062</v>
      </c>
      <c r="AR267" s="12">
        <f ca="1">SUM($T267:AB267)</f>
        <v>42.7748379869336</v>
      </c>
      <c r="AS267" s="12">
        <f ca="1">SUM($T267:AC267)</f>
        <v>47.4644793686418</v>
      </c>
      <c r="AT267" s="12">
        <f ca="1">SUM($T267:AD267)</f>
        <v>52.1580734633783</v>
      </c>
      <c r="AU267" s="12">
        <f ca="1">SUM($T267:AE267)</f>
        <v>56.8598743077403</v>
      </c>
      <c r="AV267" s="12">
        <f ca="1">SUM($T267:AF267)</f>
        <v>62.6259611332217</v>
      </c>
      <c r="AW267" s="12">
        <f ca="1">SUM($T267:AG267)</f>
        <v>67.5765587990345</v>
      </c>
      <c r="AX267" s="12">
        <f ca="1">SUM($T267:AH267)</f>
        <v>71.8377313275479</v>
      </c>
      <c r="AY267" s="12">
        <f ca="1">SUM($T267:AI267)</f>
        <v>76.1120699789284</v>
      </c>
      <c r="AZ267" s="12">
        <f ca="1" t="shared" si="314"/>
        <v>45.6489710119113</v>
      </c>
      <c r="BA267" s="12">
        <f ca="1" t="shared" si="315"/>
        <v>40.3956723300476</v>
      </c>
      <c r="BB267" s="12">
        <f ca="1" t="shared" si="316"/>
        <v>35.9778883531031</v>
      </c>
      <c r="BC267" s="12">
        <f ca="1" t="shared" si="317"/>
        <v>31.3167517009035</v>
      </c>
      <c r="BD267" s="12">
        <f ca="1" t="shared" si="318"/>
        <v>26.3885543430281</v>
      </c>
      <c r="BE267" s="12">
        <f ca="1" t="shared" si="319"/>
        <v>21.427967546908</v>
      </c>
      <c r="BF267" s="12">
        <f ca="1" t="shared" si="320"/>
        <v>16.631579930158</v>
      </c>
      <c r="BG267" s="12">
        <f ca="1" t="shared" si="321"/>
        <v>12.2116713663832</v>
      </c>
      <c r="BH267" s="12">
        <f ca="1" t="shared" si="322"/>
        <v>8.03848832305578</v>
      </c>
      <c r="BI267" s="12">
        <f ca="1" t="shared" si="323"/>
        <v>3.34884694134756</v>
      </c>
      <c r="BJ267" s="12">
        <f ca="1" t="shared" si="324"/>
        <v>0</v>
      </c>
      <c r="BK267" s="12">
        <f ca="1" t="shared" si="325"/>
        <v>0</v>
      </c>
      <c r="BL267" s="12">
        <f ca="1" t="shared" si="326"/>
        <v>0</v>
      </c>
      <c r="BM267" s="12">
        <f ca="1" t="shared" si="327"/>
        <v>0</v>
      </c>
      <c r="BN267" s="12">
        <f ca="1" t="shared" si="328"/>
        <v>0</v>
      </c>
      <c r="BO267" s="12">
        <f ca="1" t="shared" si="329"/>
        <v>0</v>
      </c>
    </row>
    <row r="268" spans="1:67">
      <c r="A268" s="3">
        <v>238</v>
      </c>
      <c r="B268" s="11">
        <f ca="1" t="shared" si="295"/>
        <v>0.652953603241054</v>
      </c>
      <c r="C268" s="12">
        <f ca="1" t="shared" si="296"/>
        <v>66.4707657605865</v>
      </c>
      <c r="D268" s="11">
        <f ca="1" t="shared" ref="D268:S268" si="374">RAND()</f>
        <v>0.512594447527399</v>
      </c>
      <c r="E268" s="11">
        <f ca="1" t="shared" si="374"/>
        <v>0.803838753937993</v>
      </c>
      <c r="F268" s="11">
        <f ca="1" t="shared" si="374"/>
        <v>0.53107541940447</v>
      </c>
      <c r="G268" s="11">
        <f ca="1" t="shared" si="374"/>
        <v>0.210772579141235</v>
      </c>
      <c r="H268" s="11">
        <f ca="1" t="shared" si="374"/>
        <v>0.0373378728529923</v>
      </c>
      <c r="I268" s="11">
        <f ca="1" t="shared" si="374"/>
        <v>0.806589255139264</v>
      </c>
      <c r="J268" s="11">
        <f ca="1" t="shared" si="374"/>
        <v>0.424473402669421</v>
      </c>
      <c r="K268" s="11">
        <f ca="1" t="shared" si="374"/>
        <v>0.562720634108781</v>
      </c>
      <c r="L268" s="11">
        <f ca="1" t="shared" si="374"/>
        <v>0.700430062335631</v>
      </c>
      <c r="M268" s="11">
        <f ca="1" t="shared" si="374"/>
        <v>0.187250271666643</v>
      </c>
      <c r="N268" s="11">
        <f ca="1" t="shared" si="374"/>
        <v>0.490892383817147</v>
      </c>
      <c r="O268" s="11">
        <f ca="1" t="shared" si="374"/>
        <v>0.628688756023489</v>
      </c>
      <c r="P268" s="11">
        <f ca="1" t="shared" si="374"/>
        <v>0.468916167111504</v>
      </c>
      <c r="Q268" s="11">
        <f ca="1" t="shared" si="374"/>
        <v>0.160463934634877</v>
      </c>
      <c r="R268" s="11">
        <f ca="1" t="shared" si="374"/>
        <v>0.39094447617991</v>
      </c>
      <c r="S268" s="11">
        <f ca="1" t="shared" si="374"/>
        <v>0.635585962942542</v>
      </c>
      <c r="T268" s="12">
        <f ca="1" t="shared" si="298"/>
        <v>4.76574305940925</v>
      </c>
      <c r="U268" s="12">
        <f ca="1" t="shared" si="299"/>
        <v>5.25959688484498</v>
      </c>
      <c r="V268" s="12">
        <f ca="1" t="shared" si="300"/>
        <v>4.78884427425559</v>
      </c>
      <c r="W268" s="12">
        <f ca="1" t="shared" si="301"/>
        <v>4.35128763190206</v>
      </c>
      <c r="X268" s="12">
        <f ca="1" t="shared" si="302"/>
        <v>4.06222978808832</v>
      </c>
      <c r="Y268" s="12">
        <f ca="1" t="shared" si="303"/>
        <v>5.26647313784816</v>
      </c>
      <c r="Z268" s="12">
        <f ca="1" t="shared" si="304"/>
        <v>4.65559175333678</v>
      </c>
      <c r="AA268" s="12">
        <f ca="1" t="shared" si="305"/>
        <v>4.82840079263598</v>
      </c>
      <c r="AB268" s="12">
        <f ca="1" t="shared" si="306"/>
        <v>5.00107515583908</v>
      </c>
      <c r="AC268" s="12">
        <f ca="1" t="shared" si="307"/>
        <v>4.31208378611107</v>
      </c>
      <c r="AD268" s="12">
        <f ca="1" t="shared" si="308"/>
        <v>4.73861547977143</v>
      </c>
      <c r="AE268" s="12">
        <f ca="1" t="shared" si="309"/>
        <v>4.91086094502936</v>
      </c>
      <c r="AF268" s="12">
        <f ca="1" t="shared" si="310"/>
        <v>4.71114520888938</v>
      </c>
      <c r="AG268" s="12">
        <f ca="1" t="shared" si="311"/>
        <v>4.26743989105813</v>
      </c>
      <c r="AH268" s="12">
        <f ca="1" t="shared" si="312"/>
        <v>4.61368059522489</v>
      </c>
      <c r="AI268" s="12">
        <f ca="1" t="shared" si="313"/>
        <v>4.91948245367818</v>
      </c>
      <c r="AJ268" s="12">
        <f ca="1">SUM($T268:T268)</f>
        <v>4.76574305940925</v>
      </c>
      <c r="AK268" s="12">
        <f ca="1">SUM($T268:U268)</f>
        <v>10.0253399442542</v>
      </c>
      <c r="AL268" s="12">
        <f ca="1">SUM($T268:V268)</f>
        <v>14.8141842185098</v>
      </c>
      <c r="AM268" s="12">
        <f ca="1">SUM($T268:W268)</f>
        <v>19.1654718504119</v>
      </c>
      <c r="AN268" s="12">
        <f ca="1">SUM($T268:X268)</f>
        <v>23.2277016385002</v>
      </c>
      <c r="AO268" s="12">
        <f ca="1">SUM($T268:Y268)</f>
        <v>28.4941747763484</v>
      </c>
      <c r="AP268" s="12">
        <f ca="1">SUM($T268:Z268)</f>
        <v>33.1497665296851</v>
      </c>
      <c r="AQ268" s="12">
        <f ca="1">SUM($T268:AA268)</f>
        <v>37.9781673223211</v>
      </c>
      <c r="AR268" s="12">
        <f ca="1">SUM($T268:AB268)</f>
        <v>42.9792424781602</v>
      </c>
      <c r="AS268" s="12">
        <f ca="1">SUM($T268:AC268)</f>
        <v>47.2913262642713</v>
      </c>
      <c r="AT268" s="12">
        <f ca="1">SUM($T268:AD268)</f>
        <v>52.0299417440427</v>
      </c>
      <c r="AU268" s="12">
        <f ca="1">SUM($T268:AE268)</f>
        <v>56.9408026890721</v>
      </c>
      <c r="AV268" s="12">
        <f ca="1">SUM($T268:AF268)</f>
        <v>61.6519478979614</v>
      </c>
      <c r="AW268" s="12">
        <f ca="1">SUM($T268:AG268)</f>
        <v>65.9193877890196</v>
      </c>
      <c r="AX268" s="12">
        <f ca="1">SUM($T268:AH268)</f>
        <v>70.5330683842445</v>
      </c>
      <c r="AY268" s="12">
        <f ca="1">SUM($T268:AI268)</f>
        <v>75.4525508379226</v>
      </c>
      <c r="AZ268" s="12">
        <f ca="1" t="shared" si="314"/>
        <v>61.7050227011772</v>
      </c>
      <c r="BA268" s="12">
        <f ca="1" t="shared" si="315"/>
        <v>56.4454258163322</v>
      </c>
      <c r="BB268" s="12">
        <f ca="1" t="shared" si="316"/>
        <v>51.6565815420767</v>
      </c>
      <c r="BC268" s="12">
        <f ca="1" t="shared" si="317"/>
        <v>47.3052939101746</v>
      </c>
      <c r="BD268" s="12">
        <f ca="1" t="shared" si="318"/>
        <v>43.2430641220863</v>
      </c>
      <c r="BE268" s="12">
        <f ca="1" t="shared" si="319"/>
        <v>37.9765909842381</v>
      </c>
      <c r="BF268" s="12">
        <f ca="1" t="shared" si="320"/>
        <v>33.3209992309013</v>
      </c>
      <c r="BG268" s="12">
        <f ca="1" t="shared" si="321"/>
        <v>28.4925984382654</v>
      </c>
      <c r="BH268" s="12">
        <f ca="1" t="shared" si="322"/>
        <v>23.4915232824263</v>
      </c>
      <c r="BI268" s="12">
        <f ca="1" t="shared" si="323"/>
        <v>19.1794394963152</v>
      </c>
      <c r="BJ268" s="12">
        <f ca="1" t="shared" si="324"/>
        <v>14.4408240165438</v>
      </c>
      <c r="BK268" s="12">
        <f ca="1" t="shared" si="325"/>
        <v>9.52996307151442</v>
      </c>
      <c r="BL268" s="12">
        <f ca="1" t="shared" si="326"/>
        <v>4.81881786262504</v>
      </c>
      <c r="BM268" s="12">
        <f ca="1" t="shared" si="327"/>
        <v>0.551377971566907</v>
      </c>
      <c r="BN268" s="12">
        <f ca="1" t="shared" si="328"/>
        <v>0</v>
      </c>
      <c r="BO268" s="12">
        <f ca="1" t="shared" si="329"/>
        <v>0</v>
      </c>
    </row>
    <row r="269" spans="1:67">
      <c r="A269" s="3">
        <v>239</v>
      </c>
      <c r="B269" s="11">
        <f ca="1" t="shared" si="295"/>
        <v>0.00427668045458751</v>
      </c>
      <c r="C269" s="12">
        <f ca="1" t="shared" si="296"/>
        <v>50.2138340227294</v>
      </c>
      <c r="D269" s="11">
        <f ca="1" t="shared" ref="D269:S269" si="375">RAND()</f>
        <v>0.508774069663211</v>
      </c>
      <c r="E269" s="11">
        <f ca="1" t="shared" si="375"/>
        <v>0.247621795036526</v>
      </c>
      <c r="F269" s="11">
        <f ca="1" t="shared" si="375"/>
        <v>0.404478381065108</v>
      </c>
      <c r="G269" s="11">
        <f ca="1" t="shared" si="375"/>
        <v>0.785162939468811</v>
      </c>
      <c r="H269" s="11">
        <f ca="1" t="shared" si="375"/>
        <v>0.344999328939197</v>
      </c>
      <c r="I269" s="11">
        <f ca="1" t="shared" si="375"/>
        <v>0.60321314420488</v>
      </c>
      <c r="J269" s="11">
        <f ca="1" t="shared" si="375"/>
        <v>0.212885424563855</v>
      </c>
      <c r="K269" s="11">
        <f ca="1" t="shared" si="375"/>
        <v>0.0344513766547339</v>
      </c>
      <c r="L269" s="11">
        <f ca="1" t="shared" si="375"/>
        <v>0.503064247036213</v>
      </c>
      <c r="M269" s="11">
        <f ca="1" t="shared" si="375"/>
        <v>0.625083129462232</v>
      </c>
      <c r="N269" s="11">
        <f ca="1" t="shared" si="375"/>
        <v>0.535553939247678</v>
      </c>
      <c r="O269" s="11">
        <f ca="1" t="shared" si="375"/>
        <v>0.129774281697641</v>
      </c>
      <c r="P269" s="11">
        <f ca="1" t="shared" si="375"/>
        <v>0.229908866290201</v>
      </c>
      <c r="Q269" s="11">
        <f ca="1" t="shared" si="375"/>
        <v>0.293874239297598</v>
      </c>
      <c r="R269" s="11">
        <f ca="1" t="shared" si="375"/>
        <v>0.313374285964115</v>
      </c>
      <c r="S269" s="11">
        <f ca="1" t="shared" si="375"/>
        <v>0.704216178995552</v>
      </c>
      <c r="T269" s="12">
        <f ca="1" t="shared" si="298"/>
        <v>4.76096758707901</v>
      </c>
      <c r="U269" s="12">
        <f ca="1" t="shared" si="299"/>
        <v>4.41270299172754</v>
      </c>
      <c r="V269" s="12">
        <f ca="1" t="shared" si="300"/>
        <v>4.63059797633139</v>
      </c>
      <c r="W269" s="12">
        <f ca="1" t="shared" si="301"/>
        <v>5.21290734867203</v>
      </c>
      <c r="X269" s="12">
        <f ca="1" t="shared" si="302"/>
        <v>4.556249161174</v>
      </c>
      <c r="Y269" s="12">
        <f ca="1" t="shared" si="303"/>
        <v>4.8790164302561</v>
      </c>
      <c r="Z269" s="12">
        <f ca="1" t="shared" si="304"/>
        <v>4.35480904093976</v>
      </c>
      <c r="AA269" s="12">
        <f ca="1" t="shared" si="305"/>
        <v>4.05741896109122</v>
      </c>
      <c r="AB269" s="12">
        <f ca="1" t="shared" si="306"/>
        <v>4.75383030879527</v>
      </c>
      <c r="AC269" s="12">
        <f ca="1" t="shared" si="307"/>
        <v>4.90635391182779</v>
      </c>
      <c r="AD269" s="12">
        <f ca="1" t="shared" si="308"/>
        <v>4.7944424240596</v>
      </c>
      <c r="AE269" s="12">
        <f ca="1" t="shared" si="309"/>
        <v>4.21629046949607</v>
      </c>
      <c r="AF269" s="12">
        <f ca="1" t="shared" si="310"/>
        <v>4.383181443817</v>
      </c>
      <c r="AG269" s="12">
        <f ca="1" t="shared" si="311"/>
        <v>4.48979039882933</v>
      </c>
      <c r="AH269" s="12">
        <f ca="1" t="shared" si="312"/>
        <v>4.51671785745514</v>
      </c>
      <c r="AI269" s="12">
        <f ca="1" t="shared" si="313"/>
        <v>5.01054044748888</v>
      </c>
      <c r="AJ269" s="12">
        <f ca="1">SUM($T269:T269)</f>
        <v>4.76096758707901</v>
      </c>
      <c r="AK269" s="12">
        <f ca="1">SUM($T269:U269)</f>
        <v>9.17367057880656</v>
      </c>
      <c r="AL269" s="12">
        <f ca="1">SUM($T269:V269)</f>
        <v>13.8042685551379</v>
      </c>
      <c r="AM269" s="12">
        <f ca="1">SUM($T269:W269)</f>
        <v>19.01717590381</v>
      </c>
      <c r="AN269" s="12">
        <f ca="1">SUM($T269:X269)</f>
        <v>23.573425064984</v>
      </c>
      <c r="AO269" s="12">
        <f ca="1">SUM($T269:Y269)</f>
        <v>28.4524414952401</v>
      </c>
      <c r="AP269" s="12">
        <f ca="1">SUM($T269:Z269)</f>
        <v>32.8072505361798</v>
      </c>
      <c r="AQ269" s="12">
        <f ca="1">SUM($T269:AA269)</f>
        <v>36.8646694972711</v>
      </c>
      <c r="AR269" s="12">
        <f ca="1">SUM($T269:AB269)</f>
        <v>41.6184998060663</v>
      </c>
      <c r="AS269" s="12">
        <f ca="1">SUM($T269:AC269)</f>
        <v>46.5248537178941</v>
      </c>
      <c r="AT269" s="12">
        <f ca="1">SUM($T269:AD269)</f>
        <v>51.3192961419537</v>
      </c>
      <c r="AU269" s="12">
        <f ca="1">SUM($T269:AE269)</f>
        <v>55.5355866114498</v>
      </c>
      <c r="AV269" s="12">
        <f ca="1">SUM($T269:AF269)</f>
        <v>59.9187680552668</v>
      </c>
      <c r="AW269" s="12">
        <f ca="1">SUM($T269:AG269)</f>
        <v>64.4085584540961</v>
      </c>
      <c r="AX269" s="12">
        <f ca="1">SUM($T269:AH269)</f>
        <v>68.9252763115513</v>
      </c>
      <c r="AY269" s="12">
        <f ca="1">SUM($T269:AI269)</f>
        <v>73.9358167590401</v>
      </c>
      <c r="AZ269" s="12">
        <f ca="1" t="shared" si="314"/>
        <v>45.4528664356504</v>
      </c>
      <c r="BA269" s="12">
        <f ca="1" t="shared" si="315"/>
        <v>41.0401634439228</v>
      </c>
      <c r="BB269" s="12">
        <f ca="1" t="shared" si="316"/>
        <v>36.4095654675914</v>
      </c>
      <c r="BC269" s="12">
        <f ca="1" t="shared" si="317"/>
        <v>31.1966581189194</v>
      </c>
      <c r="BD269" s="12">
        <f ca="1" t="shared" si="318"/>
        <v>26.6404089577454</v>
      </c>
      <c r="BE269" s="12">
        <f ca="1" t="shared" si="319"/>
        <v>21.7613925274893</v>
      </c>
      <c r="BF269" s="12">
        <f ca="1" t="shared" si="320"/>
        <v>17.4065834865495</v>
      </c>
      <c r="BG269" s="12">
        <f ca="1" t="shared" si="321"/>
        <v>13.3491645254583</v>
      </c>
      <c r="BH269" s="12">
        <f ca="1" t="shared" si="322"/>
        <v>8.59533421666305</v>
      </c>
      <c r="BI269" s="12">
        <f ca="1" t="shared" si="323"/>
        <v>3.68898030483526</v>
      </c>
      <c r="BJ269" s="12">
        <f ca="1" t="shared" si="324"/>
        <v>0</v>
      </c>
      <c r="BK269" s="12">
        <f ca="1" t="shared" si="325"/>
        <v>0</v>
      </c>
      <c r="BL269" s="12">
        <f ca="1" t="shared" si="326"/>
        <v>0</v>
      </c>
      <c r="BM269" s="12">
        <f ca="1" t="shared" si="327"/>
        <v>0</v>
      </c>
      <c r="BN269" s="12">
        <f ca="1" t="shared" si="328"/>
        <v>0</v>
      </c>
      <c r="BO269" s="12">
        <f ca="1" t="shared" si="329"/>
        <v>0</v>
      </c>
    </row>
    <row r="270" spans="1:67">
      <c r="A270" s="3">
        <v>240</v>
      </c>
      <c r="B270" s="11">
        <f ca="1" t="shared" si="295"/>
        <v>0.974659110283052</v>
      </c>
      <c r="C270" s="12">
        <f ca="1" t="shared" si="296"/>
        <v>79.6661943926908</v>
      </c>
      <c r="D270" s="11">
        <f ca="1" t="shared" ref="D270:S270" si="376">RAND()</f>
        <v>0.612741051151636</v>
      </c>
      <c r="E270" s="11">
        <f ca="1" t="shared" si="376"/>
        <v>0.273978858755018</v>
      </c>
      <c r="F270" s="11">
        <f ca="1" t="shared" si="376"/>
        <v>0.45712155790916</v>
      </c>
      <c r="G270" s="11">
        <f ca="1" t="shared" si="376"/>
        <v>0.969491399800001</v>
      </c>
      <c r="H270" s="11">
        <f ca="1" t="shared" si="376"/>
        <v>0.422234302791024</v>
      </c>
      <c r="I270" s="11">
        <f ca="1" t="shared" si="376"/>
        <v>0.0734090165772605</v>
      </c>
      <c r="J270" s="11">
        <f ca="1" t="shared" si="376"/>
        <v>0.425115052125218</v>
      </c>
      <c r="K270" s="11">
        <f ca="1" t="shared" si="376"/>
        <v>0.38286346879339</v>
      </c>
      <c r="L270" s="11">
        <f ca="1" t="shared" si="376"/>
        <v>0.485368939560211</v>
      </c>
      <c r="M270" s="11">
        <f ca="1" t="shared" si="376"/>
        <v>0.0918242902326021</v>
      </c>
      <c r="N270" s="11">
        <f ca="1" t="shared" si="376"/>
        <v>0.440501741181952</v>
      </c>
      <c r="O270" s="11">
        <f ca="1" t="shared" si="376"/>
        <v>0.242798530647669</v>
      </c>
      <c r="P270" s="11">
        <f ca="1" t="shared" si="376"/>
        <v>0.721154471450214</v>
      </c>
      <c r="Q270" s="11">
        <f ca="1" t="shared" si="376"/>
        <v>0.605742953223848</v>
      </c>
      <c r="R270" s="11">
        <f ca="1" t="shared" si="376"/>
        <v>0.0334557126977302</v>
      </c>
      <c r="S270" s="11">
        <f ca="1" t="shared" si="376"/>
        <v>0.180852979594032</v>
      </c>
      <c r="T270" s="12">
        <f ca="1" t="shared" si="298"/>
        <v>4.89092631393955</v>
      </c>
      <c r="U270" s="12">
        <f ca="1" t="shared" si="299"/>
        <v>4.45663143125836</v>
      </c>
      <c r="V270" s="12">
        <f ca="1" t="shared" si="300"/>
        <v>4.69640194738645</v>
      </c>
      <c r="W270" s="12">
        <f ca="1" t="shared" si="301"/>
        <v>5.847456999</v>
      </c>
      <c r="X270" s="12">
        <f ca="1" t="shared" si="302"/>
        <v>4.65279287848878</v>
      </c>
      <c r="Y270" s="12">
        <f ca="1" t="shared" si="303"/>
        <v>4.1223483609621</v>
      </c>
      <c r="Z270" s="12">
        <f ca="1" t="shared" si="304"/>
        <v>4.65639381515652</v>
      </c>
      <c r="AA270" s="12">
        <f ca="1" t="shared" si="305"/>
        <v>4.60357933599174</v>
      </c>
      <c r="AB270" s="12">
        <f ca="1" t="shared" si="306"/>
        <v>4.73171117445026</v>
      </c>
      <c r="AC270" s="12">
        <f ca="1" t="shared" si="307"/>
        <v>4.153040483721</v>
      </c>
      <c r="AD270" s="12">
        <f ca="1" t="shared" si="308"/>
        <v>4.67562717647744</v>
      </c>
      <c r="AE270" s="12">
        <f ca="1" t="shared" si="309"/>
        <v>4.40466421774611</v>
      </c>
      <c r="AF270" s="12">
        <f ca="1" t="shared" si="310"/>
        <v>5.05288617862554</v>
      </c>
      <c r="AG270" s="12">
        <f ca="1" t="shared" si="311"/>
        <v>4.88217869152981</v>
      </c>
      <c r="AH270" s="12">
        <f ca="1" t="shared" si="312"/>
        <v>4.05575952116288</v>
      </c>
      <c r="AI270" s="12">
        <f ca="1" t="shared" si="313"/>
        <v>4.30142163265672</v>
      </c>
      <c r="AJ270" s="12">
        <f ca="1">SUM($T270:T270)</f>
        <v>4.89092631393955</v>
      </c>
      <c r="AK270" s="12">
        <f ca="1">SUM($T270:U270)</f>
        <v>9.34755774519791</v>
      </c>
      <c r="AL270" s="12">
        <f ca="1">SUM($T270:V270)</f>
        <v>14.0439596925844</v>
      </c>
      <c r="AM270" s="12">
        <f ca="1">SUM($T270:W270)</f>
        <v>19.8914166915844</v>
      </c>
      <c r="AN270" s="12">
        <f ca="1">SUM($T270:X270)</f>
        <v>24.5442095700731</v>
      </c>
      <c r="AO270" s="12">
        <f ca="1">SUM($T270:Y270)</f>
        <v>28.6665579310352</v>
      </c>
      <c r="AP270" s="12">
        <f ca="1">SUM($T270:Z270)</f>
        <v>33.3229517461918</v>
      </c>
      <c r="AQ270" s="12">
        <f ca="1">SUM($T270:AA270)</f>
        <v>37.9265310821835</v>
      </c>
      <c r="AR270" s="12">
        <f ca="1">SUM($T270:AB270)</f>
        <v>42.6582422566338</v>
      </c>
      <c r="AS270" s="12">
        <f ca="1">SUM($T270:AC270)</f>
        <v>46.8112827403548</v>
      </c>
      <c r="AT270" s="12">
        <f ca="1">SUM($T270:AD270)</f>
        <v>51.4869099168322</v>
      </c>
      <c r="AU270" s="12">
        <f ca="1">SUM($T270:AE270)</f>
        <v>55.8915741345783</v>
      </c>
      <c r="AV270" s="12">
        <f ca="1">SUM($T270:AF270)</f>
        <v>60.9444603132039</v>
      </c>
      <c r="AW270" s="12">
        <f ca="1">SUM($T270:AG270)</f>
        <v>65.8266390047337</v>
      </c>
      <c r="AX270" s="12">
        <f ca="1">SUM($T270:AH270)</f>
        <v>69.8823985258966</v>
      </c>
      <c r="AY270" s="12">
        <f ca="1">SUM($T270:AI270)</f>
        <v>74.1838201585533</v>
      </c>
      <c r="AZ270" s="12">
        <f ca="1" t="shared" si="314"/>
        <v>74.7752680787512</v>
      </c>
      <c r="BA270" s="12">
        <f ca="1" t="shared" si="315"/>
        <v>70.3186366474929</v>
      </c>
      <c r="BB270" s="12">
        <f ca="1" t="shared" si="316"/>
        <v>65.6222347001064</v>
      </c>
      <c r="BC270" s="12">
        <f ca="1" t="shared" si="317"/>
        <v>59.7747777011064</v>
      </c>
      <c r="BD270" s="12">
        <f ca="1" t="shared" si="318"/>
        <v>55.1219848226176</v>
      </c>
      <c r="BE270" s="12">
        <f ca="1" t="shared" si="319"/>
        <v>50.9996364616555</v>
      </c>
      <c r="BF270" s="12">
        <f ca="1" t="shared" si="320"/>
        <v>46.343242646499</v>
      </c>
      <c r="BG270" s="12">
        <f ca="1" t="shared" si="321"/>
        <v>41.7396633105073</v>
      </c>
      <c r="BH270" s="12">
        <f ca="1" t="shared" si="322"/>
        <v>37.007952136057</v>
      </c>
      <c r="BI270" s="12">
        <f ca="1" t="shared" si="323"/>
        <v>32.854911652336</v>
      </c>
      <c r="BJ270" s="12">
        <f ca="1" t="shared" si="324"/>
        <v>28.1792844758585</v>
      </c>
      <c r="BK270" s="12">
        <f ca="1" t="shared" si="325"/>
        <v>23.7746202581124</v>
      </c>
      <c r="BL270" s="12">
        <f ca="1" t="shared" si="326"/>
        <v>18.7217340794869</v>
      </c>
      <c r="BM270" s="12">
        <f ca="1" t="shared" si="327"/>
        <v>13.8395553879571</v>
      </c>
      <c r="BN270" s="12">
        <f ca="1" t="shared" si="328"/>
        <v>9.78379586679419</v>
      </c>
      <c r="BO270" s="12">
        <f ca="1" t="shared" si="329"/>
        <v>5.48237423413747</v>
      </c>
    </row>
    <row r="271" spans="1:67">
      <c r="A271" s="3">
        <v>241</v>
      </c>
      <c r="B271" s="11">
        <f ca="1" t="shared" si="295"/>
        <v>0.844392708783465</v>
      </c>
      <c r="C271" s="12">
        <f ca="1" t="shared" si="296"/>
        <v>69.2056101254781</v>
      </c>
      <c r="D271" s="11">
        <f ca="1" t="shared" ref="D271:S271" si="377">RAND()</f>
        <v>0.490897873494425</v>
      </c>
      <c r="E271" s="11">
        <f ca="1" t="shared" si="377"/>
        <v>0.156543058958835</v>
      </c>
      <c r="F271" s="11">
        <f ca="1" t="shared" si="377"/>
        <v>0.838979689445775</v>
      </c>
      <c r="G271" s="11">
        <f ca="1" t="shared" si="377"/>
        <v>0.211784751442607</v>
      </c>
      <c r="H271" s="11">
        <f ca="1" t="shared" si="377"/>
        <v>0.774670915797763</v>
      </c>
      <c r="I271" s="11">
        <f ca="1" t="shared" si="377"/>
        <v>0.595334813091817</v>
      </c>
      <c r="J271" s="11">
        <f ca="1" t="shared" si="377"/>
        <v>0.95729701197869</v>
      </c>
      <c r="K271" s="11">
        <f ca="1" t="shared" si="377"/>
        <v>0.635582344958066</v>
      </c>
      <c r="L271" s="11">
        <f ca="1" t="shared" si="377"/>
        <v>0.247636283510861</v>
      </c>
      <c r="M271" s="11">
        <f ca="1" t="shared" si="377"/>
        <v>0.674348628703251</v>
      </c>
      <c r="N271" s="11">
        <f ca="1" t="shared" si="377"/>
        <v>0.42027526933521</v>
      </c>
      <c r="O271" s="11">
        <f ca="1" t="shared" si="377"/>
        <v>0.603224473072793</v>
      </c>
      <c r="P271" s="11">
        <f ca="1" t="shared" si="377"/>
        <v>0.210470568037862</v>
      </c>
      <c r="Q271" s="11">
        <f ca="1" t="shared" si="377"/>
        <v>0.154889858321997</v>
      </c>
      <c r="R271" s="11">
        <f ca="1" t="shared" si="377"/>
        <v>0.855743888539316</v>
      </c>
      <c r="S271" s="11">
        <f ca="1" t="shared" si="377"/>
        <v>0.0344267207808757</v>
      </c>
      <c r="T271" s="12">
        <f ca="1" t="shared" si="298"/>
        <v>4.73862234186803</v>
      </c>
      <c r="U271" s="12">
        <f ca="1" t="shared" si="299"/>
        <v>4.26090509826473</v>
      </c>
      <c r="V271" s="12">
        <f ca="1" t="shared" si="300"/>
        <v>5.34744922361444</v>
      </c>
      <c r="W271" s="12">
        <f ca="1" t="shared" si="301"/>
        <v>4.35297458573768</v>
      </c>
      <c r="X271" s="12">
        <f ca="1" t="shared" si="302"/>
        <v>5.18667728949441</v>
      </c>
      <c r="Y271" s="12">
        <f ca="1" t="shared" si="303"/>
        <v>4.86916851636477</v>
      </c>
      <c r="Z271" s="12">
        <f ca="1" t="shared" si="304"/>
        <v>5.78648505989345</v>
      </c>
      <c r="AA271" s="12">
        <f ca="1" t="shared" si="305"/>
        <v>4.91947793119758</v>
      </c>
      <c r="AB271" s="12">
        <f ca="1" t="shared" si="306"/>
        <v>4.41272713918477</v>
      </c>
      <c r="AC271" s="12">
        <f ca="1" t="shared" si="307"/>
        <v>4.96793578587906</v>
      </c>
      <c r="AD271" s="12">
        <f ca="1" t="shared" si="308"/>
        <v>4.65034408666901</v>
      </c>
      <c r="AE271" s="12">
        <f ca="1" t="shared" si="309"/>
        <v>4.87903059134099</v>
      </c>
      <c r="AF271" s="12">
        <f ca="1" t="shared" si="310"/>
        <v>4.3507842800631</v>
      </c>
      <c r="AG271" s="12">
        <f ca="1" t="shared" si="311"/>
        <v>4.25814976386999</v>
      </c>
      <c r="AH271" s="12">
        <f ca="1" t="shared" si="312"/>
        <v>5.38935972134829</v>
      </c>
      <c r="AI271" s="12">
        <f ca="1" t="shared" si="313"/>
        <v>4.05737786796813</v>
      </c>
      <c r="AJ271" s="12">
        <f ca="1">SUM($T271:T271)</f>
        <v>4.73862234186803</v>
      </c>
      <c r="AK271" s="12">
        <f ca="1">SUM($T271:U271)</f>
        <v>8.99952744013276</v>
      </c>
      <c r="AL271" s="12">
        <f ca="1">SUM($T271:V271)</f>
        <v>14.3469766637472</v>
      </c>
      <c r="AM271" s="12">
        <f ca="1">SUM($T271:W271)</f>
        <v>18.6999512494849</v>
      </c>
      <c r="AN271" s="12">
        <f ca="1">SUM($T271:X271)</f>
        <v>23.8866285389793</v>
      </c>
      <c r="AO271" s="12">
        <f ca="1">SUM($T271:Y271)</f>
        <v>28.755797055344</v>
      </c>
      <c r="AP271" s="12">
        <f ca="1">SUM($T271:Z271)</f>
        <v>34.5422821152375</v>
      </c>
      <c r="AQ271" s="12">
        <f ca="1">SUM($T271:AA271)</f>
        <v>39.4617600464351</v>
      </c>
      <c r="AR271" s="12">
        <f ca="1">SUM($T271:AB271)</f>
        <v>43.8744871856198</v>
      </c>
      <c r="AS271" s="12">
        <f ca="1">SUM($T271:AC271)</f>
        <v>48.8424229714989</v>
      </c>
      <c r="AT271" s="12">
        <f ca="1">SUM($T271:AD271)</f>
        <v>53.4927670581679</v>
      </c>
      <c r="AU271" s="12">
        <f ca="1">SUM($T271:AE271)</f>
        <v>58.3717976495089</v>
      </c>
      <c r="AV271" s="12">
        <f ca="1">SUM($T271:AF271)</f>
        <v>62.722581929572</v>
      </c>
      <c r="AW271" s="12">
        <f ca="1">SUM($T271:AG271)</f>
        <v>66.980731693442</v>
      </c>
      <c r="AX271" s="12">
        <f ca="1">SUM($T271:AH271)</f>
        <v>72.3700914147903</v>
      </c>
      <c r="AY271" s="12">
        <f ca="1">SUM($T271:AI271)</f>
        <v>76.4274692827584</v>
      </c>
      <c r="AZ271" s="12">
        <f ca="1" t="shared" si="314"/>
        <v>64.46698778361</v>
      </c>
      <c r="BA271" s="12">
        <f ca="1" t="shared" si="315"/>
        <v>60.2060826853453</v>
      </c>
      <c r="BB271" s="12">
        <f ca="1" t="shared" si="316"/>
        <v>54.8586334617309</v>
      </c>
      <c r="BC271" s="12">
        <f ca="1" t="shared" si="317"/>
        <v>50.5056588759932</v>
      </c>
      <c r="BD271" s="12">
        <f ca="1" t="shared" si="318"/>
        <v>45.3189815864988</v>
      </c>
      <c r="BE271" s="12">
        <f ca="1" t="shared" si="319"/>
        <v>40.449813070134</v>
      </c>
      <c r="BF271" s="12">
        <f ca="1" t="shared" si="320"/>
        <v>34.6633280102406</v>
      </c>
      <c r="BG271" s="12">
        <f ca="1" t="shared" si="321"/>
        <v>29.743850079043</v>
      </c>
      <c r="BH271" s="12">
        <f ca="1" t="shared" si="322"/>
        <v>25.3311229398582</v>
      </c>
      <c r="BI271" s="12">
        <f ca="1" t="shared" si="323"/>
        <v>20.3631871539791</v>
      </c>
      <c r="BJ271" s="12">
        <f ca="1" t="shared" si="324"/>
        <v>15.7128430673101</v>
      </c>
      <c r="BK271" s="12">
        <f ca="1" t="shared" si="325"/>
        <v>10.8338124759691</v>
      </c>
      <c r="BL271" s="12">
        <f ca="1" t="shared" si="326"/>
        <v>6.48302819590604</v>
      </c>
      <c r="BM271" s="12">
        <f ca="1" t="shared" si="327"/>
        <v>2.22487843203605</v>
      </c>
      <c r="BN271" s="12">
        <f ca="1" t="shared" si="328"/>
        <v>0</v>
      </c>
      <c r="BO271" s="12">
        <f ca="1" t="shared" si="329"/>
        <v>0</v>
      </c>
    </row>
    <row r="272" spans="1:67">
      <c r="A272" s="3">
        <v>242</v>
      </c>
      <c r="B272" s="11">
        <f ca="1" t="shared" si="295"/>
        <v>0.177312539435004</v>
      </c>
      <c r="C272" s="12">
        <f ca="1" t="shared" si="296"/>
        <v>57.5770846478335</v>
      </c>
      <c r="D272" s="11">
        <f ca="1" t="shared" ref="D272:S272" si="378">RAND()</f>
        <v>0.0648257901474547</v>
      </c>
      <c r="E272" s="11">
        <f ca="1" t="shared" si="378"/>
        <v>0.953785756606795</v>
      </c>
      <c r="F272" s="11">
        <f ca="1" t="shared" si="378"/>
        <v>0.503057378524949</v>
      </c>
      <c r="G272" s="11">
        <f ca="1" t="shared" si="378"/>
        <v>0.75954945026185</v>
      </c>
      <c r="H272" s="11">
        <f ca="1" t="shared" si="378"/>
        <v>0.129776541068017</v>
      </c>
      <c r="I272" s="11">
        <f ca="1" t="shared" si="378"/>
        <v>0.248229914903229</v>
      </c>
      <c r="J272" s="11">
        <f ca="1" t="shared" si="378"/>
        <v>0.809472126950247</v>
      </c>
      <c r="K272" s="11">
        <f ca="1" t="shared" si="378"/>
        <v>0.795698910043875</v>
      </c>
      <c r="L272" s="11">
        <f ca="1" t="shared" si="378"/>
        <v>0.0201038605832444</v>
      </c>
      <c r="M272" s="11">
        <f ca="1" t="shared" si="378"/>
        <v>0.809457039318992</v>
      </c>
      <c r="N272" s="11">
        <f ca="1" t="shared" si="378"/>
        <v>0.919247486572161</v>
      </c>
      <c r="O272" s="11">
        <f ca="1" t="shared" si="378"/>
        <v>0.263708522613333</v>
      </c>
      <c r="P272" s="11">
        <f ca="1" t="shared" si="378"/>
        <v>0.263709365760397</v>
      </c>
      <c r="Q272" s="11">
        <f ca="1" t="shared" si="378"/>
        <v>0.820954763132208</v>
      </c>
      <c r="R272" s="11">
        <f ca="1" t="shared" si="378"/>
        <v>0.323457352325082</v>
      </c>
      <c r="S272" s="11">
        <f ca="1" t="shared" si="378"/>
        <v>0.651375909666478</v>
      </c>
      <c r="T272" s="12">
        <f ca="1" t="shared" si="298"/>
        <v>4.10804298357909</v>
      </c>
      <c r="U272" s="12">
        <f ca="1" t="shared" si="299"/>
        <v>5.76892878303398</v>
      </c>
      <c r="V272" s="12">
        <f ca="1" t="shared" si="300"/>
        <v>4.75382172315619</v>
      </c>
      <c r="W272" s="12">
        <f ca="1" t="shared" si="301"/>
        <v>5.14887362565463</v>
      </c>
      <c r="X272" s="12">
        <f ca="1" t="shared" si="302"/>
        <v>4.21629423511336</v>
      </c>
      <c r="Y272" s="12">
        <f ca="1" t="shared" si="303"/>
        <v>4.41371652483872</v>
      </c>
      <c r="Z272" s="12">
        <f ca="1" t="shared" si="304"/>
        <v>5.27368031737562</v>
      </c>
      <c r="AA272" s="12">
        <f ca="1" t="shared" si="305"/>
        <v>5.23924727510969</v>
      </c>
      <c r="AB272" s="12">
        <f ca="1" t="shared" si="306"/>
        <v>4.03350643430541</v>
      </c>
      <c r="AC272" s="12">
        <f ca="1" t="shared" si="307"/>
        <v>5.27364259829748</v>
      </c>
      <c r="AD272" s="12">
        <f ca="1" t="shared" si="308"/>
        <v>5.59623743286081</v>
      </c>
      <c r="AE272" s="12">
        <f ca="1" t="shared" si="309"/>
        <v>4.43951420435556</v>
      </c>
      <c r="AF272" s="12">
        <f ca="1" t="shared" si="310"/>
        <v>4.43951560960066</v>
      </c>
      <c r="AG272" s="12">
        <f ca="1" t="shared" si="311"/>
        <v>5.30238690783052</v>
      </c>
      <c r="AH272" s="12">
        <f ca="1" t="shared" si="312"/>
        <v>4.52932169040635</v>
      </c>
      <c r="AI272" s="12">
        <f ca="1" t="shared" si="313"/>
        <v>4.9392198870831</v>
      </c>
      <c r="AJ272" s="12">
        <f ca="1">SUM($T272:T272)</f>
        <v>4.10804298357909</v>
      </c>
      <c r="AK272" s="12">
        <f ca="1">SUM($T272:U272)</f>
        <v>9.87697176661307</v>
      </c>
      <c r="AL272" s="12">
        <f ca="1">SUM($T272:V272)</f>
        <v>14.6307934897693</v>
      </c>
      <c r="AM272" s="12">
        <f ca="1">SUM($T272:W272)</f>
        <v>19.7796671154239</v>
      </c>
      <c r="AN272" s="12">
        <f ca="1">SUM($T272:X272)</f>
        <v>23.9959613505372</v>
      </c>
      <c r="AO272" s="12">
        <f ca="1">SUM($T272:Y272)</f>
        <v>28.409677875376</v>
      </c>
      <c r="AP272" s="12">
        <f ca="1">SUM($T272:Z272)</f>
        <v>33.6833581927516</v>
      </c>
      <c r="AQ272" s="12">
        <f ca="1">SUM($T272:AA272)</f>
        <v>38.9226054678613</v>
      </c>
      <c r="AR272" s="12">
        <f ca="1">SUM($T272:AB272)</f>
        <v>42.9561119021667</v>
      </c>
      <c r="AS272" s="12">
        <f ca="1">SUM($T272:AC272)</f>
        <v>48.2297545004642</v>
      </c>
      <c r="AT272" s="12">
        <f ca="1">SUM($T272:AD272)</f>
        <v>53.825991933325</v>
      </c>
      <c r="AU272" s="12">
        <f ca="1">SUM($T272:AE272)</f>
        <v>58.2655061376805</v>
      </c>
      <c r="AV272" s="12">
        <f ca="1">SUM($T272:AF272)</f>
        <v>62.7050217472812</v>
      </c>
      <c r="AW272" s="12">
        <f ca="1">SUM($T272:AG272)</f>
        <v>68.0074086551117</v>
      </c>
      <c r="AX272" s="12">
        <f ca="1">SUM($T272:AH272)</f>
        <v>72.536730345518</v>
      </c>
      <c r="AY272" s="12">
        <f ca="1">SUM($T272:AI272)</f>
        <v>77.4759502326011</v>
      </c>
      <c r="AZ272" s="12">
        <f ca="1" t="shared" si="314"/>
        <v>53.4690416642544</v>
      </c>
      <c r="BA272" s="12">
        <f ca="1" t="shared" si="315"/>
        <v>47.7001128812204</v>
      </c>
      <c r="BB272" s="12">
        <f ca="1" t="shared" si="316"/>
        <v>42.9462911580642</v>
      </c>
      <c r="BC272" s="12">
        <f ca="1" t="shared" si="317"/>
        <v>37.7974175324096</v>
      </c>
      <c r="BD272" s="12">
        <f ca="1" t="shared" si="318"/>
        <v>33.5811232972962</v>
      </c>
      <c r="BE272" s="12">
        <f ca="1" t="shared" si="319"/>
        <v>29.1674067724575</v>
      </c>
      <c r="BF272" s="12">
        <f ca="1" t="shared" si="320"/>
        <v>23.8937264550819</v>
      </c>
      <c r="BG272" s="12">
        <f ca="1" t="shared" si="321"/>
        <v>18.6544791799722</v>
      </c>
      <c r="BH272" s="12">
        <f ca="1" t="shared" si="322"/>
        <v>14.6209727456668</v>
      </c>
      <c r="BI272" s="12">
        <f ca="1" t="shared" si="323"/>
        <v>9.34733014736931</v>
      </c>
      <c r="BJ272" s="12">
        <f ca="1" t="shared" si="324"/>
        <v>3.75109271450851</v>
      </c>
      <c r="BK272" s="12">
        <f ca="1" t="shared" si="325"/>
        <v>0</v>
      </c>
      <c r="BL272" s="12">
        <f ca="1" t="shared" si="326"/>
        <v>0</v>
      </c>
      <c r="BM272" s="12">
        <f ca="1" t="shared" si="327"/>
        <v>0</v>
      </c>
      <c r="BN272" s="12">
        <f ca="1" t="shared" si="328"/>
        <v>0</v>
      </c>
      <c r="BO272" s="12">
        <f ca="1" t="shared" si="329"/>
        <v>0</v>
      </c>
    </row>
    <row r="273" spans="1:67">
      <c r="A273" s="3">
        <v>243</v>
      </c>
      <c r="B273" s="11">
        <f ca="1" t="shared" si="295"/>
        <v>0.228365338156706</v>
      </c>
      <c r="C273" s="12">
        <f ca="1" t="shared" si="296"/>
        <v>59.2788446052235</v>
      </c>
      <c r="D273" s="11">
        <f ca="1" t="shared" ref="D273:S273" si="379">RAND()</f>
        <v>0.86724210398988</v>
      </c>
      <c r="E273" s="11">
        <f ca="1" t="shared" si="379"/>
        <v>0.533698534789526</v>
      </c>
      <c r="F273" s="11">
        <f ca="1" t="shared" si="379"/>
        <v>0.882234254634917</v>
      </c>
      <c r="G273" s="11">
        <f ca="1" t="shared" si="379"/>
        <v>0.534113735310026</v>
      </c>
      <c r="H273" s="11">
        <f ca="1" t="shared" si="379"/>
        <v>0.870780380714274</v>
      </c>
      <c r="I273" s="11">
        <f ca="1" t="shared" si="379"/>
        <v>0.315434337352883</v>
      </c>
      <c r="J273" s="11">
        <f ca="1" t="shared" si="379"/>
        <v>0.025980445750156</v>
      </c>
      <c r="K273" s="11">
        <f ca="1" t="shared" si="379"/>
        <v>0.752463885532742</v>
      </c>
      <c r="L273" s="11">
        <f ca="1" t="shared" si="379"/>
        <v>0.421498910518749</v>
      </c>
      <c r="M273" s="11">
        <f ca="1" t="shared" si="379"/>
        <v>0.000305655435325791</v>
      </c>
      <c r="N273" s="11">
        <f ca="1" t="shared" si="379"/>
        <v>0.463255850048918</v>
      </c>
      <c r="O273" s="11">
        <f ca="1" t="shared" si="379"/>
        <v>0.26449886549446</v>
      </c>
      <c r="P273" s="11">
        <f ca="1" t="shared" si="379"/>
        <v>0.823689250253018</v>
      </c>
      <c r="Q273" s="11">
        <f ca="1" t="shared" si="379"/>
        <v>0.89365760498737</v>
      </c>
      <c r="R273" s="11">
        <f ca="1" t="shared" si="379"/>
        <v>0.779778956798254</v>
      </c>
      <c r="S273" s="11">
        <f ca="1" t="shared" si="379"/>
        <v>0.753345593346757</v>
      </c>
      <c r="T273" s="12">
        <f ca="1" t="shared" si="298"/>
        <v>5.4181052599747</v>
      </c>
      <c r="U273" s="12">
        <f ca="1" t="shared" si="299"/>
        <v>4.79212316848691</v>
      </c>
      <c r="V273" s="12">
        <f ca="1" t="shared" si="300"/>
        <v>5.45558563658729</v>
      </c>
      <c r="W273" s="12">
        <f ca="1" t="shared" si="301"/>
        <v>4.79264216913753</v>
      </c>
      <c r="X273" s="12">
        <f ca="1" t="shared" si="302"/>
        <v>5.42695095178569</v>
      </c>
      <c r="Y273" s="12">
        <f ca="1" t="shared" si="303"/>
        <v>4.5192929216911</v>
      </c>
      <c r="Z273" s="12">
        <f ca="1" t="shared" si="304"/>
        <v>4.04330074291693</v>
      </c>
      <c r="AA273" s="12">
        <f ca="1" t="shared" si="305"/>
        <v>5.13115971383186</v>
      </c>
      <c r="AB273" s="12">
        <f ca="1" t="shared" si="306"/>
        <v>4.65187363814844</v>
      </c>
      <c r="AC273" s="12">
        <f ca="1" t="shared" si="307"/>
        <v>4.00050942572554</v>
      </c>
      <c r="AD273" s="12">
        <f ca="1" t="shared" si="308"/>
        <v>4.70406981256115</v>
      </c>
      <c r="AE273" s="12">
        <f ca="1" t="shared" si="309"/>
        <v>4.44083144249077</v>
      </c>
      <c r="AF273" s="12">
        <f ca="1" t="shared" si="310"/>
        <v>5.30922312563254</v>
      </c>
      <c r="AG273" s="12">
        <f ca="1" t="shared" si="311"/>
        <v>5.48414401246843</v>
      </c>
      <c r="AH273" s="12">
        <f ca="1" t="shared" si="312"/>
        <v>5.19944739199564</v>
      </c>
      <c r="AI273" s="12">
        <f ca="1" t="shared" si="313"/>
        <v>5.13336398336689</v>
      </c>
      <c r="AJ273" s="12">
        <f ca="1">SUM($T273:T273)</f>
        <v>5.4181052599747</v>
      </c>
      <c r="AK273" s="12">
        <f ca="1">SUM($T273:U273)</f>
        <v>10.2102284284616</v>
      </c>
      <c r="AL273" s="12">
        <f ca="1">SUM($T273:V273)</f>
        <v>15.6658140650489</v>
      </c>
      <c r="AM273" s="12">
        <f ca="1">SUM($T273:W273)</f>
        <v>20.4584562341864</v>
      </c>
      <c r="AN273" s="12">
        <f ca="1">SUM($T273:X273)</f>
        <v>25.8854071859721</v>
      </c>
      <c r="AO273" s="12">
        <f ca="1">SUM($T273:Y273)</f>
        <v>30.4047001076632</v>
      </c>
      <c r="AP273" s="12">
        <f ca="1">SUM($T273:Z273)</f>
        <v>34.4480008505801</v>
      </c>
      <c r="AQ273" s="12">
        <f ca="1">SUM($T273:AA273)</f>
        <v>39.579160564412</v>
      </c>
      <c r="AR273" s="12">
        <f ca="1">SUM($T273:AB273)</f>
        <v>44.2310342025604</v>
      </c>
      <c r="AS273" s="12">
        <f ca="1">SUM($T273:AC273)</f>
        <v>48.231543628286</v>
      </c>
      <c r="AT273" s="12">
        <f ca="1">SUM($T273:AD273)</f>
        <v>52.9356134408471</v>
      </c>
      <c r="AU273" s="12">
        <f ca="1">SUM($T273:AE273)</f>
        <v>57.3764448833379</v>
      </c>
      <c r="AV273" s="12">
        <f ca="1">SUM($T273:AF273)</f>
        <v>62.6856680089704</v>
      </c>
      <c r="AW273" s="12">
        <f ca="1">SUM($T273:AG273)</f>
        <v>68.1698120214389</v>
      </c>
      <c r="AX273" s="12">
        <f ca="1">SUM($T273:AH273)</f>
        <v>73.3692594134345</v>
      </c>
      <c r="AY273" s="12">
        <f ca="1">SUM($T273:AI273)</f>
        <v>78.5026233968014</v>
      </c>
      <c r="AZ273" s="12">
        <f ca="1" t="shared" si="314"/>
        <v>53.8607393452488</v>
      </c>
      <c r="BA273" s="12">
        <f ca="1" t="shared" si="315"/>
        <v>49.0686161767619</v>
      </c>
      <c r="BB273" s="12">
        <f ca="1" t="shared" si="316"/>
        <v>43.6130305401746</v>
      </c>
      <c r="BC273" s="12">
        <f ca="1" t="shared" si="317"/>
        <v>38.8203883710371</v>
      </c>
      <c r="BD273" s="12">
        <f ca="1" t="shared" si="318"/>
        <v>33.3934374192514</v>
      </c>
      <c r="BE273" s="12">
        <f ca="1" t="shared" si="319"/>
        <v>28.8741444975603</v>
      </c>
      <c r="BF273" s="12">
        <f ca="1" t="shared" si="320"/>
        <v>24.8308437546434</v>
      </c>
      <c r="BG273" s="12">
        <f ca="1" t="shared" si="321"/>
        <v>19.6996840408115</v>
      </c>
      <c r="BH273" s="12">
        <f ca="1" t="shared" si="322"/>
        <v>15.0478104026631</v>
      </c>
      <c r="BI273" s="12">
        <f ca="1" t="shared" si="323"/>
        <v>11.0473009769376</v>
      </c>
      <c r="BJ273" s="12">
        <f ca="1" t="shared" si="324"/>
        <v>6.34323116437641</v>
      </c>
      <c r="BK273" s="12">
        <f ca="1" t="shared" si="325"/>
        <v>1.90239972188564</v>
      </c>
      <c r="BL273" s="12">
        <f ca="1" t="shared" si="326"/>
        <v>0</v>
      </c>
      <c r="BM273" s="12">
        <f ca="1" t="shared" si="327"/>
        <v>0</v>
      </c>
      <c r="BN273" s="12">
        <f ca="1" t="shared" si="328"/>
        <v>0</v>
      </c>
      <c r="BO273" s="12">
        <f ca="1" t="shared" si="329"/>
        <v>0</v>
      </c>
    </row>
    <row r="274" spans="1:67">
      <c r="A274" s="3">
        <v>244</v>
      </c>
      <c r="B274" s="11">
        <f ca="1" t="shared" si="295"/>
        <v>0.187215529578165</v>
      </c>
      <c r="C274" s="12">
        <f ca="1" t="shared" si="296"/>
        <v>57.9071843192722</v>
      </c>
      <c r="D274" s="11">
        <f ca="1" t="shared" ref="D274:S274" si="380">RAND()</f>
        <v>0.14562310738995</v>
      </c>
      <c r="E274" s="11">
        <f ca="1" t="shared" si="380"/>
        <v>0.867315312874141</v>
      </c>
      <c r="F274" s="11">
        <f ca="1" t="shared" si="380"/>
        <v>0.462000925222661</v>
      </c>
      <c r="G274" s="11">
        <f ca="1" t="shared" si="380"/>
        <v>0.329244083727043</v>
      </c>
      <c r="H274" s="11">
        <f ca="1" t="shared" si="380"/>
        <v>0.107654802947682</v>
      </c>
      <c r="I274" s="11">
        <f ca="1" t="shared" si="380"/>
        <v>0.277882231315835</v>
      </c>
      <c r="J274" s="11">
        <f ca="1" t="shared" si="380"/>
        <v>0.231181456990468</v>
      </c>
      <c r="K274" s="11">
        <f ca="1" t="shared" si="380"/>
        <v>0.323458278523563</v>
      </c>
      <c r="L274" s="11">
        <f ca="1" t="shared" si="380"/>
        <v>0.75029556410215</v>
      </c>
      <c r="M274" s="11">
        <f ca="1" t="shared" si="380"/>
        <v>0.999404839983235</v>
      </c>
      <c r="N274" s="11">
        <f ca="1" t="shared" si="380"/>
        <v>0.276052266343853</v>
      </c>
      <c r="O274" s="11">
        <f ca="1" t="shared" si="380"/>
        <v>0.657094738012175</v>
      </c>
      <c r="P274" s="11">
        <f ca="1" t="shared" si="380"/>
        <v>0.367884462841739</v>
      </c>
      <c r="Q274" s="11">
        <f ca="1" t="shared" si="380"/>
        <v>0.230562874300856</v>
      </c>
      <c r="R274" s="11">
        <f ca="1" t="shared" si="380"/>
        <v>0.172887672215666</v>
      </c>
      <c r="S274" s="11">
        <f ca="1" t="shared" si="380"/>
        <v>0.377176671979045</v>
      </c>
      <c r="T274" s="12">
        <f ca="1" t="shared" si="298"/>
        <v>4.24270517898325</v>
      </c>
      <c r="U274" s="12">
        <f ca="1" t="shared" si="299"/>
        <v>5.41828828218535</v>
      </c>
      <c r="V274" s="12">
        <f ca="1" t="shared" si="300"/>
        <v>4.70250115652833</v>
      </c>
      <c r="W274" s="12">
        <f ca="1" t="shared" si="301"/>
        <v>4.5365551046588</v>
      </c>
      <c r="X274" s="12">
        <f ca="1" t="shared" si="302"/>
        <v>4.17942467157947</v>
      </c>
      <c r="Y274" s="12">
        <f ca="1" t="shared" si="303"/>
        <v>4.46313705219306</v>
      </c>
      <c r="Z274" s="12">
        <f ca="1" t="shared" si="304"/>
        <v>4.38530242831745</v>
      </c>
      <c r="AA274" s="12">
        <f ca="1" t="shared" si="305"/>
        <v>4.52932284815445</v>
      </c>
      <c r="AB274" s="12">
        <f ca="1" t="shared" si="306"/>
        <v>5.12573891025538</v>
      </c>
      <c r="AC274" s="12">
        <f ca="1" t="shared" si="307"/>
        <v>5.99702419991618</v>
      </c>
      <c r="AD274" s="12">
        <f ca="1" t="shared" si="308"/>
        <v>4.46008711057309</v>
      </c>
      <c r="AE274" s="12">
        <f ca="1" t="shared" si="309"/>
        <v>4.94636842251522</v>
      </c>
      <c r="AF274" s="12">
        <f ca="1" t="shared" si="310"/>
        <v>4.58485557855217</v>
      </c>
      <c r="AG274" s="12">
        <f ca="1" t="shared" si="311"/>
        <v>4.38427145716809</v>
      </c>
      <c r="AH274" s="12">
        <f ca="1" t="shared" si="312"/>
        <v>4.28814612035944</v>
      </c>
      <c r="AI274" s="12">
        <f ca="1" t="shared" si="313"/>
        <v>4.59647083997381</v>
      </c>
      <c r="AJ274" s="12">
        <f ca="1">SUM($T274:T274)</f>
        <v>4.24270517898325</v>
      </c>
      <c r="AK274" s="12">
        <f ca="1">SUM($T274:U274)</f>
        <v>9.6609934611686</v>
      </c>
      <c r="AL274" s="12">
        <f ca="1">SUM($T274:V274)</f>
        <v>14.3634946176969</v>
      </c>
      <c r="AM274" s="12">
        <f ca="1">SUM($T274:W274)</f>
        <v>18.9000497223557</v>
      </c>
      <c r="AN274" s="12">
        <f ca="1">SUM($T274:X274)</f>
        <v>23.0794743939352</v>
      </c>
      <c r="AO274" s="12">
        <f ca="1">SUM($T274:Y274)</f>
        <v>27.5426114461283</v>
      </c>
      <c r="AP274" s="12">
        <f ca="1">SUM($T274:Z274)</f>
        <v>31.9279138744457</v>
      </c>
      <c r="AQ274" s="12">
        <f ca="1">SUM($T274:AA274)</f>
        <v>36.4572367226002</v>
      </c>
      <c r="AR274" s="12">
        <f ca="1">SUM($T274:AB274)</f>
        <v>41.5829756328556</v>
      </c>
      <c r="AS274" s="12">
        <f ca="1">SUM($T274:AC274)</f>
        <v>47.5799998327717</v>
      </c>
      <c r="AT274" s="12">
        <f ca="1">SUM($T274:AD274)</f>
        <v>52.0400869433448</v>
      </c>
      <c r="AU274" s="12">
        <f ca="1">SUM($T274:AE274)</f>
        <v>56.98645536586</v>
      </c>
      <c r="AV274" s="12">
        <f ca="1">SUM($T274:AF274)</f>
        <v>61.5713109444122</v>
      </c>
      <c r="AW274" s="12">
        <f ca="1">SUM($T274:AG274)</f>
        <v>65.9555824015803</v>
      </c>
      <c r="AX274" s="12">
        <f ca="1">SUM($T274:AH274)</f>
        <v>70.2437285219397</v>
      </c>
      <c r="AY274" s="12">
        <f ca="1">SUM($T274:AI274)</f>
        <v>74.8401993619135</v>
      </c>
      <c r="AZ274" s="12">
        <f ca="1" t="shared" si="314"/>
        <v>53.6644791402889</v>
      </c>
      <c r="BA274" s="12">
        <f ca="1" t="shared" si="315"/>
        <v>48.2461908581036</v>
      </c>
      <c r="BB274" s="12">
        <f ca="1" t="shared" si="316"/>
        <v>43.5436897015752</v>
      </c>
      <c r="BC274" s="12">
        <f ca="1" t="shared" si="317"/>
        <v>39.0071345969164</v>
      </c>
      <c r="BD274" s="12">
        <f ca="1" t="shared" si="318"/>
        <v>34.827709925337</v>
      </c>
      <c r="BE274" s="12">
        <f ca="1" t="shared" si="319"/>
        <v>30.3645728731439</v>
      </c>
      <c r="BF274" s="12">
        <f ca="1" t="shared" si="320"/>
        <v>25.9792704448265</v>
      </c>
      <c r="BG274" s="12">
        <f ca="1" t="shared" si="321"/>
        <v>21.449947596672</v>
      </c>
      <c r="BH274" s="12">
        <f ca="1" t="shared" si="322"/>
        <v>16.3242086864166</v>
      </c>
      <c r="BI274" s="12">
        <f ca="1" t="shared" si="323"/>
        <v>10.3271844865004</v>
      </c>
      <c r="BJ274" s="12">
        <f ca="1" t="shared" si="324"/>
        <v>5.86709737592735</v>
      </c>
      <c r="BK274" s="12">
        <f ca="1" t="shared" si="325"/>
        <v>0.92072895341213</v>
      </c>
      <c r="BL274" s="12">
        <f ca="1" t="shared" si="326"/>
        <v>0</v>
      </c>
      <c r="BM274" s="12">
        <f ca="1" t="shared" si="327"/>
        <v>0</v>
      </c>
      <c r="BN274" s="12">
        <f ca="1" t="shared" si="328"/>
        <v>0</v>
      </c>
      <c r="BO274" s="12">
        <f ca="1" t="shared" si="329"/>
        <v>0</v>
      </c>
    </row>
    <row r="275" spans="1:67">
      <c r="A275" s="3">
        <v>245</v>
      </c>
      <c r="B275" s="11">
        <f ca="1" t="shared" si="295"/>
        <v>0.0664974134389795</v>
      </c>
      <c r="C275" s="12">
        <f ca="1" t="shared" si="296"/>
        <v>53.324870671949</v>
      </c>
      <c r="D275" s="11">
        <f ca="1" t="shared" ref="D275:S275" si="381">RAND()</f>
        <v>0.11379410389043</v>
      </c>
      <c r="E275" s="11">
        <f ca="1" t="shared" si="381"/>
        <v>0.507590949266394</v>
      </c>
      <c r="F275" s="11">
        <f ca="1" t="shared" si="381"/>
        <v>0.17181951607005</v>
      </c>
      <c r="G275" s="11">
        <f ca="1" t="shared" si="381"/>
        <v>0.657091485375359</v>
      </c>
      <c r="H275" s="11">
        <f ca="1" t="shared" si="381"/>
        <v>0.819280633968512</v>
      </c>
      <c r="I275" s="11">
        <f ca="1" t="shared" si="381"/>
        <v>0.609152746909166</v>
      </c>
      <c r="J275" s="11">
        <f ca="1" t="shared" si="381"/>
        <v>0.642561971133897</v>
      </c>
      <c r="K275" s="11">
        <f ca="1" t="shared" si="381"/>
        <v>0.297426919289145</v>
      </c>
      <c r="L275" s="11">
        <f ca="1" t="shared" si="381"/>
        <v>0.727492450047882</v>
      </c>
      <c r="M275" s="11">
        <f ca="1" t="shared" si="381"/>
        <v>0.581716806267034</v>
      </c>
      <c r="N275" s="11">
        <f ca="1" t="shared" si="381"/>
        <v>0.23058881921065</v>
      </c>
      <c r="O275" s="11">
        <f ca="1" t="shared" si="381"/>
        <v>0.734296653884112</v>
      </c>
      <c r="P275" s="11">
        <f ca="1" t="shared" si="381"/>
        <v>0.114693814435303</v>
      </c>
      <c r="Q275" s="11">
        <f ca="1" t="shared" si="381"/>
        <v>0.1038887178886</v>
      </c>
      <c r="R275" s="11">
        <f ca="1" t="shared" si="381"/>
        <v>0.172900090190752</v>
      </c>
      <c r="S275" s="11">
        <f ca="1" t="shared" si="381"/>
        <v>0.497481684811204</v>
      </c>
      <c r="T275" s="12">
        <f ca="1" t="shared" si="298"/>
        <v>4.18965683981738</v>
      </c>
      <c r="U275" s="12">
        <f ca="1" t="shared" si="299"/>
        <v>4.75948868658299</v>
      </c>
      <c r="V275" s="12">
        <f ca="1" t="shared" si="300"/>
        <v>4.28636586011675</v>
      </c>
      <c r="W275" s="12">
        <f ca="1" t="shared" si="301"/>
        <v>4.9463643567192</v>
      </c>
      <c r="X275" s="12">
        <f ca="1" t="shared" si="302"/>
        <v>5.29820158492128</v>
      </c>
      <c r="Y275" s="12">
        <f ca="1" t="shared" si="303"/>
        <v>4.88644093363646</v>
      </c>
      <c r="Z275" s="12">
        <f ca="1" t="shared" si="304"/>
        <v>4.92820246391737</v>
      </c>
      <c r="AA275" s="12">
        <f ca="1" t="shared" si="305"/>
        <v>4.49571153214857</v>
      </c>
      <c r="AB275" s="12">
        <f ca="1" t="shared" si="306"/>
        <v>5.0687311251197</v>
      </c>
      <c r="AC275" s="12">
        <f ca="1" t="shared" si="307"/>
        <v>4.85214600783379</v>
      </c>
      <c r="AD275" s="12">
        <f ca="1" t="shared" si="308"/>
        <v>4.38431469868442</v>
      </c>
      <c r="AE275" s="12">
        <f ca="1" t="shared" si="309"/>
        <v>5.08574163471028</v>
      </c>
      <c r="AF275" s="12">
        <f ca="1" t="shared" si="310"/>
        <v>4.19115635739217</v>
      </c>
      <c r="AG275" s="12">
        <f ca="1" t="shared" si="311"/>
        <v>4.17314786314767</v>
      </c>
      <c r="AH275" s="12">
        <f ca="1" t="shared" si="312"/>
        <v>4.28816681698459</v>
      </c>
      <c r="AI275" s="12">
        <f ca="1" t="shared" si="313"/>
        <v>4.74685210601401</v>
      </c>
      <c r="AJ275" s="12">
        <f ca="1">SUM($T275:T275)</f>
        <v>4.18965683981738</v>
      </c>
      <c r="AK275" s="12">
        <f ca="1">SUM($T275:U275)</f>
        <v>8.94914552640038</v>
      </c>
      <c r="AL275" s="12">
        <f ca="1">SUM($T275:V275)</f>
        <v>13.2355113865171</v>
      </c>
      <c r="AM275" s="12">
        <f ca="1">SUM($T275:W275)</f>
        <v>18.1818757432363</v>
      </c>
      <c r="AN275" s="12">
        <f ca="1">SUM($T275:X275)</f>
        <v>23.4800773281576</v>
      </c>
      <c r="AO275" s="12">
        <f ca="1">SUM($T275:Y275)</f>
        <v>28.3665182617941</v>
      </c>
      <c r="AP275" s="12">
        <f ca="1">SUM($T275:Z275)</f>
        <v>33.2947207257114</v>
      </c>
      <c r="AQ275" s="12">
        <f ca="1">SUM($T275:AA275)</f>
        <v>37.79043225786</v>
      </c>
      <c r="AR275" s="12">
        <f ca="1">SUM($T275:AB275)</f>
        <v>42.8591633829797</v>
      </c>
      <c r="AS275" s="12">
        <f ca="1">SUM($T275:AC275)</f>
        <v>47.7113093908135</v>
      </c>
      <c r="AT275" s="12">
        <f ca="1">SUM($T275:AD275)</f>
        <v>52.0956240894979</v>
      </c>
      <c r="AU275" s="12">
        <f ca="1">SUM($T275:AE275)</f>
        <v>57.1813657242082</v>
      </c>
      <c r="AV275" s="12">
        <f ca="1">SUM($T275:AF275)</f>
        <v>61.3725220816004</v>
      </c>
      <c r="AW275" s="12">
        <f ca="1">SUM($T275:AG275)</f>
        <v>65.5456699447481</v>
      </c>
      <c r="AX275" s="12">
        <f ca="1">SUM($T275:AH275)</f>
        <v>69.8338367617326</v>
      </c>
      <c r="AY275" s="12">
        <f ca="1">SUM($T275:AI275)</f>
        <v>74.5806888677466</v>
      </c>
      <c r="AZ275" s="12">
        <f ca="1" t="shared" si="314"/>
        <v>49.1352138321316</v>
      </c>
      <c r="BA275" s="12">
        <f ca="1" t="shared" si="315"/>
        <v>44.3757251455486</v>
      </c>
      <c r="BB275" s="12">
        <f ca="1" t="shared" si="316"/>
        <v>40.0893592854319</v>
      </c>
      <c r="BC275" s="12">
        <f ca="1" t="shared" si="317"/>
        <v>35.1429949287127</v>
      </c>
      <c r="BD275" s="12">
        <f ca="1" t="shared" si="318"/>
        <v>29.8447933437914</v>
      </c>
      <c r="BE275" s="12">
        <f ca="1" t="shared" si="319"/>
        <v>24.9583524101549</v>
      </c>
      <c r="BF275" s="12">
        <f ca="1" t="shared" si="320"/>
        <v>20.0301499462375</v>
      </c>
      <c r="BG275" s="12">
        <f ca="1" t="shared" si="321"/>
        <v>15.534438414089</v>
      </c>
      <c r="BH275" s="12">
        <f ca="1" t="shared" si="322"/>
        <v>10.4657072889693</v>
      </c>
      <c r="BI275" s="12">
        <f ca="1" t="shared" si="323"/>
        <v>5.61356128113547</v>
      </c>
      <c r="BJ275" s="12">
        <f ca="1" t="shared" si="324"/>
        <v>1.22924658245105</v>
      </c>
      <c r="BK275" s="12">
        <f ca="1" t="shared" si="325"/>
        <v>0</v>
      </c>
      <c r="BL275" s="12">
        <f ca="1" t="shared" si="326"/>
        <v>0</v>
      </c>
      <c r="BM275" s="12">
        <f ca="1" t="shared" si="327"/>
        <v>0</v>
      </c>
      <c r="BN275" s="12">
        <f ca="1" t="shared" si="328"/>
        <v>0</v>
      </c>
      <c r="BO275" s="12">
        <f ca="1" t="shared" si="329"/>
        <v>0</v>
      </c>
    </row>
    <row r="276" spans="1:67">
      <c r="A276" s="3">
        <v>246</v>
      </c>
      <c r="B276" s="11">
        <f ca="1" t="shared" si="295"/>
        <v>0.773319318884928</v>
      </c>
      <c r="C276" s="12">
        <f ca="1" t="shared" si="296"/>
        <v>68.1902759840704</v>
      </c>
      <c r="D276" s="11">
        <f ca="1" t="shared" ref="D276:S276" si="382">RAND()</f>
        <v>0.608323339829891</v>
      </c>
      <c r="E276" s="11">
        <f ca="1" t="shared" si="382"/>
        <v>0.803836330081863</v>
      </c>
      <c r="F276" s="11">
        <f ca="1" t="shared" si="382"/>
        <v>0.756662038823699</v>
      </c>
      <c r="G276" s="11">
        <f ca="1" t="shared" si="382"/>
        <v>0.333507553922849</v>
      </c>
      <c r="H276" s="11">
        <f ca="1" t="shared" si="382"/>
        <v>0.826064626127302</v>
      </c>
      <c r="I276" s="11">
        <f ca="1" t="shared" si="382"/>
        <v>0.110389953766334</v>
      </c>
      <c r="J276" s="11">
        <f ca="1" t="shared" si="382"/>
        <v>0.507583526168908</v>
      </c>
      <c r="K276" s="11">
        <f ca="1" t="shared" si="382"/>
        <v>0.123609047059033</v>
      </c>
      <c r="L276" s="11">
        <f ca="1" t="shared" si="382"/>
        <v>0.642577036749923</v>
      </c>
      <c r="M276" s="11">
        <f ca="1" t="shared" si="382"/>
        <v>0.997566386337204</v>
      </c>
      <c r="N276" s="11">
        <f ca="1" t="shared" si="382"/>
        <v>0.854823770849038</v>
      </c>
      <c r="O276" s="11">
        <f ca="1" t="shared" si="382"/>
        <v>0.153178000073131</v>
      </c>
      <c r="P276" s="11">
        <f ca="1" t="shared" si="382"/>
        <v>0.6481769678257</v>
      </c>
      <c r="Q276" s="11">
        <f ca="1" t="shared" si="382"/>
        <v>0.103905493498366</v>
      </c>
      <c r="R276" s="11">
        <f ca="1" t="shared" si="382"/>
        <v>0.803840825499533</v>
      </c>
      <c r="S276" s="11">
        <f ca="1" t="shared" si="382"/>
        <v>0.806588593465497</v>
      </c>
      <c r="T276" s="12">
        <f ca="1" t="shared" si="298"/>
        <v>4.88540417478736</v>
      </c>
      <c r="U276" s="12">
        <f ca="1" t="shared" si="299"/>
        <v>5.25959082520466</v>
      </c>
      <c r="V276" s="12">
        <f ca="1" t="shared" si="300"/>
        <v>5.14165509705925</v>
      </c>
      <c r="W276" s="12">
        <f ca="1" t="shared" si="301"/>
        <v>4.54188444240356</v>
      </c>
      <c r="X276" s="12">
        <f ca="1" t="shared" si="302"/>
        <v>5.31516156531826</v>
      </c>
      <c r="Y276" s="12">
        <f ca="1" t="shared" si="303"/>
        <v>4.18398325627722</v>
      </c>
      <c r="Z276" s="12">
        <f ca="1" t="shared" si="304"/>
        <v>4.75947940771114</v>
      </c>
      <c r="AA276" s="12">
        <f ca="1" t="shared" si="305"/>
        <v>4.20601507843172</v>
      </c>
      <c r="AB276" s="12">
        <f ca="1" t="shared" si="306"/>
        <v>4.9282212959374</v>
      </c>
      <c r="AC276" s="12">
        <f ca="1" t="shared" si="307"/>
        <v>5.98783193168602</v>
      </c>
      <c r="AD276" s="12">
        <f ca="1" t="shared" si="308"/>
        <v>5.38705942712259</v>
      </c>
      <c r="AE276" s="12">
        <f ca="1" t="shared" si="309"/>
        <v>4.25529666678855</v>
      </c>
      <c r="AF276" s="12">
        <f ca="1" t="shared" si="310"/>
        <v>4.93522120978213</v>
      </c>
      <c r="AG276" s="12">
        <f ca="1" t="shared" si="311"/>
        <v>4.17317582249728</v>
      </c>
      <c r="AH276" s="12">
        <f ca="1" t="shared" si="312"/>
        <v>5.25960206374883</v>
      </c>
      <c r="AI276" s="12">
        <f ca="1" t="shared" si="313"/>
        <v>5.26647148366374</v>
      </c>
      <c r="AJ276" s="12">
        <f ca="1">SUM($T276:T276)</f>
        <v>4.88540417478736</v>
      </c>
      <c r="AK276" s="12">
        <f ca="1">SUM($T276:U276)</f>
        <v>10.144994999992</v>
      </c>
      <c r="AL276" s="12">
        <f ca="1">SUM($T276:V276)</f>
        <v>15.2866500970513</v>
      </c>
      <c r="AM276" s="12">
        <f ca="1">SUM($T276:W276)</f>
        <v>19.8285345394548</v>
      </c>
      <c r="AN276" s="12">
        <f ca="1">SUM($T276:X276)</f>
        <v>25.1436961047731</v>
      </c>
      <c r="AO276" s="12">
        <f ca="1">SUM($T276:Y276)</f>
        <v>29.3276793610503</v>
      </c>
      <c r="AP276" s="12">
        <f ca="1">SUM($T276:Z276)</f>
        <v>34.0871587687614</v>
      </c>
      <c r="AQ276" s="12">
        <f ca="1">SUM($T276:AA276)</f>
        <v>38.2931738471932</v>
      </c>
      <c r="AR276" s="12">
        <f ca="1">SUM($T276:AB276)</f>
        <v>43.2213951431306</v>
      </c>
      <c r="AS276" s="12">
        <f ca="1">SUM($T276:AC276)</f>
        <v>49.2092270748166</v>
      </c>
      <c r="AT276" s="12">
        <f ca="1">SUM($T276:AD276)</f>
        <v>54.5962865019392</v>
      </c>
      <c r="AU276" s="12">
        <f ca="1">SUM($T276:AE276)</f>
        <v>58.8515831687277</v>
      </c>
      <c r="AV276" s="12">
        <f ca="1">SUM($T276:AF276)</f>
        <v>63.7868043785099</v>
      </c>
      <c r="AW276" s="12">
        <f ca="1">SUM($T276:AG276)</f>
        <v>67.9599802010071</v>
      </c>
      <c r="AX276" s="12">
        <f ca="1">SUM($T276:AH276)</f>
        <v>73.219582264756</v>
      </c>
      <c r="AY276" s="12">
        <f ca="1">SUM($T276:AI276)</f>
        <v>78.4860537484197</v>
      </c>
      <c r="AZ276" s="12">
        <f ca="1" t="shared" si="314"/>
        <v>63.304871809283</v>
      </c>
      <c r="BA276" s="12">
        <f ca="1" t="shared" si="315"/>
        <v>58.0452809840784</v>
      </c>
      <c r="BB276" s="12">
        <f ca="1" t="shared" si="316"/>
        <v>52.9036258870191</v>
      </c>
      <c r="BC276" s="12">
        <f ca="1" t="shared" si="317"/>
        <v>48.3617414446156</v>
      </c>
      <c r="BD276" s="12">
        <f ca="1" t="shared" si="318"/>
        <v>43.0465798792973</v>
      </c>
      <c r="BE276" s="12">
        <f ca="1" t="shared" si="319"/>
        <v>38.8625966230201</v>
      </c>
      <c r="BF276" s="12">
        <f ca="1" t="shared" si="320"/>
        <v>34.103117215309</v>
      </c>
      <c r="BG276" s="12">
        <f ca="1" t="shared" si="321"/>
        <v>29.8971021368773</v>
      </c>
      <c r="BH276" s="12">
        <f ca="1" t="shared" si="322"/>
        <v>24.9688808409398</v>
      </c>
      <c r="BI276" s="12">
        <f ca="1" t="shared" si="323"/>
        <v>18.9810489092538</v>
      </c>
      <c r="BJ276" s="12">
        <f ca="1" t="shared" si="324"/>
        <v>13.5939894821312</v>
      </c>
      <c r="BK276" s="12">
        <f ca="1" t="shared" si="325"/>
        <v>9.33869281534268</v>
      </c>
      <c r="BL276" s="12">
        <f ca="1" t="shared" si="326"/>
        <v>4.40347160556055</v>
      </c>
      <c r="BM276" s="12">
        <f ca="1" t="shared" si="327"/>
        <v>0.230295783063283</v>
      </c>
      <c r="BN276" s="12">
        <f ca="1" t="shared" si="328"/>
        <v>0</v>
      </c>
      <c r="BO276" s="12">
        <f ca="1" t="shared" si="329"/>
        <v>0</v>
      </c>
    </row>
    <row r="277" spans="1:67">
      <c r="A277" s="3">
        <v>247</v>
      </c>
      <c r="B277" s="11">
        <f ca="1" t="shared" si="295"/>
        <v>0.588023978039097</v>
      </c>
      <c r="C277" s="12">
        <f ca="1" t="shared" si="296"/>
        <v>65.5431996862728</v>
      </c>
      <c r="D277" s="11">
        <f ca="1" t="shared" ref="D277:S277" si="383">RAND()</f>
        <v>0.759292845330729</v>
      </c>
      <c r="E277" s="11">
        <f ca="1" t="shared" si="383"/>
        <v>0.806597913667068</v>
      </c>
      <c r="F277" s="11">
        <f ca="1" t="shared" si="383"/>
        <v>0.562718096944162</v>
      </c>
      <c r="G277" s="11">
        <f ca="1" t="shared" si="383"/>
        <v>0.428918146091936</v>
      </c>
      <c r="H277" s="11">
        <f ca="1" t="shared" si="383"/>
        <v>0.828330238900868</v>
      </c>
      <c r="I277" s="11">
        <f ca="1" t="shared" si="383"/>
        <v>0.562727789471036</v>
      </c>
      <c r="J277" s="11">
        <f ca="1" t="shared" si="383"/>
        <v>0.233737987435672</v>
      </c>
      <c r="K277" s="11">
        <f ca="1" t="shared" si="383"/>
        <v>0.160471057055234</v>
      </c>
      <c r="L277" s="11">
        <f ca="1" t="shared" si="383"/>
        <v>0.668458222378939</v>
      </c>
      <c r="M277" s="11">
        <f ca="1" t="shared" si="383"/>
        <v>0.591191756162958</v>
      </c>
      <c r="N277" s="11">
        <f ca="1" t="shared" si="383"/>
        <v>0.160468416684794</v>
      </c>
      <c r="O277" s="11">
        <f ca="1" t="shared" si="383"/>
        <v>0.480789824273152</v>
      </c>
      <c r="P277" s="11">
        <f ca="1" t="shared" si="383"/>
        <v>0.152561665587806</v>
      </c>
      <c r="Q277" s="11">
        <f ca="1" t="shared" si="383"/>
        <v>0.867220378371526</v>
      </c>
      <c r="R277" s="11">
        <f ca="1" t="shared" si="383"/>
        <v>0.425136790281622</v>
      </c>
      <c r="S277" s="11">
        <f ca="1" t="shared" si="383"/>
        <v>0.867245686182101</v>
      </c>
      <c r="T277" s="12">
        <f ca="1" t="shared" si="298"/>
        <v>5.14823211332682</v>
      </c>
      <c r="U277" s="12">
        <f ca="1" t="shared" si="299"/>
        <v>5.26649478416767</v>
      </c>
      <c r="V277" s="12">
        <f ca="1" t="shared" si="300"/>
        <v>4.8283976211802</v>
      </c>
      <c r="W277" s="12">
        <f ca="1" t="shared" si="301"/>
        <v>4.66114768261492</v>
      </c>
      <c r="X277" s="12">
        <f ca="1" t="shared" si="302"/>
        <v>5.32082559725217</v>
      </c>
      <c r="Y277" s="12">
        <f ca="1" t="shared" si="303"/>
        <v>4.8284097368388</v>
      </c>
      <c r="Z277" s="12">
        <f ca="1" t="shared" si="304"/>
        <v>4.38956331239279</v>
      </c>
      <c r="AA277" s="12">
        <f ca="1" t="shared" si="305"/>
        <v>4.26745176175872</v>
      </c>
      <c r="AB277" s="12">
        <f ca="1" t="shared" si="306"/>
        <v>4.96057277797367</v>
      </c>
      <c r="AC277" s="12">
        <f ca="1" t="shared" si="307"/>
        <v>4.8639896952037</v>
      </c>
      <c r="AD277" s="12">
        <f ca="1" t="shared" si="308"/>
        <v>4.26744736114132</v>
      </c>
      <c r="AE277" s="12">
        <f ca="1" t="shared" si="309"/>
        <v>4.72598728034144</v>
      </c>
      <c r="AF277" s="12">
        <f ca="1" t="shared" si="310"/>
        <v>4.25426944264634</v>
      </c>
      <c r="AG277" s="12">
        <f ca="1" t="shared" si="311"/>
        <v>5.41805094592882</v>
      </c>
      <c r="AH277" s="12">
        <f ca="1" t="shared" si="312"/>
        <v>4.65642098785203</v>
      </c>
      <c r="AI277" s="12">
        <f ca="1" t="shared" si="313"/>
        <v>5.41811421545525</v>
      </c>
      <c r="AJ277" s="12">
        <f ca="1">SUM($T277:T277)</f>
        <v>5.14823211332682</v>
      </c>
      <c r="AK277" s="12">
        <f ca="1">SUM($T277:U277)</f>
        <v>10.4147268974945</v>
      </c>
      <c r="AL277" s="12">
        <f ca="1">SUM($T277:V277)</f>
        <v>15.2431245186747</v>
      </c>
      <c r="AM277" s="12">
        <f ca="1">SUM($T277:W277)</f>
        <v>19.9042722012896</v>
      </c>
      <c r="AN277" s="12">
        <f ca="1">SUM($T277:X277)</f>
        <v>25.2250977985418</v>
      </c>
      <c r="AO277" s="12">
        <f ca="1">SUM($T277:Y277)</f>
        <v>30.0535075353806</v>
      </c>
      <c r="AP277" s="12">
        <f ca="1">SUM($T277:Z277)</f>
        <v>34.4430708477734</v>
      </c>
      <c r="AQ277" s="12">
        <f ca="1">SUM($T277:AA277)</f>
        <v>38.7105226095321</v>
      </c>
      <c r="AR277" s="12">
        <f ca="1">SUM($T277:AB277)</f>
        <v>43.6710953875058</v>
      </c>
      <c r="AS277" s="12">
        <f ca="1">SUM($T277:AC277)</f>
        <v>48.5350850827095</v>
      </c>
      <c r="AT277" s="12">
        <f ca="1">SUM($T277:AD277)</f>
        <v>52.8025324438508</v>
      </c>
      <c r="AU277" s="12">
        <f ca="1">SUM($T277:AE277)</f>
        <v>57.5285197241922</v>
      </c>
      <c r="AV277" s="12">
        <f ca="1">SUM($T277:AF277)</f>
        <v>61.7827891668386</v>
      </c>
      <c r="AW277" s="12">
        <f ca="1">SUM($T277:AG277)</f>
        <v>67.2008401127674</v>
      </c>
      <c r="AX277" s="12">
        <f ca="1">SUM($T277:AH277)</f>
        <v>71.8572611006194</v>
      </c>
      <c r="AY277" s="12">
        <f ca="1">SUM($T277:AI277)</f>
        <v>77.2753753160747</v>
      </c>
      <c r="AZ277" s="12">
        <f ca="1" t="shared" si="314"/>
        <v>60.394967572946</v>
      </c>
      <c r="BA277" s="12">
        <f ca="1" t="shared" si="315"/>
        <v>55.1284727887783</v>
      </c>
      <c r="BB277" s="12">
        <f ca="1" t="shared" si="316"/>
        <v>50.3000751675981</v>
      </c>
      <c r="BC277" s="12">
        <f ca="1" t="shared" si="317"/>
        <v>45.6389274849832</v>
      </c>
      <c r="BD277" s="12">
        <f ca="1" t="shared" si="318"/>
        <v>40.318101887731</v>
      </c>
      <c r="BE277" s="12">
        <f ca="1" t="shared" si="319"/>
        <v>35.4896921508922</v>
      </c>
      <c r="BF277" s="12">
        <f ca="1" t="shared" si="320"/>
        <v>31.1001288384994</v>
      </c>
      <c r="BG277" s="12">
        <f ca="1" t="shared" si="321"/>
        <v>26.8326770767407</v>
      </c>
      <c r="BH277" s="12">
        <f ca="1" t="shared" si="322"/>
        <v>21.872104298767</v>
      </c>
      <c r="BI277" s="12">
        <f ca="1" t="shared" si="323"/>
        <v>17.0081146035633</v>
      </c>
      <c r="BJ277" s="12">
        <f ca="1" t="shared" si="324"/>
        <v>12.740667242422</v>
      </c>
      <c r="BK277" s="12">
        <f ca="1" t="shared" si="325"/>
        <v>8.01467996208059</v>
      </c>
      <c r="BL277" s="12">
        <f ca="1" t="shared" si="326"/>
        <v>3.76041051943424</v>
      </c>
      <c r="BM277" s="12">
        <f ca="1" t="shared" si="327"/>
        <v>0</v>
      </c>
      <c r="BN277" s="12">
        <f ca="1" t="shared" si="328"/>
        <v>0</v>
      </c>
      <c r="BO277" s="12">
        <f ca="1" t="shared" si="329"/>
        <v>0</v>
      </c>
    </row>
    <row r="278" spans="1:67">
      <c r="A278" s="3">
        <v>248</v>
      </c>
      <c r="B278" s="11">
        <f ca="1" t="shared" si="295"/>
        <v>0.679465833035901</v>
      </c>
      <c r="C278" s="12">
        <f ca="1" t="shared" si="296"/>
        <v>66.8495119005129</v>
      </c>
      <c r="D278" s="11">
        <f ca="1" t="shared" ref="D278:S278" si="384">RAND()</f>
        <v>0.882237945861001</v>
      </c>
      <c r="E278" s="11">
        <f ca="1" t="shared" si="384"/>
        <v>0.882247219341828</v>
      </c>
      <c r="F278" s="11">
        <f ca="1" t="shared" si="384"/>
        <v>0.534107279634778</v>
      </c>
      <c r="G278" s="11">
        <f ca="1" t="shared" si="384"/>
        <v>0.534102751709949</v>
      </c>
      <c r="H278" s="11">
        <f ca="1" t="shared" si="384"/>
        <v>0.537129057003046</v>
      </c>
      <c r="I278" s="11">
        <f ca="1" t="shared" si="384"/>
        <v>0.315449514647583</v>
      </c>
      <c r="J278" s="11">
        <f ca="1" t="shared" si="384"/>
        <v>0.651214055882345</v>
      </c>
      <c r="K278" s="11">
        <f ca="1" t="shared" si="384"/>
        <v>0.315453498512682</v>
      </c>
      <c r="L278" s="11">
        <f ca="1" t="shared" si="384"/>
        <v>0.461450804681241</v>
      </c>
      <c r="M278" s="11">
        <f ca="1" t="shared" si="384"/>
        <v>0.000328154366101119</v>
      </c>
      <c r="N278" s="11">
        <f ca="1" t="shared" si="384"/>
        <v>0.893648903504131</v>
      </c>
      <c r="O278" s="11">
        <f ca="1" t="shared" si="384"/>
        <v>0.000310400647534737</v>
      </c>
      <c r="P278" s="11">
        <f ca="1" t="shared" si="384"/>
        <v>0.45194511132777</v>
      </c>
      <c r="Q278" s="11">
        <f ca="1" t="shared" si="384"/>
        <v>0.431803503015213</v>
      </c>
      <c r="R278" s="11">
        <f ca="1" t="shared" si="384"/>
        <v>0.0579664384164928</v>
      </c>
      <c r="S278" s="11">
        <f ca="1" t="shared" si="384"/>
        <v>0.447217520472905</v>
      </c>
      <c r="T278" s="12">
        <f ca="1" t="shared" si="298"/>
        <v>5.4555948646525</v>
      </c>
      <c r="U278" s="12">
        <f ca="1" t="shared" si="299"/>
        <v>5.45561804835457</v>
      </c>
      <c r="V278" s="12">
        <f ca="1" t="shared" si="300"/>
        <v>4.79263409954347</v>
      </c>
      <c r="W278" s="12">
        <f ca="1" t="shared" si="301"/>
        <v>4.79262843963744</v>
      </c>
      <c r="X278" s="12">
        <f ca="1" t="shared" si="302"/>
        <v>4.79641132125381</v>
      </c>
      <c r="Y278" s="12">
        <f ca="1" t="shared" si="303"/>
        <v>4.51931189330948</v>
      </c>
      <c r="Z278" s="12">
        <f ca="1" t="shared" si="304"/>
        <v>4.93901756985293</v>
      </c>
      <c r="AA278" s="12">
        <f ca="1" t="shared" si="305"/>
        <v>4.51931687314085</v>
      </c>
      <c r="AB278" s="12">
        <f ca="1" t="shared" si="306"/>
        <v>4.70181350585155</v>
      </c>
      <c r="AC278" s="12">
        <f ca="1" t="shared" si="307"/>
        <v>4.0005469239435</v>
      </c>
      <c r="AD278" s="12">
        <f ca="1" t="shared" si="308"/>
        <v>5.48412225876033</v>
      </c>
      <c r="AE278" s="12">
        <f ca="1" t="shared" si="309"/>
        <v>4.00051733441256</v>
      </c>
      <c r="AF278" s="12">
        <f ca="1" t="shared" si="310"/>
        <v>4.68993138915971</v>
      </c>
      <c r="AG278" s="12">
        <f ca="1" t="shared" si="311"/>
        <v>4.66475437876902</v>
      </c>
      <c r="AH278" s="12">
        <f ca="1" t="shared" si="312"/>
        <v>4.09661073069416</v>
      </c>
      <c r="AI278" s="12">
        <f ca="1" t="shared" si="313"/>
        <v>4.68402190059113</v>
      </c>
      <c r="AJ278" s="12">
        <f ca="1">SUM($T278:T278)</f>
        <v>5.4555948646525</v>
      </c>
      <c r="AK278" s="12">
        <f ca="1">SUM($T278:U278)</f>
        <v>10.9112129130071</v>
      </c>
      <c r="AL278" s="12">
        <f ca="1">SUM($T278:V278)</f>
        <v>15.7038470125505</v>
      </c>
      <c r="AM278" s="12">
        <f ca="1">SUM($T278:W278)</f>
        <v>20.496475452188</v>
      </c>
      <c r="AN278" s="12">
        <f ca="1">SUM($T278:X278)</f>
        <v>25.2928867734418</v>
      </c>
      <c r="AO278" s="12">
        <f ca="1">SUM($T278:Y278)</f>
        <v>29.8121986667513</v>
      </c>
      <c r="AP278" s="12">
        <f ca="1">SUM($T278:Z278)</f>
        <v>34.7512162366042</v>
      </c>
      <c r="AQ278" s="12">
        <f ca="1">SUM($T278:AA278)</f>
        <v>39.2705331097451</v>
      </c>
      <c r="AR278" s="12">
        <f ca="1">SUM($T278:AB278)</f>
        <v>43.9723466155966</v>
      </c>
      <c r="AS278" s="12">
        <f ca="1">SUM($T278:AC278)</f>
        <v>47.9728935395401</v>
      </c>
      <c r="AT278" s="12">
        <f ca="1">SUM($T278:AD278)</f>
        <v>53.4570157983004</v>
      </c>
      <c r="AU278" s="12">
        <f ca="1">SUM($T278:AE278)</f>
        <v>57.457533132713</v>
      </c>
      <c r="AV278" s="12">
        <f ca="1">SUM($T278:AF278)</f>
        <v>62.1474645218727</v>
      </c>
      <c r="AW278" s="12">
        <f ca="1">SUM($T278:AG278)</f>
        <v>66.8122189006417</v>
      </c>
      <c r="AX278" s="12">
        <f ca="1">SUM($T278:AH278)</f>
        <v>70.9088296313359</v>
      </c>
      <c r="AY278" s="12">
        <f ca="1">SUM($T278:AI278)</f>
        <v>75.592851531927</v>
      </c>
      <c r="AZ278" s="12">
        <f ca="1" t="shared" si="314"/>
        <v>61.3939170358604</v>
      </c>
      <c r="BA278" s="12">
        <f ca="1" t="shared" si="315"/>
        <v>55.9382989875058</v>
      </c>
      <c r="BB278" s="12">
        <f ca="1" t="shared" si="316"/>
        <v>51.1456648879623</v>
      </c>
      <c r="BC278" s="12">
        <f ca="1" t="shared" si="317"/>
        <v>46.3530364483249</v>
      </c>
      <c r="BD278" s="12">
        <f ca="1" t="shared" si="318"/>
        <v>41.5566251270711</v>
      </c>
      <c r="BE278" s="12">
        <f ca="1" t="shared" si="319"/>
        <v>37.0373132337616</v>
      </c>
      <c r="BF278" s="12">
        <f ca="1" t="shared" si="320"/>
        <v>32.0982956639087</v>
      </c>
      <c r="BG278" s="12">
        <f ca="1" t="shared" si="321"/>
        <v>27.5789787907678</v>
      </c>
      <c r="BH278" s="12">
        <f ca="1" t="shared" si="322"/>
        <v>22.8771652849163</v>
      </c>
      <c r="BI278" s="12">
        <f ca="1" t="shared" si="323"/>
        <v>18.8766183609728</v>
      </c>
      <c r="BJ278" s="12">
        <f ca="1" t="shared" si="324"/>
        <v>13.3924961022124</v>
      </c>
      <c r="BK278" s="12">
        <f ca="1" t="shared" si="325"/>
        <v>9.39197876779988</v>
      </c>
      <c r="BL278" s="12">
        <f ca="1" t="shared" si="326"/>
        <v>4.70204737864017</v>
      </c>
      <c r="BM278" s="12">
        <f ca="1" t="shared" si="327"/>
        <v>0.0372929998711555</v>
      </c>
      <c r="BN278" s="12">
        <f ca="1" t="shared" si="328"/>
        <v>0</v>
      </c>
      <c r="BO278" s="12">
        <f ca="1" t="shared" si="329"/>
        <v>0</v>
      </c>
    </row>
    <row r="279" spans="1:67">
      <c r="A279" s="3">
        <v>249</v>
      </c>
      <c r="B279" s="11">
        <f ca="1" t="shared" si="295"/>
        <v>0.733419168705554</v>
      </c>
      <c r="C279" s="12">
        <f ca="1" t="shared" si="296"/>
        <v>67.6202738386508</v>
      </c>
      <c r="D279" s="11">
        <f ca="1" t="shared" ref="D279:S279" si="385">RAND()</f>
        <v>0.461989060427719</v>
      </c>
      <c r="E279" s="11">
        <f ca="1" t="shared" si="385"/>
        <v>0.316459755390373</v>
      </c>
      <c r="F279" s="11">
        <f ca="1" t="shared" si="385"/>
        <v>0.531067994091455</v>
      </c>
      <c r="G279" s="11">
        <f ca="1" t="shared" si="385"/>
        <v>0.706778687552782</v>
      </c>
      <c r="H279" s="11">
        <f ca="1" t="shared" si="385"/>
        <v>0.893647269706039</v>
      </c>
      <c r="I279" s="11">
        <f ca="1" t="shared" si="385"/>
        <v>0.231182907570852</v>
      </c>
      <c r="J279" s="11">
        <f ca="1" t="shared" si="385"/>
        <v>0.187245224886</v>
      </c>
      <c r="K279" s="11">
        <f ca="1" t="shared" si="385"/>
        <v>0.390945718960765</v>
      </c>
      <c r="L279" s="11">
        <f ca="1" t="shared" si="385"/>
        <v>0.0804820731466522</v>
      </c>
      <c r="M279" s="11">
        <f ca="1" t="shared" si="385"/>
        <v>0.461998336053135</v>
      </c>
      <c r="N279" s="11">
        <f ca="1" t="shared" si="385"/>
        <v>0.750299347065327</v>
      </c>
      <c r="O279" s="11">
        <f ca="1" t="shared" si="385"/>
        <v>0.0401685655538866</v>
      </c>
      <c r="P279" s="11">
        <f ca="1" t="shared" si="385"/>
        <v>0.367861564353571</v>
      </c>
      <c r="Q279" s="11">
        <f ca="1" t="shared" si="385"/>
        <v>0.231189011742769</v>
      </c>
      <c r="R279" s="11">
        <f ca="1" t="shared" si="385"/>
        <v>0.432878583219345</v>
      </c>
      <c r="S279" s="11">
        <f ca="1" t="shared" si="385"/>
        <v>0.594847951967574</v>
      </c>
      <c r="T279" s="12">
        <f ca="1" t="shared" si="298"/>
        <v>4.70248632553465</v>
      </c>
      <c r="U279" s="12">
        <f ca="1" t="shared" si="299"/>
        <v>4.52057469423797</v>
      </c>
      <c r="V279" s="12">
        <f ca="1" t="shared" si="300"/>
        <v>4.78883499261432</v>
      </c>
      <c r="W279" s="12">
        <f ca="1" t="shared" si="301"/>
        <v>5.01694671888196</v>
      </c>
      <c r="X279" s="12">
        <f ca="1" t="shared" si="302"/>
        <v>5.4841181742651</v>
      </c>
      <c r="Y279" s="12">
        <f ca="1" t="shared" si="303"/>
        <v>4.38530484595142</v>
      </c>
      <c r="Z279" s="12">
        <f ca="1" t="shared" si="304"/>
        <v>4.31207537481</v>
      </c>
      <c r="AA279" s="12">
        <f ca="1" t="shared" si="305"/>
        <v>4.61368214870096</v>
      </c>
      <c r="AB279" s="12">
        <f ca="1" t="shared" si="306"/>
        <v>4.13413678857775</v>
      </c>
      <c r="AC279" s="12">
        <f ca="1" t="shared" si="307"/>
        <v>4.70249792006642</v>
      </c>
      <c r="AD279" s="12">
        <f ca="1" t="shared" si="308"/>
        <v>5.12574836766332</v>
      </c>
      <c r="AE279" s="12">
        <f ca="1" t="shared" si="309"/>
        <v>4.06694760925648</v>
      </c>
      <c r="AF279" s="12">
        <f ca="1" t="shared" si="310"/>
        <v>4.58482695544196</v>
      </c>
      <c r="AG279" s="12">
        <f ca="1" t="shared" si="311"/>
        <v>4.38531501957128</v>
      </c>
      <c r="AH279" s="12">
        <f ca="1" t="shared" si="312"/>
        <v>4.66609822902418</v>
      </c>
      <c r="AI279" s="12">
        <f ca="1" t="shared" si="313"/>
        <v>4.86855993995947</v>
      </c>
      <c r="AJ279" s="12">
        <f ca="1">SUM($T279:T279)</f>
        <v>4.70248632553465</v>
      </c>
      <c r="AK279" s="12">
        <f ca="1">SUM($T279:U279)</f>
        <v>9.22306101977262</v>
      </c>
      <c r="AL279" s="12">
        <f ca="1">SUM($T279:V279)</f>
        <v>14.0118960123869</v>
      </c>
      <c r="AM279" s="12">
        <f ca="1">SUM($T279:W279)</f>
        <v>19.0288427312689</v>
      </c>
      <c r="AN279" s="12">
        <f ca="1">SUM($T279:X279)</f>
        <v>24.512960905534</v>
      </c>
      <c r="AO279" s="12">
        <f ca="1">SUM($T279:Y279)</f>
        <v>28.8982657514854</v>
      </c>
      <c r="AP279" s="12">
        <f ca="1">SUM($T279:Z279)</f>
        <v>33.2103411262954</v>
      </c>
      <c r="AQ279" s="12">
        <f ca="1">SUM($T279:AA279)</f>
        <v>37.8240232749964</v>
      </c>
      <c r="AR279" s="12">
        <f ca="1">SUM($T279:AB279)</f>
        <v>41.9581600635741</v>
      </c>
      <c r="AS279" s="12">
        <f ca="1">SUM($T279:AC279)</f>
        <v>46.6606579836405</v>
      </c>
      <c r="AT279" s="12">
        <f ca="1">SUM($T279:AD279)</f>
        <v>51.7864063513039</v>
      </c>
      <c r="AU279" s="12">
        <f ca="1">SUM($T279:AE279)</f>
        <v>55.8533539605603</v>
      </c>
      <c r="AV279" s="12">
        <f ca="1">SUM($T279:AF279)</f>
        <v>60.4381809160023</v>
      </c>
      <c r="AW279" s="12">
        <f ca="1">SUM($T279:AG279)</f>
        <v>64.8234959355736</v>
      </c>
      <c r="AX279" s="12">
        <f ca="1">SUM($T279:AH279)</f>
        <v>69.4895941645978</v>
      </c>
      <c r="AY279" s="12">
        <f ca="1">SUM($T279:AI279)</f>
        <v>74.3581541045572</v>
      </c>
      <c r="AZ279" s="12">
        <f ca="1" t="shared" si="314"/>
        <v>62.9177875131161</v>
      </c>
      <c r="BA279" s="12">
        <f ca="1" t="shared" si="315"/>
        <v>58.3972128188782</v>
      </c>
      <c r="BB279" s="12">
        <f ca="1" t="shared" si="316"/>
        <v>53.6083778262638</v>
      </c>
      <c r="BC279" s="12">
        <f ca="1" t="shared" si="317"/>
        <v>48.5914311073819</v>
      </c>
      <c r="BD279" s="12">
        <f ca="1" t="shared" si="318"/>
        <v>43.1073129331168</v>
      </c>
      <c r="BE279" s="12">
        <f ca="1" t="shared" si="319"/>
        <v>38.7220080871654</v>
      </c>
      <c r="BF279" s="12">
        <f ca="1" t="shared" si="320"/>
        <v>34.4099327123554</v>
      </c>
      <c r="BG279" s="12">
        <f ca="1" t="shared" si="321"/>
        <v>29.7962505636544</v>
      </c>
      <c r="BH279" s="12">
        <f ca="1" t="shared" si="322"/>
        <v>25.6621137750767</v>
      </c>
      <c r="BI279" s="12">
        <f ca="1" t="shared" si="323"/>
        <v>20.9596158550102</v>
      </c>
      <c r="BJ279" s="12">
        <f ca="1" t="shared" si="324"/>
        <v>15.8338674873469</v>
      </c>
      <c r="BK279" s="12">
        <f ca="1" t="shared" si="325"/>
        <v>11.7669198780904</v>
      </c>
      <c r="BL279" s="12">
        <f ca="1" t="shared" si="326"/>
        <v>7.18209292264848</v>
      </c>
      <c r="BM279" s="12">
        <f ca="1" t="shared" si="327"/>
        <v>2.7967779030772</v>
      </c>
      <c r="BN279" s="12">
        <f ca="1" t="shared" si="328"/>
        <v>0</v>
      </c>
      <c r="BO279" s="12">
        <f ca="1" t="shared" si="329"/>
        <v>0</v>
      </c>
    </row>
    <row r="280" spans="1:67">
      <c r="A280" s="3">
        <v>250</v>
      </c>
      <c r="B280" s="11">
        <f ca="1" t="shared" si="295"/>
        <v>0.345339719662207</v>
      </c>
      <c r="C280" s="12">
        <f ca="1" t="shared" si="296"/>
        <v>61.5889953277035</v>
      </c>
      <c r="D280" s="11">
        <f ca="1" t="shared" ref="D280:S280" si="386">RAND()</f>
        <v>0.171824344644724</v>
      </c>
      <c r="E280" s="11">
        <f ca="1" t="shared" si="386"/>
        <v>0.482878246137778</v>
      </c>
      <c r="F280" s="11">
        <f ca="1" t="shared" si="386"/>
        <v>0.0952418445571859</v>
      </c>
      <c r="G280" s="11">
        <f ca="1" t="shared" si="386"/>
        <v>0.882894251533068</v>
      </c>
      <c r="H280" s="11">
        <f ca="1" t="shared" si="386"/>
        <v>0.652949387562126</v>
      </c>
      <c r="I280" s="11">
        <f ca="1" t="shared" si="386"/>
        <v>0.750292729052551</v>
      </c>
      <c r="J280" s="11">
        <f ca="1" t="shared" si="386"/>
        <v>0.610325659287286</v>
      </c>
      <c r="K280" s="11">
        <f ca="1" t="shared" si="386"/>
        <v>0.367887410845124</v>
      </c>
      <c r="L280" s="11">
        <f ca="1" t="shared" si="386"/>
        <v>0.210388485161578</v>
      </c>
      <c r="M280" s="11">
        <f ca="1" t="shared" si="386"/>
        <v>0.609142699297371</v>
      </c>
      <c r="N280" s="11">
        <f ca="1" t="shared" si="386"/>
        <v>0.171842484329195</v>
      </c>
      <c r="O280" s="11">
        <f ca="1" t="shared" si="386"/>
        <v>0.537381864171177</v>
      </c>
      <c r="P280" s="11">
        <f ca="1" t="shared" si="386"/>
        <v>0.713405183984077</v>
      </c>
      <c r="Q280" s="11">
        <f ca="1" t="shared" si="386"/>
        <v>0.29743384863469</v>
      </c>
      <c r="R280" s="11">
        <f ca="1" t="shared" si="386"/>
        <v>0.508785389794518</v>
      </c>
      <c r="S280" s="11">
        <f ca="1" t="shared" si="386"/>
        <v>0.855831129734274</v>
      </c>
      <c r="T280" s="12">
        <f ca="1" t="shared" si="298"/>
        <v>4.28637390774121</v>
      </c>
      <c r="U280" s="12">
        <f ca="1" t="shared" si="299"/>
        <v>4.72859780767222</v>
      </c>
      <c r="V280" s="12">
        <f ca="1" t="shared" si="300"/>
        <v>4.15873640759531</v>
      </c>
      <c r="W280" s="12">
        <f ca="1" t="shared" si="301"/>
        <v>5.45723562883267</v>
      </c>
      <c r="X280" s="12">
        <f ca="1" t="shared" si="302"/>
        <v>4.94118673445266</v>
      </c>
      <c r="Y280" s="12">
        <f ca="1" t="shared" si="303"/>
        <v>5.12573182263138</v>
      </c>
      <c r="Z280" s="12">
        <f ca="1" t="shared" si="304"/>
        <v>4.88790707410911</v>
      </c>
      <c r="AA280" s="12">
        <f ca="1" t="shared" si="305"/>
        <v>4.5848592635564</v>
      </c>
      <c r="AB280" s="12">
        <f ca="1" t="shared" si="306"/>
        <v>4.3506474752693</v>
      </c>
      <c r="AC280" s="12">
        <f ca="1" t="shared" si="307"/>
        <v>4.88642837412171</v>
      </c>
      <c r="AD280" s="12">
        <f ca="1" t="shared" si="308"/>
        <v>4.28640414054866</v>
      </c>
      <c r="AE280" s="12">
        <f ca="1" t="shared" si="309"/>
        <v>4.79672733021397</v>
      </c>
      <c r="AF280" s="12">
        <f ca="1" t="shared" si="310"/>
        <v>5.03351295996019</v>
      </c>
      <c r="AG280" s="12">
        <f ca="1" t="shared" si="311"/>
        <v>4.49572308105782</v>
      </c>
      <c r="AH280" s="12">
        <f ca="1" t="shared" si="312"/>
        <v>4.76098173724315</v>
      </c>
      <c r="AI280" s="12">
        <f ca="1" t="shared" si="313"/>
        <v>5.38957782433568</v>
      </c>
      <c r="AJ280" s="12">
        <f ca="1">SUM($T280:T280)</f>
        <v>4.28637390774121</v>
      </c>
      <c r="AK280" s="12">
        <f ca="1">SUM($T280:U280)</f>
        <v>9.01497171541343</v>
      </c>
      <c r="AL280" s="12">
        <f ca="1">SUM($T280:V280)</f>
        <v>13.1737081230087</v>
      </c>
      <c r="AM280" s="12">
        <f ca="1">SUM($T280:W280)</f>
        <v>18.6309437518414</v>
      </c>
      <c r="AN280" s="12">
        <f ca="1">SUM($T280:X280)</f>
        <v>23.5721304862941</v>
      </c>
      <c r="AO280" s="12">
        <f ca="1">SUM($T280:Y280)</f>
        <v>28.6978623089254</v>
      </c>
      <c r="AP280" s="12">
        <f ca="1">SUM($T280:Z280)</f>
        <v>33.5857693830346</v>
      </c>
      <c r="AQ280" s="12">
        <f ca="1">SUM($T280:AA280)</f>
        <v>38.170628646591</v>
      </c>
      <c r="AR280" s="12">
        <f ca="1">SUM($T280:AB280)</f>
        <v>42.5212761218603</v>
      </c>
      <c r="AS280" s="12">
        <f ca="1">SUM($T280:AC280)</f>
        <v>47.407704495982</v>
      </c>
      <c r="AT280" s="12">
        <f ca="1">SUM($T280:AD280)</f>
        <v>51.6941086365306</v>
      </c>
      <c r="AU280" s="12">
        <f ca="1">SUM($T280:AE280)</f>
        <v>56.4908359667446</v>
      </c>
      <c r="AV280" s="12">
        <f ca="1">SUM($T280:AF280)</f>
        <v>61.5243489267048</v>
      </c>
      <c r="AW280" s="12">
        <f ca="1">SUM($T280:AG280)</f>
        <v>66.0200720077626</v>
      </c>
      <c r="AX280" s="12">
        <f ca="1">SUM($T280:AH280)</f>
        <v>70.7810537450057</v>
      </c>
      <c r="AY280" s="12">
        <f ca="1">SUM($T280:AI280)</f>
        <v>76.1706315693414</v>
      </c>
      <c r="AZ280" s="12">
        <f ca="1" t="shared" si="314"/>
        <v>57.3026214199622</v>
      </c>
      <c r="BA280" s="12">
        <f ca="1" t="shared" si="315"/>
        <v>52.57402361229</v>
      </c>
      <c r="BB280" s="12">
        <f ca="1" t="shared" si="316"/>
        <v>48.4152872046947</v>
      </c>
      <c r="BC280" s="12">
        <f ca="1" t="shared" si="317"/>
        <v>42.958051575862</v>
      </c>
      <c r="BD280" s="12">
        <f ca="1" t="shared" si="318"/>
        <v>38.0168648414094</v>
      </c>
      <c r="BE280" s="12">
        <f ca="1" t="shared" si="319"/>
        <v>32.891133018778</v>
      </c>
      <c r="BF280" s="12">
        <f ca="1" t="shared" si="320"/>
        <v>28.0032259446689</v>
      </c>
      <c r="BG280" s="12">
        <f ca="1" t="shared" si="321"/>
        <v>23.4183666811125</v>
      </c>
      <c r="BH280" s="12">
        <f ca="1" t="shared" si="322"/>
        <v>19.0677192058432</v>
      </c>
      <c r="BI280" s="12">
        <f ca="1" t="shared" si="323"/>
        <v>14.1812908317215</v>
      </c>
      <c r="BJ280" s="12">
        <f ca="1" t="shared" si="324"/>
        <v>9.89488669117282</v>
      </c>
      <c r="BK280" s="12">
        <f ca="1" t="shared" si="325"/>
        <v>5.09815936095885</v>
      </c>
      <c r="BL280" s="12">
        <f ca="1" t="shared" si="326"/>
        <v>0.0646464009986616</v>
      </c>
      <c r="BM280" s="12">
        <f ca="1" t="shared" si="327"/>
        <v>0</v>
      </c>
      <c r="BN280" s="12">
        <f ca="1" t="shared" si="328"/>
        <v>0</v>
      </c>
      <c r="BO280" s="12">
        <f ca="1" t="shared" si="329"/>
        <v>0</v>
      </c>
    </row>
    <row r="282" spans="1:1">
      <c r="A282" s="2" t="s">
        <v>185</v>
      </c>
    </row>
    <row r="283" ht="40.75" spans="1:5">
      <c r="A283" s="10" t="s">
        <v>186</v>
      </c>
      <c r="B283" s="10" t="s">
        <v>187</v>
      </c>
      <c r="C283" s="10" t="s">
        <v>188</v>
      </c>
      <c r="D283" s="10" t="s">
        <v>189</v>
      </c>
      <c r="E283" s="10" t="s">
        <v>190</v>
      </c>
    </row>
    <row r="284" spans="1:5">
      <c r="A284" s="3">
        <v>1</v>
      </c>
      <c r="B284" s="14">
        <f ca="1">SUM(AZ31:AZ280)</f>
        <v>14871.3439101905</v>
      </c>
      <c r="C284" s="15">
        <f ca="1">B284*$B$5</f>
        <v>1487134.39101905</v>
      </c>
      <c r="D284" s="15">
        <f>A284*$B$4</f>
        <v>100000</v>
      </c>
      <c r="E284" s="15">
        <f ca="1" t="shared" ref="E284:E299" si="387">C284+D284</f>
        <v>1587134.39101905</v>
      </c>
    </row>
    <row r="285" spans="1:5">
      <c r="A285" s="3">
        <v>2</v>
      </c>
      <c r="B285" s="14">
        <f ca="1">SUM(BA31:BA280)</f>
        <v>13651.8199463074</v>
      </c>
      <c r="C285" s="15">
        <f ca="1">B285*$B$5</f>
        <v>1365181.99463074</v>
      </c>
      <c r="D285" s="15">
        <f>A285*$B$4</f>
        <v>200000</v>
      </c>
      <c r="E285" s="15">
        <f ca="1" t="shared" si="387"/>
        <v>1565181.99463074</v>
      </c>
    </row>
    <row r="286" spans="1:5">
      <c r="A286" s="3">
        <v>3</v>
      </c>
      <c r="B286" s="14">
        <f ca="1">SUM(BB31:BB280)</f>
        <v>12447.8969763955</v>
      </c>
      <c r="C286" s="15">
        <f ca="1">B286*$B$5</f>
        <v>1244789.69763955</v>
      </c>
      <c r="D286" s="15">
        <f>A286*$B$4</f>
        <v>300000</v>
      </c>
      <c r="E286" s="15">
        <f ca="1" t="shared" si="387"/>
        <v>1544789.69763955</v>
      </c>
    </row>
    <row r="287" spans="1:5">
      <c r="A287" s="3">
        <v>4</v>
      </c>
      <c r="B287" s="14">
        <f ca="1">SUM(BC31:BC280)</f>
        <v>11239.15535598</v>
      </c>
      <c r="C287" s="15">
        <f ca="1">B287*$B$5</f>
        <v>1123915.535598</v>
      </c>
      <c r="D287" s="15">
        <f>A287*$B$4</f>
        <v>400000</v>
      </c>
      <c r="E287" s="15">
        <f ca="1" t="shared" si="387"/>
        <v>1523915.535598</v>
      </c>
    </row>
    <row r="288" spans="1:5">
      <c r="A288" s="3">
        <v>5</v>
      </c>
      <c r="B288" s="14">
        <f ca="1">SUM(BD31:BD280)</f>
        <v>10036.6475950221</v>
      </c>
      <c r="C288" s="15">
        <f ca="1">B288*$B$5</f>
        <v>1003664.75950221</v>
      </c>
      <c r="D288" s="15">
        <f>A288*$B$4</f>
        <v>500000</v>
      </c>
      <c r="E288" s="15">
        <f ca="1" t="shared" si="387"/>
        <v>1503664.75950221</v>
      </c>
    </row>
    <row r="289" spans="1:5">
      <c r="A289" s="3">
        <v>6</v>
      </c>
      <c r="B289" s="14">
        <f ca="1">SUM(BE31:BE280)</f>
        <v>8845.0608499456</v>
      </c>
      <c r="C289" s="15">
        <f ca="1">B289*$B$5</f>
        <v>884506.08499456</v>
      </c>
      <c r="D289" s="15">
        <f>A289*$B$4</f>
        <v>600000</v>
      </c>
      <c r="E289" s="15">
        <f ca="1" t="shared" si="387"/>
        <v>1484506.08499456</v>
      </c>
    </row>
    <row r="290" spans="1:5">
      <c r="A290" s="3">
        <v>7</v>
      </c>
      <c r="B290" s="14">
        <f ca="1">SUM(BF31:BF280)</f>
        <v>7640.47201433988</v>
      </c>
      <c r="C290" s="15">
        <f ca="1">B290*$B$5</f>
        <v>764047.201433988</v>
      </c>
      <c r="D290" s="15">
        <f>A290*$B$4</f>
        <v>700000</v>
      </c>
      <c r="E290" s="15">
        <f ca="1" t="shared" si="387"/>
        <v>1464047.20143399</v>
      </c>
    </row>
    <row r="291" spans="1:5">
      <c r="A291" s="3">
        <v>8</v>
      </c>
      <c r="B291" s="14">
        <f ca="1">SUM(BG31:BG280)</f>
        <v>6434.87061258048</v>
      </c>
      <c r="C291" s="15">
        <f ca="1">B291*$B$5</f>
        <v>643487.061258048</v>
      </c>
      <c r="D291" s="15">
        <f>A291*$B$4</f>
        <v>800000</v>
      </c>
      <c r="E291" s="15">
        <f ca="1" t="shared" si="387"/>
        <v>1443487.06125805</v>
      </c>
    </row>
    <row r="292" spans="1:5">
      <c r="A292" s="3">
        <v>9</v>
      </c>
      <c r="B292" s="14">
        <f ca="1">SUM(BH31:BH280)</f>
        <v>5248.14248715411</v>
      </c>
      <c r="C292" s="15">
        <f ca="1">B292*$B$5</f>
        <v>524814.248715411</v>
      </c>
      <c r="D292" s="15">
        <f>A292*$B$4</f>
        <v>900000</v>
      </c>
      <c r="E292" s="15">
        <f ca="1" t="shared" si="387"/>
        <v>1424814.24871541</v>
      </c>
    </row>
    <row r="293" spans="1:5">
      <c r="A293" s="3">
        <v>10</v>
      </c>
      <c r="B293" s="14">
        <f ca="1">SUM(BI31:BI280)</f>
        <v>4049.27485793536</v>
      </c>
      <c r="C293" s="15">
        <f ca="1">B293*$B$5</f>
        <v>404927.485793536</v>
      </c>
      <c r="D293" s="15">
        <f>A293*$B$4</f>
        <v>1000000</v>
      </c>
      <c r="E293" s="15">
        <f ca="1" t="shared" si="387"/>
        <v>1404927.48579354</v>
      </c>
    </row>
    <row r="294" spans="1:5">
      <c r="A294" s="3">
        <v>11</v>
      </c>
      <c r="B294" s="14">
        <f ca="1">SUM(BJ31:BJ280)</f>
        <v>2879.12593158216</v>
      </c>
      <c r="C294" s="15">
        <f ca="1">B294*$B$5</f>
        <v>287912.593158216</v>
      </c>
      <c r="D294" s="15">
        <f>A294*$B$4</f>
        <v>1100000</v>
      </c>
      <c r="E294" s="15">
        <f ca="1" t="shared" si="387"/>
        <v>1387912.59315822</v>
      </c>
    </row>
    <row r="295" spans="1:5">
      <c r="A295" s="3">
        <v>12</v>
      </c>
      <c r="B295" s="14">
        <f ca="1">SUM(BK31:BK280)</f>
        <v>1810.66617811873</v>
      </c>
      <c r="C295" s="15">
        <f ca="1">B295*$B$5</f>
        <v>181066.617811873</v>
      </c>
      <c r="D295" s="15">
        <f>A295*$B$4</f>
        <v>1200000</v>
      </c>
      <c r="E295" s="15">
        <f ca="1" t="shared" si="387"/>
        <v>1381066.61781187</v>
      </c>
    </row>
    <row r="296" spans="1:5">
      <c r="A296" s="3">
        <v>13</v>
      </c>
      <c r="B296" s="14">
        <f ca="1">SUM(BL31:BL280)</f>
        <v>940.77371180074</v>
      </c>
      <c r="C296" s="15">
        <f ca="1">B296*$B$5</f>
        <v>94077.371180074</v>
      </c>
      <c r="D296" s="15">
        <f>A296*$B$4</f>
        <v>1300000</v>
      </c>
      <c r="E296" s="15">
        <f ca="1" t="shared" si="387"/>
        <v>1394077.37118007</v>
      </c>
    </row>
    <row r="297" spans="1:5">
      <c r="A297" s="3">
        <v>14</v>
      </c>
      <c r="B297" s="14">
        <f ca="1">SUM(BM31:BM280)</f>
        <v>374.34532732933</v>
      </c>
      <c r="C297" s="15">
        <f ca="1">B297*$B$5</f>
        <v>37434.532732933</v>
      </c>
      <c r="D297" s="15">
        <f>A297*$B$4</f>
        <v>1400000</v>
      </c>
      <c r="E297" s="15">
        <f ca="1" t="shared" si="387"/>
        <v>1437434.53273293</v>
      </c>
    </row>
    <row r="298" spans="1:5">
      <c r="A298" s="3">
        <v>15</v>
      </c>
      <c r="B298" s="14">
        <f ca="1">SUM(BN31:BN280)</f>
        <v>187.22637601475</v>
      </c>
      <c r="C298" s="15">
        <f ca="1">B298*$B$5</f>
        <v>18722.637601475</v>
      </c>
      <c r="D298" s="15">
        <f>A298*$B$4</f>
        <v>1500000</v>
      </c>
      <c r="E298" s="15">
        <f ca="1" t="shared" si="387"/>
        <v>1518722.63760147</v>
      </c>
    </row>
    <row r="299" spans="1:5">
      <c r="A299" s="3">
        <v>16</v>
      </c>
      <c r="B299" s="14">
        <f ca="1">SUM(BO31:BO280)</f>
        <v>84.6911164918099</v>
      </c>
      <c r="C299" s="15">
        <f ca="1">B299*$B$5</f>
        <v>8469.11164918099</v>
      </c>
      <c r="D299" s="15">
        <f>A299*$B$4</f>
        <v>1600000</v>
      </c>
      <c r="E299" s="15">
        <f ca="1" t="shared" si="387"/>
        <v>1608469.11164918</v>
      </c>
    </row>
    <row r="301" spans="1:2">
      <c r="A301" s="16" t="s">
        <v>191</v>
      </c>
      <c r="B301" s="16">
        <f ca="1">INDEX(A284:A299,MATCH(MIN(E284:E299),E284:E299,0))</f>
        <v>12</v>
      </c>
    </row>
    <row r="302" spans="1:2">
      <c r="A302" s="16" t="s">
        <v>9</v>
      </c>
      <c r="B302" s="15">
        <f ca="1">MIN(E284:E299)</f>
        <v>1381066.61781187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Resumen</vt:lpstr>
      <vt:lpstr>Problema1_Inversion</vt:lpstr>
      <vt:lpstr>Problema2_Camiones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svfabio</cp:lastModifiedBy>
  <cp:revision>1</cp:revision>
  <dcterms:created xsi:type="dcterms:W3CDTF">2026-08-25T23:36:00Z</dcterms:created>
  <dcterms:modified xsi:type="dcterms:W3CDTF">2026-08-26T13:57:32Z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