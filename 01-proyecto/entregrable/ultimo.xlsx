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jercicio 1 - Trapezoidal" sheetId="2" state="visible" r:id="rId4"/>
    <sheet name="Ejercicio 2 - Triangul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<sst xmlns="http://schemas.openxmlformats.org/spreadsheetml/2006/main" count="63" uniqueCount="50">
  <si>
    <t xml:space="preserve">Cómo funciona la simulación en Excel (Método de Composición + Transformada Inversa)</t>
  </si>
  <si>
    <t xml:space="preserve">Cada FILA de las hojas 'Ejercicio 1' y 'Ejercicio 2' representa UNA corrida (una simulación).</t>
  </si>
  <si>
    <t xml:space="preserve">Para generar cada dato X se necesitan SIEMPRE dos números aleatorios distintos:</t>
  </si>
  <si>
    <t xml:space="preserve">1) R_region  -&gt;  Decide en qué tramo de la función (f1, f2 o f3) cae el dato.</t>
  </si>
  <si>
    <t xml:space="preserve">   Se compara contra las áreas acumuladas: A1, A1+A2, A1+A2+A3 (Paso 6 de la teoría).</t>
  </si>
  <si>
    <t xml:space="preserve">   En Excel esto es un IF() anidado.</t>
  </si>
  <si>
    <t xml:space="preserve">2) R_valor   -&gt;  Es el segundo aleatorio que se conecta a la fórmula de la Transformada</t>
  </si>
  <si>
    <t xml:space="preserve">   Inversa de la región que salió elegida (Paso 7 de la teoría). Cada región tiene su</t>
  </si>
  <si>
    <t xml:space="preserve">   propia fórmula porque cada f_i(x) es distinta.</t>
  </si>
  <si>
    <t xml:space="preserve">3) Región    -&gt;  Solo muestra el resultado (1, 2 ó 3) de la comparación del punto 1.</t>
  </si>
  <si>
    <t xml:space="preserve">   Es una columna de apoyo, no un aleatorio nuevo.</t>
  </si>
  <si>
    <t xml:space="preserve">4) X         -&gt;  Aplica la fórmula del Paso 5 (el algoritmo final) usando R_valor y la</t>
  </si>
  <si>
    <t xml:space="preserve">   Región ya decidida.</t>
  </si>
  <si>
    <t xml:space="preserve">IMPORTANTE: R_region y R_valor NUNCA deben ser el mismo número. Si usaras uno solo para</t>
  </si>
  <si>
    <t xml:space="preserve">las dos decisiones, la elección de región quedaría correlacionada con el valor dentro de</t>
  </si>
  <si>
    <t xml:space="preserve">esa región, y la distribución simulada saldría sesgada (no coincidiría con la teórica).</t>
  </si>
  <si>
    <t xml:space="preserve">En Excel, un número aleatorio uniforme (0,1) se genera con la función RAND()</t>
  </si>
  <si>
    <t xml:space="preserve">(en inglés RAND()). Cada vez que la hoja recalcula, RAND() cambia de valor —by eso</t>
  </si>
  <si>
    <t xml:space="preserve">los profesores a veces copian los resultados como 'valores' (Copiar &gt; Pegado especial &gt;</t>
  </si>
  <si>
    <t xml:space="preserve">Valores) para congelar una corrida y poder analizarla.</t>
  </si>
  <si>
    <t xml:space="preserve">Las celdas en AMARILLO son los parámetros que puedes cambiar (a, b, c, número de</t>
  </si>
  <si>
    <t xml:space="preserve">simulaciones). Todo lo demás son fórmulas que se recalculan solas.</t>
  </si>
  <si>
    <t xml:space="preserve">Ejercicio 1 — Distribución Trapezoidal (Método de Composición)</t>
  </si>
  <si>
    <t xml:space="preserve">Parámetros</t>
  </si>
  <si>
    <t xml:space="preserve">a =</t>
  </si>
  <si>
    <t xml:space="preserve">Debe cumplirse: 0 &lt; a &lt; b &lt; c</t>
  </si>
  <si>
    <t xml:space="preserve">b =</t>
  </si>
  <si>
    <t xml:space="preserve">c =</t>
  </si>
  <si>
    <t xml:space="preserve">N° simulaciones =</t>
  </si>
  <si>
    <t xml:space="preserve">Áreas (deducidas en la teoría, Paso 1)</t>
  </si>
  <si>
    <t xml:space="preserve">A1 =</t>
  </si>
  <si>
    <t xml:space="preserve">A2 =</t>
  </si>
  <si>
    <t xml:space="preserve">A3 =</t>
  </si>
  <si>
    <t xml:space="preserve">Suma (debe dar 1) =</t>
  </si>
  <si>
    <t xml:space="preserve">i</t>
  </si>
  <si>
    <t xml:space="preserve">R_region</t>
  </si>
  <si>
    <t xml:space="preserve">R_valor</t>
  </si>
  <si>
    <t xml:space="preserve">Región</t>
  </si>
  <si>
    <t xml:space="preserve">X</t>
  </si>
  <si>
    <t xml:space="preserve">Fórmula de X según región (Paso 5 de la teoría): Región 1 -&gt; a*SQRT(R_valor) | Región 2 -&gt; a+(b-a)*R_valor | Región 3 -&gt; c-(c-b)*SQRT(1-R_valor)</t>
  </si>
  <si>
    <t xml:space="preserve">Promedio X =</t>
  </si>
  <si>
    <t xml:space="preserve">Mínimo X =</t>
  </si>
  <si>
    <t xml:space="preserve">Máximo X =</t>
  </si>
  <si>
    <t xml:space="preserve">Ejercicio 2 — Distribución Triangular (Método de Composición)</t>
  </si>
  <si>
    <t xml:space="preserve">a (punto 1) =</t>
  </si>
  <si>
    <t xml:space="preserve">Debe cumplirse: a &lt; c &lt; b</t>
  </si>
  <si>
    <t xml:space="preserve">c (vértice) =</t>
  </si>
  <si>
    <t xml:space="preserve">b (punto 3) =</t>
  </si>
  <si>
    <t xml:space="preserve">Áreas (Paso 1 de la teoría)</t>
  </si>
  <si>
    <t xml:space="preserve">Nota: las fórmulas de X de abajo usan la versión general de la transformada inversa triangular: X = a + SQRT(R*(b-a)*(c-a)) en la región 1, y X = b - SQRT((1-R)*(b-a)*(b-c)) en la región 2. Con a=8, c=9, b=10 esto se simplifica a lo que sacaste a mano: 8+SQRT(R) y 10-SQRT(1-R).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</si>
</sst>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2" t="s">
        <v>3</v>
      </c>
    </row>
    <row r="9" customFormat="false" ht="15" hidden="false" customHeight="false" outlineLevel="0" collapsed="false">
      <c r="B9" s="2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2" t="s">
        <v>6</v>
      </c>
    </row>
    <row r="13" customFormat="false" ht="15" hidden="false" customHeight="false" outlineLevel="0" collapsed="false">
      <c r="B13" s="2" t="s">
        <v>7</v>
      </c>
    </row>
    <row r="14" customFormat="false" ht="15" hidden="false" customHeight="false" outlineLevel="0" collapsed="false">
      <c r="B14" s="2" t="s">
        <v>8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2" t="s">
        <v>9</v>
      </c>
    </row>
    <row r="17" customFormat="false" ht="15" hidden="false" customHeight="false" outlineLevel="0" collapsed="false">
      <c r="B17" s="2" t="s">
        <v>10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2" t="s">
        <v>11</v>
      </c>
    </row>
    <row r="20" customFormat="false" ht="15" hidden="false" customHeight="false" outlineLevel="0" collapsed="false">
      <c r="B20" s="2" t="s">
        <v>12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2" t="s">
        <v>13</v>
      </c>
    </row>
    <row r="23" customFormat="false" ht="15" hidden="false" customHeight="false" outlineLevel="0" collapsed="false">
      <c r="B23" s="2" t="s">
        <v>14</v>
      </c>
    </row>
    <row r="24" customFormat="false" ht="15" hidden="false" customHeight="false" outlineLevel="0" collapsed="false">
      <c r="B24" s="2" t="s">
        <v>15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2" t="s">
        <v>16</v>
      </c>
    </row>
    <row r="27" customFormat="false" ht="15" hidden="false" customHeight="false" outlineLevel="0" collapsed="false">
      <c r="B27" s="2" t="s">
        <v>17</v>
      </c>
    </row>
    <row r="28" customFormat="false" ht="15" hidden="false" customHeight="false" outlineLevel="0" collapsed="false">
      <c r="B28" s="2" t="s">
        <v>18</v>
      </c>
    </row>
    <row r="29" customFormat="false" ht="15" hidden="false" customHeight="false" outlineLevel="0" collapsed="false">
      <c r="B29" s="2" t="s">
        <v>19</v>
      </c>
    </row>
    <row r="30" customFormat="false" ht="15" hidden="false" customHeight="false" outlineLevel="0" collapsed="false">
      <c r="B30" s="2"/>
    </row>
    <row r="31" customFormat="false" ht="15" hidden="false" customHeight="false" outlineLevel="0" collapsed="false">
      <c r="B31" s="2" t="s">
        <v>20</v>
      </c>
    </row>
    <row r="32" customFormat="false" ht="15" hidden="false" customHeight="false" outlineLevel="0" collapsed="false">
      <c r="B32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5"/>
  </cols>
  <sheetData>
    <row r="1" customFormat="false" ht="17.35" hidden="false" customHeight="false" outlineLevel="0" collapsed="false">
      <c r="A1" s="3" t="s">
        <v>22</v>
      </c>
      <c r="B1" s="3"/>
      <c r="C1" s="3"/>
      <c r="D1" s="3"/>
      <c r="E1" s="3"/>
    </row>
    <row r="3" customFormat="false" ht="15" hidden="false" customHeight="false" outlineLevel="0" collapsed="false">
      <c r="A3" s="4" t="s">
        <v>23</v>
      </c>
    </row>
    <row r="4" customFormat="false" ht="15" hidden="false" customHeight="false" outlineLevel="0" collapsed="false">
      <c r="A4" s="0" t="s">
        <v>24</v>
      </c>
      <c r="B4" s="5" t="n">
        <v>3</v>
      </c>
      <c r="F4" s="6" t="s">
        <v>25</v>
      </c>
    </row>
    <row r="5" customFormat="false" ht="15" hidden="false" customHeight="false" outlineLevel="0" collapsed="false">
      <c r="A5" s="0" t="s">
        <v>26</v>
      </c>
      <c r="B5" s="5" t="n">
        <v>7</v>
      </c>
    </row>
    <row r="6" customFormat="false" ht="15" hidden="false" customHeight="false" outlineLevel="0" collapsed="false">
      <c r="A6" s="0" t="s">
        <v>27</v>
      </c>
      <c r="B6" s="5" t="n">
        <v>10</v>
      </c>
    </row>
    <row r="7" customFormat="false" ht="15" hidden="false" customHeight="false" outlineLevel="0" collapsed="false">
      <c r="A7" s="0" t="s">
        <v>28</v>
      </c>
      <c r="B7" s="5" t="n">
        <v>30</v>
      </c>
    </row>
    <row r="9" customFormat="false" ht="15" hidden="false" customHeight="false" outlineLevel="0" collapsed="false">
      <c r="A9" s="4" t="s">
        <v>29</v>
      </c>
    </row>
    <row r="10" customFormat="false" ht="15" hidden="false" customHeight="false" outlineLevel="0" collapsed="false">
      <c r="A10" s="0" t="s">
        <v>30</v>
      </c>
      <c r="B10" s="7" t="n">
        <f aca="false">B4/(-B4+B5+B6)</f>
        <v>0.214285714285714</v>
      </c>
    </row>
    <row r="11" customFormat="false" ht="15" hidden="false" customHeight="false" outlineLevel="0" collapsed="false">
      <c r="A11" s="0" t="s">
        <v>31</v>
      </c>
      <c r="B11" s="7" t="n">
        <f aca="false">(2*B5-2*B4)/(-B4+B5+B6)</f>
        <v>0.571428571428571</v>
      </c>
    </row>
    <row r="12" customFormat="false" ht="15" hidden="false" customHeight="false" outlineLevel="0" collapsed="false">
      <c r="A12" s="0" t="s">
        <v>32</v>
      </c>
      <c r="B12" s="7" t="n">
        <f aca="false">(B6-B5)/(-B4+B5+B6)</f>
        <v>0.214285714285714</v>
      </c>
    </row>
    <row r="13" customFormat="false" ht="15" hidden="false" customHeight="false" outlineLevel="0" collapsed="false">
      <c r="A13" s="0" t="s">
        <v>33</v>
      </c>
      <c r="B13" s="7" t="n">
        <f aca="false">B10+B11+B12</f>
        <v>1</v>
      </c>
    </row>
    <row r="16" customFormat="false" ht="15" hidden="false" customHeight="false" outlineLevel="0" collapsed="false">
      <c r="A16" s="8" t="s">
        <v>34</v>
      </c>
      <c r="B16" s="8" t="s">
        <v>35</v>
      </c>
      <c r="C16" s="8" t="s">
        <v>36</v>
      </c>
      <c r="D16" s="8" t="s">
        <v>37</v>
      </c>
      <c r="E16" s="8" t="s">
        <v>38</v>
      </c>
      <c r="F16" s="6" t="s">
        <v>39</v>
      </c>
    </row>
    <row r="17" customFormat="false" ht="15" hidden="false" customHeight="false" outlineLevel="0" collapsed="false">
      <c r="A17" s="9" t="n">
        <v>1</v>
      </c>
      <c r="B17" s="9" t="n">
        <f aca="true">RAND()</f>
        <v>0.246837505566233</v>
      </c>
      <c r="C17" s="9" t="n">
        <f aca="true">RAND()</f>
        <v>0.868509476592376</v>
      </c>
      <c r="D17" s="9" t="n">
        <f aca="false">IF(B17&lt;=$B$10,1,IF(B17&lt;=$B$10+$B$11,2,3))</f>
        <v>2</v>
      </c>
      <c r="E17" s="9" t="n">
        <f aca="false">IF(D17=1,$B$4*SQRT(C17),IF(D17=2,$B$4+($B$5-$B$4)*C17,$B$6-($B$6-$B$5)*SQRT(1-C17)))</f>
        <v>6.47403790636951</v>
      </c>
    </row>
    <row r="18" customFormat="false" ht="15" hidden="false" customHeight="false" outlineLevel="0" collapsed="false">
      <c r="A18" s="9" t="n">
        <v>2</v>
      </c>
      <c r="B18" s="9" t="n">
        <f aca="true">RAND()</f>
        <v>0.192405603797612</v>
      </c>
      <c r="C18" s="9" t="n">
        <f aca="true">RAND()</f>
        <v>0.334812055661441</v>
      </c>
      <c r="D18" s="9" t="n">
        <f aca="false">IF(B18&lt;=$B$10,1,IF(B18&lt;=$B$10+$B$11,2,3))</f>
        <v>1</v>
      </c>
      <c r="E18" s="9" t="n">
        <f aca="false">IF(D18=1,$B$4*SQRT(C18),IF(D18=2,$B$4+($B$5-$B$4)*C18,$B$6-($B$6-$B$5)*SQRT(1-C18)))</f>
        <v>1.7358883895438</v>
      </c>
    </row>
    <row r="19" customFormat="false" ht="15" hidden="false" customHeight="false" outlineLevel="0" collapsed="false">
      <c r="A19" s="9" t="n">
        <v>3</v>
      </c>
      <c r="B19" s="9" t="n">
        <f aca="true">RAND()</f>
        <v>0.162301336477847</v>
      </c>
      <c r="C19" s="9" t="n">
        <f aca="true">RAND()</f>
        <v>0.710707275025608</v>
      </c>
      <c r="D19" s="9" t="n">
        <f aca="false">IF(B19&lt;=$B$10,1,IF(B19&lt;=$B$10+$B$11,2,3))</f>
        <v>1</v>
      </c>
      <c r="E19" s="9" t="n">
        <f aca="false">IF(D19=1,$B$4*SQRT(C19),IF(D19=2,$B$4+($B$5-$B$4)*C19,$B$6-($B$6-$B$5)*SQRT(1-C19)))</f>
        <v>2.52910369009072</v>
      </c>
    </row>
    <row r="20" customFormat="false" ht="15" hidden="false" customHeight="false" outlineLevel="0" collapsed="false">
      <c r="A20" s="9" t="n">
        <v>4</v>
      </c>
      <c r="B20" s="9" t="n">
        <f aca="true">RAND()</f>
        <v>0.612848230267931</v>
      </c>
      <c r="C20" s="9" t="n">
        <f aca="true">RAND()</f>
        <v>0.803659224512464</v>
      </c>
      <c r="D20" s="9" t="n">
        <f aca="false">IF(B20&lt;=$B$10,1,IF(B20&lt;=$B$10+$B$11,2,3))</f>
        <v>2</v>
      </c>
      <c r="E20" s="9" t="n">
        <f aca="false">IF(D20=1,$B$4*SQRT(C20),IF(D20=2,$B$4+($B$5-$B$4)*C20,$B$6-($B$6-$B$5)*SQRT(1-C20)))</f>
        <v>6.21463689804985</v>
      </c>
    </row>
    <row r="21" customFormat="false" ht="15" hidden="false" customHeight="false" outlineLevel="0" collapsed="false">
      <c r="A21" s="9" t="n">
        <v>5</v>
      </c>
      <c r="B21" s="9" t="n">
        <f aca="true">RAND()</f>
        <v>0.490444554466545</v>
      </c>
      <c r="C21" s="9" t="n">
        <f aca="true">RAND()</f>
        <v>0.39378285587286</v>
      </c>
      <c r="D21" s="9" t="n">
        <f aca="false">IF(B21&lt;=$B$10,1,IF(B21&lt;=$B$10+$B$11,2,3))</f>
        <v>2</v>
      </c>
      <c r="E21" s="9" t="n">
        <f aca="false">IF(D21=1,$B$4*SQRT(C21),IF(D21=2,$B$4+($B$5-$B$4)*C21,$B$6-($B$6-$B$5)*SQRT(1-C21)))</f>
        <v>4.57513142349144</v>
      </c>
    </row>
    <row r="22" customFormat="false" ht="15" hidden="false" customHeight="false" outlineLevel="0" collapsed="false">
      <c r="A22" s="9" t="n">
        <v>6</v>
      </c>
      <c r="B22" s="9" t="n">
        <f aca="true">RAND()</f>
        <v>0.563352953882692</v>
      </c>
      <c r="C22" s="9" t="n">
        <f aca="true">RAND()</f>
        <v>0.616752240936878</v>
      </c>
      <c r="D22" s="9" t="n">
        <f aca="false">IF(B22&lt;=$B$10,1,IF(B22&lt;=$B$10+$B$11,2,3))</f>
        <v>2</v>
      </c>
      <c r="E22" s="9" t="n">
        <f aca="false">IF(D22=1,$B$4*SQRT(C22),IF(D22=2,$B$4+($B$5-$B$4)*C22,$B$6-($B$6-$B$5)*SQRT(1-C22)))</f>
        <v>5.46700896374751</v>
      </c>
    </row>
    <row r="23" customFormat="false" ht="15" hidden="false" customHeight="false" outlineLevel="0" collapsed="false">
      <c r="A23" s="9" t="n">
        <v>7</v>
      </c>
      <c r="B23" s="9" t="n">
        <f aca="true">RAND()</f>
        <v>0.817262367477829</v>
      </c>
      <c r="C23" s="9" t="n">
        <f aca="true">RAND()</f>
        <v>0.550844113678871</v>
      </c>
      <c r="D23" s="9" t="n">
        <f aca="false">IF(B23&lt;=$B$10,1,IF(B23&lt;=$B$10+$B$11,2,3))</f>
        <v>3</v>
      </c>
      <c r="E23" s="9" t="n">
        <f aca="false">IF(D23=1,$B$4*SQRT(C23),IF(D23=2,$B$4+($B$5-$B$4)*C23,$B$6-($B$6-$B$5)*SQRT(1-C23)))</f>
        <v>7.98942720179294</v>
      </c>
    </row>
    <row r="24" customFormat="false" ht="15" hidden="false" customHeight="false" outlineLevel="0" collapsed="false">
      <c r="A24" s="9" t="n">
        <v>8</v>
      </c>
      <c r="B24" s="9" t="n">
        <f aca="true">RAND()</f>
        <v>0.325978322671511</v>
      </c>
      <c r="C24" s="9" t="n">
        <f aca="true">RAND()</f>
        <v>0.545415604883765</v>
      </c>
      <c r="D24" s="9" t="n">
        <f aca="false">IF(B24&lt;=$B$10,1,IF(B24&lt;=$B$10+$B$11,2,3))</f>
        <v>2</v>
      </c>
      <c r="E24" s="9" t="n">
        <f aca="false">IF(D24=1,$B$4*SQRT(C24),IF(D24=2,$B$4+($B$5-$B$4)*C24,$B$6-($B$6-$B$5)*SQRT(1-C24)))</f>
        <v>5.18166241953506</v>
      </c>
    </row>
    <row r="25" customFormat="false" ht="15" hidden="false" customHeight="false" outlineLevel="0" collapsed="false">
      <c r="A25" s="9" t="n">
        <v>9</v>
      </c>
      <c r="B25" s="9" t="n">
        <f aca="true">RAND()</f>
        <v>0.291715144894728</v>
      </c>
      <c r="C25" s="9" t="n">
        <f aca="true">RAND()</f>
        <v>0.422624857553487</v>
      </c>
      <c r="D25" s="9" t="n">
        <f aca="false">IF(B25&lt;=$B$10,1,IF(B25&lt;=$B$10+$B$11,2,3))</f>
        <v>2</v>
      </c>
      <c r="E25" s="9" t="n">
        <f aca="false">IF(D25=1,$B$4*SQRT(C25),IF(D25=2,$B$4+($B$5-$B$4)*C25,$B$6-($B$6-$B$5)*SQRT(1-C25)))</f>
        <v>4.69049943021395</v>
      </c>
    </row>
    <row r="26" customFormat="false" ht="15" hidden="false" customHeight="false" outlineLevel="0" collapsed="false">
      <c r="A26" s="9" t="n">
        <v>10</v>
      </c>
      <c r="B26" s="9" t="n">
        <f aca="true">RAND()</f>
        <v>0.409676718441829</v>
      </c>
      <c r="C26" s="9" t="n">
        <f aca="true">RAND()</f>
        <v>0.126233410097319</v>
      </c>
      <c r="D26" s="9" t="n">
        <f aca="false">IF(B26&lt;=$B$10,1,IF(B26&lt;=$B$10+$B$11,2,3))</f>
        <v>2</v>
      </c>
      <c r="E26" s="9" t="n">
        <f aca="false">IF(D26=1,$B$4*SQRT(C26),IF(D26=2,$B$4+($B$5-$B$4)*C26,$B$6-($B$6-$B$5)*SQRT(1-C26)))</f>
        <v>3.50493364038928</v>
      </c>
    </row>
    <row r="27" customFormat="false" ht="15" hidden="false" customHeight="false" outlineLevel="0" collapsed="false">
      <c r="A27" s="9" t="n">
        <v>11</v>
      </c>
      <c r="B27" s="9" t="n">
        <f aca="true">RAND()</f>
        <v>0.996322070138693</v>
      </c>
      <c r="C27" s="9" t="n">
        <f aca="true">RAND()</f>
        <v>0.160675566353258</v>
      </c>
      <c r="D27" s="9" t="n">
        <f aca="false">IF(B27&lt;=$B$10,1,IF(B27&lt;=$B$10+$B$11,2,3))</f>
        <v>3</v>
      </c>
      <c r="E27" s="9" t="n">
        <f aca="false">IF(D27=1,$B$4*SQRT(C27),IF(D27=2,$B$4+($B$5-$B$4)*C27,$B$6-($B$6-$B$5)*SQRT(1-C27)))</f>
        <v>7.25156046040291</v>
      </c>
    </row>
    <row r="28" customFormat="false" ht="15" hidden="false" customHeight="false" outlineLevel="0" collapsed="false">
      <c r="A28" s="9" t="n">
        <v>12</v>
      </c>
      <c r="B28" s="9" t="n">
        <f aca="true">RAND()</f>
        <v>0.818083685774056</v>
      </c>
      <c r="C28" s="9" t="n">
        <f aca="true">RAND()</f>
        <v>0.0155575770535789</v>
      </c>
      <c r="D28" s="9" t="n">
        <f aca="false">IF(B28&lt;=$B$10,1,IF(B28&lt;=$B$10+$B$11,2,3))</f>
        <v>3</v>
      </c>
      <c r="E28" s="9" t="n">
        <f aca="false">IF(D28=1,$B$4*SQRT(C28),IF(D28=2,$B$4+($B$5-$B$4)*C28,$B$6-($B$6-$B$5)*SQRT(1-C28)))</f>
        <v>7.02342784288407</v>
      </c>
    </row>
    <row r="29" customFormat="false" ht="15" hidden="false" customHeight="false" outlineLevel="0" collapsed="false">
      <c r="A29" s="9" t="n">
        <v>13</v>
      </c>
      <c r="B29" s="9" t="n">
        <f aca="true">RAND()</f>
        <v>0.863929539171083</v>
      </c>
      <c r="C29" s="9" t="n">
        <f aca="true">RAND()</f>
        <v>0.0222183026133989</v>
      </c>
      <c r="D29" s="9" t="n">
        <f aca="false">IF(B29&lt;=$B$10,1,IF(B29&lt;=$B$10+$B$11,2,3))</f>
        <v>3</v>
      </c>
      <c r="E29" s="9" t="n">
        <f aca="false">IF(D29=1,$B$4*SQRT(C29),IF(D29=2,$B$4+($B$5-$B$4)*C29,$B$6-($B$6-$B$5)*SQRT(1-C29)))</f>
        <v>7.0335146593183</v>
      </c>
    </row>
    <row r="30" customFormat="false" ht="15" hidden="false" customHeight="false" outlineLevel="0" collapsed="false">
      <c r="A30" s="9" t="n">
        <v>14</v>
      </c>
      <c r="B30" s="9" t="n">
        <f aca="true">RAND()</f>
        <v>0.219025361126861</v>
      </c>
      <c r="C30" s="9" t="n">
        <f aca="true">RAND()</f>
        <v>0.285672918621831</v>
      </c>
      <c r="D30" s="9" t="n">
        <f aca="false">IF(B30&lt;=$B$10,1,IF(B30&lt;=$B$10+$B$11,2,3))</f>
        <v>2</v>
      </c>
      <c r="E30" s="9" t="n">
        <f aca="false">IF(D30=1,$B$4*SQRT(C30),IF(D30=2,$B$4+($B$5-$B$4)*C30,$B$6-($B$6-$B$5)*SQRT(1-C30)))</f>
        <v>4.14269167448732</v>
      </c>
    </row>
    <row r="31" customFormat="false" ht="15" hidden="false" customHeight="false" outlineLevel="0" collapsed="false">
      <c r="A31" s="9" t="n">
        <v>15</v>
      </c>
      <c r="B31" s="9" t="n">
        <f aca="true">RAND()</f>
        <v>0.432804243901782</v>
      </c>
      <c r="C31" s="9" t="n">
        <f aca="true">RAND()</f>
        <v>0.72142571525146</v>
      </c>
      <c r="D31" s="9" t="n">
        <f aca="false">IF(B31&lt;=$B$10,1,IF(B31&lt;=$B$10+$B$11,2,3))</f>
        <v>2</v>
      </c>
      <c r="E31" s="9" t="n">
        <f aca="false">IF(D31=1,$B$4*SQRT(C31),IF(D31=2,$B$4+($B$5-$B$4)*C31,$B$6-($B$6-$B$5)*SQRT(1-C31)))</f>
        <v>5.88570286100584</v>
      </c>
    </row>
    <row r="32" customFormat="false" ht="15" hidden="false" customHeight="false" outlineLevel="0" collapsed="false">
      <c r="A32" s="9" t="n">
        <v>16</v>
      </c>
      <c r="B32" s="9" t="n">
        <f aca="true">RAND()</f>
        <v>0.584986949321725</v>
      </c>
      <c r="C32" s="9" t="n">
        <f aca="true">RAND()</f>
        <v>0.379980235105932</v>
      </c>
      <c r="D32" s="9" t="n">
        <f aca="false">IF(B32&lt;=$B$10,1,IF(B32&lt;=$B$10+$B$11,2,3))</f>
        <v>2</v>
      </c>
      <c r="E32" s="9" t="n">
        <f aca="false">IF(D32=1,$B$4*SQRT(C32),IF(D32=2,$B$4+($B$5-$B$4)*C32,$B$6-($B$6-$B$5)*SQRT(1-C32)))</f>
        <v>4.51992094042373</v>
      </c>
    </row>
    <row r="33" customFormat="false" ht="15" hidden="false" customHeight="false" outlineLevel="0" collapsed="false">
      <c r="A33" s="9" t="n">
        <v>17</v>
      </c>
      <c r="B33" s="9" t="n">
        <f aca="true">RAND()</f>
        <v>0.261986695884115</v>
      </c>
      <c r="C33" s="9" t="n">
        <f aca="true">RAND()</f>
        <v>0.171311337126636</v>
      </c>
      <c r="D33" s="9" t="n">
        <f aca="false">IF(B33&lt;=$B$10,1,IF(B33&lt;=$B$10+$B$11,2,3))</f>
        <v>2</v>
      </c>
      <c r="E33" s="9" t="n">
        <f aca="false">IF(D33=1,$B$4*SQRT(C33),IF(D33=2,$B$4+($B$5-$B$4)*C33,$B$6-($B$6-$B$5)*SQRT(1-C33)))</f>
        <v>3.68524534850654</v>
      </c>
    </row>
    <row r="34" customFormat="false" ht="15" hidden="false" customHeight="false" outlineLevel="0" collapsed="false">
      <c r="A34" s="9" t="n">
        <v>18</v>
      </c>
      <c r="B34" s="9" t="n">
        <f aca="true">RAND()</f>
        <v>0.486528698119887</v>
      </c>
      <c r="C34" s="9" t="n">
        <f aca="true">RAND()</f>
        <v>0.295880096271537</v>
      </c>
      <c r="D34" s="9" t="n">
        <f aca="false">IF(B34&lt;=$B$10,1,IF(B34&lt;=$B$10+$B$11,2,3))</f>
        <v>2</v>
      </c>
      <c r="E34" s="9" t="n">
        <f aca="false">IF(D34=1,$B$4*SQRT(C34),IF(D34=2,$B$4+($B$5-$B$4)*C34,$B$6-($B$6-$B$5)*SQRT(1-C34)))</f>
        <v>4.18352038508615</v>
      </c>
    </row>
    <row r="35" customFormat="false" ht="15" hidden="false" customHeight="false" outlineLevel="0" collapsed="false">
      <c r="A35" s="9" t="n">
        <v>19</v>
      </c>
      <c r="B35" s="9" t="n">
        <f aca="true">RAND()</f>
        <v>0.0536573676027028</v>
      </c>
      <c r="C35" s="9" t="n">
        <f aca="true">RAND()</f>
        <v>0.273516366339492</v>
      </c>
      <c r="D35" s="9" t="n">
        <f aca="false">IF(B35&lt;=$B$10,1,IF(B35&lt;=$B$10+$B$11,2,3))</f>
        <v>1</v>
      </c>
      <c r="E35" s="9" t="n">
        <f aca="false">IF(D35=1,$B$4*SQRT(C35),IF(D35=2,$B$4+($B$5-$B$4)*C35,$B$6-($B$6-$B$5)*SQRT(1-C35)))</f>
        <v>1.56896376537364</v>
      </c>
    </row>
    <row r="36" customFormat="false" ht="15" hidden="false" customHeight="false" outlineLevel="0" collapsed="false">
      <c r="A36" s="9" t="n">
        <v>20</v>
      </c>
      <c r="B36" s="9" t="n">
        <f aca="true">RAND()</f>
        <v>0.762921595614024</v>
      </c>
      <c r="C36" s="9" t="n">
        <f aca="true">RAND()</f>
        <v>0.810276578345166</v>
      </c>
      <c r="D36" s="9" t="n">
        <f aca="false">IF(B36&lt;=$B$10,1,IF(B36&lt;=$B$10+$B$11,2,3))</f>
        <v>2</v>
      </c>
      <c r="E36" s="9" t="n">
        <f aca="false">IF(D36=1,$B$4*SQRT(C36),IF(D36=2,$B$4+($B$5-$B$4)*C36,$B$6-($B$6-$B$5)*SQRT(1-C36)))</f>
        <v>6.24110631338067</v>
      </c>
    </row>
    <row r="37" customFormat="false" ht="15" hidden="false" customHeight="false" outlineLevel="0" collapsed="false">
      <c r="A37" s="9" t="n">
        <v>21</v>
      </c>
      <c r="B37" s="9" t="n">
        <f aca="true">RAND()</f>
        <v>0.226918332031802</v>
      </c>
      <c r="C37" s="9" t="n">
        <f aca="true">RAND()</f>
        <v>0.780331025407435</v>
      </c>
      <c r="D37" s="9" t="n">
        <f aca="false">IF(B37&lt;=$B$10,1,IF(B37&lt;=$B$10+$B$11,2,3))</f>
        <v>2</v>
      </c>
      <c r="E37" s="9" t="n">
        <f aca="false">IF(D37=1,$B$4*SQRT(C37),IF(D37=2,$B$4+($B$5-$B$4)*C37,$B$6-($B$6-$B$5)*SQRT(1-C37)))</f>
        <v>6.12132410162974</v>
      </c>
    </row>
    <row r="38" customFormat="false" ht="15" hidden="false" customHeight="false" outlineLevel="0" collapsed="false">
      <c r="A38" s="9" t="n">
        <v>22</v>
      </c>
      <c r="B38" s="9" t="n">
        <f aca="true">RAND()</f>
        <v>0.317921905873489</v>
      </c>
      <c r="C38" s="9" t="n">
        <f aca="true">RAND()</f>
        <v>0.547006072413741</v>
      </c>
      <c r="D38" s="9" t="n">
        <f aca="false">IF(B38&lt;=$B$10,1,IF(B38&lt;=$B$10+$B$11,2,3))</f>
        <v>2</v>
      </c>
      <c r="E38" s="9" t="n">
        <f aca="false">IF(D38=1,$B$4*SQRT(C38),IF(D38=2,$B$4+($B$5-$B$4)*C38,$B$6-($B$6-$B$5)*SQRT(1-C38)))</f>
        <v>5.18802428965497</v>
      </c>
    </row>
    <row r="39" customFormat="false" ht="15" hidden="false" customHeight="false" outlineLevel="0" collapsed="false">
      <c r="A39" s="9" t="n">
        <v>23</v>
      </c>
      <c r="B39" s="9" t="n">
        <f aca="true">RAND()</f>
        <v>0.680649109763081</v>
      </c>
      <c r="C39" s="9" t="n">
        <f aca="true">RAND()</f>
        <v>0.253796129185475</v>
      </c>
      <c r="D39" s="9" t="n">
        <f aca="false">IF(B39&lt;=$B$10,1,IF(B39&lt;=$B$10+$B$11,2,3))</f>
        <v>2</v>
      </c>
      <c r="E39" s="9" t="n">
        <f aca="false">IF(D39=1,$B$4*SQRT(C39),IF(D39=2,$B$4+($B$5-$B$4)*C39,$B$6-($B$6-$B$5)*SQRT(1-C39)))</f>
        <v>4.0151845167419</v>
      </c>
    </row>
    <row r="40" customFormat="false" ht="15" hidden="false" customHeight="false" outlineLevel="0" collapsed="false">
      <c r="A40" s="9" t="n">
        <v>24</v>
      </c>
      <c r="B40" s="9" t="n">
        <f aca="true">RAND()</f>
        <v>0.601404980629939</v>
      </c>
      <c r="C40" s="9" t="n">
        <f aca="true">RAND()</f>
        <v>0.445201934084749</v>
      </c>
      <c r="D40" s="9" t="n">
        <f aca="false">IF(B40&lt;=$B$10,1,IF(B40&lt;=$B$10+$B$11,2,3))</f>
        <v>2</v>
      </c>
      <c r="E40" s="9" t="n">
        <f aca="false">IF(D40=1,$B$4*SQRT(C40),IF(D40=2,$B$4+($B$5-$B$4)*C40,$B$6-($B$6-$B$5)*SQRT(1-C40)))</f>
        <v>4.780807736339</v>
      </c>
    </row>
    <row r="41" customFormat="false" ht="15" hidden="false" customHeight="false" outlineLevel="0" collapsed="false">
      <c r="A41" s="9" t="n">
        <v>25</v>
      </c>
      <c r="B41" s="9" t="n">
        <f aca="true">RAND()</f>
        <v>0.170187016420463</v>
      </c>
      <c r="C41" s="9" t="n">
        <f aca="true">RAND()</f>
        <v>0.711232504693564</v>
      </c>
      <c r="D41" s="9" t="n">
        <f aca="false">IF(B41&lt;=$B$10,1,IF(B41&lt;=$B$10+$B$11,2,3))</f>
        <v>1</v>
      </c>
      <c r="E41" s="9" t="n">
        <f aca="false">IF(D41=1,$B$4*SQRT(C41),IF(D41=2,$B$4+($B$5-$B$4)*C41,$B$6-($B$6-$B$5)*SQRT(1-C41)))</f>
        <v>2.53003805154035</v>
      </c>
    </row>
    <row r="42" customFormat="false" ht="15" hidden="false" customHeight="false" outlineLevel="0" collapsed="false">
      <c r="A42" s="9" t="n">
        <v>26</v>
      </c>
      <c r="B42" s="9" t="n">
        <f aca="true">RAND()</f>
        <v>0.388763807804772</v>
      </c>
      <c r="C42" s="9" t="n">
        <f aca="true">RAND()</f>
        <v>0.835185598242668</v>
      </c>
      <c r="D42" s="9" t="n">
        <f aca="false">IF(B42&lt;=$B$10,1,IF(B42&lt;=$B$10+$B$11,2,3))</f>
        <v>2</v>
      </c>
      <c r="E42" s="9" t="n">
        <f aca="false">IF(D42=1,$B$4*SQRT(C42),IF(D42=2,$B$4+($B$5-$B$4)*C42,$B$6-($B$6-$B$5)*SQRT(1-C42)))</f>
        <v>6.34074239297067</v>
      </c>
    </row>
    <row r="43" customFormat="false" ht="15" hidden="false" customHeight="false" outlineLevel="0" collapsed="false">
      <c r="A43" s="9" t="n">
        <v>27</v>
      </c>
      <c r="B43" s="9" t="n">
        <f aca="true">RAND()</f>
        <v>0.164687053355224</v>
      </c>
      <c r="C43" s="9" t="n">
        <f aca="true">RAND()</f>
        <v>0.752747188192891</v>
      </c>
      <c r="D43" s="9" t="n">
        <f aca="false">IF(B43&lt;=$B$10,1,IF(B43&lt;=$B$10+$B$11,2,3))</f>
        <v>1</v>
      </c>
      <c r="E43" s="9" t="n">
        <f aca="false">IF(D43=1,$B$4*SQRT(C43),IF(D43=2,$B$4+($B$5-$B$4)*C43,$B$6-($B$6-$B$5)*SQRT(1-C43)))</f>
        <v>2.60283013155604</v>
      </c>
    </row>
    <row r="44" customFormat="false" ht="15" hidden="false" customHeight="false" outlineLevel="0" collapsed="false">
      <c r="A44" s="9" t="n">
        <v>28</v>
      </c>
      <c r="B44" s="9" t="n">
        <f aca="true">RAND()</f>
        <v>0.0681301838975126</v>
      </c>
      <c r="C44" s="9" t="n">
        <f aca="true">RAND()</f>
        <v>0.399540016194563</v>
      </c>
      <c r="D44" s="9" t="n">
        <f aca="false">IF(B44&lt;=$B$10,1,IF(B44&lt;=$B$10+$B$11,2,3))</f>
        <v>1</v>
      </c>
      <c r="E44" s="9" t="n">
        <f aca="false">IF(D44=1,$B$4*SQRT(C44),IF(D44=2,$B$4+($B$5-$B$4)*C44,$B$6-($B$6-$B$5)*SQRT(1-C44)))</f>
        <v>1.89627533490025</v>
      </c>
    </row>
    <row r="45" customFormat="false" ht="15" hidden="false" customHeight="false" outlineLevel="0" collapsed="false">
      <c r="A45" s="9" t="n">
        <v>29</v>
      </c>
      <c r="B45" s="9" t="n">
        <f aca="true">RAND()</f>
        <v>0.534338033037214</v>
      </c>
      <c r="C45" s="9" t="n">
        <f aca="true">RAND()</f>
        <v>0.35002764306165</v>
      </c>
      <c r="D45" s="9" t="n">
        <f aca="false">IF(B45&lt;=$B$10,1,IF(B45&lt;=$B$10+$B$11,2,3))</f>
        <v>2</v>
      </c>
      <c r="E45" s="9" t="n">
        <f aca="false">IF(D45=1,$B$4*SQRT(C45),IF(D45=2,$B$4+($B$5-$B$4)*C45,$B$6-($B$6-$B$5)*SQRT(1-C45)))</f>
        <v>4.4001105722466</v>
      </c>
    </row>
    <row r="46" customFormat="false" ht="15" hidden="false" customHeight="false" outlineLevel="0" collapsed="false">
      <c r="A46" s="9" t="n">
        <v>30</v>
      </c>
      <c r="B46" s="9" t="n">
        <f aca="true">RAND()</f>
        <v>0.762777380517561</v>
      </c>
      <c r="C46" s="9" t="n">
        <f aca="true">RAND()</f>
        <v>0.0163577895360683</v>
      </c>
      <c r="D46" s="9" t="n">
        <f aca="false">IF(B46&lt;=$B$10,1,IF(B46&lt;=$B$10+$B$11,2,3))</f>
        <v>2</v>
      </c>
      <c r="E46" s="9" t="n">
        <f aca="false">IF(D46=1,$B$4*SQRT(C46),IF(D46=2,$B$4+($B$5-$B$4)*C46,$B$6-($B$6-$B$5)*SQRT(1-C46)))</f>
        <v>3.06543115814427</v>
      </c>
    </row>
    <row r="48" customFormat="false" ht="15" hidden="false" customHeight="false" outlineLevel="0" collapsed="false">
      <c r="A48" s="4" t="s">
        <v>40</v>
      </c>
      <c r="B48" s="2" t="n">
        <f aca="false">AVERAGE(E17:E46)</f>
        <v>4.69462508332723</v>
      </c>
    </row>
    <row r="49" customFormat="false" ht="15" hidden="false" customHeight="false" outlineLevel="0" collapsed="false">
      <c r="A49" s="4" t="s">
        <v>41</v>
      </c>
      <c r="B49" s="2" t="n">
        <f aca="false">MIN(E17:E46)</f>
        <v>1.56896376537364</v>
      </c>
    </row>
    <row r="50" customFormat="false" ht="15" hidden="false" customHeight="false" outlineLevel="0" collapsed="false">
      <c r="A50" s="4" t="s">
        <v>42</v>
      </c>
      <c r="B50" s="2" t="n">
        <f aca="false">MAX(E17:E46)</f>
        <v>7.98942720179294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3" t="s">
        <v>43</v>
      </c>
      <c r="B1" s="3"/>
      <c r="C1" s="3"/>
      <c r="D1" s="3"/>
      <c r="E1" s="3"/>
    </row>
    <row r="3" customFormat="false" ht="15" hidden="false" customHeight="false" outlineLevel="0" collapsed="false">
      <c r="A3" s="4" t="s">
        <v>23</v>
      </c>
    </row>
    <row r="4" customFormat="false" ht="15" hidden="false" customHeight="false" outlineLevel="0" collapsed="false">
      <c r="A4" s="0" t="s">
        <v>44</v>
      </c>
      <c r="B4" s="5" t="n">
        <v>8</v>
      </c>
      <c r="F4" s="6" t="s">
        <v>45</v>
      </c>
    </row>
    <row r="5" customFormat="false" ht="15" hidden="false" customHeight="false" outlineLevel="0" collapsed="false">
      <c r="A5" s="0" t="s">
        <v>46</v>
      </c>
      <c r="B5" s="5" t="n">
        <v>9</v>
      </c>
    </row>
    <row r="6" customFormat="false" ht="15" hidden="false" customHeight="false" outlineLevel="0" collapsed="false">
      <c r="A6" s="0" t="s">
        <v>47</v>
      </c>
      <c r="B6" s="5" t="n">
        <v>10</v>
      </c>
    </row>
    <row r="7" customFormat="false" ht="15" hidden="false" customHeight="false" outlineLevel="0" collapsed="false">
      <c r="A7" s="0" t="s">
        <v>28</v>
      </c>
      <c r="B7" s="5" t="n">
        <v>30</v>
      </c>
    </row>
    <row r="9" customFormat="false" ht="15" hidden="false" customHeight="false" outlineLevel="0" collapsed="false">
      <c r="A9" s="4" t="s">
        <v>48</v>
      </c>
    </row>
    <row r="10" customFormat="false" ht="15" hidden="false" customHeight="false" outlineLevel="0" collapsed="false">
      <c r="A10" s="0" t="s">
        <v>30</v>
      </c>
      <c r="B10" s="7" t="n">
        <f aca="false">(B5-B4)/(B6-B4)</f>
        <v>0.5</v>
      </c>
    </row>
    <row r="11" customFormat="false" ht="15" hidden="false" customHeight="false" outlineLevel="0" collapsed="false">
      <c r="A11" s="0" t="s">
        <v>31</v>
      </c>
      <c r="B11" s="7" t="n">
        <f aca="false">(B6-B5)/(B6-B4)</f>
        <v>0.5</v>
      </c>
    </row>
    <row r="12" customFormat="false" ht="15" hidden="false" customHeight="false" outlineLevel="0" collapsed="false">
      <c r="A12" s="0" t="s">
        <v>33</v>
      </c>
      <c r="B12" s="7" t="n">
        <f aca="false">B10+B11</f>
        <v>1</v>
      </c>
    </row>
    <row r="14" customFormat="false" ht="30" hidden="false" customHeight="true" outlineLevel="0" collapsed="false">
      <c r="A14" s="10" t="s">
        <v>49</v>
      </c>
      <c r="B14" s="10"/>
      <c r="C14" s="10"/>
      <c r="D14" s="10"/>
      <c r="E14" s="10"/>
      <c r="F14" s="10"/>
    </row>
    <row r="17" customFormat="false" ht="15" hidden="false" customHeight="false" outlineLevel="0" collapsed="false">
      <c r="A17" s="8" t="s">
        <v>34</v>
      </c>
      <c r="B17" s="8" t="s">
        <v>35</v>
      </c>
      <c r="C17" s="8" t="s">
        <v>36</v>
      </c>
      <c r="D17" s="8" t="s">
        <v>37</v>
      </c>
      <c r="E17" s="8" t="s">
        <v>38</v>
      </c>
    </row>
    <row r="18" customFormat="false" ht="15" hidden="false" customHeight="false" outlineLevel="0" collapsed="false">
      <c r="A18" s="9" t="n">
        <v>1</v>
      </c>
      <c r="B18" s="9" t="n">
        <f aca="true">RAND()</f>
        <v>0.172844155117092</v>
      </c>
      <c r="C18" s="9" t="n">
        <f aca="true">RAND()</f>
        <v>0.666200243300409</v>
      </c>
      <c r="D18" s="9" t="n">
        <f aca="false">IF(B18&lt;=$B$10,1,2)</f>
        <v>1</v>
      </c>
      <c r="E18" s="9" t="n">
        <f aca="false">IF(D18=1,$B$4+SQRT(C18*($B$6-$B$4)*($B$5-$B$4)),$B$6-SQRT((1-C18)*($B$6-$B$4)*($B$6-$B$5)))</f>
        <v>9.15429653321875</v>
      </c>
    </row>
    <row r="19" customFormat="false" ht="15" hidden="false" customHeight="false" outlineLevel="0" collapsed="false">
      <c r="A19" s="9" t="n">
        <v>2</v>
      </c>
      <c r="B19" s="9" t="n">
        <f aca="true">RAND()</f>
        <v>0.409070285296885</v>
      </c>
      <c r="C19" s="9" t="n">
        <f aca="true">RAND()</f>
        <v>0.0932570099549283</v>
      </c>
      <c r="D19" s="9" t="n">
        <f aca="false">IF(B19&lt;=$B$10,1,2)</f>
        <v>1</v>
      </c>
      <c r="E19" s="9" t="n">
        <f aca="false">IF(D19=1,$B$4+SQRT(C19*($B$6-$B$4)*($B$5-$B$4)),$B$6-SQRT((1-C19)*($B$6-$B$4)*($B$6-$B$5)))</f>
        <v>8.43187268946978</v>
      </c>
    </row>
    <row r="20" customFormat="false" ht="15" hidden="false" customHeight="false" outlineLevel="0" collapsed="false">
      <c r="A20" s="9" t="n">
        <v>3</v>
      </c>
      <c r="B20" s="9" t="n">
        <f aca="true">RAND()</f>
        <v>0.0586777718329328</v>
      </c>
      <c r="C20" s="9" t="n">
        <f aca="true">RAND()</f>
        <v>0.271393476765768</v>
      </c>
      <c r="D20" s="9" t="n">
        <f aca="false">IF(B20&lt;=$B$10,1,2)</f>
        <v>1</v>
      </c>
      <c r="E20" s="9" t="n">
        <f aca="false">IF(D20=1,$B$4+SQRT(C20*($B$6-$B$4)*($B$5-$B$4)),$B$6-SQRT((1-C20)*($B$6-$B$4)*($B$6-$B$5)))</f>
        <v>8.73674076413046</v>
      </c>
    </row>
    <row r="21" customFormat="false" ht="15" hidden="false" customHeight="false" outlineLevel="0" collapsed="false">
      <c r="A21" s="9" t="n">
        <v>4</v>
      </c>
      <c r="B21" s="9" t="n">
        <f aca="true">RAND()</f>
        <v>0.657514180111461</v>
      </c>
      <c r="C21" s="9" t="n">
        <f aca="true">RAND()</f>
        <v>0.134788590618882</v>
      </c>
      <c r="D21" s="9" t="n">
        <f aca="false">IF(B21&lt;=$B$10,1,2)</f>
        <v>2</v>
      </c>
      <c r="E21" s="9" t="n">
        <f aca="false">IF(D21=1,$B$4+SQRT(C21*($B$6-$B$4)*($B$5-$B$4)),$B$6-SQRT((1-C21)*($B$6-$B$4)*($B$6-$B$5)))</f>
        <v>8.68454463444698</v>
      </c>
    </row>
    <row r="22" customFormat="false" ht="15" hidden="false" customHeight="false" outlineLevel="0" collapsed="false">
      <c r="A22" s="9" t="n">
        <v>5</v>
      </c>
      <c r="B22" s="9" t="n">
        <f aca="true">RAND()</f>
        <v>0.204254600806549</v>
      </c>
      <c r="C22" s="9" t="n">
        <f aca="true">RAND()</f>
        <v>0.207947422219489</v>
      </c>
      <c r="D22" s="9" t="n">
        <f aca="false">IF(B22&lt;=$B$10,1,2)</f>
        <v>1</v>
      </c>
      <c r="E22" s="9" t="n">
        <f aca="false">IF(D22=1,$B$4+SQRT(C22*($B$6-$B$4)*($B$5-$B$4)),$B$6-SQRT((1-C22)*($B$6-$B$4)*($B$6-$B$5)))</f>
        <v>8.64489909632359</v>
      </c>
    </row>
    <row r="23" customFormat="false" ht="15" hidden="false" customHeight="false" outlineLevel="0" collapsed="false">
      <c r="A23" s="9" t="n">
        <v>6</v>
      </c>
      <c r="B23" s="9" t="n">
        <f aca="true">RAND()</f>
        <v>0.740479010673577</v>
      </c>
      <c r="C23" s="9" t="n">
        <f aca="true">RAND()</f>
        <v>0.0469350336167894</v>
      </c>
      <c r="D23" s="9" t="n">
        <f aca="false">IF(B23&lt;=$B$10,1,2)</f>
        <v>2</v>
      </c>
      <c r="E23" s="9" t="n">
        <f aca="false">IF(D23=1,$B$4+SQRT(C23*($B$6-$B$4)*($B$5-$B$4)),$B$6-SQRT((1-C23)*($B$6-$B$4)*($B$6-$B$5)))</f>
        <v>8.61937335504257</v>
      </c>
    </row>
    <row r="24" customFormat="false" ht="15" hidden="false" customHeight="false" outlineLevel="0" collapsed="false">
      <c r="A24" s="9" t="n">
        <v>7</v>
      </c>
      <c r="B24" s="9" t="n">
        <f aca="true">RAND()</f>
        <v>0.143052640659381</v>
      </c>
      <c r="C24" s="9" t="n">
        <f aca="true">RAND()</f>
        <v>0.122979769625414</v>
      </c>
      <c r="D24" s="9" t="n">
        <f aca="false">IF(B24&lt;=$B$10,1,2)</f>
        <v>1</v>
      </c>
      <c r="E24" s="9" t="n">
        <f aca="false">IF(D24=1,$B$4+SQRT(C24*($B$6-$B$4)*($B$5-$B$4)),$B$6-SQRT((1-C24)*($B$6-$B$4)*($B$6-$B$5)))</f>
        <v>8.49594308065627</v>
      </c>
    </row>
    <row r="25" customFormat="false" ht="15" hidden="false" customHeight="false" outlineLevel="0" collapsed="false">
      <c r="A25" s="9" t="n">
        <v>8</v>
      </c>
      <c r="B25" s="9" t="n">
        <f aca="true">RAND()</f>
        <v>0.451155136009716</v>
      </c>
      <c r="C25" s="9" t="n">
        <f aca="true">RAND()</f>
        <v>0.498115361170862</v>
      </c>
      <c r="D25" s="9" t="n">
        <f aca="false">IF(B25&lt;=$B$10,1,2)</f>
        <v>1</v>
      </c>
      <c r="E25" s="9" t="n">
        <f aca="false">IF(D25=1,$B$4+SQRT(C25*($B$6-$B$4)*($B$5-$B$4)),$B$6-SQRT((1-C25)*($B$6-$B$4)*($B$6-$B$5)))</f>
        <v>8.99811358188421</v>
      </c>
    </row>
    <row r="26" customFormat="false" ht="15" hidden="false" customHeight="false" outlineLevel="0" collapsed="false">
      <c r="A26" s="9" t="n">
        <v>9</v>
      </c>
      <c r="B26" s="9" t="n">
        <f aca="true">RAND()</f>
        <v>0.540208992859892</v>
      </c>
      <c r="C26" s="9" t="n">
        <f aca="true">RAND()</f>
        <v>0.864646007104448</v>
      </c>
      <c r="D26" s="9" t="n">
        <f aca="false">IF(B26&lt;=$B$10,1,2)</f>
        <v>2</v>
      </c>
      <c r="E26" s="9" t="n">
        <f aca="false">IF(D26=1,$B$4+SQRT(C26*($B$6-$B$4)*($B$5-$B$4)),$B$6-SQRT((1-C26)*($B$6-$B$4)*($B$6-$B$5)))</f>
        <v>9.47970394409423</v>
      </c>
    </row>
    <row r="27" customFormat="false" ht="15" hidden="false" customHeight="false" outlineLevel="0" collapsed="false">
      <c r="A27" s="9" t="n">
        <v>10</v>
      </c>
      <c r="B27" s="9" t="n">
        <f aca="true">RAND()</f>
        <v>0.491930182956349</v>
      </c>
      <c r="C27" s="9" t="n">
        <f aca="true">RAND()</f>
        <v>0.934062194254169</v>
      </c>
      <c r="D27" s="9" t="n">
        <f aca="false">IF(B27&lt;=$B$10,1,2)</f>
        <v>1</v>
      </c>
      <c r="E27" s="9" t="n">
        <f aca="false">IF(D27=1,$B$4+SQRT(C27*($B$6-$B$4)*($B$5-$B$4)),$B$6-SQRT((1-C27)*($B$6-$B$4)*($B$6-$B$5)))</f>
        <v>9.36679346958798</v>
      </c>
    </row>
    <row r="28" customFormat="false" ht="15" hidden="false" customHeight="false" outlineLevel="0" collapsed="false">
      <c r="A28" s="9" t="n">
        <v>11</v>
      </c>
      <c r="B28" s="9" t="n">
        <f aca="true">RAND()</f>
        <v>0.976568215702293</v>
      </c>
      <c r="C28" s="9" t="n">
        <f aca="true">RAND()</f>
        <v>0.703142679871236</v>
      </c>
      <c r="D28" s="9" t="n">
        <f aca="false">IF(B28&lt;=$B$10,1,2)</f>
        <v>2</v>
      </c>
      <c r="E28" s="9" t="n">
        <f aca="false">IF(D28=1,$B$4+SQRT(C28*($B$6-$B$4)*($B$5-$B$4)),$B$6-SQRT((1-C28)*($B$6-$B$4)*($B$6-$B$5)))</f>
        <v>9.22947119440119</v>
      </c>
    </row>
    <row r="29" customFormat="false" ht="15" hidden="false" customHeight="false" outlineLevel="0" collapsed="false">
      <c r="A29" s="9" t="n">
        <v>12</v>
      </c>
      <c r="B29" s="9" t="n">
        <f aca="true">RAND()</f>
        <v>0.628206696280477</v>
      </c>
      <c r="C29" s="9" t="n">
        <f aca="true">RAND()</f>
        <v>0.414331831212558</v>
      </c>
      <c r="D29" s="9" t="n">
        <f aca="false">IF(B29&lt;=$B$10,1,2)</f>
        <v>2</v>
      </c>
      <c r="E29" s="9" t="n">
        <f aca="false">IF(D29=1,$B$4+SQRT(C29*($B$6-$B$4)*($B$5-$B$4)),$B$6-SQRT((1-C29)*($B$6-$B$4)*($B$6-$B$5)))</f>
        <v>8.91771707138342</v>
      </c>
    </row>
    <row r="30" customFormat="false" ht="15" hidden="false" customHeight="false" outlineLevel="0" collapsed="false">
      <c r="A30" s="9" t="n">
        <v>13</v>
      </c>
      <c r="B30" s="9" t="n">
        <f aca="true">RAND()</f>
        <v>0.65311250871751</v>
      </c>
      <c r="C30" s="9" t="n">
        <f aca="true">RAND()</f>
        <v>0.723595884872214</v>
      </c>
      <c r="D30" s="9" t="n">
        <f aca="false">IF(B30&lt;=$B$10,1,2)</f>
        <v>2</v>
      </c>
      <c r="E30" s="9" t="n">
        <f aca="false">IF(D30=1,$B$4+SQRT(C30*($B$6-$B$4)*($B$5-$B$4)),$B$6-SQRT((1-C30)*($B$6-$B$4)*($B$6-$B$5)))</f>
        <v>9.25648925343639</v>
      </c>
    </row>
    <row r="31" customFormat="false" ht="15" hidden="false" customHeight="false" outlineLevel="0" collapsed="false">
      <c r="A31" s="9" t="n">
        <v>14</v>
      </c>
      <c r="B31" s="9" t="n">
        <f aca="true">RAND()</f>
        <v>0.194323329321408</v>
      </c>
      <c r="C31" s="9" t="n">
        <f aca="true">RAND()</f>
        <v>0.850963421213263</v>
      </c>
      <c r="D31" s="9" t="n">
        <f aca="false">IF(B31&lt;=$B$10,1,2)</f>
        <v>1</v>
      </c>
      <c r="E31" s="9" t="n">
        <f aca="false">IF(D31=1,$B$4+SQRT(C31*($B$6-$B$4)*($B$5-$B$4)),$B$6-SQRT((1-C31)*($B$6-$B$4)*($B$6-$B$5)))</f>
        <v>9.30457918212216</v>
      </c>
    </row>
    <row r="32" customFormat="false" ht="15" hidden="false" customHeight="false" outlineLevel="0" collapsed="false">
      <c r="A32" s="9" t="n">
        <v>15</v>
      </c>
      <c r="B32" s="9" t="n">
        <f aca="true">RAND()</f>
        <v>0.535872639926282</v>
      </c>
      <c r="C32" s="9" t="n">
        <f aca="true">RAND()</f>
        <v>0.412499913245215</v>
      </c>
      <c r="D32" s="9" t="n">
        <f aca="false">IF(B32&lt;=$B$10,1,2)</f>
        <v>2</v>
      </c>
      <c r="E32" s="9" t="n">
        <f aca="false">IF(D32=1,$B$4+SQRT(C32*($B$6-$B$4)*($B$5-$B$4)),$B$6-SQRT((1-C32)*($B$6-$B$4)*($B$6-$B$5)))</f>
        <v>8.91602575053207</v>
      </c>
    </row>
    <row r="33" customFormat="false" ht="15" hidden="false" customHeight="false" outlineLevel="0" collapsed="false">
      <c r="A33" s="9" t="n">
        <v>16</v>
      </c>
      <c r="B33" s="9" t="n">
        <f aca="true">RAND()</f>
        <v>0.219486997744566</v>
      </c>
      <c r="C33" s="9" t="n">
        <f aca="true">RAND()</f>
        <v>0.203036573649372</v>
      </c>
      <c r="D33" s="9" t="n">
        <f aca="false">IF(B33&lt;=$B$10,1,2)</f>
        <v>1</v>
      </c>
      <c r="E33" s="9" t="n">
        <f aca="false">IF(D33=1,$B$4+SQRT(C33*($B$6-$B$4)*($B$5-$B$4)),$B$6-SQRT((1-C33)*($B$6-$B$4)*($B$6-$B$5)))</f>
        <v>8.63723868942394</v>
      </c>
    </row>
    <row r="34" customFormat="false" ht="15" hidden="false" customHeight="false" outlineLevel="0" collapsed="false">
      <c r="A34" s="9" t="n">
        <v>17</v>
      </c>
      <c r="B34" s="9" t="n">
        <f aca="true">RAND()</f>
        <v>0.163860893269066</v>
      </c>
      <c r="C34" s="9" t="n">
        <f aca="true">RAND()</f>
        <v>0.333618822642868</v>
      </c>
      <c r="D34" s="9" t="n">
        <f aca="false">IF(B34&lt;=$B$10,1,2)</f>
        <v>1</v>
      </c>
      <c r="E34" s="9" t="n">
        <f aca="false">IF(D34=1,$B$4+SQRT(C34*($B$6-$B$4)*($B$5-$B$4)),$B$6-SQRT((1-C34)*($B$6-$B$4)*($B$6-$B$5)))</f>
        <v>8.81684615766112</v>
      </c>
    </row>
    <row r="35" customFormat="false" ht="15" hidden="false" customHeight="false" outlineLevel="0" collapsed="false">
      <c r="A35" s="9" t="n">
        <v>18</v>
      </c>
      <c r="B35" s="9" t="n">
        <f aca="true">RAND()</f>
        <v>0.9209547427868</v>
      </c>
      <c r="C35" s="9" t="n">
        <f aca="true">RAND()</f>
        <v>0.125172513738223</v>
      </c>
      <c r="D35" s="9" t="n">
        <f aca="false">IF(B35&lt;=$B$10,1,2)</f>
        <v>2</v>
      </c>
      <c r="E35" s="9" t="n">
        <f aca="false">IF(D35=1,$B$4+SQRT(C35*($B$6-$B$4)*($B$5-$B$4)),$B$6-SQRT((1-C35)*($B$6-$B$4)*($B$6-$B$5)))</f>
        <v>8.67725475902442</v>
      </c>
    </row>
    <row r="36" customFormat="false" ht="15" hidden="false" customHeight="false" outlineLevel="0" collapsed="false">
      <c r="A36" s="9" t="n">
        <v>19</v>
      </c>
      <c r="B36" s="9" t="n">
        <f aca="true">RAND()</f>
        <v>0.32134408851792</v>
      </c>
      <c r="C36" s="9" t="n">
        <f aca="true">RAND()</f>
        <v>0.0726568814211102</v>
      </c>
      <c r="D36" s="9" t="n">
        <f aca="false">IF(B36&lt;=$B$10,1,2)</f>
        <v>1</v>
      </c>
      <c r="E36" s="9" t="n">
        <f aca="false">IF(D36=1,$B$4+SQRT(C36*($B$6-$B$4)*($B$5-$B$4)),$B$6-SQRT((1-C36)*($B$6-$B$4)*($B$6-$B$5)))</f>
        <v>8.38120042345493</v>
      </c>
    </row>
    <row r="37" customFormat="false" ht="15" hidden="false" customHeight="false" outlineLevel="0" collapsed="false">
      <c r="A37" s="9" t="n">
        <v>20</v>
      </c>
      <c r="B37" s="9" t="n">
        <f aca="true">RAND()</f>
        <v>0.873149984496265</v>
      </c>
      <c r="C37" s="9" t="n">
        <f aca="true">RAND()</f>
        <v>0.939543647768163</v>
      </c>
      <c r="D37" s="9" t="n">
        <f aca="false">IF(B37&lt;=$B$10,1,2)</f>
        <v>2</v>
      </c>
      <c r="E37" s="9" t="n">
        <f aca="false">IF(D37=1,$B$4+SQRT(C37*($B$6-$B$4)*($B$5-$B$4)),$B$6-SQRT((1-C37)*($B$6-$B$4)*($B$6-$B$5)))</f>
        <v>9.65227495853236</v>
      </c>
    </row>
    <row r="38" customFormat="false" ht="15" hidden="false" customHeight="false" outlineLevel="0" collapsed="false">
      <c r="A38" s="9" t="n">
        <v>21</v>
      </c>
      <c r="B38" s="9" t="n">
        <f aca="true">RAND()</f>
        <v>0.127753768006154</v>
      </c>
      <c r="C38" s="9" t="n">
        <f aca="true">RAND()</f>
        <v>0.601520500435281</v>
      </c>
      <c r="D38" s="9" t="n">
        <f aca="false">IF(B38&lt;=$B$10,1,2)</f>
        <v>1</v>
      </c>
      <c r="E38" s="9" t="n">
        <f aca="false">IF(D38=1,$B$4+SQRT(C38*($B$6-$B$4)*($B$5-$B$4)),$B$6-SQRT((1-C38)*($B$6-$B$4)*($B$6-$B$5)))</f>
        <v>9.09683225739881</v>
      </c>
    </row>
    <row r="39" customFormat="false" ht="15" hidden="false" customHeight="false" outlineLevel="0" collapsed="false">
      <c r="A39" s="9" t="n">
        <v>22</v>
      </c>
      <c r="B39" s="9" t="n">
        <f aca="true">RAND()</f>
        <v>0.287396235047932</v>
      </c>
      <c r="C39" s="9" t="n">
        <f aca="true">RAND()</f>
        <v>0.9489248917383</v>
      </c>
      <c r="D39" s="9" t="n">
        <f aca="false">IF(B39&lt;=$B$10,1,2)</f>
        <v>1</v>
      </c>
      <c r="E39" s="9" t="n">
        <f aca="false">IF(D39=1,$B$4+SQRT(C39*($B$6-$B$4)*($B$5-$B$4)),$B$6-SQRT((1-C39)*($B$6-$B$4)*($B$6-$B$5)))</f>
        <v>9.37762468890355</v>
      </c>
    </row>
    <row r="40" customFormat="false" ht="15" hidden="false" customHeight="false" outlineLevel="0" collapsed="false">
      <c r="A40" s="9" t="n">
        <v>23</v>
      </c>
      <c r="B40" s="9" t="n">
        <f aca="true">RAND()</f>
        <v>0.63726546392506</v>
      </c>
      <c r="C40" s="9" t="n">
        <f aca="true">RAND()</f>
        <v>0.828392241810229</v>
      </c>
      <c r="D40" s="9" t="n">
        <f aca="false">IF(B40&lt;=$B$10,1,2)</f>
        <v>2</v>
      </c>
      <c r="E40" s="9" t="n">
        <f aca="false">IF(D40=1,$B$4+SQRT(C40*($B$6-$B$4)*($B$5-$B$4)),$B$6-SQRT((1-C40)*($B$6-$B$4)*($B$6-$B$5)))</f>
        <v>9.41415401650302</v>
      </c>
    </row>
    <row r="41" customFormat="false" ht="15" hidden="false" customHeight="false" outlineLevel="0" collapsed="false">
      <c r="A41" s="9" t="n">
        <v>24</v>
      </c>
      <c r="B41" s="9" t="n">
        <f aca="true">RAND()</f>
        <v>0.666260039754899</v>
      </c>
      <c r="C41" s="9" t="n">
        <f aca="true">RAND()</f>
        <v>0.124848556498359</v>
      </c>
      <c r="D41" s="9" t="n">
        <f aca="false">IF(B41&lt;=$B$10,1,2)</f>
        <v>2</v>
      </c>
      <c r="E41" s="9" t="n">
        <f aca="false">IF(D41=1,$B$4+SQRT(C41*($B$6-$B$4)*($B$5-$B$4)),$B$6-SQRT((1-C41)*($B$6-$B$4)*($B$6-$B$5)))</f>
        <v>8.67700986889422</v>
      </c>
    </row>
    <row r="42" customFormat="false" ht="15" hidden="false" customHeight="false" outlineLevel="0" collapsed="false">
      <c r="A42" s="9" t="n">
        <v>25</v>
      </c>
      <c r="B42" s="9" t="n">
        <f aca="true">RAND()</f>
        <v>0.654193798609508</v>
      </c>
      <c r="C42" s="9" t="n">
        <f aca="true">RAND()</f>
        <v>0.790611882075484</v>
      </c>
      <c r="D42" s="9" t="n">
        <f aca="false">IF(B42&lt;=$B$10,1,2)</f>
        <v>2</v>
      </c>
      <c r="E42" s="9" t="n">
        <f aca="false">IF(D42=1,$B$4+SQRT(C42*($B$6-$B$4)*($B$5-$B$4)),$B$6-SQRT((1-C42)*($B$6-$B$4)*($B$6-$B$5)))</f>
        <v>9.35287077345477</v>
      </c>
    </row>
    <row r="43" customFormat="false" ht="15" hidden="false" customHeight="false" outlineLevel="0" collapsed="false">
      <c r="A43" s="9" t="n">
        <v>26</v>
      </c>
      <c r="B43" s="9" t="n">
        <f aca="true">RAND()</f>
        <v>0.529561332165889</v>
      </c>
      <c r="C43" s="9" t="n">
        <f aca="true">RAND()</f>
        <v>0.341721731175613</v>
      </c>
      <c r="D43" s="9" t="n">
        <f aca="false">IF(B43&lt;=$B$10,1,2)</f>
        <v>2</v>
      </c>
      <c r="E43" s="9" t="n">
        <f aca="false">IF(D43=1,$B$4+SQRT(C43*($B$6-$B$4)*($B$5-$B$4)),$B$6-SQRT((1-C43)*($B$6-$B$4)*($B$6-$B$5)))</f>
        <v>8.8525870239322</v>
      </c>
    </row>
    <row r="44" customFormat="false" ht="15" hidden="false" customHeight="false" outlineLevel="0" collapsed="false">
      <c r="A44" s="9" t="n">
        <v>27</v>
      </c>
      <c r="B44" s="9" t="n">
        <f aca="true">RAND()</f>
        <v>0.673939859125406</v>
      </c>
      <c r="C44" s="9" t="n">
        <f aca="true">RAND()</f>
        <v>0.0004589200491314</v>
      </c>
      <c r="D44" s="9" t="n">
        <f aca="false">IF(B44&lt;=$B$10,1,2)</f>
        <v>2</v>
      </c>
      <c r="E44" s="9" t="n">
        <f aca="false">IF(D44=1,$B$4+SQRT(C44*($B$6-$B$4)*($B$5-$B$4)),$B$6-SQRT((1-C44)*($B$6-$B$4)*($B$6-$B$5)))</f>
        <v>8.58611098034473</v>
      </c>
    </row>
    <row r="45" customFormat="false" ht="15" hidden="false" customHeight="false" outlineLevel="0" collapsed="false">
      <c r="A45" s="9" t="n">
        <v>28</v>
      </c>
      <c r="B45" s="9" t="n">
        <f aca="true">RAND()</f>
        <v>0.3542027395672</v>
      </c>
      <c r="C45" s="9" t="n">
        <f aca="true">RAND()</f>
        <v>0.459902111147805</v>
      </c>
      <c r="D45" s="9" t="n">
        <f aca="false">IF(B45&lt;=$B$10,1,2)</f>
        <v>1</v>
      </c>
      <c r="E45" s="9" t="n">
        <f aca="false">IF(D45=1,$B$4+SQRT(C45*($B$6-$B$4)*($B$5-$B$4)),$B$6-SQRT((1-C45)*($B$6-$B$4)*($B$6-$B$5)))</f>
        <v>8.95906424304924</v>
      </c>
    </row>
    <row r="46" customFormat="false" ht="15" hidden="false" customHeight="false" outlineLevel="0" collapsed="false">
      <c r="A46" s="9" t="n">
        <v>29</v>
      </c>
      <c r="B46" s="9" t="n">
        <f aca="true">RAND()</f>
        <v>0.453220180002564</v>
      </c>
      <c r="C46" s="9" t="n">
        <f aca="true">RAND()</f>
        <v>0.143007712320914</v>
      </c>
      <c r="D46" s="9" t="n">
        <f aca="false">IF(B46&lt;=$B$10,1,2)</f>
        <v>1</v>
      </c>
      <c r="E46" s="9" t="n">
        <f aca="false">IF(D46=1,$B$4+SQRT(C46*($B$6-$B$4)*($B$5-$B$4)),$B$6-SQRT((1-C46)*($B$6-$B$4)*($B$6-$B$5)))</f>
        <v>8.53480409931285</v>
      </c>
    </row>
    <row r="47" customFormat="false" ht="15" hidden="false" customHeight="false" outlineLevel="0" collapsed="false">
      <c r="A47" s="9" t="n">
        <v>30</v>
      </c>
      <c r="B47" s="9" t="n">
        <f aca="true">RAND()</f>
        <v>0.376550459784971</v>
      </c>
      <c r="C47" s="9" t="n">
        <f aca="true">RAND()</f>
        <v>0.323971153539595</v>
      </c>
      <c r="D47" s="9" t="n">
        <f aca="false">IF(B47&lt;=$B$10,1,2)</f>
        <v>1</v>
      </c>
      <c r="E47" s="9" t="n">
        <f aca="false">IF(D47=1,$B$4+SQRT(C47*($B$6-$B$4)*($B$5-$B$4)),$B$6-SQRT((1-C47)*($B$6-$B$4)*($B$6-$B$5)))</f>
        <v>8.80494863629873</v>
      </c>
    </row>
    <row r="49" customFormat="false" ht="15" hidden="false" customHeight="false" outlineLevel="0" collapsed="false">
      <c r="A49" s="4" t="s">
        <v>40</v>
      </c>
      <c r="B49" s="2" t="n">
        <f aca="false">AVERAGE(E18:E47)</f>
        <v>8.93524617256396</v>
      </c>
    </row>
    <row r="50" customFormat="false" ht="15" hidden="false" customHeight="false" outlineLevel="0" collapsed="false">
      <c r="A50" s="4" t="s">
        <v>41</v>
      </c>
      <c r="B50" s="2" t="n">
        <f aca="false">MIN(E18:E47)</f>
        <v>8.38120042345493</v>
      </c>
    </row>
    <row r="51" customFormat="false" ht="15" hidden="false" customHeight="false" outlineLevel="0" collapsed="false">
      <c r="A51" s="4" t="s">
        <v>42</v>
      </c>
      <c r="B51" s="2" t="n">
        <f aca="false">MAX(E18:E47)</f>
        <v>9.65227495853236</v>
      </c>
    </row>
  </sheetData>
  <mergeCells count="2">
    <mergeCell ref="A1:E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2026-08-29T19:04:32Z</dcterms:created>
  <dc:creator>openpyxl</dc:creator>
  <dc:description/>
  <dc:language>en-US</dc:language>
  <cp:lastModifiedBy/>
  <dcterms:modified xsi:type="dcterms:W3CDTF">2026-08-29T19:04:32Z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