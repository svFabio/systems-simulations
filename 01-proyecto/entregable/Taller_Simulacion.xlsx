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roblema1_Inversion" sheetId="2" state="visible" r:id="rId4"/>
    <sheet name="Problema2_Camio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<sst xmlns="http://schemas.openxmlformats.org/spreadsheetml/2006/main" count="200" uniqueCount="192">
  <si>
    <t xml:space="preserve">Taller de Simulación de Sistemas - Resumen Ejecutivo</t>
  </si>
  <si>
    <t xml:space="preserve">Problema 1: Decisión de inversión</t>
  </si>
  <si>
    <t xml:space="preserve">Regla de decisión</t>
  </si>
  <si>
    <t xml:space="preserve">Aceptar si P(TIR &gt; TREMA) ≥ 90%</t>
  </si>
  <si>
    <t xml:space="preserve">P(TIR &gt; TREMA) simulada</t>
  </si>
  <si>
    <t xml:space="preserve">TIR promedio simulada</t>
  </si>
  <si>
    <t xml:space="preserve">Decisión</t>
  </si>
  <si>
    <t xml:space="preserve">Problema 2: Número óptimo de camiones</t>
  </si>
  <si>
    <t xml:space="preserve">Número óptimo de camiones</t>
  </si>
  <si>
    <t xml:space="preserve">Costo total anual mínimo</t>
  </si>
  <si>
    <t xml:space="preserve">Nota: los valores se recalculan cada vez que se abre o modifica el archivo (las fórmulas usan RAND()). Para 'congelar' un escenario, copie las hojas y pegue los resultados como valores (Copiar &gt; Pegado especial &gt; Valores).</t>
  </si>
  <si>
    <t xml:space="preserve">Problema 1: Decisión de Inversión - Simulación Montecarlo</t>
  </si>
  <si>
    <t xml:space="preserve">Parámetros generales</t>
  </si>
  <si>
    <t xml:space="preserve">Tasa de impuestos</t>
  </si>
  <si>
    <t xml:space="preserve">TREMA</t>
  </si>
  <si>
    <t xml:space="preserve">Probabilidad mínima requerida P(TIR&gt;TREMA)</t>
  </si>
  <si>
    <t xml:space="preserve">Vida fiscal del activo (años)</t>
  </si>
  <si>
    <t xml:space="preserve">Número de iteraciones simuladas</t>
  </si>
  <si>
    <t xml:space="preserve">Distribuciones triangulares (datos del enunciado)</t>
  </si>
  <si>
    <t xml:space="preserve">Variable</t>
  </si>
  <si>
    <t xml:space="preserve">Pesimista</t>
  </si>
  <si>
    <t xml:space="preserve">Probable</t>
  </si>
  <si>
    <t xml:space="preserve">Optimista</t>
  </si>
  <si>
    <t xml:space="preserve">Mín (a)</t>
  </si>
  <si>
    <t xml:space="preserve">Moda (m)</t>
  </si>
  <si>
    <t xml:space="preserve">Máx (b)</t>
  </si>
  <si>
    <t xml:space="preserve">Activo fijo inicial</t>
  </si>
  <si>
    <t xml:space="preserve">Activo circulante inicial</t>
  </si>
  <si>
    <t xml:space="preserve">Flujo antes de impuestos (anual)</t>
  </si>
  <si>
    <t xml:space="preserve">Inflación Año 1 (%)</t>
  </si>
  <si>
    <t xml:space="preserve">Inflación Año 2 (%)</t>
  </si>
  <si>
    <t xml:space="preserve">Inflación Año 3 (%)</t>
  </si>
  <si>
    <t xml:space="preserve">Inflación Año 4 (%)</t>
  </si>
  <si>
    <t xml:space="preserve">Inflación Año 5 (%)</t>
  </si>
  <si>
    <t xml:space="preserve">Nota: para las variables de inflación, 'Pesimista' es la tasa más alta (peor caso) y 'Optimista' la más baja; por eso Mín/Máx se toman como MIN/MAX(Pesimista,Optimista) y la Moda es siempre el valor 'Probable'.</t>
  </si>
  <si>
    <t xml:space="preserve">Simulación Montecarlo (una fila = una iteración / un escenario a 5 años)</t>
  </si>
  <si>
    <t xml:space="preserve">Iter</t>
  </si>
  <si>
    <t xml:space="preserve">U(Af)</t>
  </si>
  <si>
    <t xml:space="preserve">Af</t>
  </si>
  <si>
    <t xml:space="preserve">U(Ac)</t>
  </si>
  <si>
    <t xml:space="preserve">Ac</t>
  </si>
  <si>
    <t xml:space="preserve">U(F1)</t>
  </si>
  <si>
    <t xml:space="preserve">F1</t>
  </si>
  <si>
    <t xml:space="preserve">U(F2)</t>
  </si>
  <si>
    <t xml:space="preserve">F2</t>
  </si>
  <si>
    <t xml:space="preserve">U(F3)</t>
  </si>
  <si>
    <t xml:space="preserve">F3</t>
  </si>
  <si>
    <t xml:space="preserve">U(F4)</t>
  </si>
  <si>
    <t xml:space="preserve">F4</t>
  </si>
  <si>
    <t xml:space="preserve">U(F5)</t>
  </si>
  <si>
    <t xml:space="preserve">F5</t>
  </si>
  <si>
    <t xml:space="preserve">U(Infl1)</t>
  </si>
  <si>
    <t xml:space="preserve">Infl1%</t>
  </si>
  <si>
    <t xml:space="preserve">U(Infl2)</t>
  </si>
  <si>
    <t xml:space="preserve">Infl2%</t>
  </si>
  <si>
    <t xml:space="preserve">U(Infl3)</t>
  </si>
  <si>
    <t xml:space="preserve">Infl3%</t>
  </si>
  <si>
    <t xml:space="preserve">U(Infl4)</t>
  </si>
  <si>
    <t xml:space="preserve">Infl4%</t>
  </si>
  <si>
    <t xml:space="preserve">U(Infl5)</t>
  </si>
  <si>
    <t xml:space="preserve">Infl5%</t>
  </si>
  <si>
    <t xml:space="preserve">FlujoInfl1</t>
  </si>
  <si>
    <t xml:space="preserve">FlujoInfl2</t>
  </si>
  <si>
    <t xml:space="preserve">FlujoInfl3</t>
  </si>
  <si>
    <t xml:space="preserve">FlujoInfl4</t>
  </si>
  <si>
    <t xml:space="preserve">FlujoInfl5</t>
  </si>
  <si>
    <t xml:space="preserve">Deprec.</t>
  </si>
  <si>
    <t xml:space="preserve">UAI1</t>
  </si>
  <si>
    <t xml:space="preserve">UAI2</t>
  </si>
  <si>
    <t xml:space="preserve">UAI3</t>
  </si>
  <si>
    <t xml:space="preserve">UAI4</t>
  </si>
  <si>
    <t xml:space="preserve">UAI5</t>
  </si>
  <si>
    <t xml:space="preserve">Imp1</t>
  </si>
  <si>
    <t xml:space="preserve">Imp2</t>
  </si>
  <si>
    <t xml:space="preserve">Imp3</t>
  </si>
  <si>
    <t xml:space="preserve">Imp4</t>
  </si>
  <si>
    <t xml:space="preserve">Imp5</t>
  </si>
  <si>
    <t xml:space="preserve">UN1</t>
  </si>
  <si>
    <t xml:space="preserve">UN2</t>
  </si>
  <si>
    <t xml:space="preserve">UN3</t>
  </si>
  <si>
    <t xml:space="preserve">UN4</t>
  </si>
  <si>
    <t xml:space="preserve">UN5</t>
  </si>
  <si>
    <t xml:space="preserve">Val.Rescate</t>
  </si>
  <si>
    <t xml:space="preserve">FNE0</t>
  </si>
  <si>
    <t xml:space="preserve">FNE1</t>
  </si>
  <si>
    <t xml:space="preserve">FNE2</t>
  </si>
  <si>
    <t xml:space="preserve">FNE3</t>
  </si>
  <si>
    <t xml:space="preserve">FNE4</t>
  </si>
  <si>
    <t xml:space="preserve">FNE5</t>
  </si>
  <si>
    <t xml:space="preserve">TIR</t>
  </si>
  <si>
    <t xml:space="preserve">VPN(chk)</t>
  </si>
  <si>
    <t xml:space="preserve">Resultados de la simulación</t>
  </si>
  <si>
    <t xml:space="preserve">Número de iteraciones (N)</t>
  </si>
  <si>
    <t xml:space="preserve">Casos con TIR &gt; TREMA</t>
  </si>
  <si>
    <t xml:space="preserve">P(TIR &gt; TREMA)</t>
  </si>
  <si>
    <t xml:space="preserve">TIR promedio</t>
  </si>
  <si>
    <t xml:space="preserve">Desviación estándar TIR</t>
  </si>
  <si>
    <t xml:space="preserve">TIR mínima</t>
  </si>
  <si>
    <t xml:space="preserve">TIR máxima</t>
  </si>
  <si>
    <t xml:space="preserve">Distribución de frecuencia de la TIR (para el gráfico)</t>
  </si>
  <si>
    <t xml:space="preserve">Límite inferior</t>
  </si>
  <si>
    <t xml:space="preserve">Límite superior</t>
  </si>
  <si>
    <t xml:space="preserve">Frecuencia</t>
  </si>
  <si>
    <t xml:space="preserve">Problema 2: Número Óptimo de Camiones - Simulación Montecarlo</t>
  </si>
  <si>
    <t xml:space="preserve">Costo anual por camión ($)</t>
  </si>
  <si>
    <t xml:space="preserve">Costo transporte externo ($/ton)</t>
  </si>
  <si>
    <t xml:space="preserve">Días laborables al año (días simulados)</t>
  </si>
  <si>
    <t xml:space="preserve">Distancia planta-depósito (km, informativo)</t>
  </si>
  <si>
    <t xml:space="preserve">Número máximo de camiones a evaluar</t>
  </si>
  <si>
    <t xml:space="preserve">Distribución de producción diaria (toneladas)</t>
  </si>
  <si>
    <t xml:space="preserve">Límite inf.</t>
  </si>
  <si>
    <t xml:space="preserve">Límite sup.</t>
  </si>
  <si>
    <t xml:space="preserve">Probabilidad</t>
  </si>
  <si>
    <t xml:space="preserve">Ancho</t>
  </si>
  <si>
    <t xml:space="preserve">Cum. inf.</t>
  </si>
  <si>
    <t xml:space="preserve">Nota: no hay probabilidad asignada al tramo 70-75 ton en el enunciado original; los datos se respetan tal cual (suman 1.00 sin ese tramo).</t>
  </si>
  <si>
    <t xml:space="preserve">Distribución de toneladas diarias trasladadas por camión</t>
  </si>
  <si>
    <t xml:space="preserve">Simulación diaria (una fila = un día simulado)</t>
  </si>
  <si>
    <t xml:space="preserve">Día</t>
  </si>
  <si>
    <t xml:space="preserve">U(Prod)</t>
  </si>
  <si>
    <t xml:space="preserve">Producción</t>
  </si>
  <si>
    <t xml:space="preserve">U(Cam1)</t>
  </si>
  <si>
    <t xml:space="preserve">U(Cam2)</t>
  </si>
  <si>
    <t xml:space="preserve">U(Cam3)</t>
  </si>
  <si>
    <t xml:space="preserve">U(Cam4)</t>
  </si>
  <si>
    <t xml:space="preserve">U(Cam5)</t>
  </si>
  <si>
    <t xml:space="preserve">U(Cam6)</t>
  </si>
  <si>
    <t xml:space="preserve">U(Cam7)</t>
  </si>
  <si>
    <t xml:space="preserve">U(Cam8)</t>
  </si>
  <si>
    <t xml:space="preserve">U(Cam9)</t>
  </si>
  <si>
    <t xml:space="preserve">U(Cam10)</t>
  </si>
  <si>
    <t xml:space="preserve">U(Cam11)</t>
  </si>
  <si>
    <t xml:space="preserve">U(Cam12)</t>
  </si>
  <si>
    <t xml:space="preserve">U(Cam13)</t>
  </si>
  <si>
    <t xml:space="preserve">U(Cam14)</t>
  </si>
  <si>
    <t xml:space="preserve">U(Cam15)</t>
  </si>
  <si>
    <t xml:space="preserve">U(Cam16)</t>
  </si>
  <si>
    <t xml:space="preserve">Cap.Cam1</t>
  </si>
  <si>
    <t xml:space="preserve">Cap.Cam2</t>
  </si>
  <si>
    <t xml:space="preserve">Cap.Cam3</t>
  </si>
  <si>
    <t xml:space="preserve">Cap.Cam4</t>
  </si>
  <si>
    <t xml:space="preserve">Cap.Cam5</t>
  </si>
  <si>
    <t xml:space="preserve">Cap.Cam6</t>
  </si>
  <si>
    <t xml:space="preserve">Cap.Cam7</t>
  </si>
  <si>
    <t xml:space="preserve">Cap.Cam8</t>
  </si>
  <si>
    <t xml:space="preserve">Cap.Cam9</t>
  </si>
  <si>
    <t xml:space="preserve">Cap.Cam10</t>
  </si>
  <si>
    <t xml:space="preserve">Cap.Cam11</t>
  </si>
  <si>
    <t xml:space="preserve">Cap.Cam12</t>
  </si>
  <si>
    <t xml:space="preserve">Cap.Cam13</t>
  </si>
  <si>
    <t xml:space="preserve">Cap.Cam14</t>
  </si>
  <si>
    <t xml:space="preserve">Cap.Cam15</t>
  </si>
  <si>
    <t xml:space="preserve">Cap.Cam16</t>
  </si>
  <si>
    <t xml:space="preserve">CapTot(N=1)</t>
  </si>
  <si>
    <t xml:space="preserve">CapTot(N=2)</t>
  </si>
  <si>
    <t xml:space="preserve">CapTot(N=3)</t>
  </si>
  <si>
    <t xml:space="preserve">CapTot(N=4)</t>
  </si>
  <si>
    <t xml:space="preserve">CapTot(N=5)</t>
  </si>
  <si>
    <t xml:space="preserve">CapTot(N=6)</t>
  </si>
  <si>
    <t xml:space="preserve">CapTot(N=7)</t>
  </si>
  <si>
    <t xml:space="preserve">CapTot(N=8)</t>
  </si>
  <si>
    <t xml:space="preserve">CapTot(N=9)</t>
  </si>
  <si>
    <t xml:space="preserve">CapTot(N=10)</t>
  </si>
  <si>
    <t xml:space="preserve">CapTot(N=11)</t>
  </si>
  <si>
    <t xml:space="preserve">CapTot(N=12)</t>
  </si>
  <si>
    <t xml:space="preserve">CapTot(N=13)</t>
  </si>
  <si>
    <t xml:space="preserve">CapTot(N=14)</t>
  </si>
  <si>
    <t xml:space="preserve">CapTot(N=15)</t>
  </si>
  <si>
    <t xml:space="preserve">CapTot(N=16)</t>
  </si>
  <si>
    <t xml:space="preserve">Exced.(N=1)</t>
  </si>
  <si>
    <t xml:space="preserve">Exced.(N=2)</t>
  </si>
  <si>
    <t xml:space="preserve">Exced.(N=3)</t>
  </si>
  <si>
    <t xml:space="preserve">Exced.(N=4)</t>
  </si>
  <si>
    <t xml:space="preserve">Exced.(N=5)</t>
  </si>
  <si>
    <t xml:space="preserve">Exced.(N=6)</t>
  </si>
  <si>
    <t xml:space="preserve">Exced.(N=7)</t>
  </si>
  <si>
    <t xml:space="preserve">Exced.(N=8)</t>
  </si>
  <si>
    <t xml:space="preserve">Exced.(N=9)</t>
  </si>
  <si>
    <t xml:space="preserve">Exced.(N=10)</t>
  </si>
  <si>
    <t xml:space="preserve">Exced.(N=11)</t>
  </si>
  <si>
    <t xml:space="preserve">Exced.(N=12)</t>
  </si>
  <si>
    <t xml:space="preserve">Exced.(N=13)</t>
  </si>
  <si>
    <t xml:space="preserve">Exced.(N=14)</t>
  </si>
  <si>
    <t xml:space="preserve">Exced.(N=15)</t>
  </si>
  <si>
    <t xml:space="preserve">Exced.(N=16)</t>
  </si>
  <si>
    <t xml:space="preserve">Costo anual total según número de camiones (N)</t>
  </si>
  <si>
    <t xml:space="preserve">N (camiones)</t>
  </si>
  <si>
    <t xml:space="preserve">Toneladas excedentes/año</t>
  </si>
  <si>
    <t xml:space="preserve">Costo transporte externo</t>
  </si>
  <si>
    <t xml:space="preserve">Costo camiones</t>
  </si>
  <si>
    <t xml:space="preserve">Costo total anual</t>
  </si>
  <si>
    <t xml:space="preserve">Número óptimo de camiones (menor costo total)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</si>
</sst>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\$#,##0"/>
    <numFmt numFmtId="167" formatCode="0"/>
    <numFmt numFmtId="168" formatCode="#,##0"/>
    <numFmt numFmtId="169" formatCode="0.000"/>
    <numFmt numFmtId="170" formatCode="0.00"/>
    <numFmt numFmtId="171" formatCode="0%"/>
    <numFmt numFmtId="172" formatCode="0.00%"/>
    <numFmt numFmtId="173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4F81B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simulada de la TIR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Problema1_Inversion!C137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Problema1_Inversion!$A$138:$A$149</c:f>
              <c:strCache>
                <c:ptCount val="12"/>
                <c:pt idx="0">
                  <c:v>-30%</c:v>
                </c:pt>
                <c:pt idx="1">
                  <c:v>-20%</c:v>
                </c:pt>
                <c:pt idx="2">
                  <c:v>-10%</c:v>
                </c:pt>
                <c:pt idx="3">
                  <c:v>0%</c:v>
                </c:pt>
                <c:pt idx="4">
                  <c:v>10%</c:v>
                </c:pt>
                <c:pt idx="5">
                  <c:v>20%</c:v>
                </c:pt>
                <c:pt idx="6">
                  <c:v>30%</c:v>
                </c:pt>
                <c:pt idx="7">
                  <c:v>40%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Problema1_Inversion!$C$138:$C$149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78</c:v>
                </c:pt>
                <c:pt idx="6">
                  <c:v>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52587066"/>
        <c:axId val="16311812"/>
      </c:barChart>
      <c:catAx>
        <c:axId val="525870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Rango de TIR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11812"/>
        <c:crosses val="autoZero"/>
        <c:auto val="1"/>
        <c:lblAlgn val="ctr"/>
        <c:lblOffset val="100"/>
        <c:noMultiLvlLbl val="0"/>
      </c:catAx>
      <c:valAx>
        <c:axId val="16311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870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Costo total anual vs. número de camiones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Problema2_Camiones!E283</c:f>
              <c:strCache>
                <c:ptCount val="1"/>
                <c:pt idx="0">
                  <c:v>Costo total anual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Problema2_Camiones!$A$284:$A$299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strCache>
            </c:strRef>
          </c:cat>
          <c:val>
            <c:numRef>
              <c:f>Problema2_Camiones!$E$284:$E$299</c:f>
              <c:numCache>
                <c:formatCode>\$#,##0</c:formatCode>
                <c:ptCount val="16"/>
                <c:pt idx="0">
                  <c:v>1590419.47635871</c:v>
                </c:pt>
                <c:pt idx="1">
                  <c:v>1570299.03474289</c:v>
                </c:pt>
                <c:pt idx="2">
                  <c:v>1551790.81124083</c:v>
                </c:pt>
                <c:pt idx="3">
                  <c:v>1530710.40613096</c:v>
                </c:pt>
                <c:pt idx="4">
                  <c:v>1510644.75714901</c:v>
                </c:pt>
                <c:pt idx="5">
                  <c:v>1491267.53771399</c:v>
                </c:pt>
                <c:pt idx="6">
                  <c:v>1470683.98998831</c:v>
                </c:pt>
                <c:pt idx="7">
                  <c:v>1450949.07225551</c:v>
                </c:pt>
                <c:pt idx="8">
                  <c:v>1431063.1142002</c:v>
                </c:pt>
                <c:pt idx="9">
                  <c:v>1411052.52502796</c:v>
                </c:pt>
                <c:pt idx="10">
                  <c:v>1392631.67201101</c:v>
                </c:pt>
                <c:pt idx="11">
                  <c:v>1383814.44398409</c:v>
                </c:pt>
                <c:pt idx="12">
                  <c:v>1394181.68646126</c:v>
                </c:pt>
                <c:pt idx="13">
                  <c:v>1438010.6255068</c:v>
                </c:pt>
                <c:pt idx="14">
                  <c:v>1515459.85026138</c:v>
                </c:pt>
                <c:pt idx="15">
                  <c:v>1605561.07201654</c:v>
                </c:pt>
              </c:numCache>
            </c:numRef>
          </c:val>
        </c:ser>
        <c:gapWidth val="150"/>
        <c:overlap val="0"/>
        <c:axId val="97239450"/>
        <c:axId val="67837123"/>
      </c:barChart>
      <c:catAx>
        <c:axId val="972394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Número de camiones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37123"/>
        <c:crosses val="autoZero"/>
        <c:auto val="1"/>
        <c:lblAlgn val="ctr"/>
        <c:lblOffset val="100"/>
        <c:noMultiLvlLbl val="0"/>
      </c:catAx>
      <c:valAx>
        <c:axId val="678371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Costo total anual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394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136</xdr:row>
      <xdr:rowOff>10080</xdr:rowOff>
    </xdr:from>
    <xdr:to>
      <xdr:col>14</xdr:col>
      <xdr:colOff>450360</xdr:colOff>
      <xdr:row>154</xdr:row>
      <xdr:rowOff>180720</xdr:rowOff>
    </xdr:to>
    <xdr:graphicFrame>
      <xdr:nvGraphicFramePr>
        <xdr:cNvPr id="0" name="Chart 1"/>
        <xdr:cNvGraphicFramePr/>
      </xdr:nvGraphicFramePr>
      <xdr:xfrm>
        <a:off x="5076360" y="260985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282</xdr:row>
      <xdr:rowOff>10080</xdr:rowOff>
    </xdr:from>
    <xdr:to>
      <xdr:col>14</xdr:col>
      <xdr:colOff>120600</xdr:colOff>
      <xdr:row>296</xdr:row>
      <xdr:rowOff>110160</xdr:rowOff>
    </xdr:to>
    <xdr:graphicFrame>
      <xdr:nvGraphicFramePr>
        <xdr:cNvPr id="1" name="Chart 1"/>
        <xdr:cNvGraphicFramePr/>
      </xdr:nvGraphicFramePr>
      <xdr:xfrm>
        <a:off x="5638680" y="53911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3" t="s">
        <v>4</v>
      </c>
      <c r="B5" s="4" t="n">
        <f aca="false">Problema1_Inversion!B129</f>
        <v>1</v>
      </c>
    </row>
    <row r="6" customFormat="false" ht="15" hidden="false" customHeight="false" outlineLevel="0" collapsed="false">
      <c r="A6" s="3" t="s">
        <v>5</v>
      </c>
      <c r="B6" s="4" t="n">
        <f aca="false">Problema1_Inversion!B130</f>
        <v>0.274936811317558</v>
      </c>
    </row>
    <row r="7" customFormat="false" ht="15" hidden="false" customHeight="false" outlineLevel="0" collapsed="false">
      <c r="A7" s="3" t="s">
        <v>6</v>
      </c>
      <c r="B7" s="5" t="str">
        <f aca="false">Problema1_Inversion!B134</f>
        <v>ACEPTAR el proyecto</v>
      </c>
    </row>
    <row r="8" customFormat="false" ht="15" hidden="false" customHeight="false" outlineLevel="0" collapsed="false">
      <c r="A8" s="3"/>
      <c r="B8" s="3"/>
    </row>
    <row r="9" customFormat="false" ht="15" hidden="false" customHeight="false" outlineLevel="0" collapsed="false">
      <c r="A9" s="3" t="s">
        <v>7</v>
      </c>
      <c r="B9" s="3"/>
    </row>
    <row r="10" customFormat="false" ht="15" hidden="false" customHeight="false" outlineLevel="0" collapsed="false">
      <c r="A10" s="3" t="s">
        <v>8</v>
      </c>
      <c r="B10" s="3" t="n">
        <f aca="false">Problema2_Camiones!B301</f>
        <v>12</v>
      </c>
    </row>
    <row r="11" customFormat="false" ht="15" hidden="false" customHeight="false" outlineLevel="0" collapsed="false">
      <c r="A11" s="3" t="s">
        <v>9</v>
      </c>
      <c r="B11" s="6" t="n">
        <f aca="false">Problema2_Camiones!B302</f>
        <v>1383814.44398409</v>
      </c>
    </row>
    <row r="14" customFormat="false" ht="15" hidden="false" customHeight="false" outlineLevel="0" collapsed="false">
      <c r="A14" s="7" t="s">
        <v>10</v>
      </c>
      <c r="B14" s="7"/>
      <c r="C14" s="7"/>
      <c r="D14" s="7"/>
      <c r="E14" s="7"/>
      <c r="F14" s="7"/>
      <c r="G14" s="7"/>
      <c r="H14" s="7"/>
    </row>
  </sheetData>
  <mergeCells count="1"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1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4" topLeftCell="B25" activePane="bottomRight" state="frozen"/>
      <selection pane="topLeft" activeCell="A1" activeCellId="0" sqref="A1"/>
      <selection pane="topRight" activeCell="B1" activeCellId="0" sqref="B1"/>
      <selection pane="bottomLeft" activeCell="A25" activeCellId="0" sqref="A2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5" min="2" style="0" width="9.51"/>
  </cols>
  <sheetData>
    <row r="1" customFormat="false" ht="17.35" hidden="false" customHeight="false" outlineLevel="0" collapsed="false">
      <c r="A1" s="1" t="s">
        <v>11</v>
      </c>
    </row>
    <row r="3" customFormat="false" ht="15" hidden="false" customHeight="false" outlineLevel="0" collapsed="false">
      <c r="A3" s="2" t="s">
        <v>12</v>
      </c>
    </row>
    <row r="4" customFormat="false" ht="15" hidden="false" customHeight="false" outlineLevel="0" collapsed="false">
      <c r="A4" s="3" t="s">
        <v>13</v>
      </c>
      <c r="B4" s="8" t="n">
        <v>0.5</v>
      </c>
    </row>
    <row r="5" customFormat="false" ht="15" hidden="false" customHeight="false" outlineLevel="0" collapsed="false">
      <c r="A5" s="3" t="s">
        <v>14</v>
      </c>
      <c r="B5" s="8" t="n">
        <v>0.15</v>
      </c>
    </row>
    <row r="6" customFormat="false" ht="15" hidden="false" customHeight="false" outlineLevel="0" collapsed="false">
      <c r="A6" s="3" t="s">
        <v>15</v>
      </c>
      <c r="B6" s="8" t="n">
        <v>0.9</v>
      </c>
    </row>
    <row r="7" customFormat="false" ht="15" hidden="false" customHeight="false" outlineLevel="0" collapsed="false">
      <c r="A7" s="3" t="s">
        <v>16</v>
      </c>
      <c r="B7" s="9" t="n">
        <v>5</v>
      </c>
    </row>
    <row r="8" customFormat="false" ht="15" hidden="false" customHeight="false" outlineLevel="0" collapsed="false">
      <c r="A8" s="3" t="s">
        <v>17</v>
      </c>
      <c r="B8" s="9" t="n">
        <v>100</v>
      </c>
    </row>
    <row r="10" customFormat="false" ht="15" hidden="false" customHeight="false" outlineLevel="0" collapsed="false">
      <c r="A10" s="2" t="s">
        <v>18</v>
      </c>
    </row>
    <row r="11" customFormat="false" ht="15" hidden="false" customHeight="false" outlineLevel="0" collapsed="false">
      <c r="A11" s="10" t="s">
        <v>19</v>
      </c>
      <c r="B11" s="10" t="s">
        <v>20</v>
      </c>
      <c r="C11" s="10" t="s">
        <v>21</v>
      </c>
      <c r="D11" s="10" t="s">
        <v>22</v>
      </c>
      <c r="E11" s="10" t="s">
        <v>23</v>
      </c>
      <c r="F11" s="10" t="s">
        <v>24</v>
      </c>
      <c r="G11" s="10" t="s">
        <v>25</v>
      </c>
    </row>
    <row r="12" customFormat="false" ht="15" hidden="false" customHeight="false" outlineLevel="0" collapsed="false">
      <c r="A12" s="3" t="s">
        <v>26</v>
      </c>
      <c r="B12" s="11" t="n">
        <v>-100000</v>
      </c>
      <c r="C12" s="11" t="n">
        <v>-70000</v>
      </c>
      <c r="D12" s="11" t="n">
        <v>-60000</v>
      </c>
      <c r="E12" s="12" t="n">
        <f aca="false">MIN(B12,D12)</f>
        <v>-100000</v>
      </c>
      <c r="F12" s="12" t="n">
        <f aca="false">C12</f>
        <v>-70000</v>
      </c>
      <c r="G12" s="12" t="n">
        <f aca="false">MAX(B12,D12)</f>
        <v>-60000</v>
      </c>
    </row>
    <row r="13" customFormat="false" ht="15" hidden="false" customHeight="false" outlineLevel="0" collapsed="false">
      <c r="A13" s="3" t="s">
        <v>27</v>
      </c>
      <c r="B13" s="11" t="n">
        <v>-40000</v>
      </c>
      <c r="C13" s="11" t="n">
        <v>-30000</v>
      </c>
      <c r="D13" s="11" t="n">
        <v>-25000</v>
      </c>
      <c r="E13" s="12" t="n">
        <f aca="false">MIN(B13,D13)</f>
        <v>-40000</v>
      </c>
      <c r="F13" s="12" t="n">
        <f aca="false">C13</f>
        <v>-30000</v>
      </c>
      <c r="G13" s="12" t="n">
        <f aca="false">MAX(B13,D13)</f>
        <v>-25000</v>
      </c>
    </row>
    <row r="14" customFormat="false" ht="15" hidden="false" customHeight="false" outlineLevel="0" collapsed="false">
      <c r="A14" s="3" t="s">
        <v>28</v>
      </c>
      <c r="B14" s="11" t="n">
        <v>30000</v>
      </c>
      <c r="C14" s="11" t="n">
        <v>40000</v>
      </c>
      <c r="D14" s="11" t="n">
        <v>45000</v>
      </c>
      <c r="E14" s="12" t="n">
        <f aca="false">MIN(B14,D14)</f>
        <v>30000</v>
      </c>
      <c r="F14" s="12" t="n">
        <f aca="false">C14</f>
        <v>40000</v>
      </c>
      <c r="G14" s="12" t="n">
        <f aca="false">MAX(B14,D14)</f>
        <v>45000</v>
      </c>
    </row>
    <row r="15" customFormat="false" ht="15" hidden="false" customHeight="false" outlineLevel="0" collapsed="false">
      <c r="A15" s="3" t="s">
        <v>29</v>
      </c>
      <c r="B15" s="11" t="n">
        <v>18</v>
      </c>
      <c r="C15" s="11" t="n">
        <v>15</v>
      </c>
      <c r="D15" s="11" t="n">
        <v>12</v>
      </c>
      <c r="E15" s="12" t="n">
        <f aca="false">MIN(B15,D15)</f>
        <v>12</v>
      </c>
      <c r="F15" s="12" t="n">
        <f aca="false">C15</f>
        <v>15</v>
      </c>
      <c r="G15" s="12" t="n">
        <f aca="false">MAX(B15,D15)</f>
        <v>18</v>
      </c>
    </row>
    <row r="16" customFormat="false" ht="15" hidden="false" customHeight="false" outlineLevel="0" collapsed="false">
      <c r="A16" s="3" t="s">
        <v>30</v>
      </c>
      <c r="B16" s="11" t="n">
        <v>18</v>
      </c>
      <c r="C16" s="11" t="n">
        <v>15</v>
      </c>
      <c r="D16" s="11" t="n">
        <v>12</v>
      </c>
      <c r="E16" s="12" t="n">
        <f aca="false">MIN(B16,D16)</f>
        <v>12</v>
      </c>
      <c r="F16" s="12" t="n">
        <f aca="false">C16</f>
        <v>15</v>
      </c>
      <c r="G16" s="12" t="n">
        <f aca="false">MAX(B16,D16)</f>
        <v>18</v>
      </c>
    </row>
    <row r="17" customFormat="false" ht="15" hidden="false" customHeight="false" outlineLevel="0" collapsed="false">
      <c r="A17" s="3" t="s">
        <v>31</v>
      </c>
      <c r="B17" s="11" t="n">
        <v>22</v>
      </c>
      <c r="C17" s="11" t="n">
        <v>18</v>
      </c>
      <c r="D17" s="11" t="n">
        <v>15</v>
      </c>
      <c r="E17" s="12" t="n">
        <f aca="false">MIN(B17,D17)</f>
        <v>15</v>
      </c>
      <c r="F17" s="12" t="n">
        <f aca="false">C17</f>
        <v>18</v>
      </c>
      <c r="G17" s="12" t="n">
        <f aca="false">MAX(B17,D17)</f>
        <v>22</v>
      </c>
    </row>
    <row r="18" customFormat="false" ht="15" hidden="false" customHeight="false" outlineLevel="0" collapsed="false">
      <c r="A18" s="3" t="s">
        <v>32</v>
      </c>
      <c r="B18" s="11" t="n">
        <v>25</v>
      </c>
      <c r="C18" s="11" t="n">
        <v>20</v>
      </c>
      <c r="D18" s="11" t="n">
        <v>18</v>
      </c>
      <c r="E18" s="12" t="n">
        <f aca="false">MIN(B18,D18)</f>
        <v>18</v>
      </c>
      <c r="F18" s="12" t="n">
        <f aca="false">C18</f>
        <v>20</v>
      </c>
      <c r="G18" s="12" t="n">
        <f aca="false">MAX(B18,D18)</f>
        <v>25</v>
      </c>
    </row>
    <row r="19" customFormat="false" ht="15" hidden="false" customHeight="false" outlineLevel="0" collapsed="false">
      <c r="A19" s="3" t="s">
        <v>33</v>
      </c>
      <c r="B19" s="11" t="n">
        <v>28</v>
      </c>
      <c r="C19" s="11" t="n">
        <v>22</v>
      </c>
      <c r="D19" s="11" t="n">
        <v>19</v>
      </c>
      <c r="E19" s="12" t="n">
        <f aca="false">MIN(B19,D19)</f>
        <v>19</v>
      </c>
      <c r="F19" s="12" t="n">
        <f aca="false">C19</f>
        <v>22</v>
      </c>
      <c r="G19" s="12" t="n">
        <f aca="false">MAX(B19,D19)</f>
        <v>28</v>
      </c>
    </row>
    <row r="21" customFormat="false" ht="15" hidden="false" customHeight="false" outlineLevel="0" collapsed="false">
      <c r="A21" s="13" t="s">
        <v>34</v>
      </c>
    </row>
    <row r="23" customFormat="false" ht="15" hidden="false" customHeight="false" outlineLevel="0" collapsed="false">
      <c r="A23" s="2" t="s">
        <v>35</v>
      </c>
    </row>
    <row r="24" customFormat="false" ht="26.85" hidden="false" customHeight="false" outlineLevel="0" collapsed="false">
      <c r="A24" s="14" t="s">
        <v>36</v>
      </c>
      <c r="B24" s="14" t="s">
        <v>37</v>
      </c>
      <c r="C24" s="14" t="s">
        <v>38</v>
      </c>
      <c r="D24" s="14" t="s">
        <v>39</v>
      </c>
      <c r="E24" s="14" t="s">
        <v>40</v>
      </c>
      <c r="F24" s="14" t="s">
        <v>41</v>
      </c>
      <c r="G24" s="14" t="s">
        <v>42</v>
      </c>
      <c r="H24" s="14" t="s">
        <v>43</v>
      </c>
      <c r="I24" s="14" t="s">
        <v>44</v>
      </c>
      <c r="J24" s="14" t="s">
        <v>45</v>
      </c>
      <c r="K24" s="14" t="s">
        <v>46</v>
      </c>
      <c r="L24" s="14" t="s">
        <v>47</v>
      </c>
      <c r="M24" s="14" t="s">
        <v>48</v>
      </c>
      <c r="N24" s="14" t="s">
        <v>49</v>
      </c>
      <c r="O24" s="14" t="s">
        <v>50</v>
      </c>
      <c r="P24" s="14" t="s">
        <v>51</v>
      </c>
      <c r="Q24" s="14" t="s">
        <v>52</v>
      </c>
      <c r="R24" s="14" t="s">
        <v>53</v>
      </c>
      <c r="S24" s="14" t="s">
        <v>54</v>
      </c>
      <c r="T24" s="14" t="s">
        <v>55</v>
      </c>
      <c r="U24" s="14" t="s">
        <v>56</v>
      </c>
      <c r="V24" s="14" t="s">
        <v>57</v>
      </c>
      <c r="W24" s="14" t="s">
        <v>58</v>
      </c>
      <c r="X24" s="14" t="s">
        <v>59</v>
      </c>
      <c r="Y24" s="14" t="s">
        <v>60</v>
      </c>
      <c r="Z24" s="14" t="s">
        <v>61</v>
      </c>
      <c r="AA24" s="14" t="s">
        <v>62</v>
      </c>
      <c r="AB24" s="14" t="s">
        <v>63</v>
      </c>
      <c r="AC24" s="14" t="s">
        <v>64</v>
      </c>
      <c r="AD24" s="14" t="s">
        <v>65</v>
      </c>
      <c r="AE24" s="14" t="s">
        <v>66</v>
      </c>
      <c r="AF24" s="14" t="s">
        <v>67</v>
      </c>
      <c r="AG24" s="14" t="s">
        <v>68</v>
      </c>
      <c r="AH24" s="14" t="s">
        <v>69</v>
      </c>
      <c r="AI24" s="14" t="s">
        <v>70</v>
      </c>
      <c r="AJ24" s="14" t="s">
        <v>71</v>
      </c>
      <c r="AK24" s="14" t="s">
        <v>72</v>
      </c>
      <c r="AL24" s="14" t="s">
        <v>73</v>
      </c>
      <c r="AM24" s="14" t="s">
        <v>74</v>
      </c>
      <c r="AN24" s="14" t="s">
        <v>75</v>
      </c>
      <c r="AO24" s="14" t="s">
        <v>76</v>
      </c>
      <c r="AP24" s="14" t="s">
        <v>77</v>
      </c>
      <c r="AQ24" s="14" t="s">
        <v>78</v>
      </c>
      <c r="AR24" s="14" t="s">
        <v>79</v>
      </c>
      <c r="AS24" s="14" t="s">
        <v>80</v>
      </c>
      <c r="AT24" s="14" t="s">
        <v>81</v>
      </c>
      <c r="AU24" s="14" t="s">
        <v>82</v>
      </c>
      <c r="AV24" s="14" t="s">
        <v>83</v>
      </c>
      <c r="AW24" s="14" t="s">
        <v>84</v>
      </c>
      <c r="AX24" s="14" t="s">
        <v>85</v>
      </c>
      <c r="AY24" s="14" t="s">
        <v>86</v>
      </c>
      <c r="AZ24" s="14" t="s">
        <v>87</v>
      </c>
      <c r="BA24" s="14" t="s">
        <v>88</v>
      </c>
      <c r="BB24" s="14" t="s">
        <v>89</v>
      </c>
      <c r="BC24" s="14" t="s">
        <v>90</v>
      </c>
    </row>
    <row r="25" customFormat="false" ht="15" hidden="false" customHeight="false" outlineLevel="0" collapsed="false">
      <c r="A25" s="3" t="n">
        <v>1</v>
      </c>
      <c r="B25" s="15" t="n">
        <f aca="true">RAND()</f>
        <v>0.115823794991587</v>
      </c>
      <c r="C25" s="12" t="n">
        <f aca="false">IF(B25&lt;=($F$12-$E$12)/($G$12-$E$12),$E$12+SQRT(B25*($G$12-$E$12)*($F$12-$E$12)),$G$12-SQRT((1-B25)*($G$12-$E$12)*($G$12-$F$12)))</f>
        <v>-88210.6593063944</v>
      </c>
      <c r="D25" s="15" t="n">
        <f aca="true">RAND()</f>
        <v>0.762169887697882</v>
      </c>
      <c r="E25" s="12" t="n">
        <f aca="false">IF(D25&lt;=($F$13-$E$13)/($G$13-$E$13),$E$13+SQRT(D25*($G$13-$E$13)*($F$13-$E$13)),$G$13-SQRT((1-D25)*($G$13-$E$13)*($G$13-$F$13)))</f>
        <v>-29223.417860295</v>
      </c>
      <c r="F25" s="15" t="n">
        <f aca="true">RAND()</f>
        <v>0.377511854888436</v>
      </c>
      <c r="G25" s="12" t="n">
        <f aca="false">IF(F25&lt;=($F$14-$E$14)/($G$14-$E$14),$E$14+SQRT(F25*($G$14-$E$14)*($F$14-$E$14)),$G$14-SQRT((1-F25)*($G$14-$E$14)*($G$14-$F$14)))</f>
        <v>37525.0766264049</v>
      </c>
      <c r="H25" s="15" t="n">
        <f aca="true">RAND()</f>
        <v>0.767979823174859</v>
      </c>
      <c r="I25" s="12" t="n">
        <f aca="false">IF(H25&lt;=($F$14-$E$14)/($G$14-$E$14),$E$14+SQRT(H25*($G$14-$E$14)*($F$14-$E$14)),$G$14-SQRT((1-H25)*($G$14-$E$14)*($G$14-$F$14)))</f>
        <v>40828.4878926359</v>
      </c>
      <c r="J25" s="15" t="n">
        <f aca="true">RAND()</f>
        <v>0.534790260767939</v>
      </c>
      <c r="K25" s="12" t="n">
        <f aca="false">IF(J25&lt;=($F$14-$E$14)/($G$14-$E$14),$E$14+SQRT(J25*($G$14-$E$14)*($F$14-$E$14)),$G$14-SQRT((1-J25)*($G$14-$E$14)*($G$14-$F$14)))</f>
        <v>38956.480286094</v>
      </c>
      <c r="L25" s="15" t="n">
        <f aca="true">RAND()</f>
        <v>0.388157198221171</v>
      </c>
      <c r="M25" s="12" t="n">
        <f aca="false">IF(L25&lt;=($F$14-$E$14)/($G$14-$E$14),$E$14+SQRT(L25*($G$14-$E$14)*($F$14-$E$14)),$G$14-SQRT((1-L25)*($G$14-$E$14)*($G$14-$F$14)))</f>
        <v>37630.4377156999</v>
      </c>
      <c r="N25" s="15" t="n">
        <f aca="true">RAND()</f>
        <v>0.856541167951335</v>
      </c>
      <c r="O25" s="12" t="n">
        <f aca="false">IF(N25&lt;=($F$14-$E$14)/($G$14-$E$14),$E$14+SQRT(N25*($G$14-$E$14)*($F$14-$E$14)),$G$14-SQRT((1-N25)*($G$14-$E$14)*($G$14-$F$14)))</f>
        <v>41719.8456738059</v>
      </c>
      <c r="P25" s="15" t="n">
        <f aca="true">RAND()</f>
        <v>0.561197603606193</v>
      </c>
      <c r="Q25" s="16" t="n">
        <f aca="false">IF(P25&lt;=($F$15-$E$15)/($G$15-$E$15),$E$15+SQRT(P25*($G$15-$E$15)*($F$15-$E$15)),$G$15-SQRT((1-P25)*($G$15-$E$15)*($G$15-$F$15)))</f>
        <v>15.1895831029741</v>
      </c>
      <c r="R25" s="15" t="n">
        <f aca="true">RAND()</f>
        <v>0.190828940389942</v>
      </c>
      <c r="S25" s="16" t="n">
        <f aca="false">IF(R25&lt;=($F$16-$E$16)/($G$16-$E$16),$E$16+SQRT(R25*($G$16-$E$16)*($F$16-$E$16)),$G$16-SQRT((1-R25)*($G$16-$E$16)*($G$16-$F$16)))</f>
        <v>13.8533539670066</v>
      </c>
      <c r="T25" s="15" t="n">
        <f aca="true">RAND()</f>
        <v>0.643002812599243</v>
      </c>
      <c r="U25" s="16" t="n">
        <f aca="false">IF(T25&lt;=($F$17-$E$17)/($G$17-$E$17),$E$17+SQRT(T25*($G$17-$E$17)*($F$17-$E$17)),$G$17-SQRT((1-T25)*($G$17-$E$17)*($G$17-$F$17)))</f>
        <v>18.8383673130452</v>
      </c>
      <c r="V25" s="15" t="n">
        <f aca="true">RAND()</f>
        <v>0.81369971552821</v>
      </c>
      <c r="W25" s="16" t="n">
        <f aca="false">IF(V25&lt;=($F$18-$E$18)/($G$18-$E$18),$E$18+SQRT(V25*($G$18-$E$18)*($F$18-$E$18)),$G$18-SQRT((1-V25)*($G$18-$E$18)*($G$18-$F$18)))</f>
        <v>22.4464710777999</v>
      </c>
      <c r="X25" s="15" t="n">
        <f aca="true">RAND()</f>
        <v>0.982568250177562</v>
      </c>
      <c r="Y25" s="16" t="n">
        <f aca="false">IF(X25&lt;=($F$19-$E$19)/($G$19-$E$19),$E$19+SQRT(X25*($G$19-$E$19)*($F$19-$E$19)),$G$19-SQRT((1-X25)*($G$19-$E$19)*($G$19-$F$19)))</f>
        <v>27.0297863686736</v>
      </c>
      <c r="Z25" s="12" t="n">
        <f aca="false">G25*(1+Q25/100)</f>
        <v>43224.9793250274</v>
      </c>
      <c r="AA25" s="12" t="n">
        <f aca="false">I25*(1+Q25/100)*(1+S25/100)</f>
        <v>53545.4202182149</v>
      </c>
      <c r="AB25" s="12" t="n">
        <f aca="false">K25*(1+Q25/100)*(1+S25/100)*(1+U25/100)</f>
        <v>60714.919478704</v>
      </c>
      <c r="AC25" s="12" t="n">
        <f aca="false">M25*(1+Q25/100)*(1+S25/100)*(1+U25/100)*(1+W25/100)</f>
        <v>71812.6999301038</v>
      </c>
      <c r="AD25" s="12" t="n">
        <f aca="false">O25*(1+Q25/100)*(1+S25/100)*(1+U25/100)*(1+W25/100)*(1+Y25/100)</f>
        <v>101137.041669669</v>
      </c>
      <c r="AE25" s="12" t="n">
        <f aca="false">ABS(C25)/$B$7</f>
        <v>17642.1318612789</v>
      </c>
      <c r="AF25" s="12" t="n">
        <f aca="false">Z25-AE25</f>
        <v>25582.8474637485</v>
      </c>
      <c r="AG25" s="12" t="n">
        <f aca="false">AA25-AE25</f>
        <v>35903.288356936</v>
      </c>
      <c r="AH25" s="12" t="n">
        <f aca="false">AB25-AE25</f>
        <v>43072.7876174251</v>
      </c>
      <c r="AI25" s="12" t="n">
        <f aca="false">AC25-AE25</f>
        <v>54170.568068825</v>
      </c>
      <c r="AJ25" s="12" t="n">
        <f aca="false">AD25-AE25</f>
        <v>83494.9098083902</v>
      </c>
      <c r="AK25" s="12" t="n">
        <f aca="false">AF25*$B$4</f>
        <v>12791.4237318743</v>
      </c>
      <c r="AL25" s="12" t="n">
        <f aca="false">AG25*$B$4</f>
        <v>17951.644178468</v>
      </c>
      <c r="AM25" s="12" t="n">
        <f aca="false">AH25*$B$4</f>
        <v>21536.3938087125</v>
      </c>
      <c r="AN25" s="12" t="n">
        <f aca="false">AI25*$B$4</f>
        <v>27085.2840344125</v>
      </c>
      <c r="AO25" s="12" t="n">
        <f aca="false">AJ25*$B$4</f>
        <v>41747.4549041951</v>
      </c>
      <c r="AP25" s="12" t="n">
        <f aca="false">AF25-AK25</f>
        <v>12791.4237318743</v>
      </c>
      <c r="AQ25" s="12" t="n">
        <f aca="false">AG25-AL25</f>
        <v>17951.644178468</v>
      </c>
      <c r="AR25" s="12" t="n">
        <f aca="false">AH25-AM25</f>
        <v>21536.3938087125</v>
      </c>
      <c r="AS25" s="12" t="n">
        <f aca="false">AI25-AN25</f>
        <v>27085.2840344125</v>
      </c>
      <c r="AT25" s="12" t="n">
        <f aca="false">AJ25-AO25</f>
        <v>41747.4549041951</v>
      </c>
      <c r="AU25" s="12" t="n">
        <f aca="false">0.2*ABS(C25)+1*ABS(E25)</f>
        <v>46865.5497215739</v>
      </c>
      <c r="AV25" s="12" t="n">
        <f aca="false">C25+E25</f>
        <v>-117434.077166689</v>
      </c>
      <c r="AW25" s="12" t="n">
        <f aca="false">AP25+AE25</f>
        <v>30433.5555931531</v>
      </c>
      <c r="AX25" s="12" t="n">
        <f aca="false">AQ25+AE25</f>
        <v>35593.7760397469</v>
      </c>
      <c r="AY25" s="12" t="n">
        <f aca="false">AR25+AE25</f>
        <v>39178.5256699914</v>
      </c>
      <c r="AZ25" s="12" t="n">
        <f aca="false">AS25+AE25</f>
        <v>44727.4158956914</v>
      </c>
      <c r="BA25" s="12" t="n">
        <f aca="false">AT25+AE25+AU25</f>
        <v>106255.136487048</v>
      </c>
      <c r="BB25" s="4" t="n">
        <f aca="false">IFERROR(IRR(AV25:BA25,0.15),"n/a")</f>
        <v>0.25975366774747</v>
      </c>
      <c r="BC25" s="12" t="n">
        <f aca="false">NPV($B$5,AW25:BA25)+AV25</f>
        <v>40105.0362297242</v>
      </c>
    </row>
    <row r="26" customFormat="false" ht="15" hidden="false" customHeight="false" outlineLevel="0" collapsed="false">
      <c r="A26" s="3" t="n">
        <v>2</v>
      </c>
      <c r="B26" s="15" t="n">
        <f aca="true">RAND()</f>
        <v>0.686641036064762</v>
      </c>
      <c r="C26" s="12" t="n">
        <f aca="false">IF(B26&lt;=($F$12-$E$12)/($G$12-$E$12),$E$12+SQRT(B26*($G$12-$E$12)*($F$12-$E$12)),$G$12-SQRT((1-B26)*($G$12-$E$12)*($G$12-$F$12)))</f>
        <v>-71295.1355467803</v>
      </c>
      <c r="D26" s="15" t="n">
        <f aca="true">RAND()</f>
        <v>0.48114097209855</v>
      </c>
      <c r="E26" s="12" t="n">
        <f aca="false">IF(D26&lt;=($F$13-$E$13)/($G$13-$E$13),$E$13+SQRT(D26*($G$13-$E$13)*($F$13-$E$13)),$G$13-SQRT((1-D26)*($G$13-$E$13)*($G$13-$F$13)))</f>
        <v>-31504.6397477928</v>
      </c>
      <c r="F26" s="15" t="n">
        <f aca="true">RAND()</f>
        <v>0.881462148721479</v>
      </c>
      <c r="G26" s="12" t="n">
        <f aca="false">IF(F26&lt;=($F$14-$E$14)/($G$14-$E$14),$E$14+SQRT(F26*($G$14-$E$14)*($F$14-$E$14)),$G$14-SQRT((1-F26)*($G$14-$E$14)*($G$14-$F$14)))</f>
        <v>42018.3328747345</v>
      </c>
      <c r="H26" s="15" t="n">
        <f aca="true">RAND()</f>
        <v>0.510228639355712</v>
      </c>
      <c r="I26" s="12" t="n">
        <f aca="false">IF(H26&lt;=($F$14-$E$14)/($G$14-$E$14),$E$14+SQRT(H26*($G$14-$E$14)*($F$14-$E$14)),$G$14-SQRT((1-H26)*($G$14-$E$14)*($G$14-$F$14)))</f>
        <v>38748.3881888813</v>
      </c>
      <c r="J26" s="15" t="n">
        <f aca="true">RAND()</f>
        <v>0.0101510595990211</v>
      </c>
      <c r="K26" s="12" t="n">
        <f aca="false">IF(J26&lt;=($F$14-$E$14)/($G$14-$E$14),$E$14+SQRT(J26*($G$14-$E$14)*($F$14-$E$14)),$G$14-SQRT((1-J26)*($G$14-$E$14)*($G$14-$F$14)))</f>
        <v>31233.9606719232</v>
      </c>
      <c r="L26" s="15" t="n">
        <f aca="true">RAND()</f>
        <v>0.929886999545182</v>
      </c>
      <c r="M26" s="12" t="n">
        <f aca="false">IF(L26&lt;=($F$14-$E$14)/($G$14-$E$14),$E$14+SQRT(L26*($G$14-$E$14)*($F$14-$E$14)),$G$14-SQRT((1-L26)*($G$14-$E$14)*($G$14-$F$14)))</f>
        <v>42706.8634942264</v>
      </c>
      <c r="N26" s="15" t="n">
        <f aca="true">RAND()</f>
        <v>0.484475141954495</v>
      </c>
      <c r="O26" s="12" t="n">
        <f aca="false">IF(N26&lt;=($F$14-$E$14)/($G$14-$E$14),$E$14+SQRT(N26*($G$14-$E$14)*($F$14-$E$14)),$G$14-SQRT((1-N26)*($G$14-$E$14)*($G$14-$F$14)))</f>
        <v>38524.7446468017</v>
      </c>
      <c r="P26" s="15" t="n">
        <f aca="true">RAND()</f>
        <v>0.0564356278046841</v>
      </c>
      <c r="Q26" s="16" t="n">
        <f aca="false">IF(P26&lt;=($F$15-$E$15)/($G$15-$E$15),$E$15+SQRT(P26*($G$15-$E$15)*($F$15-$E$15)),$G$15-SQRT((1-P26)*($G$15-$E$15)*($G$15-$F$15)))</f>
        <v>13.0078895279168</v>
      </c>
      <c r="R26" s="15" t="n">
        <f aca="true">RAND()</f>
        <v>0.109926489198781</v>
      </c>
      <c r="S26" s="16" t="n">
        <f aca="false">IF(R26&lt;=($F$16-$E$16)/($G$16-$E$16),$E$16+SQRT(R26*($G$16-$E$16)*($F$16-$E$16)),$G$16-SQRT((1-R26)*($G$16-$E$16)*($G$16-$F$16)))</f>
        <v>13.406654472704</v>
      </c>
      <c r="T26" s="15" t="n">
        <f aca="true">RAND()</f>
        <v>0.00144119111039891</v>
      </c>
      <c r="U26" s="16" t="n">
        <f aca="false">IF(T26&lt;=($F$17-$E$17)/($G$17-$E$17),$E$17+SQRT(T26*($G$17-$E$17)*($F$17-$E$17)),$G$17-SQRT((1-T26)*($G$17-$E$17)*($G$17-$F$17)))</f>
        <v>15.1739684262111</v>
      </c>
      <c r="V26" s="15" t="n">
        <f aca="true">RAND()</f>
        <v>0.924630543503363</v>
      </c>
      <c r="W26" s="16" t="n">
        <f aca="false">IF(V26&lt;=($F$18-$E$18)/($G$18-$E$18),$E$18+SQRT(V26*($G$18-$E$18)*($F$18-$E$18)),$G$18-SQRT((1-V26)*($G$18-$E$18)*($G$18-$F$18)))</f>
        <v>23.3758291415672</v>
      </c>
      <c r="X26" s="15" t="n">
        <f aca="true">RAND()</f>
        <v>0.721809884478097</v>
      </c>
      <c r="Y26" s="16" t="n">
        <f aca="false">IF(X26&lt;=($F$19-$E$19)/($G$19-$E$19),$E$19+SQRT(X26*($G$19-$E$19)*($F$19-$E$19)),$G$19-SQRT((1-X26)*($G$19-$E$19)*($G$19-$F$19)))</f>
        <v>24.124143160773</v>
      </c>
      <c r="Z26" s="12" t="n">
        <f aca="false">G26*(1+Q26/100)</f>
        <v>47484.0311965523</v>
      </c>
      <c r="AA26" s="12" t="n">
        <f aca="false">I26*(1+Q26/100)*(1+S26/100)</f>
        <v>49659.3402140625</v>
      </c>
      <c r="AB26" s="12" t="n">
        <f aca="false">K26*(1+Q26/100)*(1+S26/100)*(1+U26/100)</f>
        <v>46102.947647778</v>
      </c>
      <c r="AC26" s="12" t="n">
        <f aca="false">M26*(1+Q26/100)*(1+S26/100)*(1+U26/100)*(1+W26/100)</f>
        <v>77773.0973886635</v>
      </c>
      <c r="AD26" s="12" t="n">
        <f aca="false">O26*(1+Q26/100)*(1+S26/100)*(1+U26/100)*(1+W26/100)*(1+Y26/100)</f>
        <v>87081.8708875126</v>
      </c>
      <c r="AE26" s="12" t="n">
        <f aca="false">ABS(C26)/$B$7</f>
        <v>14259.0271093561</v>
      </c>
      <c r="AF26" s="12" t="n">
        <f aca="false">Z26-AE26</f>
        <v>33225.0040871962</v>
      </c>
      <c r="AG26" s="12" t="n">
        <f aca="false">AA26-AE26</f>
        <v>35400.3131047065</v>
      </c>
      <c r="AH26" s="12" t="n">
        <f aca="false">AB26-AE26</f>
        <v>31843.920538422</v>
      </c>
      <c r="AI26" s="12" t="n">
        <f aca="false">AC26-AE26</f>
        <v>63514.0702793074</v>
      </c>
      <c r="AJ26" s="12" t="n">
        <f aca="false">AD26-AE26</f>
        <v>72822.8437781565</v>
      </c>
      <c r="AK26" s="12" t="n">
        <f aca="false">AF26*$B$4</f>
        <v>16612.5020435981</v>
      </c>
      <c r="AL26" s="12" t="n">
        <f aca="false">AG26*$B$4</f>
        <v>17700.1565523532</v>
      </c>
      <c r="AM26" s="12" t="n">
        <f aca="false">AH26*$B$4</f>
        <v>15921.960269211</v>
      </c>
      <c r="AN26" s="12" t="n">
        <f aca="false">AI26*$B$4</f>
        <v>31757.0351396537</v>
      </c>
      <c r="AO26" s="12" t="n">
        <f aca="false">AJ26*$B$4</f>
        <v>36411.4218890783</v>
      </c>
      <c r="AP26" s="12" t="n">
        <f aca="false">AF26-AK26</f>
        <v>16612.5020435981</v>
      </c>
      <c r="AQ26" s="12" t="n">
        <f aca="false">AG26-AL26</f>
        <v>17700.1565523532</v>
      </c>
      <c r="AR26" s="12" t="n">
        <f aca="false">AH26-AM26</f>
        <v>15921.960269211</v>
      </c>
      <c r="AS26" s="12" t="n">
        <f aca="false">AI26-AN26</f>
        <v>31757.0351396537</v>
      </c>
      <c r="AT26" s="12" t="n">
        <f aca="false">AJ26-AO26</f>
        <v>36411.4218890783</v>
      </c>
      <c r="AU26" s="12" t="n">
        <f aca="false">0.2*ABS(C26)+1*ABS(E26)</f>
        <v>45763.6668571488</v>
      </c>
      <c r="AV26" s="12" t="n">
        <f aca="false">C26+E26</f>
        <v>-102799.775294573</v>
      </c>
      <c r="AW26" s="12" t="n">
        <f aca="false">AP26+AE26</f>
        <v>30871.5291529542</v>
      </c>
      <c r="AX26" s="12" t="n">
        <f aca="false">AQ26+AE26</f>
        <v>31959.1836617093</v>
      </c>
      <c r="AY26" s="12" t="n">
        <f aca="false">AR26+AE26</f>
        <v>30180.9873785671</v>
      </c>
      <c r="AZ26" s="12" t="n">
        <f aca="false">AS26+AE26</f>
        <v>46016.0622490098</v>
      </c>
      <c r="BA26" s="12" t="n">
        <f aca="false">AT26+AE26+AU26</f>
        <v>96434.1158555832</v>
      </c>
      <c r="BB26" s="4" t="n">
        <f aca="false">IFERROR(IRR(AV26:BA26,0.15),"n/a")</f>
        <v>0.281730284311077</v>
      </c>
      <c r="BC26" s="12" t="n">
        <f aca="false">NPV($B$5,AW26:BA26)+AV26</f>
        <v>42309.887947265</v>
      </c>
    </row>
    <row r="27" customFormat="false" ht="15" hidden="false" customHeight="false" outlineLevel="0" collapsed="false">
      <c r="A27" s="3" t="n">
        <v>3</v>
      </c>
      <c r="B27" s="15" t="n">
        <f aca="true">RAND()</f>
        <v>0.353046106327866</v>
      </c>
      <c r="C27" s="12" t="n">
        <f aca="false">IF(B27&lt;=($F$12-$E$12)/($G$12-$E$12),$E$12+SQRT(B27*($G$12-$E$12)*($F$12-$E$12)),$G$12-SQRT((1-B27)*($G$12-$E$12)*($G$12-$F$12)))</f>
        <v>-79417.1108054909</v>
      </c>
      <c r="D27" s="15" t="n">
        <f aca="true">RAND()</f>
        <v>0.560834851576254</v>
      </c>
      <c r="E27" s="12" t="n">
        <f aca="false">IF(D27&lt;=($F$13-$E$13)/($G$13-$E$13),$E$13+SQRT(D27*($G$13-$E$13)*($F$13-$E$13)),$G$13-SQRT((1-D27)*($G$13-$E$13)*($G$13-$F$13)))</f>
        <v>-30828.0194212788</v>
      </c>
      <c r="F27" s="15" t="n">
        <f aca="true">RAND()</f>
        <v>0.147895828198359</v>
      </c>
      <c r="G27" s="12" t="n">
        <f aca="false">IF(F27&lt;=($F$14-$E$14)/($G$14-$E$14),$E$14+SQRT(F27*($G$14-$E$14)*($F$14-$E$14)),$G$14-SQRT((1-F27)*($G$14-$E$14)*($G$14-$F$14)))</f>
        <v>34710.0291113489</v>
      </c>
      <c r="H27" s="15" t="n">
        <f aca="true">RAND()</f>
        <v>0.790529943243397</v>
      </c>
      <c r="I27" s="12" t="n">
        <f aca="false">IF(H27&lt;=($F$14-$E$14)/($G$14-$E$14),$E$14+SQRT(H27*($G$14-$E$14)*($F$14-$E$14)),$G$14-SQRT((1-H27)*($G$14-$E$14)*($G$14-$F$14)))</f>
        <v>41036.3836895147</v>
      </c>
      <c r="J27" s="15" t="n">
        <f aca="true">RAND()</f>
        <v>0.862715292077455</v>
      </c>
      <c r="K27" s="12" t="n">
        <f aca="false">IF(J27&lt;=($F$14-$E$14)/($G$14-$E$14),$E$14+SQRT(J27*($G$14-$E$14)*($F$14-$E$14)),$G$14-SQRT((1-J27)*($G$14-$E$14)*($G$14-$F$14)))</f>
        <v>41791.2069100375</v>
      </c>
      <c r="L27" s="15" t="n">
        <f aca="true">RAND()</f>
        <v>0.270307770577926</v>
      </c>
      <c r="M27" s="12" t="n">
        <f aca="false">IF(L27&lt;=($F$14-$E$14)/($G$14-$E$14),$E$14+SQRT(L27*($G$14-$E$14)*($F$14-$E$14)),$G$14-SQRT((1-L27)*($G$14-$E$14)*($G$14-$F$14)))</f>
        <v>36367.5871086848</v>
      </c>
      <c r="N27" s="15" t="n">
        <f aca="true">RAND()</f>
        <v>0.501972172232602</v>
      </c>
      <c r="O27" s="12" t="n">
        <f aca="false">IF(N27&lt;=($F$14-$E$14)/($G$14-$E$14),$E$14+SQRT(N27*($G$14-$E$14)*($F$14-$E$14)),$G$14-SQRT((1-N27)*($G$14-$E$14)*($G$14-$F$14)))</f>
        <v>38677.3167416483</v>
      </c>
      <c r="P27" s="15" t="n">
        <f aca="true">RAND()</f>
        <v>0.16010858604308</v>
      </c>
      <c r="Q27" s="16" t="n">
        <f aca="false">IF(P27&lt;=($F$15-$E$15)/($G$15-$E$15),$E$15+SQRT(P27*($G$15-$E$15)*($F$15-$E$15)),$G$15-SQRT((1-P27)*($G$15-$E$15)*($G$15-$F$15)))</f>
        <v>13.6976320416319</v>
      </c>
      <c r="R27" s="15" t="n">
        <f aca="true">RAND()</f>
        <v>0.943092109960998</v>
      </c>
      <c r="S27" s="16" t="n">
        <f aca="false">IF(R27&lt;=($F$16-$E$16)/($G$16-$E$16),$E$16+SQRT(R27*($G$16-$E$16)*($F$16-$E$16)),$G$16-SQRT((1-R27)*($G$16-$E$16)*($G$16-$F$16)))</f>
        <v>16.9879021684135</v>
      </c>
      <c r="T27" s="15" t="n">
        <f aca="true">RAND()</f>
        <v>0.221146058058326</v>
      </c>
      <c r="U27" s="16" t="n">
        <f aca="false">IF(T27&lt;=($F$17-$E$17)/($G$17-$E$17),$E$17+SQRT(T27*($G$17-$E$17)*($F$17-$E$17)),$G$17-SQRT((1-T27)*($G$17-$E$17)*($G$17-$F$17)))</f>
        <v>17.1550097956216</v>
      </c>
      <c r="V27" s="15" t="n">
        <f aca="true">RAND()</f>
        <v>0.524464743996926</v>
      </c>
      <c r="W27" s="16" t="n">
        <f aca="false">IF(V27&lt;=($F$18-$E$18)/($G$18-$E$18),$E$18+SQRT(V27*($G$18-$E$18)*($F$18-$E$18)),$G$18-SQRT((1-V27)*($G$18-$E$18)*($G$18-$F$18)))</f>
        <v>20.9203267336578</v>
      </c>
      <c r="X27" s="15" t="n">
        <f aca="true">RAND()</f>
        <v>0.963227526668721</v>
      </c>
      <c r="Y27" s="16" t="n">
        <f aca="false">IF(X27&lt;=($F$19-$E$19)/($G$19-$E$19),$E$19+SQRT(X27*($G$19-$E$19)*($F$19-$E$19)),$G$19-SQRT((1-X27)*($G$19-$E$19)*($G$19-$F$19)))</f>
        <v>26.5908465094643</v>
      </c>
      <c r="Z27" s="12" t="n">
        <f aca="false">G27*(1+Q27/100)</f>
        <v>39464.4811805648</v>
      </c>
      <c r="AA27" s="12" t="n">
        <f aca="false">I27*(1+Q27/100)*(1+S27/100)</f>
        <v>54583.5094074262</v>
      </c>
      <c r="AB27" s="12" t="n">
        <f aca="false">K27*(1+Q27/100)*(1+S27/100)*(1+U27/100)</f>
        <v>65123.5626869406</v>
      </c>
      <c r="AC27" s="12" t="n">
        <f aca="false">M27*(1+Q27/100)*(1+S27/100)*(1+U27/100)*(1+W27/100)</f>
        <v>68527.8391220791</v>
      </c>
      <c r="AD27" s="12" t="n">
        <f aca="false">O27*(1+Q27/100)*(1+S27/100)*(1+U27/100)*(1+W27/100)*(1+Y27/100)</f>
        <v>92259.5200059432</v>
      </c>
      <c r="AE27" s="12" t="n">
        <f aca="false">ABS(C27)/$B$7</f>
        <v>15883.4221610982</v>
      </c>
      <c r="AF27" s="12" t="n">
        <f aca="false">Z27-AE27</f>
        <v>23581.0590194666</v>
      </c>
      <c r="AG27" s="12" t="n">
        <f aca="false">AA27-AE27</f>
        <v>38700.087246328</v>
      </c>
      <c r="AH27" s="12" t="n">
        <f aca="false">AB27-AE27</f>
        <v>49240.1405258424</v>
      </c>
      <c r="AI27" s="12" t="n">
        <f aca="false">AC27-AE27</f>
        <v>52644.416960981</v>
      </c>
      <c r="AJ27" s="12" t="n">
        <f aca="false">AD27-AE27</f>
        <v>76376.097844845</v>
      </c>
      <c r="AK27" s="12" t="n">
        <f aca="false">AF27*$B$4</f>
        <v>11790.5295097333</v>
      </c>
      <c r="AL27" s="12" t="n">
        <f aca="false">AG27*$B$4</f>
        <v>19350.043623164</v>
      </c>
      <c r="AM27" s="12" t="n">
        <f aca="false">AH27*$B$4</f>
        <v>24620.0702629212</v>
      </c>
      <c r="AN27" s="12" t="n">
        <f aca="false">AI27*$B$4</f>
        <v>26322.2084804905</v>
      </c>
      <c r="AO27" s="12" t="n">
        <f aca="false">AJ27*$B$4</f>
        <v>38188.0489224225</v>
      </c>
      <c r="AP27" s="12" t="n">
        <f aca="false">AF27-AK27</f>
        <v>11790.5295097333</v>
      </c>
      <c r="AQ27" s="12" t="n">
        <f aca="false">AG27-AL27</f>
        <v>19350.043623164</v>
      </c>
      <c r="AR27" s="12" t="n">
        <f aca="false">AH27-AM27</f>
        <v>24620.0702629212</v>
      </c>
      <c r="AS27" s="12" t="n">
        <f aca="false">AI27-AN27</f>
        <v>26322.2084804905</v>
      </c>
      <c r="AT27" s="12" t="n">
        <f aca="false">AJ27-AO27</f>
        <v>38188.0489224225</v>
      </c>
      <c r="AU27" s="12" t="n">
        <f aca="false">0.2*ABS(C27)+1*ABS(E27)</f>
        <v>46711.441582377</v>
      </c>
      <c r="AV27" s="12" t="n">
        <f aca="false">C27+E27</f>
        <v>-110245.13022677</v>
      </c>
      <c r="AW27" s="12" t="n">
        <f aca="false">AP27+AE27</f>
        <v>27673.9516708315</v>
      </c>
      <c r="AX27" s="12" t="n">
        <f aca="false">AQ27+AE27</f>
        <v>35233.4657842622</v>
      </c>
      <c r="AY27" s="12" t="n">
        <f aca="false">AR27+AE27</f>
        <v>40503.4924240194</v>
      </c>
      <c r="AZ27" s="12" t="n">
        <f aca="false">AS27+AE27</f>
        <v>42205.6306415887</v>
      </c>
      <c r="BA27" s="12" t="n">
        <f aca="false">AT27+AE27+AU27</f>
        <v>100782.912665898</v>
      </c>
      <c r="BB27" s="4" t="n">
        <f aca="false">IFERROR(IRR(AV27:BA27,0.15),"n/a")</f>
        <v>0.269600588688647</v>
      </c>
      <c r="BC27" s="12" t="n">
        <f aca="false">NPV($B$5,AW27:BA27)+AV27</f>
        <v>41330.5671373328</v>
      </c>
    </row>
    <row r="28" customFormat="false" ht="15" hidden="false" customHeight="false" outlineLevel="0" collapsed="false">
      <c r="A28" s="3" t="n">
        <v>4</v>
      </c>
      <c r="B28" s="15" t="n">
        <f aca="true">RAND()</f>
        <v>0.690615306870842</v>
      </c>
      <c r="C28" s="12" t="n">
        <f aca="false">IF(B28&lt;=($F$12-$E$12)/($G$12-$E$12),$E$12+SQRT(B28*($G$12-$E$12)*($F$12-$E$12)),$G$12-SQRT((1-B28)*($G$12-$E$12)*($G$12-$F$12)))</f>
        <v>-71212.1836839782</v>
      </c>
      <c r="D28" s="15" t="n">
        <f aca="true">RAND()</f>
        <v>0.796206233078017</v>
      </c>
      <c r="E28" s="12" t="n">
        <f aca="false">IF(D28&lt;=($F$13-$E$13)/($G$13-$E$13),$E$13+SQRT(D28*($G$13-$E$13)*($F$13-$E$13)),$G$13-SQRT((1-D28)*($G$13-$E$13)*($G$13-$F$13)))</f>
        <v>-28909.543773786</v>
      </c>
      <c r="F28" s="15" t="n">
        <f aca="true">RAND()</f>
        <v>0.78302216596668</v>
      </c>
      <c r="G28" s="12" t="n">
        <f aca="false">IF(F28&lt;=($F$14-$E$14)/($G$14-$E$14),$E$14+SQRT(F28*($G$14-$E$14)*($F$14-$E$14)),$G$14-SQRT((1-F28)*($G$14-$E$14)*($G$14-$F$14)))</f>
        <v>40965.9774972741</v>
      </c>
      <c r="H28" s="15" t="n">
        <f aca="true">RAND()</f>
        <v>0.232061706751163</v>
      </c>
      <c r="I28" s="12" t="n">
        <f aca="false">IF(H28&lt;=($F$14-$E$14)/($G$14-$E$14),$E$14+SQRT(H28*($G$14-$E$14)*($F$14-$E$14)),$G$14-SQRT((1-H28)*($G$14-$E$14)*($G$14-$F$14)))</f>
        <v>35899.9369498898</v>
      </c>
      <c r="J28" s="15" t="n">
        <f aca="true">RAND()</f>
        <v>0.124710616025658</v>
      </c>
      <c r="K28" s="12" t="n">
        <f aca="false">IF(J28&lt;=($F$14-$E$14)/($G$14-$E$14),$E$14+SQRT(J28*($G$14-$E$14)*($F$14-$E$14)),$G$14-SQRT((1-J28)*($G$14-$E$14)*($G$14-$F$14)))</f>
        <v>34325.1118371493</v>
      </c>
      <c r="L28" s="15" t="n">
        <f aca="true">RAND()</f>
        <v>0.289500332887492</v>
      </c>
      <c r="M28" s="12" t="n">
        <f aca="false">IF(L28&lt;=($F$14-$E$14)/($G$14-$E$14),$E$14+SQRT(L28*($G$14-$E$14)*($F$14-$E$14)),$G$14-SQRT((1-L28)*($G$14-$E$14)*($G$14-$F$14)))</f>
        <v>36589.7685796334</v>
      </c>
      <c r="N28" s="15" t="n">
        <f aca="true">RAND()</f>
        <v>0.0423963110647121</v>
      </c>
      <c r="O28" s="12" t="n">
        <f aca="false">IF(N28&lt;=($F$14-$E$14)/($G$14-$E$14),$E$14+SQRT(N28*($G$14-$E$14)*($F$14-$E$14)),$G$14-SQRT((1-N28)*($G$14-$E$14)*($G$14-$F$14)))</f>
        <v>32521.7943333481</v>
      </c>
      <c r="P28" s="15" t="n">
        <f aca="true">RAND()</f>
        <v>0.0300531539508462</v>
      </c>
      <c r="Q28" s="16" t="n">
        <f aca="false">IF(P28&lt;=($F$15-$E$15)/($G$15-$E$15),$E$15+SQRT(P28*($G$15-$E$15)*($F$15-$E$15)),$G$15-SQRT((1-P28)*($G$15-$E$15)*($G$15-$F$15)))</f>
        <v>12.7354976350167</v>
      </c>
      <c r="R28" s="15" t="n">
        <f aca="true">RAND()</f>
        <v>0.383702952627567</v>
      </c>
      <c r="S28" s="16" t="n">
        <f aca="false">IF(R28&lt;=($F$16-$E$16)/($G$16-$E$16),$E$16+SQRT(R28*($G$16-$E$16)*($F$16-$E$16)),$G$16-SQRT((1-R28)*($G$16-$E$16)*($G$16-$F$16)))</f>
        <v>14.6280512071298</v>
      </c>
      <c r="T28" s="15" t="n">
        <f aca="true">RAND()</f>
        <v>0.994286004626152</v>
      </c>
      <c r="U28" s="16" t="n">
        <f aca="false">IF(T28&lt;=($F$17-$E$17)/($G$17-$E$17),$E$17+SQRT(T28*($G$17-$E$17)*($F$17-$E$17)),$G$17-SQRT((1-T28)*($G$17-$E$17)*($G$17-$F$17)))</f>
        <v>21.6000101620444</v>
      </c>
      <c r="V28" s="15" t="n">
        <f aca="true">RAND()</f>
        <v>0.0421443173030945</v>
      </c>
      <c r="W28" s="16" t="n">
        <f aca="false">IF(V28&lt;=($F$18-$E$18)/($G$18-$E$18),$E$18+SQRT(V28*($G$18-$E$18)*($F$18-$E$18)),$G$18-SQRT((1-V28)*($G$18-$E$18)*($G$18-$F$18)))</f>
        <v>18.7681278814386</v>
      </c>
      <c r="X28" s="15" t="n">
        <f aca="true">RAND()</f>
        <v>0.0272893252862941</v>
      </c>
      <c r="Y28" s="16" t="n">
        <f aca="false">IF(X28&lt;=($F$19-$E$19)/($G$19-$E$19),$E$19+SQRT(X28*($G$19-$E$19)*($F$19-$E$19)),$G$19-SQRT((1-X28)*($G$19-$E$19)*($G$19-$F$19)))</f>
        <v>19.8583774127562</v>
      </c>
      <c r="Z28" s="12" t="n">
        <f aca="false">G28*(1+Q28/100)</f>
        <v>46183.1985926009</v>
      </c>
      <c r="AA28" s="12" t="n">
        <f aca="false">I28*(1+Q28/100)*(1+S28/100)</f>
        <v>46392.2334433538</v>
      </c>
      <c r="AB28" s="12" t="n">
        <f aca="false">K28*(1+Q28/100)*(1+S28/100)*(1+U28/100)</f>
        <v>53938.2891877538</v>
      </c>
      <c r="AC28" s="12" t="n">
        <f aca="false">M28*(1+Q28/100)*(1+S28/100)*(1+U28/100)*(1+W28/100)</f>
        <v>68288.0607892942</v>
      </c>
      <c r="AD28" s="12" t="n">
        <f aca="false">O28*(1+Q28/100)*(1+S28/100)*(1+U28/100)*(1+W28/100)*(1+Y28/100)</f>
        <v>72749.1645838896</v>
      </c>
      <c r="AE28" s="12" t="n">
        <f aca="false">ABS(C28)/$B$7</f>
        <v>14242.4367367956</v>
      </c>
      <c r="AF28" s="12" t="n">
        <f aca="false">Z28-AE28</f>
        <v>31940.7618558053</v>
      </c>
      <c r="AG28" s="12" t="n">
        <f aca="false">AA28-AE28</f>
        <v>32149.7967065581</v>
      </c>
      <c r="AH28" s="12" t="n">
        <f aca="false">AB28-AE28</f>
        <v>39695.8524509582</v>
      </c>
      <c r="AI28" s="12" t="n">
        <f aca="false">AC28-AE28</f>
        <v>54045.6240524986</v>
      </c>
      <c r="AJ28" s="12" t="n">
        <f aca="false">AD28-AE28</f>
        <v>58506.727847094</v>
      </c>
      <c r="AK28" s="12" t="n">
        <f aca="false">AF28*$B$4</f>
        <v>15970.3809279026</v>
      </c>
      <c r="AL28" s="12" t="n">
        <f aca="false">AG28*$B$4</f>
        <v>16074.8983532791</v>
      </c>
      <c r="AM28" s="12" t="n">
        <f aca="false">AH28*$B$4</f>
        <v>19847.9262254791</v>
      </c>
      <c r="AN28" s="12" t="n">
        <f aca="false">AI28*$B$4</f>
        <v>27022.8120262493</v>
      </c>
      <c r="AO28" s="12" t="n">
        <f aca="false">AJ28*$B$4</f>
        <v>29253.363923547</v>
      </c>
      <c r="AP28" s="12" t="n">
        <f aca="false">AF28-AK28</f>
        <v>15970.3809279026</v>
      </c>
      <c r="AQ28" s="12" t="n">
        <f aca="false">AG28-AL28</f>
        <v>16074.8983532791</v>
      </c>
      <c r="AR28" s="12" t="n">
        <f aca="false">AH28-AM28</f>
        <v>19847.9262254791</v>
      </c>
      <c r="AS28" s="12" t="n">
        <f aca="false">AI28-AN28</f>
        <v>27022.8120262493</v>
      </c>
      <c r="AT28" s="12" t="n">
        <f aca="false">AJ28-AO28</f>
        <v>29253.363923547</v>
      </c>
      <c r="AU28" s="12" t="n">
        <f aca="false">0.2*ABS(C28)+1*ABS(E28)</f>
        <v>43151.9805105816</v>
      </c>
      <c r="AV28" s="12" t="n">
        <f aca="false">C28+E28</f>
        <v>-100121.727457764</v>
      </c>
      <c r="AW28" s="12" t="n">
        <f aca="false">AP28+AE28</f>
        <v>30212.8176646983</v>
      </c>
      <c r="AX28" s="12" t="n">
        <f aca="false">AQ28+AE28</f>
        <v>30317.3350900747</v>
      </c>
      <c r="AY28" s="12" t="n">
        <f aca="false">AR28+AE28</f>
        <v>34090.3629622747</v>
      </c>
      <c r="AZ28" s="12" t="n">
        <f aca="false">AS28+AE28</f>
        <v>41265.2487630449</v>
      </c>
      <c r="BA28" s="12" t="n">
        <f aca="false">AT28+AE28+AU28</f>
        <v>86647.7811709243</v>
      </c>
      <c r="BB28" s="4" t="n">
        <f aca="false">IFERROR(IRR(AV28:BA28,0.15),"n/a")</f>
        <v>0.275012860015809</v>
      </c>
      <c r="BC28" s="12" t="n">
        <f aca="false">NPV($B$5,AW28:BA28)+AV28</f>
        <v>38162.3167315871</v>
      </c>
    </row>
    <row r="29" customFormat="false" ht="15" hidden="false" customHeight="false" outlineLevel="0" collapsed="false">
      <c r="A29" s="3" t="n">
        <v>5</v>
      </c>
      <c r="B29" s="15" t="n">
        <f aca="true">RAND()</f>
        <v>0.485397391188719</v>
      </c>
      <c r="C29" s="12" t="n">
        <f aca="false">IF(B29&lt;=($F$12-$E$12)/($G$12-$E$12),$E$12+SQRT(B29*($G$12-$E$12)*($F$12-$E$12)),$G$12-SQRT((1-B29)*($G$12-$E$12)*($G$12-$F$12)))</f>
        <v>-75865.4424232292</v>
      </c>
      <c r="D29" s="15" t="n">
        <f aca="true">RAND()</f>
        <v>0.846870097558242</v>
      </c>
      <c r="E29" s="12" t="n">
        <f aca="false">IF(D29&lt;=($F$13-$E$13)/($G$13-$E$13),$E$13+SQRT(D29*($G$13-$E$13)*($F$13-$E$13)),$G$13-SQRT((1-D29)*($G$13-$E$13)*($G$13-$F$13)))</f>
        <v>-28388.9146762838</v>
      </c>
      <c r="F29" s="15" t="n">
        <f aca="true">RAND()</f>
        <v>0.968300426376562</v>
      </c>
      <c r="G29" s="12" t="n">
        <f aca="false">IF(F29&lt;=($F$14-$E$14)/($G$14-$E$14),$E$14+SQRT(F29*($G$14-$E$14)*($F$14-$E$14)),$G$14-SQRT((1-F29)*($G$14-$E$14)*($G$14-$F$14)))</f>
        <v>43458.0959751795</v>
      </c>
      <c r="H29" s="15" t="n">
        <f aca="true">RAND()</f>
        <v>0.359064734813877</v>
      </c>
      <c r="I29" s="12" t="n">
        <f aca="false">IF(H29&lt;=($F$14-$E$14)/($G$14-$E$14),$E$14+SQRT(H29*($G$14-$E$14)*($F$14-$E$14)),$G$14-SQRT((1-H29)*($G$14-$E$14)*($G$14-$F$14)))</f>
        <v>37338.9175102382</v>
      </c>
      <c r="J29" s="15" t="n">
        <f aca="true">RAND()</f>
        <v>0.874063386992702</v>
      </c>
      <c r="K29" s="12" t="n">
        <f aca="false">IF(J29&lt;=($F$14-$E$14)/($G$14-$E$14),$E$14+SQRT(J29*($G$14-$E$14)*($F$14-$E$14)),$G$14-SQRT((1-J29)*($G$14-$E$14)*($G$14-$F$14)))</f>
        <v>41926.6881096206</v>
      </c>
      <c r="L29" s="15" t="n">
        <f aca="true">RAND()</f>
        <v>0.271006074982181</v>
      </c>
      <c r="M29" s="12" t="n">
        <f aca="false">IF(L29&lt;=($F$14-$E$14)/($G$14-$E$14),$E$14+SQRT(L29*($G$14-$E$14)*($F$14-$E$14)),$G$14-SQRT((1-L29)*($G$14-$E$14)*($G$14-$F$14)))</f>
        <v>36375.8067134542</v>
      </c>
      <c r="N29" s="15" t="n">
        <f aca="true">RAND()</f>
        <v>0.824328738449543</v>
      </c>
      <c r="O29" s="12" t="n">
        <f aca="false">IF(N29&lt;=($F$14-$E$14)/($G$14-$E$14),$E$14+SQRT(N29*($G$14-$E$14)*($F$14-$E$14)),$G$14-SQRT((1-N29)*($G$14-$E$14)*($G$14-$F$14)))</f>
        <v>41370.2142465038</v>
      </c>
      <c r="P29" s="15" t="n">
        <f aca="true">RAND()</f>
        <v>0.674005677348746</v>
      </c>
      <c r="Q29" s="16" t="n">
        <f aca="false">IF(P29&lt;=($F$15-$E$15)/($G$15-$E$15),$E$15+SQRT(P29*($G$15-$E$15)*($F$15-$E$15)),$G$15-SQRT((1-P29)*($G$15-$E$15)*($G$15-$F$15)))</f>
        <v>15.5776255847366</v>
      </c>
      <c r="R29" s="15" t="n">
        <f aca="true">RAND()</f>
        <v>0.339405021813627</v>
      </c>
      <c r="S29" s="16" t="n">
        <f aca="false">IF(R29&lt;=($F$16-$E$16)/($G$16-$E$16),$E$16+SQRT(R29*($G$16-$E$16)*($F$16-$E$16)),$G$16-SQRT((1-R29)*($G$16-$E$16)*($G$16-$F$16)))</f>
        <v>14.47169787649</v>
      </c>
      <c r="T29" s="15" t="n">
        <f aca="true">RAND()</f>
        <v>0.888698146402882</v>
      </c>
      <c r="U29" s="16" t="n">
        <f aca="false">IF(T29&lt;=($F$17-$E$17)/($G$17-$E$17),$E$17+SQRT(T29*($G$17-$E$17)*($F$17-$E$17)),$G$17-SQRT((1-T29)*($G$17-$E$17)*($G$17-$F$17)))</f>
        <v>20.2346524702713</v>
      </c>
      <c r="V29" s="15" t="n">
        <f aca="true">RAND()</f>
        <v>0.552549803973714</v>
      </c>
      <c r="W29" s="16" t="n">
        <f aca="false">IF(V29&lt;=($F$18-$E$18)/($G$18-$E$18),$E$18+SQRT(V29*($G$18-$E$18)*($F$18-$E$18)),$G$18-SQRT((1-V29)*($G$18-$E$18)*($G$18-$F$18)))</f>
        <v>21.0426325845431</v>
      </c>
      <c r="X29" s="15" t="n">
        <f aca="true">RAND()</f>
        <v>0.522709067632907</v>
      </c>
      <c r="Y29" s="16" t="n">
        <f aca="false">IF(X29&lt;=($F$19-$E$19)/($G$19-$E$19),$E$19+SQRT(X29*($G$19-$E$19)*($F$19-$E$19)),$G$19-SQRT((1-X29)*($G$19-$E$19)*($G$19-$F$19)))</f>
        <v>22.9232185050149</v>
      </c>
      <c r="Z29" s="12" t="n">
        <f aca="false">G29*(1+Q29/100)</f>
        <v>50227.8354524484</v>
      </c>
      <c r="AA29" s="12" t="n">
        <f aca="false">I29*(1+Q29/100)*(1+S29/100)</f>
        <v>49400.758343286</v>
      </c>
      <c r="AB29" s="12" t="n">
        <f aca="false">K29*(1+Q29/100)*(1+S29/100)*(1+U29/100)</f>
        <v>66694.8196907884</v>
      </c>
      <c r="AC29" s="12" t="n">
        <f aca="false">M29*(1+Q29/100)*(1+S29/100)*(1+U29/100)*(1+W29/100)</f>
        <v>70041.0324457914</v>
      </c>
      <c r="AD29" s="12" t="n">
        <f aca="false">O29*(1+Q29/100)*(1+S29/100)*(1+U29/100)*(1+W29/100)*(1+Y29/100)</f>
        <v>97917.7890236717</v>
      </c>
      <c r="AE29" s="12" t="n">
        <f aca="false">ABS(C29)/$B$7</f>
        <v>15173.0884846458</v>
      </c>
      <c r="AF29" s="12" t="n">
        <f aca="false">Z29-AE29</f>
        <v>35054.7469678026</v>
      </c>
      <c r="AG29" s="12" t="n">
        <f aca="false">AA29-AE29</f>
        <v>34227.6698586402</v>
      </c>
      <c r="AH29" s="12" t="n">
        <f aca="false">AB29-AE29</f>
        <v>51521.7312061426</v>
      </c>
      <c r="AI29" s="12" t="n">
        <f aca="false">AC29-AE29</f>
        <v>54867.9439611455</v>
      </c>
      <c r="AJ29" s="12" t="n">
        <f aca="false">AD29-AE29</f>
        <v>82744.7005390259</v>
      </c>
      <c r="AK29" s="12" t="n">
        <f aca="false">AF29*$B$4</f>
        <v>17527.3734839013</v>
      </c>
      <c r="AL29" s="12" t="n">
        <f aca="false">AG29*$B$4</f>
        <v>17113.8349293201</v>
      </c>
      <c r="AM29" s="12" t="n">
        <f aca="false">AH29*$B$4</f>
        <v>25760.8656030713</v>
      </c>
      <c r="AN29" s="12" t="n">
        <f aca="false">AI29*$B$4</f>
        <v>27433.9719805728</v>
      </c>
      <c r="AO29" s="12" t="n">
        <f aca="false">AJ29*$B$4</f>
        <v>41372.3502695129</v>
      </c>
      <c r="AP29" s="12" t="n">
        <f aca="false">AF29-AK29</f>
        <v>17527.3734839013</v>
      </c>
      <c r="AQ29" s="12" t="n">
        <f aca="false">AG29-AL29</f>
        <v>17113.8349293201</v>
      </c>
      <c r="AR29" s="12" t="n">
        <f aca="false">AH29-AM29</f>
        <v>25760.8656030713</v>
      </c>
      <c r="AS29" s="12" t="n">
        <f aca="false">AI29-AN29</f>
        <v>27433.9719805728</v>
      </c>
      <c r="AT29" s="12" t="n">
        <f aca="false">AJ29-AO29</f>
        <v>41372.3502695129</v>
      </c>
      <c r="AU29" s="12" t="n">
        <f aca="false">0.2*ABS(C29)+1*ABS(E29)</f>
        <v>43562.0031609297</v>
      </c>
      <c r="AV29" s="12" t="n">
        <f aca="false">C29+E29</f>
        <v>-104254.357099513</v>
      </c>
      <c r="AW29" s="12" t="n">
        <f aca="false">AP29+AE29</f>
        <v>32700.4619685471</v>
      </c>
      <c r="AX29" s="12" t="n">
        <f aca="false">AQ29+AE29</f>
        <v>32286.9234139659</v>
      </c>
      <c r="AY29" s="12" t="n">
        <f aca="false">AR29+AE29</f>
        <v>40933.9540877171</v>
      </c>
      <c r="AZ29" s="12" t="n">
        <f aca="false">AS29+AE29</f>
        <v>42607.0604652186</v>
      </c>
      <c r="BA29" s="12" t="n">
        <f aca="false">AT29+AE29+AU29</f>
        <v>100107.441915088</v>
      </c>
      <c r="BB29" s="4" t="n">
        <f aca="false">IFERROR(IRR(AV29:BA29,0.15),"n/a")</f>
        <v>0.302146679164206</v>
      </c>
      <c r="BC29" s="12" t="n">
        <f aca="false">NPV($B$5,AW29:BA29)+AV29</f>
        <v>49640.9354238033</v>
      </c>
    </row>
    <row r="30" customFormat="false" ht="15" hidden="false" customHeight="false" outlineLevel="0" collapsed="false">
      <c r="A30" s="3" t="n">
        <v>6</v>
      </c>
      <c r="B30" s="15" t="n">
        <f aca="true">RAND()</f>
        <v>0.997119132027746</v>
      </c>
      <c r="C30" s="12" t="n">
        <f aca="false">IF(B30&lt;=($F$12-$E$12)/($G$12-$E$12),$E$12+SQRT(B30*($G$12-$E$12)*($F$12-$E$12)),$G$12-SQRT((1-B30)*($G$12-$E$12)*($G$12-$F$12)))</f>
        <v>-61073.474354096</v>
      </c>
      <c r="D30" s="15" t="n">
        <f aca="true">RAND()</f>
        <v>0.244650056558867</v>
      </c>
      <c r="E30" s="12" t="n">
        <f aca="false">IF(D30&lt;=($F$13-$E$13)/($G$13-$E$13),$E$13+SQRT(D30*($G$13-$E$13)*($F$13-$E$13)),$G$13-SQRT((1-D30)*($G$13-$E$13)*($G$13-$F$13)))</f>
        <v>-33942.1531478726</v>
      </c>
      <c r="F30" s="15" t="n">
        <f aca="true">RAND()</f>
        <v>0.936920722080703</v>
      </c>
      <c r="G30" s="12" t="n">
        <f aca="false">IF(F30&lt;=($F$14-$E$14)/($G$14-$E$14),$E$14+SQRT(F30*($G$14-$E$14)*($F$14-$E$14)),$G$14-SQRT((1-F30)*($G$14-$E$14)*($G$14-$F$14)))</f>
        <v>42824.9262440213</v>
      </c>
      <c r="H30" s="15" t="n">
        <f aca="true">RAND()</f>
        <v>0.678335422931889</v>
      </c>
      <c r="I30" s="12" t="n">
        <f aca="false">IF(H30&lt;=($F$14-$E$14)/($G$14-$E$14),$E$14+SQRT(H30*($G$14-$E$14)*($F$14-$E$14)),$G$14-SQRT((1-H30)*($G$14-$E$14)*($G$14-$F$14)))</f>
        <v>40088.2952775937</v>
      </c>
      <c r="J30" s="15" t="n">
        <f aca="true">RAND()</f>
        <v>0.312993260987464</v>
      </c>
      <c r="K30" s="12" t="n">
        <f aca="false">IF(J30&lt;=($F$14-$E$14)/($G$14-$E$14),$E$14+SQRT(J30*($G$14-$E$14)*($F$14-$E$14)),$G$14-SQRT((1-J30)*($G$14-$E$14)*($G$14-$F$14)))</f>
        <v>36851.9332416567</v>
      </c>
      <c r="L30" s="15" t="n">
        <f aca="true">RAND()</f>
        <v>0.0343775931917128</v>
      </c>
      <c r="M30" s="12" t="n">
        <f aca="false">IF(L30&lt;=($F$14-$E$14)/($G$14-$E$14),$E$14+SQRT(L30*($G$14-$E$14)*($F$14-$E$14)),$G$14-SQRT((1-L30)*($G$14-$E$14)*($G$14-$F$14)))</f>
        <v>32270.8234142612</v>
      </c>
      <c r="N30" s="15" t="n">
        <f aca="true">RAND()</f>
        <v>0.920220892107049</v>
      </c>
      <c r="O30" s="12" t="n">
        <f aca="false">IF(N30&lt;=($F$14-$E$14)/($G$14-$E$14),$E$14+SQRT(N30*($G$14-$E$14)*($F$14-$E$14)),$G$14-SQRT((1-N30)*($G$14-$E$14)*($G$14-$F$14)))</f>
        <v>42553.8943007361</v>
      </c>
      <c r="P30" s="15" t="n">
        <f aca="true">RAND()</f>
        <v>0.0527557729385818</v>
      </c>
      <c r="Q30" s="16" t="n">
        <f aca="false">IF(P30&lt;=($F$15-$E$15)/($G$15-$E$15),$E$15+SQRT(P30*($G$15-$E$15)*($F$15-$E$15)),$G$15-SQRT((1-P30)*($G$15-$E$15)*($G$15-$F$15)))</f>
        <v>12.9744762248995</v>
      </c>
      <c r="R30" s="15" t="n">
        <f aca="true">RAND()</f>
        <v>0.776746389614105</v>
      </c>
      <c r="S30" s="16" t="n">
        <f aca="false">IF(R30&lt;=($F$16-$E$16)/($G$16-$E$16),$E$16+SQRT(R30*($G$16-$E$16)*($F$16-$E$16)),$G$16-SQRT((1-R30)*($G$16-$E$16)*($G$16-$F$16)))</f>
        <v>15.9953641260952</v>
      </c>
      <c r="T30" s="15" t="n">
        <f aca="true">RAND()</f>
        <v>0.202491265741295</v>
      </c>
      <c r="U30" s="16" t="n">
        <f aca="false">IF(T30&lt;=($F$17-$E$17)/($G$17-$E$17),$E$17+SQRT(T30*($G$17-$E$17)*($F$17-$E$17)),$G$17-SQRT((1-T30)*($G$17-$E$17)*($G$17-$F$17)))</f>
        <v>17.0621145895821</v>
      </c>
      <c r="V30" s="15" t="n">
        <f aca="true">RAND()</f>
        <v>0.811423391328669</v>
      </c>
      <c r="W30" s="16" t="n">
        <f aca="false">IF(V30&lt;=($F$18-$E$18)/($G$18-$E$18),$E$18+SQRT(V30*($G$18-$E$18)*($F$18-$E$18)),$G$18-SQRT((1-V30)*($G$18-$E$18)*($G$18-$F$18)))</f>
        <v>22.4309181983641</v>
      </c>
      <c r="X30" s="15" t="n">
        <f aca="true">RAND()</f>
        <v>0.3234634506946</v>
      </c>
      <c r="Y30" s="16" t="n">
        <f aca="false">IF(X30&lt;=($F$19-$E$19)/($G$19-$E$19),$E$19+SQRT(X30*($G$19-$E$19)*($F$19-$E$19)),$G$19-SQRT((1-X30)*($G$19-$E$19)*($G$19-$F$19)))</f>
        <v>21.9552517944761</v>
      </c>
      <c r="Z30" s="12" t="n">
        <f aca="false">G30*(1+Q30/100)</f>
        <v>48381.2361178826</v>
      </c>
      <c r="AA30" s="12" t="n">
        <f aca="false">I30*(1+Q30/100)*(1+S30/100)</f>
        <v>52533.7687100876</v>
      </c>
      <c r="AB30" s="12" t="n">
        <f aca="false">K30*(1+Q30/100)*(1+S30/100)*(1+U30/100)</f>
        <v>56532.4242777151</v>
      </c>
      <c r="AC30" s="12" t="n">
        <f aca="false">M30*(1+Q30/100)*(1+S30/100)*(1+U30/100)*(1+W30/100)</f>
        <v>60609.1910362122</v>
      </c>
      <c r="AD30" s="12" t="n">
        <f aca="false">O30*(1+Q30/100)*(1+S30/100)*(1+U30/100)*(1+W30/100)*(1+Y30/100)</f>
        <v>97469.3922769855</v>
      </c>
      <c r="AE30" s="12" t="n">
        <f aca="false">ABS(C30)/$B$7</f>
        <v>12214.6948708192</v>
      </c>
      <c r="AF30" s="12" t="n">
        <f aca="false">Z30-AE30</f>
        <v>36166.5412470634</v>
      </c>
      <c r="AG30" s="12" t="n">
        <f aca="false">AA30-AE30</f>
        <v>40319.0738392684</v>
      </c>
      <c r="AH30" s="12" t="n">
        <f aca="false">AB30-AE30</f>
        <v>44317.7294068959</v>
      </c>
      <c r="AI30" s="12" t="n">
        <f aca="false">AC30-AE30</f>
        <v>48394.496165393</v>
      </c>
      <c r="AJ30" s="12" t="n">
        <f aca="false">AD30-AE30</f>
        <v>85254.6974061664</v>
      </c>
      <c r="AK30" s="12" t="n">
        <f aca="false">AF30*$B$4</f>
        <v>18083.2706235317</v>
      </c>
      <c r="AL30" s="12" t="n">
        <f aca="false">AG30*$B$4</f>
        <v>20159.5369196342</v>
      </c>
      <c r="AM30" s="12" t="n">
        <f aca="false">AH30*$B$4</f>
        <v>22158.864703448</v>
      </c>
      <c r="AN30" s="12" t="n">
        <f aca="false">AI30*$B$4</f>
        <v>24197.2480826965</v>
      </c>
      <c r="AO30" s="12" t="n">
        <f aca="false">AJ30*$B$4</f>
        <v>42627.3487030832</v>
      </c>
      <c r="AP30" s="12" t="n">
        <f aca="false">AF30-AK30</f>
        <v>18083.2706235317</v>
      </c>
      <c r="AQ30" s="12" t="n">
        <f aca="false">AG30-AL30</f>
        <v>20159.5369196342</v>
      </c>
      <c r="AR30" s="12" t="n">
        <f aca="false">AH30-AM30</f>
        <v>22158.864703448</v>
      </c>
      <c r="AS30" s="12" t="n">
        <f aca="false">AI30-AN30</f>
        <v>24197.2480826965</v>
      </c>
      <c r="AT30" s="12" t="n">
        <f aca="false">AJ30-AO30</f>
        <v>42627.3487030832</v>
      </c>
      <c r="AU30" s="12" t="n">
        <f aca="false">0.2*ABS(C30)+1*ABS(E30)</f>
        <v>46156.8480186918</v>
      </c>
      <c r="AV30" s="12" t="n">
        <f aca="false">C30+E30</f>
        <v>-95015.6275019686</v>
      </c>
      <c r="AW30" s="12" t="n">
        <f aca="false">AP30+AE30</f>
        <v>30297.9654943509</v>
      </c>
      <c r="AX30" s="12" t="n">
        <f aca="false">AQ30+AE30</f>
        <v>32374.2317904534</v>
      </c>
      <c r="AY30" s="12" t="n">
        <f aca="false">AR30+AE30</f>
        <v>34373.5595742672</v>
      </c>
      <c r="AZ30" s="12" t="n">
        <f aca="false">AS30+AE30</f>
        <v>36411.9429535157</v>
      </c>
      <c r="BA30" s="12" t="n">
        <f aca="false">AT30+AE30+AU30</f>
        <v>100998.891592594</v>
      </c>
      <c r="BB30" s="4" t="n">
        <f aca="false">IFERROR(IRR(AV30:BA30,0.15),"n/a")</f>
        <v>0.313726526876843</v>
      </c>
      <c r="BC30" s="12" t="n">
        <f aca="false">NPV($B$5,AW30:BA30)+AV30</f>
        <v>49444.118940912</v>
      </c>
    </row>
    <row r="31" customFormat="false" ht="15" hidden="false" customHeight="false" outlineLevel="0" collapsed="false">
      <c r="A31" s="3" t="n">
        <v>7</v>
      </c>
      <c r="B31" s="15" t="n">
        <f aca="true">RAND()</f>
        <v>0.16984445360987</v>
      </c>
      <c r="C31" s="12" t="n">
        <f aca="false">IF(B31&lt;=($F$12-$E$12)/($G$12-$E$12),$E$12+SQRT(B31*($G$12-$E$12)*($F$12-$E$12)),$G$12-SQRT((1-B31)*($G$12-$E$12)*($G$12-$F$12)))</f>
        <v>-85723.678893642</v>
      </c>
      <c r="D31" s="15" t="n">
        <f aca="true">RAND()</f>
        <v>0.729760394990433</v>
      </c>
      <c r="E31" s="12" t="n">
        <f aca="false">IF(D31&lt;=($F$13-$E$13)/($G$13-$E$13),$E$13+SQRT(D31*($G$13-$E$13)*($F$13-$E$13)),$G$13-SQRT((1-D31)*($G$13-$E$13)*($G$13-$F$13)))</f>
        <v>-29501.9962656268</v>
      </c>
      <c r="F31" s="15" t="n">
        <f aca="true">RAND()</f>
        <v>0.378446084873274</v>
      </c>
      <c r="G31" s="12" t="n">
        <f aca="false">IF(F31&lt;=($F$14-$E$14)/($G$14-$E$14),$E$14+SQRT(F31*($G$14-$E$14)*($F$14-$E$14)),$G$14-SQRT((1-F31)*($G$14-$E$14)*($G$14-$F$14)))</f>
        <v>37534.3820404192</v>
      </c>
      <c r="H31" s="15" t="n">
        <f aca="true">RAND()</f>
        <v>0.623302789409339</v>
      </c>
      <c r="I31" s="12" t="n">
        <f aca="false">IF(H31&lt;=($F$14-$E$14)/($G$14-$E$14),$E$14+SQRT(H31*($G$14-$E$14)*($F$14-$E$14)),$G$14-SQRT((1-H31)*($G$14-$E$14)*($G$14-$F$14)))</f>
        <v>39669.3028916981</v>
      </c>
      <c r="J31" s="15" t="n">
        <f aca="true">RAND()</f>
        <v>0.203254287209634</v>
      </c>
      <c r="K31" s="12" t="n">
        <f aca="false">IF(J31&lt;=($F$14-$E$14)/($G$14-$E$14),$E$14+SQRT(J31*($G$14-$E$14)*($F$14-$E$14)),$G$14-SQRT((1-J31)*($G$14-$E$14)*($G$14-$F$14)))</f>
        <v>35521.6069292775</v>
      </c>
      <c r="L31" s="15" t="n">
        <f aca="true">RAND()</f>
        <v>0.336203289284948</v>
      </c>
      <c r="M31" s="12" t="n">
        <f aca="false">IF(L31&lt;=($F$14-$E$14)/($G$14-$E$14),$E$14+SQRT(L31*($G$14-$E$14)*($F$14-$E$14)),$G$14-SQRT((1-L31)*($G$14-$E$14)*($G$14-$F$14)))</f>
        <v>37101.4430500246</v>
      </c>
      <c r="N31" s="15" t="n">
        <f aca="true">RAND()</f>
        <v>0.66131829953694</v>
      </c>
      <c r="O31" s="12" t="n">
        <f aca="false">IF(N31&lt;=($F$14-$E$14)/($G$14-$E$14),$E$14+SQRT(N31*($G$14-$E$14)*($F$14-$E$14)),$G$14-SQRT((1-N31)*($G$14-$E$14)*($G$14-$F$14)))</f>
        <v>39959.8064705365</v>
      </c>
      <c r="P31" s="15" t="n">
        <f aca="true">RAND()</f>
        <v>0.153414623407466</v>
      </c>
      <c r="Q31" s="16" t="n">
        <f aca="false">IF(P31&lt;=($F$15-$E$15)/($G$15-$E$15),$E$15+SQRT(P31*($G$15-$E$15)*($F$15-$E$15)),$G$15-SQRT((1-P31)*($G$15-$E$15)*($G$15-$F$15)))</f>
        <v>13.6617650921037</v>
      </c>
      <c r="R31" s="15" t="n">
        <f aca="true">RAND()</f>
        <v>0.578650250992919</v>
      </c>
      <c r="S31" s="16" t="n">
        <f aca="false">IF(R31&lt;=($F$16-$E$16)/($G$16-$E$16),$E$16+SQRT(R31*($G$16-$E$16)*($F$16-$E$16)),$G$16-SQRT((1-R31)*($G$16-$E$16)*($G$16-$F$16)))</f>
        <v>15.2460400362156</v>
      </c>
      <c r="T31" s="15" t="n">
        <f aca="true">RAND()</f>
        <v>0.772646518429624</v>
      </c>
      <c r="U31" s="16" t="n">
        <f aca="false">IF(T31&lt;=($F$17-$E$17)/($G$17-$E$17),$E$17+SQRT(T31*($G$17-$E$17)*($F$17-$E$17)),$G$17-SQRT((1-T31)*($G$17-$E$17)*($G$17-$F$17)))</f>
        <v>19.4769269760923</v>
      </c>
      <c r="V31" s="15" t="n">
        <f aca="true">RAND()</f>
        <v>0.774162219772161</v>
      </c>
      <c r="W31" s="16" t="n">
        <f aca="false">IF(V31&lt;=($F$18-$E$18)/($G$18-$E$18),$E$18+SQRT(V31*($G$18-$E$18)*($F$18-$E$18)),$G$18-SQRT((1-V31)*($G$18-$E$18)*($G$18-$F$18)))</f>
        <v>22.1885373365498</v>
      </c>
      <c r="X31" s="15" t="n">
        <f aca="true">RAND()</f>
        <v>0.635810329589069</v>
      </c>
      <c r="Y31" s="16" t="n">
        <f aca="false">IF(X31&lt;=($F$19-$E$19)/($G$19-$E$19),$E$19+SQRT(X31*($G$19-$E$19)*($F$19-$E$19)),$G$19-SQRT((1-X31)*($G$19-$E$19)*($G$19-$F$19)))</f>
        <v>23.5653362920972</v>
      </c>
      <c r="Z31" s="12" t="n">
        <f aca="false">G31*(1+Q31/100)</f>
        <v>42662.241143554</v>
      </c>
      <c r="AA31" s="12" t="n">
        <f aca="false">I31*(1+Q31/100)*(1+S31/100)</f>
        <v>51963.0909197351</v>
      </c>
      <c r="AB31" s="12" t="n">
        <f aca="false">K31*(1+Q31/100)*(1+S31/100)*(1+U31/100)</f>
        <v>55592.6089094262</v>
      </c>
      <c r="AC31" s="12" t="n">
        <f aca="false">M31*(1+Q31/100)*(1+S31/100)*(1+U31/100)*(1+W31/100)</f>
        <v>70948.9086025747</v>
      </c>
      <c r="AD31" s="12" t="n">
        <f aca="false">O31*(1+Q31/100)*(1+S31/100)*(1+U31/100)*(1+W31/100)*(1+Y31/100)</f>
        <v>94422.3813343075</v>
      </c>
      <c r="AE31" s="12" t="n">
        <f aca="false">ABS(C31)/$B$7</f>
        <v>17144.7357787284</v>
      </c>
      <c r="AF31" s="12" t="n">
        <f aca="false">Z31-AE31</f>
        <v>25517.5053648256</v>
      </c>
      <c r="AG31" s="12" t="n">
        <f aca="false">AA31-AE31</f>
        <v>34818.3551410067</v>
      </c>
      <c r="AH31" s="12" t="n">
        <f aca="false">AB31-AE31</f>
        <v>38447.8731306978</v>
      </c>
      <c r="AI31" s="12" t="n">
        <f aca="false">AC31-AE31</f>
        <v>53804.1728238464</v>
      </c>
      <c r="AJ31" s="12" t="n">
        <f aca="false">AD31-AE31</f>
        <v>77277.6455555791</v>
      </c>
      <c r="AK31" s="12" t="n">
        <f aca="false">AF31*$B$4</f>
        <v>12758.7526824128</v>
      </c>
      <c r="AL31" s="12" t="n">
        <f aca="false">AG31*$B$4</f>
        <v>17409.1775705033</v>
      </c>
      <c r="AM31" s="12" t="n">
        <f aca="false">AH31*$B$4</f>
        <v>19223.9365653489</v>
      </c>
      <c r="AN31" s="12" t="n">
        <f aca="false">AI31*$B$4</f>
        <v>26902.0864119232</v>
      </c>
      <c r="AO31" s="12" t="n">
        <f aca="false">AJ31*$B$4</f>
        <v>38638.8227777895</v>
      </c>
      <c r="AP31" s="12" t="n">
        <f aca="false">AF31-AK31</f>
        <v>12758.7526824128</v>
      </c>
      <c r="AQ31" s="12" t="n">
        <f aca="false">AG31-AL31</f>
        <v>17409.1775705033</v>
      </c>
      <c r="AR31" s="12" t="n">
        <f aca="false">AH31-AM31</f>
        <v>19223.9365653489</v>
      </c>
      <c r="AS31" s="12" t="n">
        <f aca="false">AI31-AN31</f>
        <v>26902.0864119232</v>
      </c>
      <c r="AT31" s="12" t="n">
        <f aca="false">AJ31-AO31</f>
        <v>38638.8227777895</v>
      </c>
      <c r="AU31" s="12" t="n">
        <f aca="false">0.2*ABS(C31)+1*ABS(E31)</f>
        <v>46646.7320443552</v>
      </c>
      <c r="AV31" s="12" t="n">
        <f aca="false">C31+E31</f>
        <v>-115225.675159269</v>
      </c>
      <c r="AW31" s="12" t="n">
        <f aca="false">AP31+AE31</f>
        <v>29903.4884611412</v>
      </c>
      <c r="AX31" s="12" t="n">
        <f aca="false">AQ31+AE31</f>
        <v>34553.9133492317</v>
      </c>
      <c r="AY31" s="12" t="n">
        <f aca="false">AR31+AE31</f>
        <v>36368.6723440773</v>
      </c>
      <c r="AZ31" s="12" t="n">
        <f aca="false">AS31+AE31</f>
        <v>44046.8221906516</v>
      </c>
      <c r="BA31" s="12" t="n">
        <f aca="false">AT31+AE31+AU31</f>
        <v>102430.290600873</v>
      </c>
      <c r="BB31" s="4" t="n">
        <f aca="false">IFERROR(IRR(AV31:BA31,0.15),"n/a")</f>
        <v>0.25359057775329</v>
      </c>
      <c r="BC31" s="12" t="n">
        <f aca="false">NPV($B$5,AW31:BA31)+AV31</f>
        <v>36927.9444849379</v>
      </c>
    </row>
    <row r="32" customFormat="false" ht="15" hidden="false" customHeight="false" outlineLevel="0" collapsed="false">
      <c r="A32" s="3" t="n">
        <v>8</v>
      </c>
      <c r="B32" s="15" t="n">
        <f aca="true">RAND()</f>
        <v>0.424991090402998</v>
      </c>
      <c r="C32" s="12" t="n">
        <f aca="false">IF(B32&lt;=($F$12-$E$12)/($G$12-$E$12),$E$12+SQRT(B32*($G$12-$E$12)*($F$12-$E$12)),$G$12-SQRT((1-B32)*($G$12-$E$12)*($G$12-$F$12)))</f>
        <v>-77417.0571341201</v>
      </c>
      <c r="D32" s="15" t="n">
        <f aca="true">RAND()</f>
        <v>0.61060190191154</v>
      </c>
      <c r="E32" s="12" t="n">
        <f aca="false">IF(D32&lt;=($F$13-$E$13)/($G$13-$E$13),$E$13+SQRT(D32*($G$13-$E$13)*($F$13-$E$13)),$G$13-SQRT((1-D32)*($G$13-$E$13)*($G$13-$F$13)))</f>
        <v>-30429.7186411929</v>
      </c>
      <c r="F32" s="15" t="n">
        <f aca="true">RAND()</f>
        <v>0.69693028052222</v>
      </c>
      <c r="G32" s="12" t="n">
        <f aca="false">IF(F32&lt;=($F$14-$E$14)/($G$14-$E$14),$E$14+SQRT(F32*($G$14-$E$14)*($F$14-$E$14)),$G$14-SQRT((1-F32)*($G$14-$E$14)*($G$14-$F$14)))</f>
        <v>40232.3770114623</v>
      </c>
      <c r="H32" s="15" t="n">
        <f aca="true">RAND()</f>
        <v>0.283273338556247</v>
      </c>
      <c r="I32" s="12" t="n">
        <f aca="false">IF(H32&lt;=($F$14-$E$14)/($G$14-$E$14),$E$14+SQRT(H32*($G$14-$E$14)*($F$14-$E$14)),$G$14-SQRT((1-H32)*($G$14-$E$14)*($G$14-$F$14)))</f>
        <v>36518.5121602584</v>
      </c>
      <c r="J32" s="15" t="n">
        <f aca="true">RAND()</f>
        <v>0.585284611706555</v>
      </c>
      <c r="K32" s="12" t="n">
        <f aca="false">IF(J32&lt;=($F$14-$E$14)/($G$14-$E$14),$E$14+SQRT(J32*($G$14-$E$14)*($F$14-$E$14)),$G$14-SQRT((1-J32)*($G$14-$E$14)*($G$14-$F$14)))</f>
        <v>39369.7754378631</v>
      </c>
      <c r="L32" s="15" t="n">
        <f aca="true">RAND()</f>
        <v>0.867993947892688</v>
      </c>
      <c r="M32" s="12" t="n">
        <f aca="false">IF(L32&lt;=($F$14-$E$14)/($G$14-$E$14),$E$14+SQRT(L32*($G$14-$E$14)*($F$14-$E$14)),$G$14-SQRT((1-L32)*($G$14-$E$14)*($G$14-$F$14)))</f>
        <v>41853.5013255925</v>
      </c>
      <c r="N32" s="15" t="n">
        <f aca="true">RAND()</f>
        <v>0.931222215726863</v>
      </c>
      <c r="O32" s="12" t="n">
        <f aca="false">IF(N32&lt;=($F$14-$E$14)/($G$14-$E$14),$E$14+SQRT(N32*($G$14-$E$14)*($F$14-$E$14)),$G$14-SQRT((1-N32)*($G$14-$E$14)*($G$14-$F$14)))</f>
        <v>42728.8034386066</v>
      </c>
      <c r="P32" s="15" t="n">
        <f aca="true">RAND()</f>
        <v>0.349140085273535</v>
      </c>
      <c r="Q32" s="16" t="n">
        <f aca="false">IF(P32&lt;=($F$15-$E$15)/($G$15-$E$15),$E$15+SQRT(P32*($G$15-$E$15)*($F$15-$E$15)),$G$15-SQRT((1-P32)*($G$15-$E$15)*($G$15-$F$15)))</f>
        <v>14.5068947993332</v>
      </c>
      <c r="R32" s="15" t="n">
        <f aca="true">RAND()</f>
        <v>0.844643195552561</v>
      </c>
      <c r="S32" s="16" t="n">
        <f aca="false">IF(R32&lt;=($F$16-$E$16)/($G$16-$E$16),$E$16+SQRT(R32*($G$16-$E$16)*($F$16-$E$16)),$G$16-SQRT((1-R32)*($G$16-$E$16)*($G$16-$F$16)))</f>
        <v>16.3277492771555</v>
      </c>
      <c r="T32" s="15" t="n">
        <f aca="true">RAND()</f>
        <v>0.789679550299099</v>
      </c>
      <c r="U32" s="16" t="n">
        <f aca="false">IF(T32&lt;=($F$17-$E$17)/($G$17-$E$17),$E$17+SQRT(T32*($G$17-$E$17)*($F$17-$E$17)),$G$17-SQRT((1-T32)*($G$17-$E$17)*($G$17-$F$17)))</f>
        <v>19.5732794574518</v>
      </c>
      <c r="V32" s="15" t="n">
        <f aca="true">RAND()</f>
        <v>0.0823601447572424</v>
      </c>
      <c r="W32" s="16" t="n">
        <f aca="false">IF(V32&lt;=($F$18-$E$18)/($G$18-$E$18),$E$18+SQRT(V32*($G$18-$E$18)*($F$18-$E$18)),$G$18-SQRT((1-V32)*($G$18-$E$18)*($G$18-$F$18)))</f>
        <v>19.0737979449605</v>
      </c>
      <c r="X32" s="15" t="n">
        <f aca="true">RAND()</f>
        <v>0.995868626276501</v>
      </c>
      <c r="Y32" s="16" t="n">
        <f aca="false">IF(X32&lt;=($F$19-$E$19)/($G$19-$E$19),$E$19+SQRT(X32*($G$19-$E$19)*($F$19-$E$19)),$G$19-SQRT((1-X32)*($G$19-$E$19)*($G$19-$F$19)))</f>
        <v>27.5276715326503</v>
      </c>
      <c r="Z32" s="12" t="n">
        <f aca="false">G32*(1+Q32/100)</f>
        <v>46068.8456197862</v>
      </c>
      <c r="AA32" s="12" t="n">
        <f aca="false">I32*(1+Q32/100)*(1+S32/100)</f>
        <v>48643.8609299968</v>
      </c>
      <c r="AB32" s="12" t="n">
        <f aca="false">K32*(1+Q32/100)*(1+S32/100)*(1+U32/100)</f>
        <v>62706.4249325146</v>
      </c>
      <c r="AC32" s="12" t="n">
        <f aca="false">M32*(1+Q32/100)*(1+S32/100)*(1+U32/100)*(1+W32/100)</f>
        <v>79377.4430394996</v>
      </c>
      <c r="AD32" s="12" t="n">
        <f aca="false">O32*(1+Q32/100)*(1+S32/100)*(1+U32/100)*(1+W32/100)*(1+Y32/100)</f>
        <v>103345.238263198</v>
      </c>
      <c r="AE32" s="12" t="n">
        <f aca="false">ABS(C32)/$B$7</f>
        <v>15483.411426824</v>
      </c>
      <c r="AF32" s="12" t="n">
        <f aca="false">Z32-AE32</f>
        <v>30585.4341929622</v>
      </c>
      <c r="AG32" s="12" t="n">
        <f aca="false">AA32-AE32</f>
        <v>33160.4495031728</v>
      </c>
      <c r="AH32" s="12" t="n">
        <f aca="false">AB32-AE32</f>
        <v>47223.0135056906</v>
      </c>
      <c r="AI32" s="12" t="n">
        <f aca="false">AC32-AE32</f>
        <v>63894.0316126756</v>
      </c>
      <c r="AJ32" s="12" t="n">
        <f aca="false">AD32-AE32</f>
        <v>87861.8268363742</v>
      </c>
      <c r="AK32" s="12" t="n">
        <f aca="false">AF32*$B$4</f>
        <v>15292.7170964811</v>
      </c>
      <c r="AL32" s="12" t="n">
        <f aca="false">AG32*$B$4</f>
        <v>16580.2247515864</v>
      </c>
      <c r="AM32" s="12" t="n">
        <f aca="false">AH32*$B$4</f>
        <v>23611.5067528453</v>
      </c>
      <c r="AN32" s="12" t="n">
        <f aca="false">AI32*$B$4</f>
        <v>31947.0158063378</v>
      </c>
      <c r="AO32" s="12" t="n">
        <f aca="false">AJ32*$B$4</f>
        <v>43930.9134181871</v>
      </c>
      <c r="AP32" s="12" t="n">
        <f aca="false">AF32-AK32</f>
        <v>15292.7170964811</v>
      </c>
      <c r="AQ32" s="12" t="n">
        <f aca="false">AG32-AL32</f>
        <v>16580.2247515864</v>
      </c>
      <c r="AR32" s="12" t="n">
        <f aca="false">AH32-AM32</f>
        <v>23611.5067528453</v>
      </c>
      <c r="AS32" s="12" t="n">
        <f aca="false">AI32-AN32</f>
        <v>31947.0158063378</v>
      </c>
      <c r="AT32" s="12" t="n">
        <f aca="false">AJ32-AO32</f>
        <v>43930.9134181871</v>
      </c>
      <c r="AU32" s="12" t="n">
        <f aca="false">0.2*ABS(C32)+1*ABS(E32)</f>
        <v>45913.1300680169</v>
      </c>
      <c r="AV32" s="12" t="n">
        <f aca="false">C32+E32</f>
        <v>-107846.775775313</v>
      </c>
      <c r="AW32" s="12" t="n">
        <f aca="false">AP32+AE32</f>
        <v>30776.1285233051</v>
      </c>
      <c r="AX32" s="12" t="n">
        <f aca="false">AQ32+AE32</f>
        <v>32063.6361784104</v>
      </c>
      <c r="AY32" s="12" t="n">
        <f aca="false">AR32+AE32</f>
        <v>39094.9181796693</v>
      </c>
      <c r="AZ32" s="12" t="n">
        <f aca="false">AS32+AE32</f>
        <v>47430.4272331618</v>
      </c>
      <c r="BA32" s="12" t="n">
        <f aca="false">AT32+AE32+AU32</f>
        <v>105327.454913028</v>
      </c>
      <c r="BB32" s="4" t="n">
        <f aca="false">IFERROR(IRR(AV32:BA32,0.15),"n/a")</f>
        <v>0.290396980321421</v>
      </c>
      <c r="BC32" s="12" t="n">
        <f aca="false">NPV($B$5,AW32:BA32)+AV32</f>
        <v>48350.1947514253</v>
      </c>
    </row>
    <row r="33" customFormat="false" ht="15" hidden="false" customHeight="false" outlineLevel="0" collapsed="false">
      <c r="A33" s="3" t="n">
        <v>9</v>
      </c>
      <c r="B33" s="15" t="n">
        <f aca="true">RAND()</f>
        <v>0.118869718690995</v>
      </c>
      <c r="C33" s="12" t="n">
        <f aca="false">IF(B33&lt;=($F$12-$E$12)/($G$12-$E$12),$E$12+SQRT(B33*($G$12-$E$12)*($F$12-$E$12)),$G$12-SQRT((1-B33)*($G$12-$E$12)*($G$12-$F$12)))</f>
        <v>-88056.6477725392</v>
      </c>
      <c r="D33" s="15" t="n">
        <f aca="true">RAND()</f>
        <v>0.847898136680383</v>
      </c>
      <c r="E33" s="12" t="n">
        <f aca="false">IF(D33&lt;=($F$13-$E$13)/($G$13-$E$13),$E$13+SQRT(D33*($G$13-$E$13)*($F$13-$E$13)),$G$13-SQRT((1-D33)*($G$13-$E$13)*($G$13-$F$13)))</f>
        <v>-28377.5197629283</v>
      </c>
      <c r="F33" s="15" t="n">
        <f aca="true">RAND()</f>
        <v>0.221815638490271</v>
      </c>
      <c r="G33" s="12" t="n">
        <f aca="false">IF(F33&lt;=($F$14-$E$14)/($G$14-$E$14),$E$14+SQRT(F33*($G$14-$E$14)*($F$14-$E$14)),$G$14-SQRT((1-F33)*($G$14-$E$14)*($G$14-$F$14)))</f>
        <v>35768.2185961994</v>
      </c>
      <c r="H33" s="15" t="n">
        <f aca="true">RAND()</f>
        <v>0.497259360254384</v>
      </c>
      <c r="I33" s="12" t="n">
        <f aca="false">IF(H33&lt;=($F$14-$E$14)/($G$14-$E$14),$E$14+SQRT(H33*($G$14-$E$14)*($F$14-$E$14)),$G$14-SQRT((1-H33)*($G$14-$E$14)*($G$14-$F$14)))</f>
        <v>38636.486787934</v>
      </c>
      <c r="J33" s="15" t="n">
        <f aca="true">RAND()</f>
        <v>0.713275301027871</v>
      </c>
      <c r="K33" s="12" t="n">
        <f aca="false">IF(J33&lt;=($F$14-$E$14)/($G$14-$E$14),$E$14+SQRT(J33*($G$14-$E$14)*($F$14-$E$14)),$G$14-SQRT((1-J33)*($G$14-$E$14)*($G$14-$F$14)))</f>
        <v>40362.72144217</v>
      </c>
      <c r="L33" s="15" t="n">
        <f aca="true">RAND()</f>
        <v>0.531984990090576</v>
      </c>
      <c r="M33" s="12" t="n">
        <f aca="false">IF(L33&lt;=($F$14-$E$14)/($G$14-$E$14),$E$14+SQRT(L33*($G$14-$E$14)*($F$14-$E$14)),$G$14-SQRT((1-L33)*($G$14-$E$14)*($G$14-$F$14)))</f>
        <v>38932.9585532222</v>
      </c>
      <c r="N33" s="15" t="n">
        <f aca="true">RAND()</f>
        <v>0.249995344975204</v>
      </c>
      <c r="O33" s="12" t="n">
        <f aca="false">IF(N33&lt;=($F$14-$E$14)/($G$14-$E$14),$E$14+SQRT(N33*($G$14-$E$14)*($F$14-$E$14)),$G$14-SQRT((1-N33)*($G$14-$E$14)*($G$14-$F$14)))</f>
        <v>36123.6673445151</v>
      </c>
      <c r="P33" s="15" t="n">
        <f aca="true">RAND()</f>
        <v>0.938311007956417</v>
      </c>
      <c r="Q33" s="16" t="n">
        <f aca="false">IF(P33&lt;=($F$15-$E$15)/($G$15-$E$15),$E$15+SQRT(P33*($G$15-$E$15)*($F$15-$E$15)),$G$15-SQRT((1-P33)*($G$15-$E$15)*($G$15-$F$15)))</f>
        <v>16.9462439291826</v>
      </c>
      <c r="R33" s="15" t="n">
        <f aca="true">RAND()</f>
        <v>0.860163235993859</v>
      </c>
      <c r="S33" s="16" t="n">
        <f aca="false">IF(R33&lt;=($F$16-$E$16)/($G$16-$E$16),$E$16+SQRT(R33*($G$16-$E$16)*($F$16-$E$16)),$G$16-SQRT((1-R33)*($G$16-$E$16)*($G$16-$F$16)))</f>
        <v>16.4134749443798</v>
      </c>
      <c r="T33" s="15" t="n">
        <f aca="true">RAND()</f>
        <v>0.691559240000792</v>
      </c>
      <c r="U33" s="16" t="n">
        <f aca="false">IF(T33&lt;=($F$17-$E$17)/($G$17-$E$17),$E$17+SQRT(T33*($G$17-$E$17)*($F$17-$E$17)),$G$17-SQRT((1-T33)*($G$17-$E$17)*($G$17-$F$17)))</f>
        <v>19.0612347354751</v>
      </c>
      <c r="V33" s="15" t="n">
        <f aca="true">RAND()</f>
        <v>0.0353416585156058</v>
      </c>
      <c r="W33" s="16" t="n">
        <f aca="false">IF(V33&lt;=($F$18-$E$18)/($G$18-$E$18),$E$18+SQRT(V33*($G$18-$E$18)*($F$18-$E$18)),$G$18-SQRT((1-V33)*($G$18-$E$18)*($G$18-$F$18)))</f>
        <v>18.7034082877096</v>
      </c>
      <c r="X33" s="15" t="n">
        <f aca="true">RAND()</f>
        <v>0.685466696480616</v>
      </c>
      <c r="Y33" s="16" t="n">
        <f aca="false">IF(X33&lt;=($F$19-$E$19)/($G$19-$E$19),$E$19+SQRT(X33*($G$19-$E$19)*($F$19-$E$19)),$G$19-SQRT((1-X33)*($G$19-$E$19)*($G$19-$F$19)))</f>
        <v>23.878738252665</v>
      </c>
      <c r="Z33" s="12" t="n">
        <f aca="false">G33*(1+Q33/100)</f>
        <v>41829.5881686346</v>
      </c>
      <c r="AA33" s="12" t="n">
        <f aca="false">I33*(1+Q33/100)*(1+S33/100)</f>
        <v>52600.1714866718</v>
      </c>
      <c r="AB33" s="12" t="n">
        <f aca="false">K33*(1+Q33/100)*(1+S33/100)*(1+U33/100)</f>
        <v>65424.4911746226</v>
      </c>
      <c r="AC33" s="12" t="n">
        <f aca="false">M33*(1+Q33/100)*(1+S33/100)*(1+U33/100)*(1+W33/100)</f>
        <v>74910.1228483401</v>
      </c>
      <c r="AD33" s="12" t="n">
        <f aca="false">O33*(1+Q33/100)*(1+S33/100)*(1+U33/100)*(1+W33/100)*(1+Y33/100)</f>
        <v>86101.6966562972</v>
      </c>
      <c r="AE33" s="12" t="n">
        <f aca="false">ABS(C33)/$B$7</f>
        <v>17611.3295545078</v>
      </c>
      <c r="AF33" s="12" t="n">
        <f aca="false">Z33-AE33</f>
        <v>24218.2586141268</v>
      </c>
      <c r="AG33" s="12" t="n">
        <f aca="false">AA33-AE33</f>
        <v>34988.841932164</v>
      </c>
      <c r="AH33" s="12" t="n">
        <f aca="false">AB33-AE33</f>
        <v>47813.1616201147</v>
      </c>
      <c r="AI33" s="12" t="n">
        <f aca="false">AC33-AE33</f>
        <v>57298.7932938323</v>
      </c>
      <c r="AJ33" s="12" t="n">
        <f aca="false">AD33-AE33</f>
        <v>68490.3671017894</v>
      </c>
      <c r="AK33" s="12" t="n">
        <f aca="false">AF33*$B$4</f>
        <v>12109.1293070634</v>
      </c>
      <c r="AL33" s="12" t="n">
        <f aca="false">AG33*$B$4</f>
        <v>17494.420966082</v>
      </c>
      <c r="AM33" s="12" t="n">
        <f aca="false">AH33*$B$4</f>
        <v>23906.5808100574</v>
      </c>
      <c r="AN33" s="12" t="n">
        <f aca="false">AI33*$B$4</f>
        <v>28649.3966469161</v>
      </c>
      <c r="AO33" s="12" t="n">
        <f aca="false">AJ33*$B$4</f>
        <v>34245.1835508947</v>
      </c>
      <c r="AP33" s="12" t="n">
        <f aca="false">AF33-AK33</f>
        <v>12109.1293070634</v>
      </c>
      <c r="AQ33" s="12" t="n">
        <f aca="false">AG33-AL33</f>
        <v>17494.420966082</v>
      </c>
      <c r="AR33" s="12" t="n">
        <f aca="false">AH33-AM33</f>
        <v>23906.5808100574</v>
      </c>
      <c r="AS33" s="12" t="n">
        <f aca="false">AI33-AN33</f>
        <v>28649.3966469161</v>
      </c>
      <c r="AT33" s="12" t="n">
        <f aca="false">AJ33-AO33</f>
        <v>34245.1835508947</v>
      </c>
      <c r="AU33" s="12" t="n">
        <f aca="false">0.2*ABS(C33)+1*ABS(E33)</f>
        <v>45988.8493174361</v>
      </c>
      <c r="AV33" s="12" t="n">
        <f aca="false">C33+E33</f>
        <v>-116434.167535467</v>
      </c>
      <c r="AW33" s="12" t="n">
        <f aca="false">AP33+AE33</f>
        <v>29720.4588615712</v>
      </c>
      <c r="AX33" s="12" t="n">
        <f aca="false">AQ33+AE33</f>
        <v>35105.7505205898</v>
      </c>
      <c r="AY33" s="12" t="n">
        <f aca="false">AR33+AE33</f>
        <v>41517.9103645652</v>
      </c>
      <c r="AZ33" s="12" t="n">
        <f aca="false">AS33+AE33</f>
        <v>46260.726201424</v>
      </c>
      <c r="BA33" s="12" t="n">
        <f aca="false">AT33+AE33+AU33</f>
        <v>97845.3624228387</v>
      </c>
      <c r="BB33" s="4" t="n">
        <f aca="false">IFERROR(IRR(AV33:BA33,0.15),"n/a")</f>
        <v>0.257142501420687</v>
      </c>
      <c r="BC33" s="12" t="n">
        <f aca="false">NPV($B$5,AW33:BA33)+AV33</f>
        <v>38349.5588812865</v>
      </c>
    </row>
    <row r="34" customFormat="false" ht="15" hidden="false" customHeight="false" outlineLevel="0" collapsed="false">
      <c r="A34" s="3" t="n">
        <v>10</v>
      </c>
      <c r="B34" s="15" t="n">
        <f aca="true">RAND()</f>
        <v>0.288039002940142</v>
      </c>
      <c r="C34" s="12" t="n">
        <f aca="false">IF(B34&lt;=($F$12-$E$12)/($G$12-$E$12),$E$12+SQRT(B34*($G$12-$E$12)*($F$12-$E$12)),$G$12-SQRT((1-B34)*($G$12-$E$12)*($G$12-$F$12)))</f>
        <v>-81408.4211663407</v>
      </c>
      <c r="D34" s="15" t="n">
        <f aca="true">RAND()</f>
        <v>0.35092471554934</v>
      </c>
      <c r="E34" s="12" t="n">
        <f aca="false">IF(D34&lt;=($F$13-$E$13)/($G$13-$E$13),$E$13+SQRT(D34*($G$13-$E$13)*($F$13-$E$13)),$G$13-SQRT((1-D34)*($G$13-$E$13)*($G$13-$F$13)))</f>
        <v>-32744.7462254997</v>
      </c>
      <c r="F34" s="15" t="n">
        <f aca="true">RAND()</f>
        <v>0.425953316251266</v>
      </c>
      <c r="G34" s="12" t="n">
        <f aca="false">IF(F34&lt;=($F$14-$E$14)/($G$14-$E$14),$E$14+SQRT(F34*($G$14-$E$14)*($F$14-$E$14)),$G$14-SQRT((1-F34)*($G$14-$E$14)*($G$14-$F$14)))</f>
        <v>37993.3095422165</v>
      </c>
      <c r="H34" s="15" t="n">
        <f aca="true">RAND()</f>
        <v>0.440359886615838</v>
      </c>
      <c r="I34" s="12" t="n">
        <f aca="false">IF(H34&lt;=($F$14-$E$14)/($G$14-$E$14),$E$14+SQRT(H34*($G$14-$E$14)*($F$14-$E$14)),$G$14-SQRT((1-H34)*($G$14-$E$14)*($G$14-$F$14)))</f>
        <v>38127.3601490506</v>
      </c>
      <c r="J34" s="15" t="n">
        <f aca="true">RAND()</f>
        <v>0.197468551265752</v>
      </c>
      <c r="K34" s="12" t="n">
        <f aca="false">IF(J34&lt;=($F$14-$E$14)/($G$14-$E$14),$E$14+SQRT(J34*($G$14-$E$14)*($F$14-$E$14)),$G$14-SQRT((1-J34)*($G$14-$E$14)*($G$14-$F$14)))</f>
        <v>35442.4519005557</v>
      </c>
      <c r="L34" s="15" t="n">
        <f aca="true">RAND()</f>
        <v>0.586897655937325</v>
      </c>
      <c r="M34" s="12" t="n">
        <f aca="false">IF(L34&lt;=($F$14-$E$14)/($G$14-$E$14),$E$14+SQRT(L34*($G$14-$E$14)*($F$14-$E$14)),$G$14-SQRT((1-L34)*($G$14-$E$14)*($G$14-$F$14)))</f>
        <v>39382.6781033242</v>
      </c>
      <c r="N34" s="15" t="n">
        <f aca="true">RAND()</f>
        <v>0.58275323107336</v>
      </c>
      <c r="O34" s="12" t="n">
        <f aca="false">IF(N34&lt;=($F$14-$E$14)/($G$14-$E$14),$E$14+SQRT(N34*($G$14-$E$14)*($F$14-$E$14)),$G$14-SQRT((1-N34)*($G$14-$E$14)*($G$14-$F$14)))</f>
        <v>39349.4911444957</v>
      </c>
      <c r="P34" s="15" t="n">
        <f aca="true">RAND()</f>
        <v>0.467321429247641</v>
      </c>
      <c r="Q34" s="16" t="n">
        <f aca="false">IF(P34&lt;=($F$15-$E$15)/($G$15-$E$15),$E$15+SQRT(P34*($G$15-$E$15)*($F$15-$E$15)),$G$15-SQRT((1-P34)*($G$15-$E$15)*($G$15-$F$15)))</f>
        <v>14.9003078675302</v>
      </c>
      <c r="R34" s="15" t="n">
        <f aca="true">RAND()</f>
        <v>0.606070506340262</v>
      </c>
      <c r="S34" s="16" t="n">
        <f aca="false">IF(R34&lt;=($F$16-$E$16)/($G$16-$E$16),$E$16+SQRT(R34*($G$16-$E$16)*($F$16-$E$16)),$G$16-SQRT((1-R34)*($G$16-$E$16)*($G$16-$F$16)))</f>
        <v>15.3371573674219</v>
      </c>
      <c r="T34" s="15" t="n">
        <f aca="true">RAND()</f>
        <v>0.329833615237619</v>
      </c>
      <c r="U34" s="16" t="n">
        <f aca="false">IF(T34&lt;=($F$17-$E$17)/($G$17-$E$17),$E$17+SQRT(T34*($G$17-$E$17)*($F$17-$E$17)),$G$17-SQRT((1-T34)*($G$17-$E$17)*($G$17-$F$17)))</f>
        <v>17.6318255869244</v>
      </c>
      <c r="V34" s="15" t="n">
        <f aca="true">RAND()</f>
        <v>0.981111062357408</v>
      </c>
      <c r="W34" s="16" t="n">
        <f aca="false">IF(V34&lt;=($F$18-$E$18)/($G$18-$E$18),$E$18+SQRT(V34*($G$18-$E$18)*($F$18-$E$18)),$G$18-SQRT((1-V34)*($G$18-$E$18)*($G$18-$F$18)))</f>
        <v>24.1869115561695</v>
      </c>
      <c r="X34" s="15" t="n">
        <f aca="true">RAND()</f>
        <v>0.370296018912311</v>
      </c>
      <c r="Y34" s="16" t="n">
        <f aca="false">IF(X34&lt;=($F$19-$E$19)/($G$19-$E$19),$E$19+SQRT(X34*($G$19-$E$19)*($F$19-$E$19)),$G$19-SQRT((1-X34)*($G$19-$E$19)*($G$19-$F$19)))</f>
        <v>22.1687038337317</v>
      </c>
      <c r="Z34" s="12" t="n">
        <f aca="false">G34*(1+Q34/100)</f>
        <v>43654.4296330705</v>
      </c>
      <c r="AA34" s="12" t="n">
        <f aca="false">I34*(1+Q34/100)*(1+S34/100)</f>
        <v>50527.4257528398</v>
      </c>
      <c r="AB34" s="12" t="n">
        <f aca="false">K34*(1+Q34/100)*(1+S34/100)*(1+U34/100)</f>
        <v>55250.8586259588</v>
      </c>
      <c r="AC34" s="12" t="n">
        <f aca="false">M34*(1+Q34/100)*(1+S34/100)*(1+U34/100)*(1+W34/100)</f>
        <v>76242.362510186</v>
      </c>
      <c r="AD34" s="12" t="n">
        <f aca="false">O34*(1+Q34/100)*(1+S34/100)*(1+U34/100)*(1+W34/100)*(1+Y34/100)</f>
        <v>93065.8152930714</v>
      </c>
      <c r="AE34" s="12" t="n">
        <f aca="false">ABS(C34)/$B$7</f>
        <v>16281.6842332681</v>
      </c>
      <c r="AF34" s="12" t="n">
        <f aca="false">Z34-AE34</f>
        <v>27372.7453998024</v>
      </c>
      <c r="AG34" s="12" t="n">
        <f aca="false">AA34-AE34</f>
        <v>34245.7415195716</v>
      </c>
      <c r="AH34" s="12" t="n">
        <f aca="false">AB34-AE34</f>
        <v>38969.1743926907</v>
      </c>
      <c r="AI34" s="12" t="n">
        <f aca="false">AC34-AE34</f>
        <v>59960.6782769179</v>
      </c>
      <c r="AJ34" s="12" t="n">
        <f aca="false">AD34-AE34</f>
        <v>76784.1310598032</v>
      </c>
      <c r="AK34" s="12" t="n">
        <f aca="false">AF34*$B$4</f>
        <v>13686.3726999012</v>
      </c>
      <c r="AL34" s="12" t="n">
        <f aca="false">AG34*$B$4</f>
        <v>17122.8707597858</v>
      </c>
      <c r="AM34" s="12" t="n">
        <f aca="false">AH34*$B$4</f>
        <v>19484.5871963453</v>
      </c>
      <c r="AN34" s="12" t="n">
        <f aca="false">AI34*$B$4</f>
        <v>29980.3391384589</v>
      </c>
      <c r="AO34" s="12" t="n">
        <f aca="false">AJ34*$B$4</f>
        <v>38392.0655299016</v>
      </c>
      <c r="AP34" s="12" t="n">
        <f aca="false">AF34-AK34</f>
        <v>13686.3726999012</v>
      </c>
      <c r="AQ34" s="12" t="n">
        <f aca="false">AG34-AL34</f>
        <v>17122.8707597858</v>
      </c>
      <c r="AR34" s="12" t="n">
        <f aca="false">AH34-AM34</f>
        <v>19484.5871963453</v>
      </c>
      <c r="AS34" s="12" t="n">
        <f aca="false">AI34-AN34</f>
        <v>29980.3391384589</v>
      </c>
      <c r="AT34" s="12" t="n">
        <f aca="false">AJ34-AO34</f>
        <v>38392.0655299016</v>
      </c>
      <c r="AU34" s="12" t="n">
        <f aca="false">0.2*ABS(C34)+1*ABS(E34)</f>
        <v>49026.4304587678</v>
      </c>
      <c r="AV34" s="12" t="n">
        <f aca="false">C34+E34</f>
        <v>-114153.16739184</v>
      </c>
      <c r="AW34" s="12" t="n">
        <f aca="false">AP34+AE34</f>
        <v>29968.0569331693</v>
      </c>
      <c r="AX34" s="12" t="n">
        <f aca="false">AQ34+AE34</f>
        <v>33404.5549930539</v>
      </c>
      <c r="AY34" s="12" t="n">
        <f aca="false">AR34+AE34</f>
        <v>35766.2714296135</v>
      </c>
      <c r="AZ34" s="12" t="n">
        <f aca="false">AS34+AE34</f>
        <v>46262.0233717271</v>
      </c>
      <c r="BA34" s="12" t="n">
        <f aca="false">AT34+AE34+AU34</f>
        <v>103700.180221938</v>
      </c>
      <c r="BB34" s="4" t="n">
        <f aca="false">IFERROR(IRR(AV34:BA34,0.15),"n/a")</f>
        <v>0.258446315682195</v>
      </c>
      <c r="BC34" s="12" t="n">
        <f aca="false">NPV($B$5,AW34:BA34)+AV34</f>
        <v>38689.3383685233</v>
      </c>
    </row>
    <row r="35" customFormat="false" ht="15" hidden="false" customHeight="false" outlineLevel="0" collapsed="false">
      <c r="A35" s="3" t="n">
        <v>11</v>
      </c>
      <c r="B35" s="15" t="n">
        <f aca="true">RAND()</f>
        <v>0.190709166828298</v>
      </c>
      <c r="C35" s="12" t="n">
        <f aca="false">IF(B35&lt;=($F$12-$E$12)/($G$12-$E$12),$E$12+SQRT(B35*($G$12-$E$12)*($F$12-$E$12)),$G$12-SQRT((1-B35)*($G$12-$E$12)*($G$12-$F$12)))</f>
        <v>-84872.1779428115</v>
      </c>
      <c r="D35" s="15" t="n">
        <f aca="true">RAND()</f>
        <v>0.313680184657136</v>
      </c>
      <c r="E35" s="12" t="n">
        <f aca="false">IF(D35&lt;=($F$13-$E$13)/($G$13-$E$13),$E$13+SQRT(D35*($G$13-$E$13)*($F$13-$E$13)),$G$13-SQRT((1-D35)*($G$13-$E$13)*($G$13-$F$13)))</f>
        <v>-33140.5519392177</v>
      </c>
      <c r="F35" s="15" t="n">
        <f aca="true">RAND()</f>
        <v>0.716730044900146</v>
      </c>
      <c r="G35" s="12" t="n">
        <f aca="false">IF(F35&lt;=($F$14-$E$14)/($G$14-$E$14),$E$14+SQRT(F35*($G$14-$E$14)*($F$14-$E$14)),$G$14-SQRT((1-F35)*($G$14-$E$14)*($G$14-$F$14)))</f>
        <v>40390.7433752839</v>
      </c>
      <c r="H35" s="15" t="n">
        <f aca="true">RAND()</f>
        <v>0.283451480261319</v>
      </c>
      <c r="I35" s="12" t="n">
        <f aca="false">IF(H35&lt;=($F$14-$E$14)/($G$14-$E$14),$E$14+SQRT(H35*($G$14-$E$14)*($F$14-$E$14)),$G$14-SQRT((1-H35)*($G$14-$E$14)*($G$14-$F$14)))</f>
        <v>36520.5614818969</v>
      </c>
      <c r="J35" s="15" t="n">
        <f aca="true">RAND()</f>
        <v>0.665328068002165</v>
      </c>
      <c r="K35" s="12" t="n">
        <f aca="false">IF(J35&lt;=($F$14-$E$14)/($G$14-$E$14),$E$14+SQRT(J35*($G$14-$E$14)*($F$14-$E$14)),$G$14-SQRT((1-J35)*($G$14-$E$14)*($G$14-$F$14)))</f>
        <v>39989.9554653825</v>
      </c>
      <c r="L35" s="15" t="n">
        <f aca="true">RAND()</f>
        <v>0.456885993554213</v>
      </c>
      <c r="M35" s="12" t="n">
        <f aca="false">IF(L35&lt;=($F$14-$E$14)/($G$14-$E$14),$E$14+SQRT(L35*($G$14-$E$14)*($F$14-$E$14)),$G$14-SQRT((1-L35)*($G$14-$E$14)*($G$14-$F$14)))</f>
        <v>38278.4599433187</v>
      </c>
      <c r="N35" s="15" t="n">
        <f aca="true">RAND()</f>
        <v>0.677063021018708</v>
      </c>
      <c r="O35" s="12" t="n">
        <f aca="false">IF(N35&lt;=($F$14-$E$14)/($G$14-$E$14),$E$14+SQRT(N35*($G$14-$E$14)*($F$14-$E$14)),$G$14-SQRT((1-N35)*($G$14-$E$14)*($G$14-$F$14)))</f>
        <v>40078.5903011843</v>
      </c>
      <c r="P35" s="15" t="n">
        <f aca="true">RAND()</f>
        <v>0.692372647882272</v>
      </c>
      <c r="Q35" s="16" t="n">
        <f aca="false">IF(P35&lt;=($F$15-$E$15)/($G$15-$E$15),$E$15+SQRT(P35*($G$15-$E$15)*($F$15-$E$15)),$G$15-SQRT((1-P35)*($G$15-$E$15)*($G$15-$F$15)))</f>
        <v>15.6468547987599</v>
      </c>
      <c r="R35" s="15" t="n">
        <f aca="true">RAND()</f>
        <v>0.230312917272095</v>
      </c>
      <c r="S35" s="16" t="n">
        <f aca="false">IF(R35&lt;=($F$16-$E$16)/($G$16-$E$16),$E$16+SQRT(R35*($G$16-$E$16)*($F$16-$E$16)),$G$16-SQRT((1-R35)*($G$16-$E$16)*($G$16-$F$16)))</f>
        <v>14.0360826385237</v>
      </c>
      <c r="T35" s="15" t="n">
        <f aca="true">RAND()</f>
        <v>0.0361126028715753</v>
      </c>
      <c r="U35" s="16" t="n">
        <f aca="false">IF(T35&lt;=($F$17-$E$17)/($G$17-$E$17),$E$17+SQRT(T35*($G$17-$E$17)*($F$17-$E$17)),$G$17-SQRT((1-T35)*($G$17-$E$17)*($G$17-$F$17)))</f>
        <v>15.8708413519712</v>
      </c>
      <c r="V35" s="15" t="n">
        <f aca="true">RAND()</f>
        <v>0.168241795125471</v>
      </c>
      <c r="W35" s="16" t="n">
        <f aca="false">IF(V35&lt;=($F$18-$E$18)/($G$18-$E$18),$E$18+SQRT(V35*($G$18-$E$18)*($F$18-$E$18)),$G$18-SQRT((1-V35)*($G$18-$E$18)*($G$18-$F$18)))</f>
        <v>19.5347264028994</v>
      </c>
      <c r="X35" s="15" t="n">
        <f aca="true">RAND()</f>
        <v>0.968620384253086</v>
      </c>
      <c r="Y35" s="16" t="n">
        <f aca="false">IF(X35&lt;=($F$19-$E$19)/($G$19-$E$19),$E$19+SQRT(X35*($G$19-$E$19)*($F$19-$E$19)),$G$19-SQRT((1-X35)*($G$19-$E$19)*($G$19-$F$19)))</f>
        <v>26.6982706693274</v>
      </c>
      <c r="Z35" s="12" t="n">
        <f aca="false">G35*(1+Q35/100)</f>
        <v>46710.6243433543</v>
      </c>
      <c r="AA35" s="12" t="n">
        <f aca="false">I35*(1+Q35/100)*(1+S35/100)</f>
        <v>48163.0034672108</v>
      </c>
      <c r="AB35" s="12" t="n">
        <f aca="false">K35*(1+Q35/100)*(1+S35/100)*(1+U35/100)</f>
        <v>61108.4399813618</v>
      </c>
      <c r="AC35" s="12" t="n">
        <f aca="false">M35*(1+Q35/100)*(1+S35/100)*(1+U35/100)*(1+W35/100)</f>
        <v>69919.5822340911</v>
      </c>
      <c r="AD35" s="12" t="n">
        <f aca="false">O35*(1+Q35/100)*(1+S35/100)*(1+U35/100)*(1+W35/100)*(1+Y35/100)</f>
        <v>92752.8991115006</v>
      </c>
      <c r="AE35" s="12" t="n">
        <f aca="false">ABS(C35)/$B$7</f>
        <v>16974.4355885623</v>
      </c>
      <c r="AF35" s="12" t="n">
        <f aca="false">Z35-AE35</f>
        <v>29736.188754792</v>
      </c>
      <c r="AG35" s="12" t="n">
        <f aca="false">AA35-AE35</f>
        <v>31188.5678786485</v>
      </c>
      <c r="AH35" s="12" t="n">
        <f aca="false">AB35-AE35</f>
        <v>44134.0043927995</v>
      </c>
      <c r="AI35" s="12" t="n">
        <f aca="false">AC35-AE35</f>
        <v>52945.1466455288</v>
      </c>
      <c r="AJ35" s="12" t="n">
        <f aca="false">AD35-AE35</f>
        <v>75778.4635229383</v>
      </c>
      <c r="AK35" s="12" t="n">
        <f aca="false">AF35*$B$4</f>
        <v>14868.094377396</v>
      </c>
      <c r="AL35" s="12" t="n">
        <f aca="false">AG35*$B$4</f>
        <v>15594.2839393242</v>
      </c>
      <c r="AM35" s="12" t="n">
        <f aca="false">AH35*$B$4</f>
        <v>22067.0021963997</v>
      </c>
      <c r="AN35" s="12" t="n">
        <f aca="false">AI35*$B$4</f>
        <v>26472.5733227644</v>
      </c>
      <c r="AO35" s="12" t="n">
        <f aca="false">AJ35*$B$4</f>
        <v>37889.2317614691</v>
      </c>
      <c r="AP35" s="12" t="n">
        <f aca="false">AF35-AK35</f>
        <v>14868.094377396</v>
      </c>
      <c r="AQ35" s="12" t="n">
        <f aca="false">AG35-AL35</f>
        <v>15594.2839393242</v>
      </c>
      <c r="AR35" s="12" t="n">
        <f aca="false">AH35-AM35</f>
        <v>22067.0021963997</v>
      </c>
      <c r="AS35" s="12" t="n">
        <f aca="false">AI35-AN35</f>
        <v>26472.5733227644</v>
      </c>
      <c r="AT35" s="12" t="n">
        <f aca="false">AJ35-AO35</f>
        <v>37889.2317614691</v>
      </c>
      <c r="AU35" s="12" t="n">
        <f aca="false">0.2*ABS(C35)+1*ABS(E35)</f>
        <v>50114.98752778</v>
      </c>
      <c r="AV35" s="12" t="n">
        <f aca="false">C35+E35</f>
        <v>-118012.729882029</v>
      </c>
      <c r="AW35" s="12" t="n">
        <f aca="false">AP35+AE35</f>
        <v>31842.5299659583</v>
      </c>
      <c r="AX35" s="12" t="n">
        <f aca="false">AQ35+AE35</f>
        <v>32568.7195278865</v>
      </c>
      <c r="AY35" s="12" t="n">
        <f aca="false">AR35+AE35</f>
        <v>39041.4377849621</v>
      </c>
      <c r="AZ35" s="12" t="n">
        <f aca="false">AS35+AE35</f>
        <v>43447.0089113267</v>
      </c>
      <c r="BA35" s="12" t="n">
        <f aca="false">AT35+AE35+AU35</f>
        <v>104978.654877811</v>
      </c>
      <c r="BB35" s="4" t="n">
        <f aca="false">IFERROR(IRR(AV35:BA35,0.15),"n/a")</f>
        <v>0.251658659410817</v>
      </c>
      <c r="BC35" s="12" t="n">
        <f aca="false">NPV($B$5,AW35:BA35)+AV35</f>
        <v>37007.3499786978</v>
      </c>
    </row>
    <row r="36" customFormat="false" ht="15" hidden="false" customHeight="false" outlineLevel="0" collapsed="false">
      <c r="A36" s="3" t="n">
        <v>12</v>
      </c>
      <c r="B36" s="15" t="n">
        <f aca="true">RAND()</f>
        <v>0.96970791263204</v>
      </c>
      <c r="C36" s="12" t="n">
        <f aca="false">IF(B36&lt;=($F$12-$E$12)/($G$12-$E$12),$E$12+SQRT(B36*($G$12-$E$12)*($F$12-$E$12)),$G$12-SQRT((1-B36)*($G$12-$E$12)*($G$12-$F$12)))</f>
        <v>-63480.9244385916</v>
      </c>
      <c r="D36" s="15" t="n">
        <f aca="true">RAND()</f>
        <v>0.159887602717864</v>
      </c>
      <c r="E36" s="12" t="n">
        <f aca="false">IF(D36&lt;=($F$13-$E$13)/($G$13-$E$13),$E$13+SQRT(D36*($G$13-$E$13)*($F$13-$E$13)),$G$13-SQRT((1-D36)*($G$13-$E$13)*($G$13-$F$13)))</f>
        <v>-35102.7415416705</v>
      </c>
      <c r="F36" s="15" t="n">
        <f aca="true">RAND()</f>
        <v>0.956447037123895</v>
      </c>
      <c r="G36" s="12" t="n">
        <f aca="false">IF(F36&lt;=($F$14-$E$14)/($G$14-$E$14),$E$14+SQRT(F36*($G$14-$E$14)*($F$14-$E$14)),$G$14-SQRT((1-F36)*($G$14-$E$14)*($G$14-$F$14)))</f>
        <v>43192.6615658079</v>
      </c>
      <c r="H36" s="15" t="n">
        <f aca="true">RAND()</f>
        <v>0.0444194139994023</v>
      </c>
      <c r="I36" s="12" t="n">
        <f aca="false">IF(H36&lt;=($F$14-$E$14)/($G$14-$E$14),$E$14+SQRT(H36*($G$14-$E$14)*($F$14-$E$14)),$G$14-SQRT((1-H36)*($G$14-$E$14)*($G$14-$F$14)))</f>
        <v>32581.2617263483</v>
      </c>
      <c r="J36" s="15" t="n">
        <f aca="true">RAND()</f>
        <v>0.835384213475868</v>
      </c>
      <c r="K36" s="12" t="n">
        <f aca="false">IF(J36&lt;=($F$14-$E$14)/($G$14-$E$14),$E$14+SQRT(J36*($G$14-$E$14)*($F$14-$E$14)),$G$14-SQRT((1-J36)*($G$14-$E$14)*($G$14-$F$14)))</f>
        <v>41486.2862966215</v>
      </c>
      <c r="L36" s="15" t="n">
        <f aca="true">RAND()</f>
        <v>0.959681834918771</v>
      </c>
      <c r="M36" s="12" t="n">
        <f aca="false">IF(L36&lt;=($F$14-$E$14)/($G$14-$E$14),$E$14+SQRT(L36*($G$14-$E$14)*($F$14-$E$14)),$G$14-SQRT((1-L36)*($G$14-$E$14)*($G$14-$F$14)))</f>
        <v>43261.0743601027</v>
      </c>
      <c r="N36" s="15" t="n">
        <f aca="true">RAND()</f>
        <v>0.720703136897982</v>
      </c>
      <c r="O36" s="12" t="n">
        <f aca="false">IF(N36&lt;=($F$14-$E$14)/($G$14-$E$14),$E$14+SQRT(N36*($G$14-$E$14)*($F$14-$E$14)),$G$14-SQRT((1-N36)*($G$14-$E$14)*($G$14-$F$14)))</f>
        <v>40423.1818112742</v>
      </c>
      <c r="P36" s="15" t="n">
        <f aca="true">RAND()</f>
        <v>0.724785193787489</v>
      </c>
      <c r="Q36" s="16" t="n">
        <f aca="false">IF(P36&lt;=($F$15-$E$15)/($G$15-$E$15),$E$15+SQRT(P36*($G$15-$E$15)*($F$15-$E$15)),$G$15-SQRT((1-P36)*($G$15-$E$15)*($G$15-$F$15)))</f>
        <v>15.7742716895755</v>
      </c>
      <c r="R36" s="15" t="n">
        <f aca="true">RAND()</f>
        <v>0.723029338390306</v>
      </c>
      <c r="S36" s="16" t="n">
        <f aca="false">IF(R36&lt;=($F$16-$E$16)/($G$16-$E$16),$E$16+SQRT(R36*($G$16-$E$16)*($F$16-$E$16)),$G$16-SQRT((1-R36)*($G$16-$E$16)*($G$16-$F$16)))</f>
        <v>15.7671829656296</v>
      </c>
      <c r="T36" s="15" t="n">
        <f aca="true">RAND()</f>
        <v>0.212286850333211</v>
      </c>
      <c r="U36" s="16" t="n">
        <f aca="false">IF(T36&lt;=($F$17-$E$17)/($G$17-$E$17),$E$17+SQRT(T36*($G$17-$E$17)*($F$17-$E$17)),$G$17-SQRT((1-T36)*($G$17-$E$17)*($G$17-$F$17)))</f>
        <v>17.1114032909412</v>
      </c>
      <c r="V36" s="15" t="n">
        <f aca="true">RAND()</f>
        <v>0.0549048324760996</v>
      </c>
      <c r="W36" s="16" t="n">
        <f aca="false">IF(V36&lt;=($F$18-$E$18)/($G$18-$E$18),$E$18+SQRT(V36*($G$18-$E$18)*($F$18-$E$18)),$G$18-SQRT((1-V36)*($G$18-$E$18)*($G$18-$F$18)))</f>
        <v>18.8767369358396</v>
      </c>
      <c r="X36" s="15" t="n">
        <f aca="true">RAND()</f>
        <v>0.646257301910515</v>
      </c>
      <c r="Y36" s="16" t="n">
        <f aca="false">IF(X36&lt;=($F$19-$E$19)/($G$19-$E$19),$E$19+SQRT(X36*($G$19-$E$19)*($F$19-$E$19)),$G$19-SQRT((1-X36)*($G$19-$E$19)*($G$19-$F$19)))</f>
        <v>23.6294044230984</v>
      </c>
      <c r="Z36" s="12" t="n">
        <f aca="false">G36*(1+Q36/100)</f>
        <v>50005.9893511573</v>
      </c>
      <c r="AA36" s="12" t="n">
        <f aca="false">I36*(1+Q36/100)*(1+S36/100)</f>
        <v>43668.2131682195</v>
      </c>
      <c r="AB36" s="12" t="n">
        <f aca="false">K36*(1+Q36/100)*(1+S36/100)*(1+U36/100)</f>
        <v>65118.032197275</v>
      </c>
      <c r="AC36" s="12" t="n">
        <f aca="false">M36*(1+Q36/100)*(1+S36/100)*(1+U36/100)*(1+W36/100)</f>
        <v>80721.8086760343</v>
      </c>
      <c r="AD36" s="12" t="n">
        <f aca="false">O36*(1+Q36/100)*(1+S36/100)*(1+U36/100)*(1+W36/100)*(1+Y36/100)</f>
        <v>93249.3591049196</v>
      </c>
      <c r="AE36" s="12" t="n">
        <f aca="false">ABS(C36)/$B$7</f>
        <v>12696.1848877183</v>
      </c>
      <c r="AF36" s="12" t="n">
        <f aca="false">Z36-AE36</f>
        <v>37309.804463439</v>
      </c>
      <c r="AG36" s="12" t="n">
        <f aca="false">AA36-AE36</f>
        <v>30972.0282805012</v>
      </c>
      <c r="AH36" s="12" t="n">
        <f aca="false">AB36-AE36</f>
        <v>52421.8473095567</v>
      </c>
      <c r="AI36" s="12" t="n">
        <f aca="false">AC36-AE36</f>
        <v>68025.623788316</v>
      </c>
      <c r="AJ36" s="12" t="n">
        <f aca="false">AD36-AE36</f>
        <v>80553.1742172013</v>
      </c>
      <c r="AK36" s="12" t="n">
        <f aca="false">AF36*$B$4</f>
        <v>18654.9022317195</v>
      </c>
      <c r="AL36" s="12" t="n">
        <f aca="false">AG36*$B$4</f>
        <v>15486.0141402506</v>
      </c>
      <c r="AM36" s="12" t="n">
        <f aca="false">AH36*$B$4</f>
        <v>26210.9236547783</v>
      </c>
      <c r="AN36" s="12" t="n">
        <f aca="false">AI36*$B$4</f>
        <v>34012.811894158</v>
      </c>
      <c r="AO36" s="12" t="n">
        <f aca="false">AJ36*$B$4</f>
        <v>40276.5871086006</v>
      </c>
      <c r="AP36" s="12" t="n">
        <f aca="false">AF36-AK36</f>
        <v>18654.9022317195</v>
      </c>
      <c r="AQ36" s="12" t="n">
        <f aca="false">AG36-AL36</f>
        <v>15486.0141402506</v>
      </c>
      <c r="AR36" s="12" t="n">
        <f aca="false">AH36-AM36</f>
        <v>26210.9236547783</v>
      </c>
      <c r="AS36" s="12" t="n">
        <f aca="false">AI36-AN36</f>
        <v>34012.811894158</v>
      </c>
      <c r="AT36" s="12" t="n">
        <f aca="false">AJ36-AO36</f>
        <v>40276.5871086006</v>
      </c>
      <c r="AU36" s="12" t="n">
        <f aca="false">0.2*ABS(C36)+1*ABS(E36)</f>
        <v>47798.9264293888</v>
      </c>
      <c r="AV36" s="12" t="n">
        <f aca="false">C36+E36</f>
        <v>-98583.6659802621</v>
      </c>
      <c r="AW36" s="12" t="n">
        <f aca="false">AP36+AE36</f>
        <v>31351.0871194378</v>
      </c>
      <c r="AX36" s="12" t="n">
        <f aca="false">AQ36+AE36</f>
        <v>28182.1990279689</v>
      </c>
      <c r="AY36" s="12" t="n">
        <f aca="false">AR36+AE36</f>
        <v>38907.1085424967</v>
      </c>
      <c r="AZ36" s="12" t="n">
        <f aca="false">AS36+AE36</f>
        <v>46708.9967818763</v>
      </c>
      <c r="BA36" s="12" t="n">
        <f aca="false">AT36+AE36+AU36</f>
        <v>100771.698425708</v>
      </c>
      <c r="BB36" s="4" t="n">
        <f aca="false">IFERROR(IRR(AV36:BA36,0.15),"n/a")</f>
        <v>0.314618727608703</v>
      </c>
      <c r="BC36" s="12" t="n">
        <f aca="false">NPV($B$5,AW36:BA36)+AV36</f>
        <v>52377.3601975763</v>
      </c>
    </row>
    <row r="37" customFormat="false" ht="15" hidden="false" customHeight="false" outlineLevel="0" collapsed="false">
      <c r="A37" s="3" t="n">
        <v>13</v>
      </c>
      <c r="B37" s="15" t="n">
        <f aca="true">RAND()</f>
        <v>0.259666804383036</v>
      </c>
      <c r="C37" s="12" t="n">
        <f aca="false">IF(B37&lt;=($F$12-$E$12)/($G$12-$E$12),$E$12+SQRT(B37*($G$12-$E$12)*($F$12-$E$12)),$G$12-SQRT((1-B37)*($G$12-$E$12)*($G$12-$F$12)))</f>
        <v>-82347.7999881136</v>
      </c>
      <c r="D37" s="15" t="n">
        <f aca="true">RAND()</f>
        <v>0.733201415577883</v>
      </c>
      <c r="E37" s="12" t="n">
        <f aca="false">IF(D37&lt;=($F$13-$E$13)/($G$13-$E$13),$E$13+SQRT(D37*($G$13-$E$13)*($F$13-$E$13)),$G$13-SQRT((1-D37)*($G$13-$E$13)*($G$13-$F$13)))</f>
        <v>-29473.2419822383</v>
      </c>
      <c r="F37" s="15" t="n">
        <f aca="true">RAND()</f>
        <v>0.477513369649129</v>
      </c>
      <c r="G37" s="12" t="n">
        <f aca="false">IF(F37&lt;=($F$14-$E$14)/($G$14-$E$14),$E$14+SQRT(F37*($G$14-$E$14)*($F$14-$E$14)),$G$14-SQRT((1-F37)*($G$14-$E$14)*($G$14-$F$14)))</f>
        <v>38463.2739201428</v>
      </c>
      <c r="H37" s="15" t="n">
        <f aca="true">RAND()</f>
        <v>0.474267764718489</v>
      </c>
      <c r="I37" s="12" t="n">
        <f aca="false">IF(H37&lt;=($F$14-$E$14)/($G$14-$E$14),$E$14+SQRT(H37*($G$14-$E$14)*($F$14-$E$14)),$G$14-SQRT((1-H37)*($G$14-$E$14)*($G$14-$F$14)))</f>
        <v>38434.4629175647</v>
      </c>
      <c r="J37" s="15" t="n">
        <f aca="true">RAND()</f>
        <v>0.706223618347087</v>
      </c>
      <c r="K37" s="12" t="n">
        <f aca="false">IF(J37&lt;=($F$14-$E$14)/($G$14-$E$14),$E$14+SQRT(J37*($G$14-$E$14)*($F$14-$E$14)),$G$14-SQRT((1-J37)*($G$14-$E$14)*($G$14-$F$14)))</f>
        <v>40306.0433934719</v>
      </c>
      <c r="L37" s="15" t="n">
        <f aca="true">RAND()</f>
        <v>0.326148605667377</v>
      </c>
      <c r="M37" s="12" t="n">
        <f aca="false">IF(L37&lt;=($F$14-$E$14)/($G$14-$E$14),$E$14+SQRT(L37*($G$14-$E$14)*($F$14-$E$14)),$G$14-SQRT((1-L37)*($G$14-$E$14)*($G$14-$F$14)))</f>
        <v>36994.4471439926</v>
      </c>
      <c r="N37" s="15" t="n">
        <f aca="true">RAND()</f>
        <v>0.0648894730798528</v>
      </c>
      <c r="O37" s="12" t="n">
        <f aca="false">IF(N37&lt;=($F$14-$E$14)/($G$14-$E$14),$E$14+SQRT(N37*($G$14-$E$14)*($F$14-$E$14)),$G$14-SQRT((1-N37)*($G$14-$E$14)*($G$14-$F$14)))</f>
        <v>33119.8430989359</v>
      </c>
      <c r="P37" s="15" t="n">
        <f aca="true">RAND()</f>
        <v>0.224503271413763</v>
      </c>
      <c r="Q37" s="16" t="n">
        <f aca="false">IF(P37&lt;=($F$15-$E$15)/($G$15-$E$15),$E$15+SQRT(P37*($G$15-$E$15)*($F$15-$E$15)),$G$15-SQRT((1-P37)*($G$15-$E$15)*($G$15-$F$15)))</f>
        <v>14.0102385145668</v>
      </c>
      <c r="R37" s="15" t="n">
        <f aca="true">RAND()</f>
        <v>0.272929518613735</v>
      </c>
      <c r="S37" s="16" t="n">
        <f aca="false">IF(R37&lt;=($F$16-$E$16)/($G$16-$E$16),$E$16+SQRT(R37*($G$16-$E$16)*($F$16-$E$16)),$G$16-SQRT((1-R37)*($G$16-$E$16)*($G$16-$F$16)))</f>
        <v>14.2164682120543</v>
      </c>
      <c r="T37" s="15" t="n">
        <f aca="true">RAND()</f>
        <v>0.00526991093692838</v>
      </c>
      <c r="U37" s="16" t="n">
        <f aca="false">IF(T37&lt;=($F$17-$E$17)/($G$17-$E$17),$E$17+SQRT(T37*($G$17-$E$17)*($F$17-$E$17)),$G$17-SQRT((1-T37)*($G$17-$E$17)*($G$17-$F$17)))</f>
        <v>15.3326681975715</v>
      </c>
      <c r="V37" s="15" t="n">
        <f aca="true">RAND()</f>
        <v>0.095634475919663</v>
      </c>
      <c r="W37" s="16" t="n">
        <f aca="false">IF(V37&lt;=($F$18-$E$18)/($G$18-$E$18),$E$18+SQRT(V37*($G$18-$E$18)*($F$18-$E$18)),$G$18-SQRT((1-V37)*($G$18-$E$18)*($G$18-$F$18)))</f>
        <v>19.1571009735003</v>
      </c>
      <c r="X37" s="15" t="n">
        <f aca="true">RAND()</f>
        <v>0.992305183434917</v>
      </c>
      <c r="Y37" s="16" t="n">
        <f aca="false">IF(X37&lt;=($F$19-$E$19)/($G$19-$E$19),$E$19+SQRT(X37*($G$19-$E$19)*($F$19-$E$19)),$G$19-SQRT((1-X37)*($G$19-$E$19)*($G$19-$F$19)))</f>
        <v>27.3553915184281</v>
      </c>
      <c r="Z37" s="12" t="n">
        <f aca="false">G37*(1+Q37/100)</f>
        <v>43852.070336866</v>
      </c>
      <c r="AA37" s="12" t="n">
        <f aca="false">I37*(1+Q37/100)*(1+S37/100)</f>
        <v>50048.7687305101</v>
      </c>
      <c r="AB37" s="12" t="n">
        <f aca="false">K37*(1+Q37/100)*(1+S37/100)*(1+U37/100)</f>
        <v>60533.40291097</v>
      </c>
      <c r="AC37" s="12" t="n">
        <f aca="false">M37*(1+Q37/100)*(1+S37/100)*(1+U37/100)*(1+W37/100)</f>
        <v>66203.5671518453</v>
      </c>
      <c r="AD37" s="12" t="n">
        <f aca="false">O37*(1+Q37/100)*(1+S37/100)*(1+U37/100)*(1+W37/100)*(1+Y37/100)</f>
        <v>75483.22640043</v>
      </c>
      <c r="AE37" s="12" t="n">
        <f aca="false">ABS(C37)/$B$7</f>
        <v>16469.5599976227</v>
      </c>
      <c r="AF37" s="12" t="n">
        <f aca="false">Z37-AE37</f>
        <v>27382.5103392433</v>
      </c>
      <c r="AG37" s="12" t="n">
        <f aca="false">AA37-AE37</f>
        <v>33579.2087328874</v>
      </c>
      <c r="AH37" s="12" t="n">
        <f aca="false">AB37-AE37</f>
        <v>44063.8429133473</v>
      </c>
      <c r="AI37" s="12" t="n">
        <f aca="false">AC37-AE37</f>
        <v>49734.0071542226</v>
      </c>
      <c r="AJ37" s="12" t="n">
        <f aca="false">AD37-AE37</f>
        <v>59013.6664028073</v>
      </c>
      <c r="AK37" s="12" t="n">
        <f aca="false">AF37*$B$4</f>
        <v>13691.2551696216</v>
      </c>
      <c r="AL37" s="12" t="n">
        <f aca="false">AG37*$B$4</f>
        <v>16789.6043664437</v>
      </c>
      <c r="AM37" s="12" t="n">
        <f aca="false">AH37*$B$4</f>
        <v>22031.9214566736</v>
      </c>
      <c r="AN37" s="12" t="n">
        <f aca="false">AI37*$B$4</f>
        <v>24867.0035771113</v>
      </c>
      <c r="AO37" s="12" t="n">
        <f aca="false">AJ37*$B$4</f>
        <v>29506.8332014036</v>
      </c>
      <c r="AP37" s="12" t="n">
        <f aca="false">AF37-AK37</f>
        <v>13691.2551696216</v>
      </c>
      <c r="AQ37" s="12" t="n">
        <f aca="false">AG37-AL37</f>
        <v>16789.6043664437</v>
      </c>
      <c r="AR37" s="12" t="n">
        <f aca="false">AH37-AM37</f>
        <v>22031.9214566736</v>
      </c>
      <c r="AS37" s="12" t="n">
        <f aca="false">AI37-AN37</f>
        <v>24867.0035771113</v>
      </c>
      <c r="AT37" s="12" t="n">
        <f aca="false">AJ37-AO37</f>
        <v>29506.8332014036</v>
      </c>
      <c r="AU37" s="12" t="n">
        <f aca="false">0.2*ABS(C37)+1*ABS(E37)</f>
        <v>45942.801979861</v>
      </c>
      <c r="AV37" s="12" t="n">
        <f aca="false">C37+E37</f>
        <v>-111821.041970352</v>
      </c>
      <c r="AW37" s="12" t="n">
        <f aca="false">AP37+AE37</f>
        <v>30160.8151672444</v>
      </c>
      <c r="AX37" s="12" t="n">
        <f aca="false">AQ37+AE37</f>
        <v>33259.1643640664</v>
      </c>
      <c r="AY37" s="12" t="n">
        <f aca="false">AR37+AE37</f>
        <v>38501.4814542964</v>
      </c>
      <c r="AZ37" s="12" t="n">
        <f aca="false">AS37+AE37</f>
        <v>41336.563574734</v>
      </c>
      <c r="BA37" s="12" t="n">
        <f aca="false">AT37+AE37+AU37</f>
        <v>91919.1951788873</v>
      </c>
      <c r="BB37" s="4" t="n">
        <f aca="false">IFERROR(IRR(AV37:BA37,0.15),"n/a")</f>
        <v>0.25130267804959</v>
      </c>
      <c r="BC37" s="12" t="n">
        <f aca="false">NPV($B$5,AW37:BA37)+AV37</f>
        <v>34204.2091254052</v>
      </c>
    </row>
    <row r="38" customFormat="false" ht="15" hidden="false" customHeight="false" outlineLevel="0" collapsed="false">
      <c r="A38" s="3" t="n">
        <v>14</v>
      </c>
      <c r="B38" s="15" t="n">
        <f aca="true">RAND()</f>
        <v>0.90288794068725</v>
      </c>
      <c r="C38" s="12" t="n">
        <f aca="false">IF(B38&lt;=($F$12-$E$12)/($G$12-$E$12),$E$12+SQRT(B38*($G$12-$E$12)*($F$12-$E$12)),$G$12-SQRT((1-B38)*($G$12-$E$12)*($G$12-$F$12)))</f>
        <v>-66232.561570101</v>
      </c>
      <c r="D38" s="15" t="n">
        <f aca="true">RAND()</f>
        <v>0.568919552050319</v>
      </c>
      <c r="E38" s="12" t="n">
        <f aca="false">IF(D38&lt;=($F$13-$E$13)/($G$13-$E$13),$E$13+SQRT(D38*($G$13-$E$13)*($F$13-$E$13)),$G$13-SQRT((1-D38)*($G$13-$E$13)*($G$13-$F$13)))</f>
        <v>-30762.1467424759</v>
      </c>
      <c r="F38" s="15" t="n">
        <f aca="true">RAND()</f>
        <v>0.153559039350787</v>
      </c>
      <c r="G38" s="12" t="n">
        <f aca="false">IF(F38&lt;=($F$14-$E$14)/($G$14-$E$14),$E$14+SQRT(F38*($G$14-$E$14)*($F$14-$E$14)),$G$14-SQRT((1-F38)*($G$14-$E$14)*($G$14-$F$14)))</f>
        <v>34799.3599471823</v>
      </c>
      <c r="H38" s="15" t="n">
        <f aca="true">RAND()</f>
        <v>0.0441036541978586</v>
      </c>
      <c r="I38" s="12" t="n">
        <f aca="false">IF(H38&lt;=($F$14-$E$14)/($G$14-$E$14),$E$14+SQRT(H38*($G$14-$E$14)*($F$14-$E$14)),$G$14-SQRT((1-H38)*($G$14-$E$14)*($G$14-$F$14)))</f>
        <v>32572.0707862885</v>
      </c>
      <c r="J38" s="15" t="n">
        <f aca="true">RAND()</f>
        <v>0.497667037735706</v>
      </c>
      <c r="K38" s="12" t="n">
        <f aca="false">IF(J38&lt;=($F$14-$E$14)/($G$14-$E$14),$E$14+SQRT(J38*($G$14-$E$14)*($F$14-$E$14)),$G$14-SQRT((1-J38)*($G$14-$E$14)*($G$14-$F$14)))</f>
        <v>38640.0263691933</v>
      </c>
      <c r="L38" s="15" t="n">
        <f aca="true">RAND()</f>
        <v>0.455541608592842</v>
      </c>
      <c r="M38" s="12" t="n">
        <f aca="false">IF(L38&lt;=($F$14-$E$14)/($G$14-$E$14),$E$14+SQRT(L38*($G$14-$E$14)*($F$14-$E$14)),$G$14-SQRT((1-L38)*($G$14-$E$14)*($G$14-$F$14)))</f>
        <v>38266.2713050641</v>
      </c>
      <c r="N38" s="15" t="n">
        <f aca="true">RAND()</f>
        <v>0.759688986423134</v>
      </c>
      <c r="O38" s="12" t="n">
        <f aca="false">IF(N38&lt;=($F$14-$E$14)/($G$14-$E$14),$E$14+SQRT(N38*($G$14-$E$14)*($F$14-$E$14)),$G$14-SQRT((1-N38)*($G$14-$E$14)*($G$14-$F$14)))</f>
        <v>40754.6112052881</v>
      </c>
      <c r="P38" s="15" t="n">
        <f aca="true">RAND()</f>
        <v>0.321748335536699</v>
      </c>
      <c r="Q38" s="16" t="n">
        <f aca="false">IF(P38&lt;=($F$15-$E$15)/($G$15-$E$15),$E$15+SQRT(P38*($G$15-$E$15)*($F$15-$E$15)),$G$15-SQRT((1-P38)*($G$15-$E$15)*($G$15-$F$15)))</f>
        <v>14.4065473275339</v>
      </c>
      <c r="R38" s="15" t="n">
        <f aca="true">RAND()</f>
        <v>0.919765794469165</v>
      </c>
      <c r="S38" s="16" t="n">
        <f aca="false">IF(R38&lt;=($F$16-$E$16)/($G$16-$E$16),$E$16+SQRT(R38*($G$16-$E$16)*($F$16-$E$16)),$G$16-SQRT((1-R38)*($G$16-$E$16)*($G$16-$F$16)))</f>
        <v>16.7982447422395</v>
      </c>
      <c r="T38" s="15" t="n">
        <f aca="true">RAND()</f>
        <v>0.728111936676218</v>
      </c>
      <c r="U38" s="16" t="n">
        <f aca="false">IF(T38&lt;=($F$17-$E$17)/($G$17-$E$17),$E$17+SQRT(T38*($G$17-$E$17)*($F$17-$E$17)),$G$17-SQRT((1-T38)*($G$17-$E$17)*($G$17-$F$17)))</f>
        <v>19.2408577831025</v>
      </c>
      <c r="V38" s="15" t="n">
        <f aca="true">RAND()</f>
        <v>0.389035189317643</v>
      </c>
      <c r="W38" s="16" t="n">
        <f aca="false">IF(V38&lt;=($F$18-$E$18)/($G$18-$E$18),$E$18+SQRT(V38*($G$18-$E$18)*($F$18-$E$18)),$G$18-SQRT((1-V38)*($G$18-$E$18)*($G$18-$F$18)))</f>
        <v>20.3757413162884</v>
      </c>
      <c r="X38" s="15" t="n">
        <f aca="true">RAND()</f>
        <v>0.50240472891544</v>
      </c>
      <c r="Y38" s="16" t="n">
        <f aca="false">IF(X38&lt;=($F$19-$E$19)/($G$19-$E$19),$E$19+SQRT(X38*($G$19-$E$19)*($F$19-$E$19)),$G$19-SQRT((1-X38)*($G$19-$E$19)*($G$19-$F$19)))</f>
        <v>22.8163579754611</v>
      </c>
      <c r="Z38" s="12" t="n">
        <f aca="false">G38*(1+Q38/100)</f>
        <v>39812.746207652</v>
      </c>
      <c r="AA38" s="12" t="n">
        <f aca="false">I38*(1+Q38/100)*(1+S38/100)</f>
        <v>43524.377195598</v>
      </c>
      <c r="AB38" s="12" t="n">
        <f aca="false">K38*(1+Q38/100)*(1+S38/100)*(1+U38/100)</f>
        <v>61567.2422803625</v>
      </c>
      <c r="AC38" s="12" t="n">
        <f aca="false">M38*(1+Q38/100)*(1+S38/100)*(1+U38/100)*(1+W38/100)</f>
        <v>73395.1577011982</v>
      </c>
      <c r="AD38" s="12" t="n">
        <f aca="false">O38*(1+Q38/100)*(1+S38/100)*(1+U38/100)*(1+W38/100)*(1+Y38/100)</f>
        <v>96002.8731317596</v>
      </c>
      <c r="AE38" s="12" t="n">
        <f aca="false">ABS(C38)/$B$7</f>
        <v>13246.5123140202</v>
      </c>
      <c r="AF38" s="12" t="n">
        <f aca="false">Z38-AE38</f>
        <v>26566.2338936318</v>
      </c>
      <c r="AG38" s="12" t="n">
        <f aca="false">AA38-AE38</f>
        <v>30277.8648815778</v>
      </c>
      <c r="AH38" s="12" t="n">
        <f aca="false">AB38-AE38</f>
        <v>48320.7299663423</v>
      </c>
      <c r="AI38" s="12" t="n">
        <f aca="false">AC38-AE38</f>
        <v>60148.645387178</v>
      </c>
      <c r="AJ38" s="12" t="n">
        <f aca="false">AD38-AE38</f>
        <v>82756.3608177394</v>
      </c>
      <c r="AK38" s="12" t="n">
        <f aca="false">AF38*$B$4</f>
        <v>13283.1169468159</v>
      </c>
      <c r="AL38" s="12" t="n">
        <f aca="false">AG38*$B$4</f>
        <v>15138.9324407889</v>
      </c>
      <c r="AM38" s="12" t="n">
        <f aca="false">AH38*$B$4</f>
        <v>24160.3649831711</v>
      </c>
      <c r="AN38" s="12" t="n">
        <f aca="false">AI38*$B$4</f>
        <v>30074.322693589</v>
      </c>
      <c r="AO38" s="12" t="n">
        <f aca="false">AJ38*$B$4</f>
        <v>41378.1804088697</v>
      </c>
      <c r="AP38" s="12" t="n">
        <f aca="false">AF38-AK38</f>
        <v>13283.1169468159</v>
      </c>
      <c r="AQ38" s="12" t="n">
        <f aca="false">AG38-AL38</f>
        <v>15138.9324407889</v>
      </c>
      <c r="AR38" s="12" t="n">
        <f aca="false">AH38-AM38</f>
        <v>24160.3649831711</v>
      </c>
      <c r="AS38" s="12" t="n">
        <f aca="false">AI38-AN38</f>
        <v>30074.322693589</v>
      </c>
      <c r="AT38" s="12" t="n">
        <f aca="false">AJ38-AO38</f>
        <v>41378.1804088697</v>
      </c>
      <c r="AU38" s="12" t="n">
        <f aca="false">0.2*ABS(C38)+1*ABS(E38)</f>
        <v>44008.6590564961</v>
      </c>
      <c r="AV38" s="12" t="n">
        <f aca="false">C38+E38</f>
        <v>-96994.708312577</v>
      </c>
      <c r="AW38" s="12" t="n">
        <f aca="false">AP38+AE38</f>
        <v>26529.6292608361</v>
      </c>
      <c r="AX38" s="12" t="n">
        <f aca="false">AQ38+AE38</f>
        <v>28385.4447548091</v>
      </c>
      <c r="AY38" s="12" t="n">
        <f aca="false">AR38+AE38</f>
        <v>37406.8772971913</v>
      </c>
      <c r="AZ38" s="12" t="n">
        <f aca="false">AS38+AE38</f>
        <v>43320.8350076092</v>
      </c>
      <c r="BA38" s="12" t="n">
        <f aca="false">AT38+AE38+AU38</f>
        <v>98633.3517793861</v>
      </c>
      <c r="BB38" s="4" t="n">
        <f aca="false">IFERROR(IRR(AV38:BA38,0.15),"n/a")</f>
        <v>0.295543135525778</v>
      </c>
      <c r="BC38" s="12" t="n">
        <f aca="false">NPV($B$5,AW38:BA38)+AV38</f>
        <v>45940.6736917831</v>
      </c>
    </row>
    <row r="39" customFormat="false" ht="15" hidden="false" customHeight="false" outlineLevel="0" collapsed="false">
      <c r="A39" s="3" t="n">
        <v>15</v>
      </c>
      <c r="B39" s="15" t="n">
        <f aca="true">RAND()</f>
        <v>0.468403355552385</v>
      </c>
      <c r="C39" s="12" t="n">
        <f aca="false">IF(B39&lt;=($F$12-$E$12)/($G$12-$E$12),$E$12+SQRT(B39*($G$12-$E$12)*($F$12-$E$12)),$G$12-SQRT((1-B39)*($G$12-$E$12)*($G$12-$F$12)))</f>
        <v>-76291.6886585556</v>
      </c>
      <c r="D39" s="15" t="n">
        <f aca="true">RAND()</f>
        <v>0.838465870003986</v>
      </c>
      <c r="E39" s="12" t="n">
        <f aca="false">IF(D39&lt;=($F$13-$E$13)/($G$13-$E$13),$E$13+SQRT(D39*($G$13-$E$13)*($F$13-$E$13)),$G$13-SQRT((1-D39)*($G$13-$E$13)*($G$13-$F$13)))</f>
        <v>-28480.6694398781</v>
      </c>
      <c r="F39" s="15" t="n">
        <f aca="true">RAND()</f>
        <v>0.464869119342819</v>
      </c>
      <c r="G39" s="12" t="n">
        <f aca="false">IF(F39&lt;=($F$14-$E$14)/($G$14-$E$14),$E$14+SQRT(F39*($G$14-$E$14)*($F$14-$E$14)),$G$14-SQRT((1-F39)*($G$14-$E$14)*($G$14-$F$14)))</f>
        <v>38350.4711185312</v>
      </c>
      <c r="H39" s="15" t="n">
        <f aca="true">RAND()</f>
        <v>0.37829636959882</v>
      </c>
      <c r="I39" s="12" t="n">
        <f aca="false">IF(H39&lt;=($F$14-$E$14)/($G$14-$E$14),$E$14+SQRT(H39*($G$14-$E$14)*($F$14-$E$14)),$G$14-SQRT((1-H39)*($G$14-$E$14)*($G$14-$F$14)))</f>
        <v>37532.8915722864</v>
      </c>
      <c r="J39" s="15" t="n">
        <f aca="true">RAND()</f>
        <v>0.555933705454149</v>
      </c>
      <c r="K39" s="12" t="n">
        <f aca="false">IF(J39&lt;=($F$14-$E$14)/($G$14-$E$14),$E$14+SQRT(J39*($G$14-$E$14)*($F$14-$E$14)),$G$14-SQRT((1-J39)*($G$14-$E$14)*($G$14-$F$14)))</f>
        <v>39131.8155816969</v>
      </c>
      <c r="L39" s="15" t="n">
        <f aca="true">RAND()</f>
        <v>0.598281352299702</v>
      </c>
      <c r="M39" s="12" t="n">
        <f aca="false">IF(L39&lt;=($F$14-$E$14)/($G$14-$E$14),$E$14+SQRT(L39*($G$14-$E$14)*($F$14-$E$14)),$G$14-SQRT((1-L39)*($G$14-$E$14)*($G$14-$F$14)))</f>
        <v>39473.2361337061</v>
      </c>
      <c r="N39" s="15" t="n">
        <f aca="true">RAND()</f>
        <v>0.369411390849349</v>
      </c>
      <c r="O39" s="12" t="n">
        <f aca="false">IF(N39&lt;=($F$14-$E$14)/($G$14-$E$14),$E$14+SQRT(N39*($G$14-$E$14)*($F$14-$E$14)),$G$14-SQRT((1-N39)*($G$14-$E$14)*($G$14-$F$14)))</f>
        <v>37443.90412535</v>
      </c>
      <c r="P39" s="15" t="n">
        <f aca="true">RAND()</f>
        <v>0.582534154133731</v>
      </c>
      <c r="Q39" s="16" t="n">
        <f aca="false">IF(P39&lt;=($F$15-$E$15)/($G$15-$E$15),$E$15+SQRT(P39*($G$15-$E$15)*($F$15-$E$15)),$G$15-SQRT((1-P39)*($G$15-$E$15)*($G$15-$F$15)))</f>
        <v>15.2587620997818</v>
      </c>
      <c r="R39" s="15" t="n">
        <f aca="true">RAND()</f>
        <v>0.138713057937459</v>
      </c>
      <c r="S39" s="16" t="n">
        <f aca="false">IF(R39&lt;=($F$16-$E$16)/($G$16-$E$16),$E$16+SQRT(R39*($G$16-$E$16)*($F$16-$E$16)),$G$16-SQRT((1-R39)*($G$16-$E$16)*($G$16-$F$16)))</f>
        <v>13.5801376657982</v>
      </c>
      <c r="T39" s="15" t="n">
        <f aca="true">RAND()</f>
        <v>0.74793403604424</v>
      </c>
      <c r="U39" s="16" t="n">
        <f aca="false">IF(T39&lt;=($F$17-$E$17)/($G$17-$E$17),$E$17+SQRT(T39*($G$17-$E$17)*($F$17-$E$17)),$G$17-SQRT((1-T39)*($G$17-$E$17)*($G$17-$F$17)))</f>
        <v>19.3433391276339</v>
      </c>
      <c r="V39" s="15" t="n">
        <f aca="true">RAND()</f>
        <v>0.815899640986414</v>
      </c>
      <c r="W39" s="16" t="n">
        <f aca="false">IF(V39&lt;=($F$18-$E$18)/($G$18-$E$18),$E$18+SQRT(V39*($G$18-$E$18)*($F$18-$E$18)),$G$18-SQRT((1-V39)*($G$18-$E$18)*($G$18-$F$18)))</f>
        <v>22.4615925139026</v>
      </c>
      <c r="X39" s="15" t="n">
        <f aca="true">RAND()</f>
        <v>0.67296058502861</v>
      </c>
      <c r="Y39" s="16" t="n">
        <f aca="false">IF(X39&lt;=($F$19-$E$19)/($G$19-$E$19),$E$19+SQRT(X39*($G$19-$E$19)*($F$19-$E$19)),$G$19-SQRT((1-X39)*($G$19-$E$19)*($G$19-$F$19)))</f>
        <v>23.7976044440754</v>
      </c>
      <c r="Z39" s="12" t="n">
        <f aca="false">G39*(1+Q39/100)</f>
        <v>44202.2782706533</v>
      </c>
      <c r="AA39" s="12" t="n">
        <f aca="false">I39*(1+Q39/100)*(1+S39/100)</f>
        <v>49134.7064554595</v>
      </c>
      <c r="AB39" s="12" t="n">
        <f aca="false">K39*(1+Q39/100)*(1+S39/100)*(1+U39/100)</f>
        <v>61137.0563926954</v>
      </c>
      <c r="AC39" s="12" t="n">
        <f aca="false">M39*(1+Q39/100)*(1+S39/100)*(1+U39/100)*(1+W39/100)</f>
        <v>75522.6398177653</v>
      </c>
      <c r="AD39" s="12" t="n">
        <f aca="false">O39*(1+Q39/100)*(1+S39/100)*(1+U39/100)*(1+W39/100)*(1+Y39/100)</f>
        <v>88688.5990569945</v>
      </c>
      <c r="AE39" s="12" t="n">
        <f aca="false">ABS(C39)/$B$7</f>
        <v>15258.3377317111</v>
      </c>
      <c r="AF39" s="12" t="n">
        <f aca="false">Z39-AE39</f>
        <v>28943.9405389422</v>
      </c>
      <c r="AG39" s="12" t="n">
        <f aca="false">AA39-AE39</f>
        <v>33876.3687237484</v>
      </c>
      <c r="AH39" s="12" t="n">
        <f aca="false">AB39-AE39</f>
        <v>45878.7186609842</v>
      </c>
      <c r="AI39" s="12" t="n">
        <f aca="false">AC39-AE39</f>
        <v>60264.3020860542</v>
      </c>
      <c r="AJ39" s="12" t="n">
        <f aca="false">AD39-AE39</f>
        <v>73430.2613252834</v>
      </c>
      <c r="AK39" s="12" t="n">
        <f aca="false">AF39*$B$4</f>
        <v>14471.9702694711</v>
      </c>
      <c r="AL39" s="12" t="n">
        <f aca="false">AG39*$B$4</f>
        <v>16938.1843618742</v>
      </c>
      <c r="AM39" s="12" t="n">
        <f aca="false">AH39*$B$4</f>
        <v>22939.3593304921</v>
      </c>
      <c r="AN39" s="12" t="n">
        <f aca="false">AI39*$B$4</f>
        <v>30132.1510430271</v>
      </c>
      <c r="AO39" s="12" t="n">
        <f aca="false">AJ39*$B$4</f>
        <v>36715.1306626417</v>
      </c>
      <c r="AP39" s="12" t="n">
        <f aca="false">AF39-AK39</f>
        <v>14471.9702694711</v>
      </c>
      <c r="AQ39" s="12" t="n">
        <f aca="false">AG39-AL39</f>
        <v>16938.1843618742</v>
      </c>
      <c r="AR39" s="12" t="n">
        <f aca="false">AH39-AM39</f>
        <v>22939.3593304921</v>
      </c>
      <c r="AS39" s="12" t="n">
        <f aca="false">AI39-AN39</f>
        <v>30132.1510430271</v>
      </c>
      <c r="AT39" s="12" t="n">
        <f aca="false">AJ39-AO39</f>
        <v>36715.1306626417</v>
      </c>
      <c r="AU39" s="12" t="n">
        <f aca="false">0.2*ABS(C39)+1*ABS(E39)</f>
        <v>43739.0071715892</v>
      </c>
      <c r="AV39" s="12" t="n">
        <f aca="false">C39+E39</f>
        <v>-104772.358098434</v>
      </c>
      <c r="AW39" s="12" t="n">
        <f aca="false">AP39+AE39</f>
        <v>29730.3080011822</v>
      </c>
      <c r="AX39" s="12" t="n">
        <f aca="false">AQ39+AE39</f>
        <v>32196.5220935853</v>
      </c>
      <c r="AY39" s="12" t="n">
        <f aca="false">AR39+AE39</f>
        <v>38197.6970622032</v>
      </c>
      <c r="AZ39" s="12" t="n">
        <f aca="false">AS39+AE39</f>
        <v>45390.4887747382</v>
      </c>
      <c r="BA39" s="12" t="n">
        <f aca="false">AT39+AE39+AU39</f>
        <v>95712.475565942</v>
      </c>
      <c r="BB39" s="4" t="n">
        <f aca="false">IFERROR(IRR(AV39:BA39,0.15),"n/a")</f>
        <v>0.284320007704108</v>
      </c>
      <c r="BC39" s="12" t="n">
        <f aca="false">NPV($B$5,AW39:BA39)+AV39</f>
        <v>44079.0611968918</v>
      </c>
    </row>
    <row r="40" customFormat="false" ht="15" hidden="false" customHeight="false" outlineLevel="0" collapsed="false">
      <c r="A40" s="3" t="n">
        <v>16</v>
      </c>
      <c r="B40" s="15" t="n">
        <f aca="true">RAND()</f>
        <v>0.859287878387265</v>
      </c>
      <c r="C40" s="12" t="n">
        <f aca="false">IF(B40&lt;=($F$12-$E$12)/($G$12-$E$12),$E$12+SQRT(B40*($G$12-$E$12)*($F$12-$E$12)),$G$12-SQRT((1-B40)*($G$12-$E$12)*($G$12-$F$12)))</f>
        <v>-67502.3228832872</v>
      </c>
      <c r="D40" s="15" t="n">
        <f aca="true">RAND()</f>
        <v>0.61682311913795</v>
      </c>
      <c r="E40" s="12" t="n">
        <f aca="false">IF(D40&lt;=($F$13-$E$13)/($G$13-$E$13),$E$13+SQRT(D40*($G$13-$E$13)*($F$13-$E$13)),$G$13-SQRT((1-D40)*($G$13-$E$13)*($G$13-$F$13)))</f>
        <v>-30381.088010035</v>
      </c>
      <c r="F40" s="15" t="n">
        <f aca="true">RAND()</f>
        <v>0.0633311761429091</v>
      </c>
      <c r="G40" s="12" t="n">
        <f aca="false">IF(F40&lt;=($F$14-$E$14)/($G$14-$E$14),$E$14+SQRT(F40*($G$14-$E$14)*($F$14-$E$14)),$G$14-SQRT((1-F40)*($G$14-$E$14)*($G$14-$F$14)))</f>
        <v>33082.1545096631</v>
      </c>
      <c r="H40" s="15" t="n">
        <f aca="true">RAND()</f>
        <v>0.0406528432313197</v>
      </c>
      <c r="I40" s="12" t="n">
        <f aca="false">IF(H40&lt;=($F$14-$E$14)/($G$14-$E$14),$E$14+SQRT(H40*($G$14-$E$14)*($F$14-$E$14)),$G$14-SQRT((1-H40)*($G$14-$E$14)*($G$14-$F$14)))</f>
        <v>32469.3980004645</v>
      </c>
      <c r="J40" s="15" t="n">
        <f aca="true">RAND()</f>
        <v>0.329745059456606</v>
      </c>
      <c r="K40" s="12" t="n">
        <f aca="false">IF(J40&lt;=($F$14-$E$14)/($G$14-$E$14),$E$14+SQRT(J40*($G$14-$E$14)*($F$14-$E$14)),$G$14-SQRT((1-J40)*($G$14-$E$14)*($G$14-$F$14)))</f>
        <v>37032.9054393253</v>
      </c>
      <c r="L40" s="15" t="n">
        <f aca="true">RAND()</f>
        <v>0.661915364975948</v>
      </c>
      <c r="M40" s="12" t="n">
        <f aca="false">IF(L40&lt;=($F$14-$E$14)/($G$14-$E$14),$E$14+SQRT(L40*($G$14-$E$14)*($F$14-$E$14)),$G$14-SQRT((1-L40)*($G$14-$E$14)*($G$14-$F$14)))</f>
        <v>39964.3015182396</v>
      </c>
      <c r="N40" s="15" t="n">
        <f aca="true">RAND()</f>
        <v>0.829896487252404</v>
      </c>
      <c r="O40" s="12" t="n">
        <f aca="false">IF(N40&lt;=($F$14-$E$14)/($G$14-$E$14),$E$14+SQRT(N40*($G$14-$E$14)*($F$14-$E$14)),$G$14-SQRT((1-N40)*($G$14-$E$14)*($G$14-$F$14)))</f>
        <v>41428.19884987</v>
      </c>
      <c r="P40" s="15" t="n">
        <f aca="true">RAND()</f>
        <v>0.310994839745012</v>
      </c>
      <c r="Q40" s="16" t="n">
        <f aca="false">IF(P40&lt;=($F$15-$E$15)/($G$15-$E$15),$E$15+SQRT(P40*($G$15-$E$15)*($F$15-$E$15)),$G$15-SQRT((1-P40)*($G$15-$E$15)*($G$15-$F$15)))</f>
        <v>14.3659896693372</v>
      </c>
      <c r="R40" s="15" t="n">
        <f aca="true">RAND()</f>
        <v>0.699880670369636</v>
      </c>
      <c r="S40" s="16" t="n">
        <f aca="false">IF(R40&lt;=($F$16-$E$16)/($G$16-$E$16),$E$16+SQRT(R40*($G$16-$E$16)*($F$16-$E$16)),$G$16-SQRT((1-R40)*($G$16-$E$16)*($G$16-$F$16)))</f>
        <v>15.6757478765533</v>
      </c>
      <c r="T40" s="15" t="n">
        <f aca="true">RAND()</f>
        <v>0.254247443214785</v>
      </c>
      <c r="U40" s="16" t="n">
        <f aca="false">IF(T40&lt;=($F$17-$E$17)/($G$17-$E$17),$E$17+SQRT(T40*($G$17-$E$17)*($F$17-$E$17)),$G$17-SQRT((1-T40)*($G$17-$E$17)*($G$17-$F$17)))</f>
        <v>17.3106700992376</v>
      </c>
      <c r="V40" s="15" t="n">
        <f aca="true">RAND()</f>
        <v>0.0726070542890052</v>
      </c>
      <c r="W40" s="16" t="n">
        <f aca="false">IF(V40&lt;=($F$18-$E$18)/($G$18-$E$18),$E$18+SQRT(V40*($G$18-$E$18)*($F$18-$E$18)),$G$18-SQRT((1-V40)*($G$18-$E$18)*($G$18-$F$18)))</f>
        <v>19.0082156317208</v>
      </c>
      <c r="X40" s="15" t="n">
        <f aca="true">RAND()</f>
        <v>0.181397625203977</v>
      </c>
      <c r="Y40" s="16" t="n">
        <f aca="false">IF(X40&lt;=($F$19-$E$19)/($G$19-$E$19),$E$19+SQRT(X40*($G$19-$E$19)*($F$19-$E$19)),$G$19-SQRT((1-X40)*($G$19-$E$19)*($G$19-$F$19)))</f>
        <v>21.2130828905641</v>
      </c>
      <c r="Z40" s="12" t="n">
        <f aca="false">G40*(1+Q40/100)</f>
        <v>37834.7334089154</v>
      </c>
      <c r="AA40" s="12" t="n">
        <f aca="false">I40*(1+Q40/100)*(1+S40/100)</f>
        <v>42954.972484886</v>
      </c>
      <c r="AB40" s="12" t="n">
        <f aca="false">K40*(1+Q40/100)*(1+S40/100)*(1+U40/100)</f>
        <v>57473.0851061103</v>
      </c>
      <c r="AC40" s="12" t="n">
        <f aca="false">M40*(1+Q40/100)*(1+S40/100)*(1+U40/100)*(1+W40/100)</f>
        <v>73811.816704792</v>
      </c>
      <c r="AD40" s="12" t="n">
        <f aca="false">O40*(1+Q40/100)*(1+S40/100)*(1+U40/100)*(1+W40/100)*(1+Y40/100)</f>
        <v>92746.8603481095</v>
      </c>
      <c r="AE40" s="12" t="n">
        <f aca="false">ABS(C40)/$B$7</f>
        <v>13500.4645766574</v>
      </c>
      <c r="AF40" s="12" t="n">
        <f aca="false">Z40-AE40</f>
        <v>24334.268832258</v>
      </c>
      <c r="AG40" s="12" t="n">
        <f aca="false">AA40-AE40</f>
        <v>29454.5079082286</v>
      </c>
      <c r="AH40" s="12" t="n">
        <f aca="false">AB40-AE40</f>
        <v>43972.6205294529</v>
      </c>
      <c r="AI40" s="12" t="n">
        <f aca="false">AC40-AE40</f>
        <v>60311.3521281346</v>
      </c>
      <c r="AJ40" s="12" t="n">
        <f aca="false">AD40-AE40</f>
        <v>79246.395771452</v>
      </c>
      <c r="AK40" s="12" t="n">
        <f aca="false">AF40*$B$4</f>
        <v>12167.134416129</v>
      </c>
      <c r="AL40" s="12" t="n">
        <f aca="false">AG40*$B$4</f>
        <v>14727.2539541143</v>
      </c>
      <c r="AM40" s="12" t="n">
        <f aca="false">AH40*$B$4</f>
        <v>21986.3102647265</v>
      </c>
      <c r="AN40" s="12" t="n">
        <f aca="false">AI40*$B$4</f>
        <v>30155.6760640673</v>
      </c>
      <c r="AO40" s="12" t="n">
        <f aca="false">AJ40*$B$4</f>
        <v>39623.197885726</v>
      </c>
      <c r="AP40" s="12" t="n">
        <f aca="false">AF40-AK40</f>
        <v>12167.134416129</v>
      </c>
      <c r="AQ40" s="12" t="n">
        <f aca="false">AG40-AL40</f>
        <v>14727.2539541143</v>
      </c>
      <c r="AR40" s="12" t="n">
        <f aca="false">AH40-AM40</f>
        <v>21986.3102647265</v>
      </c>
      <c r="AS40" s="12" t="n">
        <f aca="false">AI40-AN40</f>
        <v>30155.6760640673</v>
      </c>
      <c r="AT40" s="12" t="n">
        <f aca="false">AJ40-AO40</f>
        <v>39623.197885726</v>
      </c>
      <c r="AU40" s="12" t="n">
        <f aca="false">0.2*ABS(C40)+1*ABS(E40)</f>
        <v>43881.5525866924</v>
      </c>
      <c r="AV40" s="12" t="n">
        <f aca="false">C40+E40</f>
        <v>-97883.4108933221</v>
      </c>
      <c r="AW40" s="12" t="n">
        <f aca="false">AP40+AE40</f>
        <v>25667.5989927864</v>
      </c>
      <c r="AX40" s="12" t="n">
        <f aca="false">AQ40+AE40</f>
        <v>28227.7185307717</v>
      </c>
      <c r="AY40" s="12" t="n">
        <f aca="false">AR40+AE40</f>
        <v>35486.7748413839</v>
      </c>
      <c r="AZ40" s="12" t="n">
        <f aca="false">AS40+AE40</f>
        <v>43656.1406407247</v>
      </c>
      <c r="BA40" s="12" t="n">
        <f aca="false">AT40+AE40+AU40</f>
        <v>97005.2150490759</v>
      </c>
      <c r="BB40" s="4" t="n">
        <f aca="false">IFERROR(IRR(AV40:BA40,0.15),"n/a")</f>
        <v>0.283370845101688</v>
      </c>
      <c r="BC40" s="12" t="n">
        <f aca="false">NPV($B$5,AW40:BA40)+AV40</f>
        <v>42302.8577353096</v>
      </c>
    </row>
    <row r="41" customFormat="false" ht="15" hidden="false" customHeight="false" outlineLevel="0" collapsed="false">
      <c r="A41" s="3" t="n">
        <v>17</v>
      </c>
      <c r="B41" s="15" t="n">
        <f aca="true">RAND()</f>
        <v>0.225650257331164</v>
      </c>
      <c r="C41" s="12" t="n">
        <f aca="false">IF(B41&lt;=($F$12-$E$12)/($G$12-$E$12),$E$12+SQRT(B41*($G$12-$E$12)*($F$12-$E$12)),$G$12-SQRT((1-B41)*($G$12-$E$12)*($G$12-$F$12)))</f>
        <v>-83544.5963647987</v>
      </c>
      <c r="D41" s="15" t="n">
        <f aca="true">RAND()</f>
        <v>0.581480756584843</v>
      </c>
      <c r="E41" s="12" t="n">
        <f aca="false">IF(D41&lt;=($F$13-$E$13)/($G$13-$E$13),$E$13+SQRT(D41*($G$13-$E$13)*($F$13-$E$13)),$G$13-SQRT((1-D41)*($G$13-$E$13)*($G$13-$F$13)))</f>
        <v>-30660.7220039381</v>
      </c>
      <c r="F41" s="15" t="n">
        <f aca="true">RAND()</f>
        <v>0.988530633585376</v>
      </c>
      <c r="G41" s="12" t="n">
        <f aca="false">IF(F41&lt;=($F$14-$E$14)/($G$14-$E$14),$E$14+SQRT(F41*($G$14-$E$14)*($F$14-$E$14)),$G$14-SQRT((1-F41)*($G$14-$E$14)*($G$14-$F$14)))</f>
        <v>44072.5289863846</v>
      </c>
      <c r="H41" s="15" t="n">
        <f aca="true">RAND()</f>
        <v>0.652526126802041</v>
      </c>
      <c r="I41" s="12" t="n">
        <f aca="false">IF(H41&lt;=($F$14-$E$14)/($G$14-$E$14),$E$14+SQRT(H41*($G$14-$E$14)*($F$14-$E$14)),$G$14-SQRT((1-H41)*($G$14-$E$14)*($G$14-$F$14)))</f>
        <v>39893.3775334972</v>
      </c>
      <c r="J41" s="15" t="n">
        <f aca="true">RAND()</f>
        <v>0.663133604025235</v>
      </c>
      <c r="K41" s="12" t="n">
        <f aca="false">IF(J41&lt;=($F$14-$E$14)/($G$14-$E$14),$E$14+SQRT(J41*($G$14-$E$14)*($F$14-$E$14)),$G$14-SQRT((1-J41)*($G$14-$E$14)*($G$14-$F$14)))</f>
        <v>39973.466829733</v>
      </c>
      <c r="L41" s="15" t="n">
        <f aca="true">RAND()</f>
        <v>0.957431805660163</v>
      </c>
      <c r="M41" s="12" t="n">
        <f aca="false">IF(L41&lt;=($F$14-$E$14)/($G$14-$E$14),$E$14+SQRT(L41*($G$14-$E$14)*($F$14-$E$14)),$G$14-SQRT((1-L41)*($G$14-$E$14)*($G$14-$F$14)))</f>
        <v>43213.2110993495</v>
      </c>
      <c r="N41" s="15" t="n">
        <f aca="true">RAND()</f>
        <v>0.174995524449098</v>
      </c>
      <c r="O41" s="12" t="n">
        <f aca="false">IF(N41&lt;=($F$14-$E$14)/($G$14-$E$14),$E$14+SQRT(N41*($G$14-$E$14)*($F$14-$E$14)),$G$14-SQRT((1-N41)*($G$14-$E$14)*($G$14-$F$14)))</f>
        <v>35123.4098672041</v>
      </c>
      <c r="P41" s="15" t="n">
        <f aca="true">RAND()</f>
        <v>0.529063007196365</v>
      </c>
      <c r="Q41" s="16" t="n">
        <f aca="false">IF(P41&lt;=($F$15-$E$15)/($G$15-$E$15),$E$15+SQRT(P41*($G$15-$E$15)*($F$15-$E$15)),$G$15-SQRT((1-P41)*($G$15-$E$15)*($G$15-$F$15)))</f>
        <v>15.0884942262696</v>
      </c>
      <c r="R41" s="15" t="n">
        <f aca="true">RAND()</f>
        <v>0.962540554998542</v>
      </c>
      <c r="S41" s="16" t="n">
        <f aca="false">IF(R41&lt;=($F$16-$E$16)/($G$16-$E$16),$E$16+SQRT(R41*($G$16-$E$16)*($F$16-$E$16)),$G$16-SQRT((1-R41)*($G$16-$E$16)*($G$16-$F$16)))</f>
        <v>17.1788605416702</v>
      </c>
      <c r="T41" s="15" t="n">
        <f aca="true">RAND()</f>
        <v>0.89280757541455</v>
      </c>
      <c r="U41" s="16" t="n">
        <f aca="false">IF(T41&lt;=($F$17-$E$17)/($G$17-$E$17),$E$17+SQRT(T41*($G$17-$E$17)*($F$17-$E$17)),$G$17-SQRT((1-T41)*($G$17-$E$17)*($G$17-$F$17)))</f>
        <v>20.2675485898899</v>
      </c>
      <c r="V41" s="15" t="n">
        <f aca="true">RAND()</f>
        <v>0.229587004600276</v>
      </c>
      <c r="W41" s="16" t="n">
        <f aca="false">IF(V41&lt;=($F$18-$E$18)/($G$18-$E$18),$E$18+SQRT(V41*($G$18-$E$18)*($F$18-$E$18)),$G$18-SQRT((1-V41)*($G$18-$E$18)*($G$18-$F$18)))</f>
        <v>19.7928240472517</v>
      </c>
      <c r="X41" s="15" t="n">
        <f aca="true">RAND()</f>
        <v>0.904662126626451</v>
      </c>
      <c r="Y41" s="16" t="n">
        <f aca="false">IF(X41&lt;=($F$19-$E$19)/($G$19-$E$19),$E$19+SQRT(X41*($G$19-$E$19)*($F$19-$E$19)),$G$19-SQRT((1-X41)*($G$19-$E$19)*($G$19-$F$19)))</f>
        <v>25.7310255263288</v>
      </c>
      <c r="Z41" s="12" t="n">
        <f aca="false">G41*(1+Q41/100)</f>
        <v>50722.4099778663</v>
      </c>
      <c r="AA41" s="12" t="n">
        <f aca="false">I41*(1+Q41/100)*(1+S41/100)</f>
        <v>53799.9640557409</v>
      </c>
      <c r="AB41" s="12" t="n">
        <f aca="false">K41*(1+Q41/100)*(1+S41/100)*(1+U41/100)</f>
        <v>64833.7964057135</v>
      </c>
      <c r="AC41" s="12" t="n">
        <f aca="false">M41*(1+Q41/100)*(1+S41/100)*(1+U41/100)*(1+W41/100)</f>
        <v>83960.8796203163</v>
      </c>
      <c r="AD41" s="12" t="n">
        <f aca="false">O41*(1+Q41/100)*(1+S41/100)*(1+U41/100)*(1+W41/100)*(1+Y41/100)</f>
        <v>85802.4265598652</v>
      </c>
      <c r="AE41" s="12" t="n">
        <f aca="false">ABS(C41)/$B$7</f>
        <v>16708.9192729597</v>
      </c>
      <c r="AF41" s="12" t="n">
        <f aca="false">Z41-AE41</f>
        <v>34013.4907049065</v>
      </c>
      <c r="AG41" s="12" t="n">
        <f aca="false">AA41-AE41</f>
        <v>37091.0447827811</v>
      </c>
      <c r="AH41" s="12" t="n">
        <f aca="false">AB41-AE41</f>
        <v>48124.8771327538</v>
      </c>
      <c r="AI41" s="12" t="n">
        <f aca="false">AC41-AE41</f>
        <v>67251.9603473566</v>
      </c>
      <c r="AJ41" s="12" t="n">
        <f aca="false">AD41-AE41</f>
        <v>69093.5072869055</v>
      </c>
      <c r="AK41" s="12" t="n">
        <f aca="false">AF41*$B$4</f>
        <v>17006.7453524533</v>
      </c>
      <c r="AL41" s="12" t="n">
        <f aca="false">AG41*$B$4</f>
        <v>18545.5223913906</v>
      </c>
      <c r="AM41" s="12" t="n">
        <f aca="false">AH41*$B$4</f>
        <v>24062.4385663769</v>
      </c>
      <c r="AN41" s="12" t="n">
        <f aca="false">AI41*$B$4</f>
        <v>33625.9801736783</v>
      </c>
      <c r="AO41" s="12" t="n">
        <f aca="false">AJ41*$B$4</f>
        <v>34546.7536434527</v>
      </c>
      <c r="AP41" s="12" t="n">
        <f aca="false">AF41-AK41</f>
        <v>17006.7453524533</v>
      </c>
      <c r="AQ41" s="12" t="n">
        <f aca="false">AG41-AL41</f>
        <v>18545.5223913906</v>
      </c>
      <c r="AR41" s="12" t="n">
        <f aca="false">AH41-AM41</f>
        <v>24062.4385663769</v>
      </c>
      <c r="AS41" s="12" t="n">
        <f aca="false">AI41-AN41</f>
        <v>33625.9801736783</v>
      </c>
      <c r="AT41" s="12" t="n">
        <f aca="false">AJ41-AO41</f>
        <v>34546.7536434527</v>
      </c>
      <c r="AU41" s="12" t="n">
        <f aca="false">0.2*ABS(C41)+1*ABS(E41)</f>
        <v>47369.6412768978</v>
      </c>
      <c r="AV41" s="12" t="n">
        <f aca="false">C41+E41</f>
        <v>-114205.318368737</v>
      </c>
      <c r="AW41" s="12" t="n">
        <f aca="false">AP41+AE41</f>
        <v>33715.664625413</v>
      </c>
      <c r="AX41" s="12" t="n">
        <f aca="false">AQ41+AE41</f>
        <v>35254.4416643503</v>
      </c>
      <c r="AY41" s="12" t="n">
        <f aca="false">AR41+AE41</f>
        <v>40771.3578393366</v>
      </c>
      <c r="AZ41" s="12" t="n">
        <f aca="false">AS41+AE41</f>
        <v>50334.899446638</v>
      </c>
      <c r="BA41" s="12" t="n">
        <f aca="false">AT41+AE41+AU41</f>
        <v>98625.3141933103</v>
      </c>
      <c r="BB41" s="4" t="n">
        <f aca="false">IFERROR(IRR(AV41:BA41,0.15),"n/a")</f>
        <v>0.282037017561477</v>
      </c>
      <c r="BC41" s="12" t="n">
        <f aca="false">NPV($B$5,AW41:BA41)+AV41</f>
        <v>46391.2571306047</v>
      </c>
    </row>
    <row r="42" customFormat="false" ht="15" hidden="false" customHeight="false" outlineLevel="0" collapsed="false">
      <c r="A42" s="3" t="n">
        <v>18</v>
      </c>
      <c r="B42" s="15" t="n">
        <f aca="true">RAND()</f>
        <v>0.745581682414492</v>
      </c>
      <c r="C42" s="12" t="n">
        <f aca="false">IF(B42&lt;=($F$12-$E$12)/($G$12-$E$12),$E$12+SQRT(B42*($G$12-$E$12)*($F$12-$E$12)),$G$12-SQRT((1-B42)*($G$12-$E$12)*($G$12-$F$12)))</f>
        <v>-70088.4968800063</v>
      </c>
      <c r="D42" s="15" t="n">
        <f aca="true">RAND()</f>
        <v>0.147953039770621</v>
      </c>
      <c r="E42" s="12" t="n">
        <f aca="false">IF(D42&lt;=($F$13-$E$13)/($G$13-$E$13),$E$13+SQRT(D42*($G$13-$E$13)*($F$13-$E$13)),$G$13-SQRT((1-D42)*($G$13-$E$13)*($G$13-$F$13)))</f>
        <v>-35289.0599700704</v>
      </c>
      <c r="F42" s="15" t="n">
        <f aca="true">RAND()</f>
        <v>0.316480091056911</v>
      </c>
      <c r="G42" s="12" t="n">
        <f aca="false">IF(F42&lt;=($F$14-$E$14)/($G$14-$E$14),$E$14+SQRT(F42*($G$14-$E$14)*($F$14-$E$14)),$G$14-SQRT((1-F42)*($G$14-$E$14)*($G$14-$F$14)))</f>
        <v>36889.9937342886</v>
      </c>
      <c r="H42" s="15" t="n">
        <f aca="true">RAND()</f>
        <v>0.278182202556791</v>
      </c>
      <c r="I42" s="12" t="n">
        <f aca="false">IF(H42&lt;=($F$14-$E$14)/($G$14-$E$14),$E$14+SQRT(H42*($G$14-$E$14)*($F$14-$E$14)),$G$14-SQRT((1-H42)*($G$14-$E$14)*($G$14-$F$14)))</f>
        <v>36459.669525875</v>
      </c>
      <c r="J42" s="15" t="n">
        <f aca="true">RAND()</f>
        <v>0.690814639756893</v>
      </c>
      <c r="K42" s="12" t="n">
        <f aca="false">IF(J42&lt;=($F$14-$E$14)/($G$14-$E$14),$E$14+SQRT(J42*($G$14-$E$14)*($F$14-$E$14)),$G$14-SQRT((1-J42)*($G$14-$E$14)*($G$14-$F$14)))</f>
        <v>40184.5143528162</v>
      </c>
      <c r="L42" s="15" t="n">
        <f aca="true">RAND()</f>
        <v>0.952900878105735</v>
      </c>
      <c r="M42" s="12" t="n">
        <f aca="false">IF(L42&lt;=($F$14-$E$14)/($G$14-$E$14),$E$14+SQRT(L42*($G$14-$E$14)*($F$14-$E$14)),$G$14-SQRT((1-L42)*($G$14-$E$14)*($G$14-$F$14)))</f>
        <v>43120.5229072772</v>
      </c>
      <c r="N42" s="15" t="n">
        <f aca="true">RAND()</f>
        <v>0.709686953629393</v>
      </c>
      <c r="O42" s="12" t="n">
        <f aca="false">IF(N42&lt;=($F$14-$E$14)/($G$14-$E$14),$E$14+SQRT(N42*($G$14-$E$14)*($F$14-$E$14)),$G$14-SQRT((1-N42)*($G$14-$E$14)*($G$14-$F$14)))</f>
        <v>40333.7939953539</v>
      </c>
      <c r="P42" s="15" t="n">
        <f aca="true">RAND()</f>
        <v>0.908472921576836</v>
      </c>
      <c r="Q42" s="16" t="n">
        <f aca="false">IF(P42&lt;=($F$15-$E$15)/($G$15-$E$15),$E$15+SQRT(P42*($G$15-$E$15)*($F$15-$E$15)),$G$15-SQRT((1-P42)*($G$15-$E$15)*($G$15-$F$15)))</f>
        <v>16.7164551384478</v>
      </c>
      <c r="R42" s="15" t="n">
        <f aca="true">RAND()</f>
        <v>0.431497633460557</v>
      </c>
      <c r="S42" s="16" t="n">
        <f aca="false">IF(R42&lt;=($F$16-$E$16)/($G$16-$E$16),$E$16+SQRT(R42*($G$16-$E$16)*($F$16-$E$16)),$G$16-SQRT((1-R42)*($G$16-$E$16)*($G$16-$F$16)))</f>
        <v>14.7869261565908</v>
      </c>
      <c r="T42" s="15" t="n">
        <f aca="true">RAND()</f>
        <v>0.83152975654456</v>
      </c>
      <c r="U42" s="16" t="n">
        <f aca="false">IF(T42&lt;=($F$17-$E$17)/($G$17-$E$17),$E$17+SQRT(T42*($G$17-$E$17)*($F$17-$E$17)),$G$17-SQRT((1-T42)*($G$17-$E$17)*($G$17-$F$17)))</f>
        <v>19.8280960387825</v>
      </c>
      <c r="V42" s="15" t="n">
        <f aca="true">RAND()</f>
        <v>0.316169907234854</v>
      </c>
      <c r="W42" s="16" t="n">
        <f aca="false">IF(V42&lt;=($F$18-$E$18)/($G$18-$E$18),$E$18+SQRT(V42*($G$18-$E$18)*($F$18-$E$18)),$G$18-SQRT((1-V42)*($G$18-$E$18)*($G$18-$F$18)))</f>
        <v>20.10775580671</v>
      </c>
      <c r="X42" s="15" t="n">
        <f aca="true">RAND()</f>
        <v>0.304606004565773</v>
      </c>
      <c r="Y42" s="16" t="n">
        <f aca="false">IF(X42&lt;=($F$19-$E$19)/($G$19-$E$19),$E$19+SQRT(X42*($G$19-$E$19)*($F$19-$E$19)),$G$19-SQRT((1-X42)*($G$19-$E$19)*($G$19-$F$19)))</f>
        <v>21.8678148690729</v>
      </c>
      <c r="Z42" s="12" t="n">
        <f aca="false">G42*(1+Q42/100)</f>
        <v>43056.6929874572</v>
      </c>
      <c r="AA42" s="12" t="n">
        <f aca="false">I42*(1+Q42/100)*(1+S42/100)</f>
        <v>48846.9265319698</v>
      </c>
      <c r="AB42" s="12" t="n">
        <f aca="false">K42*(1+Q42/100)*(1+S42/100)*(1+U42/100)</f>
        <v>64512.2067551753</v>
      </c>
      <c r="AC42" s="12" t="n">
        <f aca="false">M42*(1+Q42/100)*(1+S42/100)*(1+U42/100)*(1+W42/100)</f>
        <v>83145.4034460827</v>
      </c>
      <c r="AD42" s="12" t="n">
        <f aca="false">O42*(1+Q42/100)*(1+S42/100)*(1+U42/100)*(1+W42/100)*(1+Y42/100)</f>
        <v>94779.0445177736</v>
      </c>
      <c r="AE42" s="12" t="n">
        <f aca="false">ABS(C42)/$B$7</f>
        <v>14017.6993760013</v>
      </c>
      <c r="AF42" s="12" t="n">
        <f aca="false">Z42-AE42</f>
        <v>29038.993611456</v>
      </c>
      <c r="AG42" s="12" t="n">
        <f aca="false">AA42-AE42</f>
        <v>34829.2271559685</v>
      </c>
      <c r="AH42" s="12" t="n">
        <f aca="false">AB42-AE42</f>
        <v>50494.507379174</v>
      </c>
      <c r="AI42" s="12" t="n">
        <f aca="false">AC42-AE42</f>
        <v>69127.7040700814</v>
      </c>
      <c r="AJ42" s="12" t="n">
        <f aca="false">AD42-AE42</f>
        <v>80761.3451417724</v>
      </c>
      <c r="AK42" s="12" t="n">
        <f aca="false">AF42*$B$4</f>
        <v>14519.496805728</v>
      </c>
      <c r="AL42" s="12" t="n">
        <f aca="false">AG42*$B$4</f>
        <v>17414.6135779843</v>
      </c>
      <c r="AM42" s="12" t="n">
        <f aca="false">AH42*$B$4</f>
        <v>25247.253689587</v>
      </c>
      <c r="AN42" s="12" t="n">
        <f aca="false">AI42*$B$4</f>
        <v>34563.8520350407</v>
      </c>
      <c r="AO42" s="12" t="n">
        <f aca="false">AJ42*$B$4</f>
        <v>40380.6725708862</v>
      </c>
      <c r="AP42" s="12" t="n">
        <f aca="false">AF42-AK42</f>
        <v>14519.496805728</v>
      </c>
      <c r="AQ42" s="12" t="n">
        <f aca="false">AG42-AL42</f>
        <v>17414.6135779843</v>
      </c>
      <c r="AR42" s="12" t="n">
        <f aca="false">AH42-AM42</f>
        <v>25247.253689587</v>
      </c>
      <c r="AS42" s="12" t="n">
        <f aca="false">AI42-AN42</f>
        <v>34563.8520350407</v>
      </c>
      <c r="AT42" s="12" t="n">
        <f aca="false">AJ42-AO42</f>
        <v>40380.6725708862</v>
      </c>
      <c r="AU42" s="12" t="n">
        <f aca="false">0.2*ABS(C42)+1*ABS(E42)</f>
        <v>49306.7593460717</v>
      </c>
      <c r="AV42" s="12" t="n">
        <f aca="false">C42+E42</f>
        <v>-105377.556850077</v>
      </c>
      <c r="AW42" s="12" t="n">
        <f aca="false">AP42+AE42</f>
        <v>28537.1961817292</v>
      </c>
      <c r="AX42" s="12" t="n">
        <f aca="false">AQ42+AE42</f>
        <v>31432.3129539855</v>
      </c>
      <c r="AY42" s="12" t="n">
        <f aca="false">AR42+AE42</f>
        <v>39264.9530655883</v>
      </c>
      <c r="AZ42" s="12" t="n">
        <f aca="false">AS42+AE42</f>
        <v>48581.551411042</v>
      </c>
      <c r="BA42" s="12" t="n">
        <f aca="false">AT42+AE42+AU42</f>
        <v>103705.131292959</v>
      </c>
      <c r="BB42" s="4" t="n">
        <f aca="false">IFERROR(IRR(AV42:BA42,0.15),"n/a")</f>
        <v>0.291950839341895</v>
      </c>
      <c r="BC42" s="12" t="n">
        <f aca="false">NPV($B$5,AW42:BA42)+AV42</f>
        <v>48358.5230515003</v>
      </c>
    </row>
    <row r="43" customFormat="false" ht="15" hidden="false" customHeight="false" outlineLevel="0" collapsed="false">
      <c r="A43" s="3" t="n">
        <v>19</v>
      </c>
      <c r="B43" s="15" t="n">
        <f aca="true">RAND()</f>
        <v>0.815027795366253</v>
      </c>
      <c r="C43" s="12" t="n">
        <f aca="false">IF(B43&lt;=($F$12-$E$12)/($G$12-$E$12),$E$12+SQRT(B43*($G$12-$E$12)*($F$12-$E$12)),$G$12-SQRT((1-B43)*($G$12-$E$12)*($G$12-$F$12)))</f>
        <v>-68601.6790136286</v>
      </c>
      <c r="D43" s="15" t="n">
        <f aca="true">RAND()</f>
        <v>0.731460974636384</v>
      </c>
      <c r="E43" s="12" t="n">
        <f aca="false">IF(D43&lt;=($F$13-$E$13)/($G$13-$E$13),$E$13+SQRT(D43*($G$13-$E$13)*($F$13-$E$13)),$G$13-SQRT((1-D43)*($G$13-$E$13)*($G$13-$F$13)))</f>
        <v>-29487.8086971562</v>
      </c>
      <c r="F43" s="15" t="n">
        <f aca="true">RAND()</f>
        <v>0.708543630668392</v>
      </c>
      <c r="G43" s="12" t="n">
        <f aca="false">IF(F43&lt;=($F$14-$E$14)/($G$14-$E$14),$E$14+SQRT(F43*($G$14-$E$14)*($F$14-$E$14)),$G$14-SQRT((1-F43)*($G$14-$E$14)*($G$14-$F$14)))</f>
        <v>40324.6147003834</v>
      </c>
      <c r="H43" s="15" t="n">
        <f aca="true">RAND()</f>
        <v>0.749442686286964</v>
      </c>
      <c r="I43" s="12" t="n">
        <f aca="false">IF(H43&lt;=($F$14-$E$14)/($G$14-$E$14),$E$14+SQRT(H43*($G$14-$E$14)*($F$14-$E$14)),$G$14-SQRT((1-H43)*($G$14-$E$14)*($G$14-$F$14)))</f>
        <v>40665.0491896127</v>
      </c>
      <c r="J43" s="15" t="n">
        <f aca="true">RAND()</f>
        <v>0.840973908689506</v>
      </c>
      <c r="K43" s="12" t="n">
        <f aca="false">IF(J43&lt;=($F$14-$E$14)/($G$14-$E$14),$E$14+SQRT(J43*($G$14-$E$14)*($F$14-$E$14)),$G$14-SQRT((1-J43)*($G$14-$E$14)*($G$14-$F$14)))</f>
        <v>41546.4573481297</v>
      </c>
      <c r="L43" s="15" t="n">
        <f aca="true">RAND()</f>
        <v>0.75866242187017</v>
      </c>
      <c r="M43" s="12" t="n">
        <f aca="false">IF(L43&lt;=($F$14-$E$14)/($G$14-$E$14),$E$14+SQRT(L43*($G$14-$E$14)*($F$14-$E$14)),$G$14-SQRT((1-L43)*($G$14-$E$14)*($G$14-$F$14)))</f>
        <v>40745.5531076605</v>
      </c>
      <c r="N43" s="15" t="n">
        <f aca="true">RAND()</f>
        <v>0.908262644519494</v>
      </c>
      <c r="O43" s="12" t="n">
        <f aca="false">IF(N43&lt;=($F$14-$E$14)/($G$14-$E$14),$E$14+SQRT(N43*($G$14-$E$14)*($F$14-$E$14)),$G$14-SQRT((1-N43)*($G$14-$E$14)*($G$14-$F$14)))</f>
        <v>42376.9670873132</v>
      </c>
      <c r="P43" s="15" t="n">
        <f aca="true">RAND()</f>
        <v>0.130452558182835</v>
      </c>
      <c r="Q43" s="16" t="n">
        <f aca="false">IF(P43&lt;=($F$15-$E$15)/($G$15-$E$15),$E$15+SQRT(P43*($G$15-$E$15)*($F$15-$E$15)),$G$15-SQRT((1-P43)*($G$15-$E$15)*($G$15-$F$15)))</f>
        <v>13.5323661596665</v>
      </c>
      <c r="R43" s="15" t="n">
        <f aca="true">RAND()</f>
        <v>0.794482015927402</v>
      </c>
      <c r="S43" s="16" t="n">
        <f aca="false">IF(R43&lt;=($F$16-$E$16)/($G$16-$E$16),$E$16+SQRT(R43*($G$16-$E$16)*($F$16-$E$16)),$G$16-SQRT((1-R43)*($G$16-$E$16)*($G$16-$F$16)))</f>
        <v>16.0766373942216</v>
      </c>
      <c r="T43" s="15" t="n">
        <f aca="true">RAND()</f>
        <v>0.440423494466359</v>
      </c>
      <c r="U43" s="16" t="n">
        <f aca="false">IF(T43&lt;=($F$17-$E$17)/($G$17-$E$17),$E$17+SQRT(T43*($G$17-$E$17)*($F$17-$E$17)),$G$17-SQRT((1-T43)*($G$17-$E$17)*($G$17-$F$17)))</f>
        <v>18.0416995875828</v>
      </c>
      <c r="V43" s="15" t="n">
        <f aca="true">RAND()</f>
        <v>0.898679147655642</v>
      </c>
      <c r="W43" s="16" t="n">
        <f aca="false">IF(V43&lt;=($F$18-$E$18)/($G$18-$E$18),$E$18+SQRT(V43*($G$18-$E$18)*($F$18-$E$18)),$G$18-SQRT((1-V43)*($G$18-$E$18)*($G$18-$F$18)))</f>
        <v>23.1168563963275</v>
      </c>
      <c r="X43" s="15" t="n">
        <f aca="true">RAND()</f>
        <v>0.0815870668786599</v>
      </c>
      <c r="Y43" s="16" t="n">
        <f aca="false">IF(X43&lt;=($F$19-$E$19)/($G$19-$E$19),$E$19+SQRT(X43*($G$19-$E$19)*($F$19-$E$19)),$G$19-SQRT((1-X43)*($G$19-$E$19)*($G$19-$F$19)))</f>
        <v>20.4842003927111</v>
      </c>
      <c r="Z43" s="12" t="n">
        <f aca="false">G43*(1+Q43/100)</f>
        <v>45781.489214114</v>
      </c>
      <c r="AA43" s="12" t="n">
        <f aca="false">I43*(1+Q43/100)*(1+S43/100)</f>
        <v>53590.253298604</v>
      </c>
      <c r="AB43" s="12" t="n">
        <f aca="false">K43*(1+Q43/100)*(1+S43/100)*(1+U43/100)</f>
        <v>64629.9707386614</v>
      </c>
      <c r="AC43" s="12" t="n">
        <f aca="false">M43*(1+Q43/100)*(1+S43/100)*(1+U43/100)*(1+W43/100)</f>
        <v>78036.4846420693</v>
      </c>
      <c r="AD43" s="12" t="n">
        <f aca="false">O43*(1+Q43/100)*(1+S43/100)*(1+U43/100)*(1+W43/100)*(1+Y43/100)</f>
        <v>97786.1731728582</v>
      </c>
      <c r="AE43" s="12" t="n">
        <f aca="false">ABS(C43)/$B$7</f>
        <v>13720.3358027257</v>
      </c>
      <c r="AF43" s="12" t="n">
        <f aca="false">Z43-AE43</f>
        <v>32061.1534113883</v>
      </c>
      <c r="AG43" s="12" t="n">
        <f aca="false">AA43-AE43</f>
        <v>39869.9174958782</v>
      </c>
      <c r="AH43" s="12" t="n">
        <f aca="false">AB43-AE43</f>
        <v>50909.6349359357</v>
      </c>
      <c r="AI43" s="12" t="n">
        <f aca="false">AC43-AE43</f>
        <v>64316.1488393435</v>
      </c>
      <c r="AJ43" s="12" t="n">
        <f aca="false">AD43-AE43</f>
        <v>84065.8373701325</v>
      </c>
      <c r="AK43" s="12" t="n">
        <f aca="false">AF43*$B$4</f>
        <v>16030.5767056942</v>
      </c>
      <c r="AL43" s="12" t="n">
        <f aca="false">AG43*$B$4</f>
        <v>19934.9587479391</v>
      </c>
      <c r="AM43" s="12" t="n">
        <f aca="false">AH43*$B$4</f>
        <v>25454.8174679679</v>
      </c>
      <c r="AN43" s="12" t="n">
        <f aca="false">AI43*$B$4</f>
        <v>32158.0744196718</v>
      </c>
      <c r="AO43" s="12" t="n">
        <f aca="false">AJ43*$B$4</f>
        <v>42032.9186850662</v>
      </c>
      <c r="AP43" s="12" t="n">
        <f aca="false">AF43-AK43</f>
        <v>16030.5767056942</v>
      </c>
      <c r="AQ43" s="12" t="n">
        <f aca="false">AG43-AL43</f>
        <v>19934.9587479391</v>
      </c>
      <c r="AR43" s="12" t="n">
        <f aca="false">AH43-AM43</f>
        <v>25454.8174679679</v>
      </c>
      <c r="AS43" s="12" t="n">
        <f aca="false">AI43-AN43</f>
        <v>32158.0744196718</v>
      </c>
      <c r="AT43" s="12" t="n">
        <f aca="false">AJ43-AO43</f>
        <v>42032.9186850662</v>
      </c>
      <c r="AU43" s="12" t="n">
        <f aca="false">0.2*ABS(C43)+1*ABS(E43)</f>
        <v>43208.144499882</v>
      </c>
      <c r="AV43" s="12" t="n">
        <f aca="false">C43+E43</f>
        <v>-98089.4877107849</v>
      </c>
      <c r="AW43" s="12" t="n">
        <f aca="false">AP43+AE43</f>
        <v>29750.9125084199</v>
      </c>
      <c r="AX43" s="12" t="n">
        <f aca="false">AQ43+AE43</f>
        <v>33655.2945506648</v>
      </c>
      <c r="AY43" s="12" t="n">
        <f aca="false">AR43+AE43</f>
        <v>39175.1532706936</v>
      </c>
      <c r="AZ43" s="12" t="n">
        <f aca="false">AS43+AE43</f>
        <v>45878.4102223975</v>
      </c>
      <c r="BA43" s="12" t="n">
        <f aca="false">AT43+AE43+AU43</f>
        <v>98961.3989876739</v>
      </c>
      <c r="BB43" s="4" t="n">
        <f aca="false">IFERROR(IRR(AV43:BA43,0.15),"n/a")</f>
        <v>0.322702336504742</v>
      </c>
      <c r="BC43" s="12" t="n">
        <f aca="false">NPV($B$5,AW43:BA43)+AV43</f>
        <v>54419.8432377219</v>
      </c>
    </row>
    <row r="44" customFormat="false" ht="15" hidden="false" customHeight="false" outlineLevel="0" collapsed="false">
      <c r="A44" s="3" t="n">
        <v>20</v>
      </c>
      <c r="B44" s="15" t="n">
        <f aca="true">RAND()</f>
        <v>0.843989526252836</v>
      </c>
      <c r="C44" s="12" t="n">
        <f aca="false">IF(B44&lt;=($F$12-$E$12)/($G$12-$E$12),$E$12+SQRT(B44*($G$12-$E$12)*($F$12-$E$12)),$G$12-SQRT((1-B44)*($G$12-$E$12)*($G$12-$F$12)))</f>
        <v>-67899.6322382036</v>
      </c>
      <c r="D44" s="15" t="n">
        <f aca="true">RAND()</f>
        <v>0.455885792427634</v>
      </c>
      <c r="E44" s="12" t="n">
        <f aca="false">IF(D44&lt;=($F$13-$E$13)/($G$13-$E$13),$E$13+SQRT(D44*($G$13-$E$13)*($F$13-$E$13)),$G$13-SQRT((1-D44)*($G$13-$E$13)*($G$13-$F$13)))</f>
        <v>-31730.6064996189</v>
      </c>
      <c r="F44" s="15" t="n">
        <f aca="true">RAND()</f>
        <v>0.695003238948881</v>
      </c>
      <c r="G44" s="12" t="n">
        <f aca="false">IF(F44&lt;=($F$14-$E$14)/($G$14-$E$14),$E$14+SQRT(F44*($G$14-$E$14)*($F$14-$E$14)),$G$14-SQRT((1-F44)*($G$14-$E$14)*($G$14-$F$14)))</f>
        <v>40217.2437780257</v>
      </c>
      <c r="H44" s="15" t="n">
        <f aca="true">RAND()</f>
        <v>0.0915129025043039</v>
      </c>
      <c r="I44" s="12" t="n">
        <f aca="false">IF(H44&lt;=($F$14-$E$14)/($G$14-$E$14),$E$14+SQRT(H44*($G$14-$E$14)*($F$14-$E$14)),$G$14-SQRT((1-H44)*($G$14-$E$14)*($G$14-$F$14)))</f>
        <v>33704.9879049257</v>
      </c>
      <c r="J44" s="15" t="n">
        <f aca="true">RAND()</f>
        <v>0.886345779171468</v>
      </c>
      <c r="K44" s="12" t="n">
        <f aca="false">IF(J44&lt;=($F$14-$E$14)/($G$14-$E$14),$E$14+SQRT(J44*($G$14-$E$14)*($F$14-$E$14)),$G$14-SQRT((1-J44)*($G$14-$E$14)*($G$14-$F$14)))</f>
        <v>42080.3995886184</v>
      </c>
      <c r="L44" s="15" t="n">
        <f aca="true">RAND()</f>
        <v>0.851870893407162</v>
      </c>
      <c r="M44" s="12" t="n">
        <f aca="false">IF(L44&lt;=($F$14-$E$14)/($G$14-$E$14),$E$14+SQRT(L44*($G$14-$E$14)*($F$14-$E$14)),$G$14-SQRT((1-L44)*($G$14-$E$14)*($G$14-$F$14)))</f>
        <v>41666.8808910477</v>
      </c>
      <c r="N44" s="15" t="n">
        <f aca="true">RAND()</f>
        <v>0.875469818059019</v>
      </c>
      <c r="O44" s="12" t="n">
        <f aca="false">IF(N44&lt;=($F$14-$E$14)/($G$14-$E$14),$E$14+SQRT(N44*($G$14-$E$14)*($F$14-$E$14)),$G$14-SQRT((1-N44)*($G$14-$E$14)*($G$14-$F$14)))</f>
        <v>41943.8973110228</v>
      </c>
      <c r="P44" s="15" t="n">
        <f aca="true">RAND()</f>
        <v>0.565964499328583</v>
      </c>
      <c r="Q44" s="16" t="n">
        <f aca="false">IF(P44&lt;=($F$15-$E$15)/($G$15-$E$15),$E$15+SQRT(P44*($G$15-$E$15)*($F$15-$E$15)),$G$15-SQRT((1-P44)*($G$15-$E$15)*($G$15-$F$15)))</f>
        <v>15.2048901609981</v>
      </c>
      <c r="R44" s="15" t="n">
        <f aca="true">RAND()</f>
        <v>0.407844795309934</v>
      </c>
      <c r="S44" s="16" t="n">
        <f aca="false">IF(R44&lt;=($F$16-$E$16)/($G$16-$E$16),$E$16+SQRT(R44*($G$16-$E$16)*($F$16-$E$16)),$G$16-SQRT((1-R44)*($G$16-$E$16)*($G$16-$F$16)))</f>
        <v>14.7094660572849</v>
      </c>
      <c r="T44" s="15" t="n">
        <f aca="true">RAND()</f>
        <v>0.132521953090958</v>
      </c>
      <c r="U44" s="16" t="n">
        <f aca="false">IF(T44&lt;=($F$17-$E$17)/($G$17-$E$17),$E$17+SQRT(T44*($G$17-$E$17)*($F$17-$E$17)),$G$17-SQRT((1-T44)*($G$17-$E$17)*($G$17-$F$17)))</f>
        <v>16.6682209131018</v>
      </c>
      <c r="V44" s="15" t="n">
        <f aca="true">RAND()</f>
        <v>0.772093650930353</v>
      </c>
      <c r="W44" s="16" t="n">
        <f aca="false">IF(V44&lt;=($F$18-$E$18)/($G$18-$E$18),$E$18+SQRT(V44*($G$18-$E$18)*($F$18-$E$18)),$G$18-SQRT((1-V44)*($G$18-$E$18)*($G$18-$F$18)))</f>
        <v>22.175690842447</v>
      </c>
      <c r="X44" s="15" t="n">
        <f aca="true">RAND()</f>
        <v>0.664639404209507</v>
      </c>
      <c r="Y44" s="16" t="n">
        <f aca="false">IF(X44&lt;=($F$19-$E$19)/($G$19-$E$19),$E$19+SQRT(X44*($G$19-$E$19)*($F$19-$E$19)),$G$19-SQRT((1-X44)*($G$19-$E$19)*($G$19-$F$19)))</f>
        <v>23.7444774501024</v>
      </c>
      <c r="Z44" s="12" t="n">
        <f aca="false">G44*(1+Q44/100)</f>
        <v>46332.2315202553</v>
      </c>
      <c r="AA44" s="12" t="n">
        <f aca="false">I44*(1+Q44/100)*(1+S44/100)</f>
        <v>44541.449706532</v>
      </c>
      <c r="AB44" s="12" t="n">
        <f aca="false">K44*(1+Q44/100)*(1+S44/100)*(1+U44/100)</f>
        <v>64878.7692781936</v>
      </c>
      <c r="AC44" s="12" t="n">
        <f aca="false">M44*(1+Q44/100)*(1+S44/100)*(1+U44/100)*(1+W44/100)</f>
        <v>78487.146914098</v>
      </c>
      <c r="AD44" s="12" t="n">
        <f aca="false">O44*(1+Q44/100)*(1+S44/100)*(1+U44/100)*(1+W44/100)*(1+Y44/100)</f>
        <v>97769.2218621109</v>
      </c>
      <c r="AE44" s="12" t="n">
        <f aca="false">ABS(C44)/$B$7</f>
        <v>13579.9264476407</v>
      </c>
      <c r="AF44" s="12" t="n">
        <f aca="false">Z44-AE44</f>
        <v>32752.3050726146</v>
      </c>
      <c r="AG44" s="12" t="n">
        <f aca="false">AA44-AE44</f>
        <v>30961.5232588913</v>
      </c>
      <c r="AH44" s="12" t="n">
        <f aca="false">AB44-AE44</f>
        <v>51298.8428305529</v>
      </c>
      <c r="AI44" s="12" t="n">
        <f aca="false">AC44-AE44</f>
        <v>64907.2204664573</v>
      </c>
      <c r="AJ44" s="12" t="n">
        <f aca="false">AD44-AE44</f>
        <v>84189.2954144702</v>
      </c>
      <c r="AK44" s="12" t="n">
        <f aca="false">AF44*$B$4</f>
        <v>16376.1525363073</v>
      </c>
      <c r="AL44" s="12" t="n">
        <f aca="false">AG44*$B$4</f>
        <v>15480.7616294456</v>
      </c>
      <c r="AM44" s="12" t="n">
        <f aca="false">AH44*$B$4</f>
        <v>25649.4214152765</v>
      </c>
      <c r="AN44" s="12" t="n">
        <f aca="false">AI44*$B$4</f>
        <v>32453.6102332287</v>
      </c>
      <c r="AO44" s="12" t="n">
        <f aca="false">AJ44*$B$4</f>
        <v>42094.6477072351</v>
      </c>
      <c r="AP44" s="12" t="n">
        <f aca="false">AF44-AK44</f>
        <v>16376.1525363073</v>
      </c>
      <c r="AQ44" s="12" t="n">
        <f aca="false">AG44-AL44</f>
        <v>15480.7616294456</v>
      </c>
      <c r="AR44" s="12" t="n">
        <f aca="false">AH44-AM44</f>
        <v>25649.4214152765</v>
      </c>
      <c r="AS44" s="12" t="n">
        <f aca="false">AI44-AN44</f>
        <v>32453.6102332287</v>
      </c>
      <c r="AT44" s="12" t="n">
        <f aca="false">AJ44-AO44</f>
        <v>42094.6477072351</v>
      </c>
      <c r="AU44" s="12" t="n">
        <f aca="false">0.2*ABS(C44)+1*ABS(E44)</f>
        <v>45310.5329472596</v>
      </c>
      <c r="AV44" s="12" t="n">
        <f aca="false">C44+E44</f>
        <v>-99630.2387378225</v>
      </c>
      <c r="AW44" s="12" t="n">
        <f aca="false">AP44+AE44</f>
        <v>29956.078983948</v>
      </c>
      <c r="AX44" s="12" t="n">
        <f aca="false">AQ44+AE44</f>
        <v>29060.6880770864</v>
      </c>
      <c r="AY44" s="12" t="n">
        <f aca="false">AR44+AE44</f>
        <v>39229.3478629172</v>
      </c>
      <c r="AZ44" s="12" t="n">
        <f aca="false">AS44+AE44</f>
        <v>46033.5366808694</v>
      </c>
      <c r="BA44" s="12" t="n">
        <f aca="false">AT44+AE44+AU44</f>
        <v>100985.107102135</v>
      </c>
      <c r="BB44" s="4" t="n">
        <f aca="false">IFERROR(IRR(AV44:BA44,0.15),"n/a")</f>
        <v>0.307534688167565</v>
      </c>
      <c r="BC44" s="12" t="n">
        <f aca="false">NPV($B$5,AW44:BA44)+AV44</f>
        <v>50713.7837266115</v>
      </c>
    </row>
    <row r="45" customFormat="false" ht="15" hidden="false" customHeight="false" outlineLevel="0" collapsed="false">
      <c r="A45" s="3" t="n">
        <v>21</v>
      </c>
      <c r="B45" s="15" t="n">
        <f aca="true">RAND()</f>
        <v>0.605772917091309</v>
      </c>
      <c r="C45" s="12" t="n">
        <f aca="false">IF(B45&lt;=($F$12-$E$12)/($G$12-$E$12),$E$12+SQRT(B45*($G$12-$E$12)*($F$12-$E$12)),$G$12-SQRT((1-B45)*($G$12-$E$12)*($G$12-$F$12)))</f>
        <v>-73038.4069367263</v>
      </c>
      <c r="D45" s="15" t="n">
        <f aca="true">RAND()</f>
        <v>0.467048795826676</v>
      </c>
      <c r="E45" s="12" t="n">
        <f aca="false">IF(D45&lt;=($F$13-$E$13)/($G$13-$E$13),$E$13+SQRT(D45*($G$13-$E$13)*($F$13-$E$13)),$G$13-SQRT((1-D45)*($G$13-$E$13)*($G$13-$F$13)))</f>
        <v>-31629.9749478271</v>
      </c>
      <c r="F45" s="15" t="n">
        <f aca="true">RAND()</f>
        <v>0.8570916767648</v>
      </c>
      <c r="G45" s="12" t="n">
        <f aca="false">IF(F45&lt;=($F$14-$E$14)/($G$14-$E$14),$E$14+SQRT(F45*($G$14-$E$14)*($F$14-$E$14)),$G$14-SQRT((1-F45)*($G$14-$E$14)*($G$14-$F$14)))</f>
        <v>41726.1453540757</v>
      </c>
      <c r="H45" s="15" t="n">
        <f aca="true">RAND()</f>
        <v>0.981247791066518</v>
      </c>
      <c r="I45" s="12" t="n">
        <f aca="false">IF(H45&lt;=($F$14-$E$14)/($G$14-$E$14),$E$14+SQRT(H45*($G$14-$E$14)*($F$14-$E$14)),$G$14-SQRT((1-H45)*($G$14-$E$14)*($G$14-$F$14)))</f>
        <v>43814.076026884</v>
      </c>
      <c r="J45" s="15" t="n">
        <f aca="true">RAND()</f>
        <v>0.837815179899904</v>
      </c>
      <c r="K45" s="12" t="n">
        <f aca="false">IF(J45&lt;=($F$14-$E$14)/($G$14-$E$14),$E$14+SQRT(J45*($G$14-$E$14)*($F$14-$E$14)),$G$14-SQRT((1-J45)*($G$14-$E$14)*($G$14-$F$14)))</f>
        <v>41512.3272075054</v>
      </c>
      <c r="L45" s="15" t="n">
        <f aca="true">RAND()</f>
        <v>0.941438154890941</v>
      </c>
      <c r="M45" s="12" t="n">
        <f aca="false">IF(L45&lt;=($F$14-$E$14)/($G$14-$E$14),$E$14+SQRT(L45*($G$14-$E$14)*($F$14-$E$14)),$G$14-SQRT((1-L45)*($G$14-$E$14)*($G$14-$F$14)))</f>
        <v>42904.2570808471</v>
      </c>
      <c r="N45" s="15" t="n">
        <f aca="true">RAND()</f>
        <v>0.788833129115963</v>
      </c>
      <c r="O45" s="12" t="n">
        <f aca="false">IF(N45&lt;=($F$14-$E$14)/($G$14-$E$14),$E$14+SQRT(N45*($G$14-$E$14)*($F$14-$E$14)),$G$14-SQRT((1-N45)*($G$14-$E$14)*($G$14-$F$14)))</f>
        <v>41020.3624139499</v>
      </c>
      <c r="P45" s="15" t="n">
        <f aca="true">RAND()</f>
        <v>0.620200013127733</v>
      </c>
      <c r="Q45" s="16" t="n">
        <f aca="false">IF(P45&lt;=($F$15-$E$15)/($G$15-$E$15),$E$15+SQRT(P45*($G$15-$E$15)*($F$15-$E$15)),$G$15-SQRT((1-P45)*($G$15-$E$15)*($G$15-$F$15)))</f>
        <v>15.3853490168474</v>
      </c>
      <c r="R45" s="15" t="n">
        <f aca="true">RAND()</f>
        <v>0.405641107331445</v>
      </c>
      <c r="S45" s="16" t="n">
        <f aca="false">IF(R45&lt;=($F$16-$E$16)/($G$16-$E$16),$E$16+SQRT(R45*($G$16-$E$16)*($F$16-$E$16)),$G$16-SQRT((1-R45)*($G$16-$E$16)*($G$16-$F$16)))</f>
        <v>14.7021361793896</v>
      </c>
      <c r="T45" s="15" t="n">
        <f aca="true">RAND()</f>
        <v>0.423442954820755</v>
      </c>
      <c r="U45" s="16" t="n">
        <f aca="false">IF(T45&lt;=($F$17-$E$17)/($G$17-$E$17),$E$17+SQRT(T45*($G$17-$E$17)*($F$17-$E$17)),$G$17-SQRT((1-T45)*($G$17-$E$17)*($G$17-$F$17)))</f>
        <v>17.9819963197891</v>
      </c>
      <c r="V45" s="15" t="n">
        <f aca="true">RAND()</f>
        <v>0.0902753256504676</v>
      </c>
      <c r="W45" s="16" t="n">
        <f aca="false">IF(V45&lt;=($F$18-$E$18)/($G$18-$E$18),$E$18+SQRT(V45*($G$18-$E$18)*($F$18-$E$18)),$G$18-SQRT((1-V45)*($G$18-$E$18)*($G$18-$F$18)))</f>
        <v>19.124212862009</v>
      </c>
      <c r="X45" s="15" t="n">
        <f aca="true">RAND()</f>
        <v>0.620864813908842</v>
      </c>
      <c r="Y45" s="16" t="n">
        <f aca="false">IF(X45&lt;=($F$19-$E$19)/($G$19-$E$19),$E$19+SQRT(X45*($G$19-$E$19)*($F$19-$E$19)),$G$19-SQRT((1-X45)*($G$19-$E$19)*($G$19-$F$19)))</f>
        <v>23.4752569079646</v>
      </c>
      <c r="Z45" s="12" t="n">
        <f aca="false">G45*(1+Q45/100)</f>
        <v>48145.8584480773</v>
      </c>
      <c r="AA45" s="12" t="n">
        <f aca="false">I45*(1+Q45/100)*(1+S45/100)</f>
        <v>57987.6930958343</v>
      </c>
      <c r="AB45" s="12" t="n">
        <f aca="false">K45*(1+Q45/100)*(1+S45/100)*(1+U45/100)</f>
        <v>64820.8908684542</v>
      </c>
      <c r="AC45" s="12" t="n">
        <f aca="false">M45*(1+Q45/100)*(1+S45/100)*(1+U45/100)*(1+W45/100)</f>
        <v>79806.51470561</v>
      </c>
      <c r="AD45" s="12" t="n">
        <f aca="false">O45*(1+Q45/100)*(1+S45/100)*(1+U45/100)*(1+W45/100)*(1+Y45/100)</f>
        <v>94214.4224208222</v>
      </c>
      <c r="AE45" s="12" t="n">
        <f aca="false">ABS(C45)/$B$7</f>
        <v>14607.6813873453</v>
      </c>
      <c r="AF45" s="12" t="n">
        <f aca="false">Z45-AE45</f>
        <v>33538.1770607321</v>
      </c>
      <c r="AG45" s="12" t="n">
        <f aca="false">AA45-AE45</f>
        <v>43380.0117084891</v>
      </c>
      <c r="AH45" s="12" t="n">
        <f aca="false">AB45-AE45</f>
        <v>50213.209481109</v>
      </c>
      <c r="AI45" s="12" t="n">
        <f aca="false">AC45-AE45</f>
        <v>65198.8333182647</v>
      </c>
      <c r="AJ45" s="12" t="n">
        <f aca="false">AD45-AE45</f>
        <v>79606.741033477</v>
      </c>
      <c r="AK45" s="12" t="n">
        <f aca="false">AF45*$B$4</f>
        <v>16769.088530366</v>
      </c>
      <c r="AL45" s="12" t="n">
        <f aca="false">AG45*$B$4</f>
        <v>21690.0058542445</v>
      </c>
      <c r="AM45" s="12" t="n">
        <f aca="false">AH45*$B$4</f>
        <v>25106.6047405545</v>
      </c>
      <c r="AN45" s="12" t="n">
        <f aca="false">AI45*$B$4</f>
        <v>32599.4166591324</v>
      </c>
      <c r="AO45" s="12" t="n">
        <f aca="false">AJ45*$B$4</f>
        <v>39803.3705167385</v>
      </c>
      <c r="AP45" s="12" t="n">
        <f aca="false">AF45-AK45</f>
        <v>16769.088530366</v>
      </c>
      <c r="AQ45" s="12" t="n">
        <f aca="false">AG45-AL45</f>
        <v>21690.0058542445</v>
      </c>
      <c r="AR45" s="12" t="n">
        <f aca="false">AH45-AM45</f>
        <v>25106.6047405545</v>
      </c>
      <c r="AS45" s="12" t="n">
        <f aca="false">AI45-AN45</f>
        <v>32599.4166591324</v>
      </c>
      <c r="AT45" s="12" t="n">
        <f aca="false">AJ45-AO45</f>
        <v>39803.3705167385</v>
      </c>
      <c r="AU45" s="12" t="n">
        <f aca="false">0.2*ABS(C45)+1*ABS(E45)</f>
        <v>46237.6563351724</v>
      </c>
      <c r="AV45" s="12" t="n">
        <f aca="false">C45+E45</f>
        <v>-104668.381884553</v>
      </c>
      <c r="AW45" s="12" t="n">
        <f aca="false">AP45+AE45</f>
        <v>31376.7699177113</v>
      </c>
      <c r="AX45" s="12" t="n">
        <f aca="false">AQ45+AE45</f>
        <v>36297.6872415898</v>
      </c>
      <c r="AY45" s="12" t="n">
        <f aca="false">AR45+AE45</f>
        <v>39714.2861278997</v>
      </c>
      <c r="AZ45" s="12" t="n">
        <f aca="false">AS45+AE45</f>
        <v>47207.0980464776</v>
      </c>
      <c r="BA45" s="12" t="n">
        <f aca="false">AT45+AE45+AU45</f>
        <v>100648.708239256</v>
      </c>
      <c r="BB45" s="4" t="n">
        <f aca="false">IFERROR(IRR(AV45:BA45,0.15),"n/a")</f>
        <v>0.310914196663567</v>
      </c>
      <c r="BC45" s="12" t="n">
        <f aca="false">NPV($B$5,AW45:BA45)+AV45</f>
        <v>53205.8277012538</v>
      </c>
    </row>
    <row r="46" customFormat="false" ht="15" hidden="false" customHeight="false" outlineLevel="0" collapsed="false">
      <c r="A46" s="3" t="n">
        <v>22</v>
      </c>
      <c r="B46" s="15" t="n">
        <f aca="true">RAND()</f>
        <v>0.883314067783606</v>
      </c>
      <c r="C46" s="12" t="n">
        <f aca="false">IF(B46&lt;=($F$12-$E$12)/($G$12-$E$12),$E$12+SQRT(B46*($G$12-$E$12)*($F$12-$E$12)),$G$12-SQRT((1-B46)*($G$12-$E$12)*($G$12-$F$12)))</f>
        <v>-66831.8645248978</v>
      </c>
      <c r="D46" s="15" t="n">
        <f aca="true">RAND()</f>
        <v>0.189554497965852</v>
      </c>
      <c r="E46" s="12" t="n">
        <f aca="false">IF(D46&lt;=($F$13-$E$13)/($G$13-$E$13),$E$13+SQRT(D46*($G$13-$E$13)*($F$13-$E$13)),$G$13-SQRT((1-D46)*($G$13-$E$13)*($G$13-$F$13)))</f>
        <v>-34667.72331036</v>
      </c>
      <c r="F46" s="15" t="n">
        <f aca="true">RAND()</f>
        <v>0.713016644213613</v>
      </c>
      <c r="G46" s="12" t="n">
        <f aca="false">IF(F46&lt;=($F$14-$E$14)/($G$14-$E$14),$E$14+SQRT(F46*($G$14-$E$14)*($F$14-$E$14)),$G$14-SQRT((1-F46)*($G$14-$E$14)*($G$14-$F$14)))</f>
        <v>40360.630249271</v>
      </c>
      <c r="H46" s="15" t="n">
        <f aca="true">RAND()</f>
        <v>0.917697461513089</v>
      </c>
      <c r="I46" s="12" t="n">
        <f aca="false">IF(H46&lt;=($F$14-$E$14)/($G$14-$E$14),$E$14+SQRT(H46*($G$14-$E$14)*($F$14-$E$14)),$G$14-SQRT((1-H46)*($G$14-$E$14)*($G$14-$F$14)))</f>
        <v>42515.5100349331</v>
      </c>
      <c r="J46" s="15" t="n">
        <f aca="true">RAND()</f>
        <v>0.88289151737805</v>
      </c>
      <c r="K46" s="12" t="n">
        <f aca="false">IF(J46&lt;=($F$14-$E$14)/($G$14-$E$14),$E$14+SQRT(J46*($G$14-$E$14)*($F$14-$E$14)),$G$14-SQRT((1-J46)*($G$14-$E$14)*($G$14-$F$14)))</f>
        <v>42036.3643616925</v>
      </c>
      <c r="L46" s="15" t="n">
        <f aca="true">RAND()</f>
        <v>0.485679537505083</v>
      </c>
      <c r="M46" s="12" t="n">
        <f aca="false">IF(L46&lt;=($F$14-$E$14)/($G$14-$E$14),$E$14+SQRT(L46*($G$14-$E$14)*($F$14-$E$14)),$G$14-SQRT((1-L46)*($G$14-$E$14)*($G$14-$F$14)))</f>
        <v>38535.3342421819</v>
      </c>
      <c r="N46" s="15" t="n">
        <f aca="true">RAND()</f>
        <v>0.476184378420182</v>
      </c>
      <c r="O46" s="12" t="n">
        <f aca="false">IF(N46&lt;=($F$14-$E$14)/($G$14-$E$14),$E$14+SQRT(N46*($G$14-$E$14)*($F$14-$E$14)),$G$14-SQRT((1-N46)*($G$14-$E$14)*($G$14-$F$14)))</f>
        <v>38451.4884347686</v>
      </c>
      <c r="P46" s="15" t="n">
        <f aca="true">RAND()</f>
        <v>0.718938292558062</v>
      </c>
      <c r="Q46" s="16" t="n">
        <f aca="false">IF(P46&lt;=($F$15-$E$15)/($G$15-$E$15),$E$15+SQRT(P46*($G$15-$E$15)*($F$15-$E$15)),$G$15-SQRT((1-P46)*($G$15-$E$15)*($G$15-$F$15)))</f>
        <v>15.7507532963334</v>
      </c>
      <c r="R46" s="15" t="n">
        <f aca="true">RAND()</f>
        <v>0.0740928405029826</v>
      </c>
      <c r="S46" s="16" t="n">
        <f aca="false">IF(R46&lt;=($F$16-$E$16)/($G$16-$E$16),$E$16+SQRT(R46*($G$16-$E$16)*($F$16-$E$16)),$G$16-SQRT((1-R46)*($G$16-$E$16)*($G$16-$F$16)))</f>
        <v>13.1548467989537</v>
      </c>
      <c r="T46" s="15" t="n">
        <f aca="true">RAND()</f>
        <v>0.527845758736175</v>
      </c>
      <c r="U46" s="16" t="n">
        <f aca="false">IF(T46&lt;=($F$17-$E$17)/($G$17-$E$17),$E$17+SQRT(T46*($G$17-$E$17)*($F$17-$E$17)),$G$17-SQRT((1-T46)*($G$17-$E$17)*($G$17-$F$17)))</f>
        <v>18.3640243736533</v>
      </c>
      <c r="V46" s="15" t="n">
        <f aca="true">RAND()</f>
        <v>0.821977165626949</v>
      </c>
      <c r="W46" s="16" t="n">
        <f aca="false">IF(V46&lt;=($F$18-$E$18)/($G$18-$E$18),$E$18+SQRT(V46*($G$18-$E$18)*($F$18-$E$18)),$G$18-SQRT((1-V46)*($G$18-$E$18)*($G$18-$F$18)))</f>
        <v>22.5038431132926</v>
      </c>
      <c r="X46" s="15" t="n">
        <f aca="true">RAND()</f>
        <v>0.577515384901894</v>
      </c>
      <c r="Y46" s="16" t="n">
        <f aca="false">IF(X46&lt;=($F$19-$E$19)/($G$19-$E$19),$E$19+SQRT(X46*($G$19-$E$19)*($F$19-$E$19)),$G$19-SQRT((1-X46)*($G$19-$E$19)*($G$19-$F$19)))</f>
        <v>23.2235819681169</v>
      </c>
      <c r="Z46" s="12" t="n">
        <f aca="false">G46*(1+Q46/100)</f>
        <v>46717.733548679</v>
      </c>
      <c r="AA46" s="12" t="n">
        <f aca="false">I46*(1+Q46/100)*(1+S46/100)</f>
        <v>55685.7893830531</v>
      </c>
      <c r="AB46" s="12" t="n">
        <f aca="false">K46*(1+Q46/100)*(1+S46/100)*(1+U46/100)</f>
        <v>65169.1201341382</v>
      </c>
      <c r="AC46" s="12" t="n">
        <f aca="false">M46*(1+Q46/100)*(1+S46/100)*(1+U46/100)*(1+W46/100)</f>
        <v>73185.5857893957</v>
      </c>
      <c r="AD46" s="12" t="n">
        <f aca="false">O46*(1+Q46/100)*(1+S46/100)*(1+U46/100)*(1+W46/100)*(1+Y46/100)</f>
        <v>89985.681047657</v>
      </c>
      <c r="AE46" s="12" t="n">
        <f aca="false">ABS(C46)/$B$7</f>
        <v>13366.3729049796</v>
      </c>
      <c r="AF46" s="12" t="n">
        <f aca="false">Z46-AE46</f>
        <v>33351.3606436995</v>
      </c>
      <c r="AG46" s="12" t="n">
        <f aca="false">AA46-AE46</f>
        <v>42319.4164780736</v>
      </c>
      <c r="AH46" s="12" t="n">
        <f aca="false">AB46-AE46</f>
        <v>51802.7472291586</v>
      </c>
      <c r="AI46" s="12" t="n">
        <f aca="false">AC46-AE46</f>
        <v>59819.2128844161</v>
      </c>
      <c r="AJ46" s="12" t="n">
        <f aca="false">AD46-AE46</f>
        <v>76619.3081426774</v>
      </c>
      <c r="AK46" s="12" t="n">
        <f aca="false">AF46*$B$4</f>
        <v>16675.6803218497</v>
      </c>
      <c r="AL46" s="12" t="n">
        <f aca="false">AG46*$B$4</f>
        <v>21159.7082390368</v>
      </c>
      <c r="AM46" s="12" t="n">
        <f aca="false">AH46*$B$4</f>
        <v>25901.3736145793</v>
      </c>
      <c r="AN46" s="12" t="n">
        <f aca="false">AI46*$B$4</f>
        <v>29909.6064422081</v>
      </c>
      <c r="AO46" s="12" t="n">
        <f aca="false">AJ46*$B$4</f>
        <v>38309.6540713387</v>
      </c>
      <c r="AP46" s="12" t="n">
        <f aca="false">AF46-AK46</f>
        <v>16675.6803218497</v>
      </c>
      <c r="AQ46" s="12" t="n">
        <f aca="false">AG46-AL46</f>
        <v>21159.7082390368</v>
      </c>
      <c r="AR46" s="12" t="n">
        <f aca="false">AH46-AM46</f>
        <v>25901.3736145793</v>
      </c>
      <c r="AS46" s="12" t="n">
        <f aca="false">AI46-AN46</f>
        <v>29909.6064422081</v>
      </c>
      <c r="AT46" s="12" t="n">
        <f aca="false">AJ46-AO46</f>
        <v>38309.6540713387</v>
      </c>
      <c r="AU46" s="12" t="n">
        <f aca="false">0.2*ABS(C46)+1*ABS(E46)</f>
        <v>48034.0962153396</v>
      </c>
      <c r="AV46" s="12" t="n">
        <f aca="false">C46+E46</f>
        <v>-101499.587835258</v>
      </c>
      <c r="AW46" s="12" t="n">
        <f aca="false">AP46+AE46</f>
        <v>30042.0532268293</v>
      </c>
      <c r="AX46" s="12" t="n">
        <f aca="false">AQ46+AE46</f>
        <v>34526.0811440163</v>
      </c>
      <c r="AY46" s="12" t="n">
        <f aca="false">AR46+AE46</f>
        <v>39267.7465195589</v>
      </c>
      <c r="AZ46" s="12" t="n">
        <f aca="false">AS46+AE46</f>
        <v>43275.9793471876</v>
      </c>
      <c r="BA46" s="12" t="n">
        <f aca="false">AT46+AE46+AU46</f>
        <v>99710.1231916579</v>
      </c>
      <c r="BB46" s="4" t="n">
        <f aca="false">IFERROR(IRR(AV46:BA46,0.15),"n/a")</f>
        <v>0.308105503183104</v>
      </c>
      <c r="BC46" s="12" t="n">
        <f aca="false">NPV($B$5,AW46:BA46)+AV46</f>
        <v>50866.5302436591</v>
      </c>
    </row>
    <row r="47" customFormat="false" ht="15" hidden="false" customHeight="false" outlineLevel="0" collapsed="false">
      <c r="A47" s="3" t="n">
        <v>23</v>
      </c>
      <c r="B47" s="15" t="n">
        <f aca="true">RAND()</f>
        <v>0.929163708901684</v>
      </c>
      <c r="C47" s="12" t="n">
        <f aca="false">IF(B47&lt;=($F$12-$E$12)/($G$12-$E$12),$E$12+SQRT(B47*($G$12-$E$12)*($F$12-$E$12)),$G$12-SQRT((1-B47)*($G$12-$E$12)*($G$12-$F$12)))</f>
        <v>-65323.0176065204</v>
      </c>
      <c r="D47" s="15" t="n">
        <f aca="true">RAND()</f>
        <v>0.895369070290895</v>
      </c>
      <c r="E47" s="12" t="n">
        <f aca="false">IF(D47&lt;=($F$13-$E$13)/($G$13-$E$13),$E$13+SQRT(D47*($G$13-$E$13)*($F$13-$E$13)),$G$13-SQRT((1-D47)*($G$13-$E$13)*($G$13-$F$13)))</f>
        <v>-27801.3067893722</v>
      </c>
      <c r="F47" s="15" t="n">
        <f aca="true">RAND()</f>
        <v>0.347019843613933</v>
      </c>
      <c r="G47" s="12" t="n">
        <f aca="false">IF(F47&lt;=($F$14-$E$14)/($G$14-$E$14),$E$14+SQRT(F47*($G$14-$E$14)*($F$14-$E$14)),$G$14-SQRT((1-F47)*($G$14-$E$14)*($G$14-$F$14)))</f>
        <v>37214.7748781296</v>
      </c>
      <c r="H47" s="15" t="n">
        <f aca="true">RAND()</f>
        <v>0.391311562801681</v>
      </c>
      <c r="I47" s="12" t="n">
        <f aca="false">IF(H47&lt;=($F$14-$E$14)/($G$14-$E$14),$E$14+SQRT(H47*($G$14-$E$14)*($F$14-$E$14)),$G$14-SQRT((1-H47)*($G$14-$E$14)*($G$14-$F$14)))</f>
        <v>37661.3794071467</v>
      </c>
      <c r="J47" s="15" t="n">
        <f aca="true">RAND()</f>
        <v>0.411770037658767</v>
      </c>
      <c r="K47" s="12" t="n">
        <f aca="false">IF(J47&lt;=($F$14-$E$14)/($G$14-$E$14),$E$14+SQRT(J47*($G$14-$E$14)*($F$14-$E$14)),$G$14-SQRT((1-J47)*($G$14-$E$14)*($G$14-$F$14)))</f>
        <v>37859.103361632</v>
      </c>
      <c r="L47" s="15" t="n">
        <f aca="true">RAND()</f>
        <v>0.567737750109514</v>
      </c>
      <c r="M47" s="12" t="n">
        <f aca="false">IF(L47&lt;=($F$14-$E$14)/($G$14-$E$14),$E$14+SQRT(L47*($G$14-$E$14)*($F$14-$E$14)),$G$14-SQRT((1-L47)*($G$14-$E$14)*($G$14-$F$14)))</f>
        <v>39228.2534922068</v>
      </c>
      <c r="N47" s="15" t="n">
        <f aca="true">RAND()</f>
        <v>0.923192120539711</v>
      </c>
      <c r="O47" s="12" t="n">
        <f aca="false">IF(N47&lt;=($F$14-$E$14)/($G$14-$E$14),$E$14+SQRT(N47*($G$14-$E$14)*($F$14-$E$14)),$G$14-SQRT((1-N47)*($G$14-$E$14)*($G$14-$F$14)))</f>
        <v>42599.8768865907</v>
      </c>
      <c r="P47" s="15" t="n">
        <f aca="true">RAND()</f>
        <v>0.0664705873437825</v>
      </c>
      <c r="Q47" s="16" t="n">
        <f aca="false">IF(P47&lt;=($F$15-$E$15)/($G$15-$E$15),$E$15+SQRT(P47*($G$15-$E$15)*($F$15-$E$15)),$G$15-SQRT((1-P47)*($G$15-$E$15)*($G$15-$F$15)))</f>
        <v>13.0938329727102</v>
      </c>
      <c r="R47" s="15" t="n">
        <f aca="true">RAND()</f>
        <v>0.340453260643533</v>
      </c>
      <c r="S47" s="16" t="n">
        <f aca="false">IF(R47&lt;=($F$16-$E$16)/($G$16-$E$16),$E$16+SQRT(R47*($G$16-$E$16)*($F$16-$E$16)),$G$16-SQRT((1-R47)*($G$16-$E$16)*($G$16-$F$16)))</f>
        <v>14.4755118039677</v>
      </c>
      <c r="T47" s="15" t="n">
        <f aca="true">RAND()</f>
        <v>0.341196111612369</v>
      </c>
      <c r="U47" s="16" t="n">
        <f aca="false">IF(T47&lt;=($F$17-$E$17)/($G$17-$E$17),$E$17+SQRT(T47*($G$17-$E$17)*($F$17-$E$17)),$G$17-SQRT((1-T47)*($G$17-$E$17)*($G$17-$F$17)))</f>
        <v>17.6767738686448</v>
      </c>
      <c r="V47" s="15" t="n">
        <f aca="true">RAND()</f>
        <v>0.507628409271025</v>
      </c>
      <c r="W47" s="16" t="n">
        <f aca="false">IF(V47&lt;=($F$18-$E$18)/($G$18-$E$18),$E$18+SQRT(V47*($G$18-$E$18)*($F$18-$E$18)),$G$18-SQRT((1-V47)*($G$18-$E$18)*($G$18-$F$18)))</f>
        <v>20.8487344489284</v>
      </c>
      <c r="X47" s="15" t="n">
        <f aca="true">RAND()</f>
        <v>0.678974214797693</v>
      </c>
      <c r="Y47" s="16" t="n">
        <f aca="false">IF(X47&lt;=($F$19-$E$19)/($G$19-$E$19),$E$19+SQRT(X47*($G$19-$E$19)*($F$19-$E$19)),$G$19-SQRT((1-X47)*($G$19-$E$19)*($G$19-$F$19)))</f>
        <v>23.8364207223923</v>
      </c>
      <c r="Z47" s="12" t="n">
        <f aca="false">G47*(1+Q47/100)</f>
        <v>42087.615341842</v>
      </c>
      <c r="AA47" s="12" t="n">
        <f aca="false">I47*(1+Q47/100)*(1+S47/100)</f>
        <v>48758.2084793535</v>
      </c>
      <c r="AB47" s="12" t="n">
        <f aca="false">K47*(1+Q47/100)*(1+S47/100)*(1+U47/100)</f>
        <v>57678.3190491496</v>
      </c>
      <c r="AC47" s="12" t="n">
        <f aca="false">M47*(1+Q47/100)*(1+S47/100)*(1+U47/100)*(1+W47/100)</f>
        <v>72224.301555592</v>
      </c>
      <c r="AD47" s="12" t="n">
        <f aca="false">O47*(1+Q47/100)*(1+S47/100)*(1+U47/100)*(1+W47/100)*(1+Y47/100)</f>
        <v>97127.2544892122</v>
      </c>
      <c r="AE47" s="12" t="n">
        <f aca="false">ABS(C47)/$B$7</f>
        <v>13064.6035213041</v>
      </c>
      <c r="AF47" s="12" t="n">
        <f aca="false">Z47-AE47</f>
        <v>29023.0118205379</v>
      </c>
      <c r="AG47" s="12" t="n">
        <f aca="false">AA47-AE47</f>
        <v>35693.6049580494</v>
      </c>
      <c r="AH47" s="12" t="n">
        <f aca="false">AB47-AE47</f>
        <v>44613.7155278456</v>
      </c>
      <c r="AI47" s="12" t="n">
        <f aca="false">AC47-AE47</f>
        <v>59159.6980342879</v>
      </c>
      <c r="AJ47" s="12" t="n">
        <f aca="false">AD47-AE47</f>
        <v>84062.6509679081</v>
      </c>
      <c r="AK47" s="12" t="n">
        <f aca="false">AF47*$B$4</f>
        <v>14511.505910269</v>
      </c>
      <c r="AL47" s="12" t="n">
        <f aca="false">AG47*$B$4</f>
        <v>17846.8024790247</v>
      </c>
      <c r="AM47" s="12" t="n">
        <f aca="false">AH47*$B$4</f>
        <v>22306.8577639228</v>
      </c>
      <c r="AN47" s="12" t="n">
        <f aca="false">AI47*$B$4</f>
        <v>29579.8490171439</v>
      </c>
      <c r="AO47" s="12" t="n">
        <f aca="false">AJ47*$B$4</f>
        <v>42031.325483954</v>
      </c>
      <c r="AP47" s="12" t="n">
        <f aca="false">AF47-AK47</f>
        <v>14511.505910269</v>
      </c>
      <c r="AQ47" s="12" t="n">
        <f aca="false">AG47-AL47</f>
        <v>17846.8024790247</v>
      </c>
      <c r="AR47" s="12" t="n">
        <f aca="false">AH47-AM47</f>
        <v>22306.8577639228</v>
      </c>
      <c r="AS47" s="12" t="n">
        <f aca="false">AI47-AN47</f>
        <v>29579.8490171439</v>
      </c>
      <c r="AT47" s="12" t="n">
        <f aca="false">AJ47-AO47</f>
        <v>42031.325483954</v>
      </c>
      <c r="AU47" s="12" t="n">
        <f aca="false">0.2*ABS(C47)+1*ABS(E47)</f>
        <v>40865.9103106763</v>
      </c>
      <c r="AV47" s="12" t="n">
        <f aca="false">C47+E47</f>
        <v>-93124.3243958926</v>
      </c>
      <c r="AW47" s="12" t="n">
        <f aca="false">AP47+AE47</f>
        <v>27576.109431573</v>
      </c>
      <c r="AX47" s="12" t="n">
        <f aca="false">AQ47+AE47</f>
        <v>30911.4060003288</v>
      </c>
      <c r="AY47" s="12" t="n">
        <f aca="false">AR47+AE47</f>
        <v>35371.4612852269</v>
      </c>
      <c r="AZ47" s="12" t="n">
        <f aca="false">AS47+AE47</f>
        <v>42644.452538448</v>
      </c>
      <c r="BA47" s="12" t="n">
        <f aca="false">AT47+AE47+AU47</f>
        <v>95961.8393159344</v>
      </c>
      <c r="BB47" s="4" t="n">
        <f aca="false">IFERROR(IRR(AV47:BA47,0.15),"n/a")</f>
        <v>0.314734694456765</v>
      </c>
      <c r="BC47" s="12" t="n">
        <f aca="false">NPV($B$5,AW47:BA47)+AV47</f>
        <v>49577.7731807555</v>
      </c>
    </row>
    <row r="48" customFormat="false" ht="15" hidden="false" customHeight="false" outlineLevel="0" collapsed="false">
      <c r="A48" s="3" t="n">
        <v>24</v>
      </c>
      <c r="B48" s="15" t="n">
        <f aca="true">RAND()</f>
        <v>0.330769616589418</v>
      </c>
      <c r="C48" s="12" t="n">
        <f aca="false">IF(B48&lt;=($F$12-$E$12)/($G$12-$E$12),$E$12+SQRT(B48*($G$12-$E$12)*($F$12-$E$12)),$G$12-SQRT((1-B48)*($G$12-$E$12)*($G$12-$F$12)))</f>
        <v>-80077.0599582466</v>
      </c>
      <c r="D48" s="15" t="n">
        <f aca="true">RAND()</f>
        <v>0.481127978921454</v>
      </c>
      <c r="E48" s="12" t="n">
        <f aca="false">IF(D48&lt;=($F$13-$E$13)/($G$13-$E$13),$E$13+SQRT(D48*($G$13-$E$13)*($F$13-$E$13)),$G$13-SQRT((1-D48)*($G$13-$E$13)*($G$13-$F$13)))</f>
        <v>-31504.7544568613</v>
      </c>
      <c r="F48" s="15" t="n">
        <f aca="true">RAND()</f>
        <v>0.624925634870264</v>
      </c>
      <c r="G48" s="12" t="n">
        <f aca="false">IF(F48&lt;=($F$14-$E$14)/($G$14-$E$14),$E$14+SQRT(F48*($G$14-$E$14)*($F$14-$E$14)),$G$14-SQRT((1-F48)*($G$14-$E$14)*($G$14-$F$14)))</f>
        <v>39681.8823185649</v>
      </c>
      <c r="H48" s="15" t="n">
        <f aca="true">RAND()</f>
        <v>0.794167801281198</v>
      </c>
      <c r="I48" s="12" t="n">
        <f aca="false">IF(H48&lt;=($F$14-$E$14)/($G$14-$E$14),$E$14+SQRT(H48*($G$14-$E$14)*($F$14-$E$14)),$G$14-SQRT((1-H48)*($G$14-$E$14)*($G$14-$F$14)))</f>
        <v>41070.9524177086</v>
      </c>
      <c r="J48" s="15" t="n">
        <f aca="true">RAND()</f>
        <v>0.917503181267817</v>
      </c>
      <c r="K48" s="12" t="n">
        <f aca="false">IF(J48&lt;=($F$14-$E$14)/($G$14-$E$14),$E$14+SQRT(J48*($G$14-$E$14)*($F$14-$E$14)),$G$14-SQRT((1-J48)*($G$14-$E$14)*($G$14-$F$14)))</f>
        <v>42512.5793671126</v>
      </c>
      <c r="L48" s="15" t="n">
        <f aca="true">RAND()</f>
        <v>0.341947637247961</v>
      </c>
      <c r="M48" s="12" t="n">
        <f aca="false">IF(L48&lt;=($F$14-$E$14)/($G$14-$E$14),$E$14+SQRT(L48*($G$14-$E$14)*($F$14-$E$14)),$G$14-SQRT((1-L48)*($G$14-$E$14)*($G$14-$F$14)))</f>
        <v>37161.8535022153</v>
      </c>
      <c r="N48" s="15" t="n">
        <f aca="true">RAND()</f>
        <v>0.372421910026315</v>
      </c>
      <c r="O48" s="12" t="n">
        <f aca="false">IF(N48&lt;=($F$14-$E$14)/($G$14-$E$14),$E$14+SQRT(N48*($G$14-$E$14)*($F$14-$E$14)),$G$14-SQRT((1-N48)*($G$14-$E$14)*($G$14-$F$14)))</f>
        <v>37474.1746369714</v>
      </c>
      <c r="P48" s="15" t="n">
        <f aca="true">RAND()</f>
        <v>0.684517596451278</v>
      </c>
      <c r="Q48" s="16" t="n">
        <f aca="false">IF(P48&lt;=($F$15-$E$15)/($G$15-$E$15),$E$15+SQRT(P48*($G$15-$E$15)*($F$15-$E$15)),$G$15-SQRT((1-P48)*($G$15-$E$15)*($G$15-$F$15)))</f>
        <v>15.6170012035511</v>
      </c>
      <c r="R48" s="15" t="n">
        <f aca="true">RAND()</f>
        <v>0.248151208468004</v>
      </c>
      <c r="S48" s="16" t="n">
        <f aca="false">IF(R48&lt;=($F$16-$E$16)/($G$16-$E$16),$E$16+SQRT(R48*($G$16-$E$16)*($F$16-$E$16)),$G$16-SQRT((1-R48)*($G$16-$E$16)*($G$16-$F$16)))</f>
        <v>14.1134620300408</v>
      </c>
      <c r="T48" s="15" t="n">
        <f aca="true">RAND()</f>
        <v>0.130187856053564</v>
      </c>
      <c r="U48" s="16" t="n">
        <f aca="false">IF(T48&lt;=($F$17-$E$17)/($G$17-$E$17),$E$17+SQRT(T48*($G$17-$E$17)*($F$17-$E$17)),$G$17-SQRT((1-T48)*($G$17-$E$17)*($G$17-$F$17)))</f>
        <v>16.6534645376073</v>
      </c>
      <c r="V48" s="15" t="n">
        <f aca="true">RAND()</f>
        <v>0.395108800909938</v>
      </c>
      <c r="W48" s="16" t="n">
        <f aca="false">IF(V48&lt;=($F$18-$E$18)/($G$18-$E$18),$E$18+SQRT(V48*($G$18-$E$18)*($F$18-$E$18)),$G$18-SQRT((1-V48)*($G$18-$E$18)*($G$18-$F$18)))</f>
        <v>20.3987836425406</v>
      </c>
      <c r="X48" s="15" t="n">
        <f aca="true">RAND()</f>
        <v>0.143118109886206</v>
      </c>
      <c r="Y48" s="16" t="n">
        <f aca="false">IF(X48&lt;=($F$19-$E$19)/($G$19-$E$19),$E$19+SQRT(X48*($G$19-$E$19)*($F$19-$E$19)),$G$19-SQRT((1-X48)*($G$19-$E$19)*($G$19-$F$19)))</f>
        <v>20.9657540453799</v>
      </c>
      <c r="Z48" s="12" t="n">
        <f aca="false">G48*(1+Q48/100)</f>
        <v>45879.0023578469</v>
      </c>
      <c r="AA48" s="12" t="n">
        <f aca="false">I48*(1+Q48/100)*(1+S48/100)</f>
        <v>54186.7814972389</v>
      </c>
      <c r="AB48" s="12" t="n">
        <f aca="false">K48*(1+Q48/100)*(1+S48/100)*(1+U48/100)</f>
        <v>65429.5117474286</v>
      </c>
      <c r="AC48" s="12" t="n">
        <f aca="false">M48*(1+Q48/100)*(1+S48/100)*(1+U48/100)*(1+W48/100)</f>
        <v>68861.3749653886</v>
      </c>
      <c r="AD48" s="12" t="n">
        <f aca="false">O48*(1+Q48/100)*(1+S48/100)*(1+U48/100)*(1+W48/100)*(1+Y48/100)</f>
        <v>83998.752547657</v>
      </c>
      <c r="AE48" s="12" t="n">
        <f aca="false">ABS(C48)/$B$7</f>
        <v>16015.4119916493</v>
      </c>
      <c r="AF48" s="12" t="n">
        <f aca="false">Z48-AE48</f>
        <v>29863.5903661976</v>
      </c>
      <c r="AG48" s="12" t="n">
        <f aca="false">AA48-AE48</f>
        <v>38171.3695055896</v>
      </c>
      <c r="AH48" s="12" t="n">
        <f aca="false">AB48-AE48</f>
        <v>49414.0997557793</v>
      </c>
      <c r="AI48" s="12" t="n">
        <f aca="false">AC48-AE48</f>
        <v>52845.9629737393</v>
      </c>
      <c r="AJ48" s="12" t="n">
        <f aca="false">AD48-AE48</f>
        <v>67983.3405560077</v>
      </c>
      <c r="AK48" s="12" t="n">
        <f aca="false">AF48*$B$4</f>
        <v>14931.7951830988</v>
      </c>
      <c r="AL48" s="12" t="n">
        <f aca="false">AG48*$B$4</f>
        <v>19085.6847527948</v>
      </c>
      <c r="AM48" s="12" t="n">
        <f aca="false">AH48*$B$4</f>
        <v>24707.0498778896</v>
      </c>
      <c r="AN48" s="12" t="n">
        <f aca="false">AI48*$B$4</f>
        <v>26422.9814868696</v>
      </c>
      <c r="AO48" s="12" t="n">
        <f aca="false">AJ48*$B$4</f>
        <v>33991.6702780039</v>
      </c>
      <c r="AP48" s="12" t="n">
        <f aca="false">AF48-AK48</f>
        <v>14931.7951830988</v>
      </c>
      <c r="AQ48" s="12" t="n">
        <f aca="false">AG48-AL48</f>
        <v>19085.6847527948</v>
      </c>
      <c r="AR48" s="12" t="n">
        <f aca="false">AH48-AM48</f>
        <v>24707.0498778896</v>
      </c>
      <c r="AS48" s="12" t="n">
        <f aca="false">AI48-AN48</f>
        <v>26422.9814868696</v>
      </c>
      <c r="AT48" s="12" t="n">
        <f aca="false">AJ48-AO48</f>
        <v>33991.6702780039</v>
      </c>
      <c r="AU48" s="12" t="n">
        <f aca="false">0.2*ABS(C48)+1*ABS(E48)</f>
        <v>47520.1664485106</v>
      </c>
      <c r="AV48" s="12" t="n">
        <f aca="false">C48+E48</f>
        <v>-111581.814415108</v>
      </c>
      <c r="AW48" s="12" t="n">
        <f aca="false">AP48+AE48</f>
        <v>30947.2071747481</v>
      </c>
      <c r="AX48" s="12" t="n">
        <f aca="false">AQ48+AE48</f>
        <v>35101.0967444441</v>
      </c>
      <c r="AY48" s="12" t="n">
        <f aca="false">AR48+AE48</f>
        <v>40722.461869539</v>
      </c>
      <c r="AZ48" s="12" t="n">
        <f aca="false">AS48+AE48</f>
        <v>42438.393478519</v>
      </c>
      <c r="BA48" s="12" t="n">
        <f aca="false">AT48+AE48+AU48</f>
        <v>97527.2487181638</v>
      </c>
      <c r="BB48" s="4" t="n">
        <f aca="false">IFERROR(IRR(AV48:BA48,0.15),"n/a")</f>
        <v>0.270978816056467</v>
      </c>
      <c r="BC48" s="12" t="n">
        <f aca="false">NPV($B$5,AW48:BA48)+AV48</f>
        <v>41398.5205711719</v>
      </c>
    </row>
    <row r="49" customFormat="false" ht="15" hidden="false" customHeight="false" outlineLevel="0" collapsed="false">
      <c r="A49" s="3" t="n">
        <v>25</v>
      </c>
      <c r="B49" s="15" t="n">
        <f aca="true">RAND()</f>
        <v>0.18601195403379</v>
      </c>
      <c r="C49" s="12" t="n">
        <f aca="false">IF(B49&lt;=($F$12-$E$12)/($G$12-$E$12),$E$12+SQRT(B49*($G$12-$E$12)*($F$12-$E$12)),$G$12-SQRT((1-B49)*($G$12-$E$12)*($G$12-$F$12)))</f>
        <v>-85059.640404577</v>
      </c>
      <c r="D49" s="15" t="n">
        <f aca="true">RAND()</f>
        <v>0.18585679418552</v>
      </c>
      <c r="E49" s="12" t="n">
        <f aca="false">IF(D49&lt;=($F$13-$E$13)/($G$13-$E$13),$E$13+SQRT(D49*($G$13-$E$13)*($F$13-$E$13)),$G$13-SQRT((1-D49)*($G$13-$E$13)*($G$13-$F$13)))</f>
        <v>-34719.9887189677</v>
      </c>
      <c r="F49" s="15" t="n">
        <f aca="true">RAND()</f>
        <v>0.84508585410045</v>
      </c>
      <c r="G49" s="12" t="n">
        <f aca="false">IF(F49&lt;=($F$14-$E$14)/($G$14-$E$14),$E$14+SQRT(F49*($G$14-$E$14)*($F$14-$E$14)),$G$14-SQRT((1-F49)*($G$14-$E$14)*($G$14-$F$14)))</f>
        <v>41591.3989757576</v>
      </c>
      <c r="H49" s="15" t="n">
        <f aca="true">RAND()</f>
        <v>0.857572594021989</v>
      </c>
      <c r="I49" s="12" t="n">
        <f aca="false">IF(H49&lt;=($F$14-$E$14)/($G$14-$E$14),$E$14+SQRT(H49*($G$14-$E$14)*($F$14-$E$14)),$G$14-SQRT((1-H49)*($G$14-$E$14)*($G$14-$F$14)))</f>
        <v>41731.6586089653</v>
      </c>
      <c r="J49" s="15" t="n">
        <f aca="true">RAND()</f>
        <v>0.866326556120078</v>
      </c>
      <c r="K49" s="12" t="n">
        <f aca="false">IF(J49&lt;=($F$14-$E$14)/($G$14-$E$14),$E$14+SQRT(J49*($G$14-$E$14)*($F$14-$E$14)),$G$14-SQRT((1-J49)*($G$14-$E$14)*($G$14-$F$14)))</f>
        <v>41833.691693629</v>
      </c>
      <c r="L49" s="15" t="n">
        <f aca="true">RAND()</f>
        <v>0.859314946997233</v>
      </c>
      <c r="M49" s="12" t="n">
        <f aca="false">IF(L49&lt;=($F$14-$E$14)/($G$14-$E$14),$E$14+SQRT(L49*($G$14-$E$14)*($F$14-$E$14)),$G$14-SQRT((1-L49)*($G$14-$E$14)*($G$14-$F$14)))</f>
        <v>41751.7113774777</v>
      </c>
      <c r="N49" s="15" t="n">
        <f aca="true">RAND()</f>
        <v>0.156353427298173</v>
      </c>
      <c r="O49" s="12" t="n">
        <f aca="false">IF(N49&lt;=($F$14-$E$14)/($G$14-$E$14),$E$14+SQRT(N49*($G$14-$E$14)*($F$14-$E$14)),$G$14-SQRT((1-N49)*($G$14-$E$14)*($G$14-$F$14)))</f>
        <v>34842.8312065078</v>
      </c>
      <c r="P49" s="15" t="n">
        <f aca="true">RAND()</f>
        <v>0.113632278150937</v>
      </c>
      <c r="Q49" s="16" t="n">
        <f aca="false">IF(P49&lt;=($F$15-$E$15)/($G$15-$E$15),$E$15+SQRT(P49*($G$15-$E$15)*($F$15-$E$15)),$G$15-SQRT((1-P49)*($G$15-$E$15)*($G$15-$F$15)))</f>
        <v>13.4301681742777</v>
      </c>
      <c r="R49" s="15" t="n">
        <f aca="true">RAND()</f>
        <v>0.698688242605465</v>
      </c>
      <c r="S49" s="16" t="n">
        <f aca="false">IF(R49&lt;=($F$16-$E$16)/($G$16-$E$16),$E$16+SQRT(R49*($G$16-$E$16)*($F$16-$E$16)),$G$16-SQRT((1-R49)*($G$16-$E$16)*($G$16-$F$16)))</f>
        <v>15.6711351191832</v>
      </c>
      <c r="T49" s="15" t="n">
        <f aca="true">RAND()</f>
        <v>0.493337777714289</v>
      </c>
      <c r="U49" s="16" t="n">
        <f aca="false">IF(T49&lt;=($F$17-$E$17)/($G$17-$E$17),$E$17+SQRT(T49*($G$17-$E$17)*($F$17-$E$17)),$G$17-SQRT((1-T49)*($G$17-$E$17)*($G$17-$F$17)))</f>
        <v>18.2334973484677</v>
      </c>
      <c r="V49" s="15" t="n">
        <f aca="true">RAND()</f>
        <v>0.743695028683255</v>
      </c>
      <c r="W49" s="16" t="n">
        <f aca="false">IF(V49&lt;=($F$18-$E$18)/($G$18-$E$18),$E$18+SQRT(V49*($G$18-$E$18)*($F$18-$E$18)),$G$18-SQRT((1-V49)*($G$18-$E$18)*($G$18-$F$18)))</f>
        <v>22.0048916553677</v>
      </c>
      <c r="X49" s="15" t="n">
        <f aca="true">RAND()</f>
        <v>0.323779895224425</v>
      </c>
      <c r="Y49" s="16" t="n">
        <f aca="false">IF(X49&lt;=($F$19-$E$19)/($G$19-$E$19),$E$19+SQRT(X49*($G$19-$E$19)*($F$19-$E$19)),$G$19-SQRT((1-X49)*($G$19-$E$19)*($G$19-$F$19)))</f>
        <v>21.9566970035936</v>
      </c>
      <c r="Z49" s="12" t="n">
        <f aca="false">G49*(1+Q49/100)</f>
        <v>47177.1938042367</v>
      </c>
      <c r="AA49" s="12" t="n">
        <f aca="false">I49*(1+Q49/100)*(1+S49/100)</f>
        <v>54754.4245933209</v>
      </c>
      <c r="AB49" s="12" t="n">
        <f aca="false">K49*(1+Q49/100)*(1+S49/100)*(1+U49/100)</f>
        <v>64896.3544606274</v>
      </c>
      <c r="AC49" s="12" t="n">
        <f aca="false">M49*(1+Q49/100)*(1+S49/100)*(1+U49/100)*(1+W49/100)</f>
        <v>79021.5665295571</v>
      </c>
      <c r="AD49" s="12" t="n">
        <f aca="false">O49*(1+Q49/100)*(1+S49/100)*(1+U49/100)*(1+W49/100)*(1+Y49/100)</f>
        <v>80424.8841500466</v>
      </c>
      <c r="AE49" s="12" t="n">
        <f aca="false">ABS(C49)/$B$7</f>
        <v>17011.9280809154</v>
      </c>
      <c r="AF49" s="12" t="n">
        <f aca="false">Z49-AE49</f>
        <v>30165.2657233213</v>
      </c>
      <c r="AG49" s="12" t="n">
        <f aca="false">AA49-AE49</f>
        <v>37742.4965124055</v>
      </c>
      <c r="AH49" s="12" t="n">
        <f aca="false">AB49-AE49</f>
        <v>47884.426379712</v>
      </c>
      <c r="AI49" s="12" t="n">
        <f aca="false">AC49-AE49</f>
        <v>62009.6384486417</v>
      </c>
      <c r="AJ49" s="12" t="n">
        <f aca="false">AD49-AE49</f>
        <v>63412.9560691312</v>
      </c>
      <c r="AK49" s="12" t="n">
        <f aca="false">AF49*$B$4</f>
        <v>15082.6328616606</v>
      </c>
      <c r="AL49" s="12" t="n">
        <f aca="false">AG49*$B$4</f>
        <v>18871.2482562027</v>
      </c>
      <c r="AM49" s="12" t="n">
        <f aca="false">AH49*$B$4</f>
        <v>23942.213189856</v>
      </c>
      <c r="AN49" s="12" t="n">
        <f aca="false">AI49*$B$4</f>
        <v>31004.8192243208</v>
      </c>
      <c r="AO49" s="12" t="n">
        <f aca="false">AJ49*$B$4</f>
        <v>31706.4780345656</v>
      </c>
      <c r="AP49" s="12" t="n">
        <f aca="false">AF49-AK49</f>
        <v>15082.6328616606</v>
      </c>
      <c r="AQ49" s="12" t="n">
        <f aca="false">AG49-AL49</f>
        <v>18871.2482562027</v>
      </c>
      <c r="AR49" s="12" t="n">
        <f aca="false">AH49-AM49</f>
        <v>23942.213189856</v>
      </c>
      <c r="AS49" s="12" t="n">
        <f aca="false">AI49-AN49</f>
        <v>31004.8192243208</v>
      </c>
      <c r="AT49" s="12" t="n">
        <f aca="false">AJ49-AO49</f>
        <v>31706.4780345656</v>
      </c>
      <c r="AU49" s="12" t="n">
        <f aca="false">0.2*ABS(C49)+1*ABS(E49)</f>
        <v>51731.9167998831</v>
      </c>
      <c r="AV49" s="12" t="n">
        <f aca="false">C49+E49</f>
        <v>-119779.629123545</v>
      </c>
      <c r="AW49" s="12" t="n">
        <f aca="false">AP49+AE49</f>
        <v>32094.560942576</v>
      </c>
      <c r="AX49" s="12" t="n">
        <f aca="false">AQ49+AE49</f>
        <v>35883.1763371181</v>
      </c>
      <c r="AY49" s="12" t="n">
        <f aca="false">AR49+AE49</f>
        <v>40954.1412707714</v>
      </c>
      <c r="AZ49" s="12" t="n">
        <f aca="false">AS49+AE49</f>
        <v>48016.7473052363</v>
      </c>
      <c r="BA49" s="12" t="n">
        <f aca="false">AT49+AE49+AU49</f>
        <v>100450.322915364</v>
      </c>
      <c r="BB49" s="4" t="n">
        <f aca="false">IFERROR(IRR(AV49:BA49,0.15),"n/a")</f>
        <v>0.258109727907475</v>
      </c>
      <c r="BC49" s="12" t="n">
        <f aca="false">NPV($B$5,AW49:BA49)+AV49</f>
        <v>39584.8286815247</v>
      </c>
    </row>
    <row r="50" customFormat="false" ht="15" hidden="false" customHeight="false" outlineLevel="0" collapsed="false">
      <c r="A50" s="3" t="n">
        <v>26</v>
      </c>
      <c r="B50" s="15" t="n">
        <f aca="true">RAND()</f>
        <v>0.886959022781683</v>
      </c>
      <c r="C50" s="12" t="n">
        <f aca="false">IF(B50&lt;=($F$12-$E$12)/($G$12-$E$12),$E$12+SQRT(B50*($G$12-$E$12)*($F$12-$E$12)),$G$12-SQRT((1-B50)*($G$12-$E$12)*($G$12-$F$12)))</f>
        <v>-66724.3134138235</v>
      </c>
      <c r="D50" s="15" t="n">
        <f aca="true">RAND()</f>
        <v>0.762731291717833</v>
      </c>
      <c r="E50" s="12" t="n">
        <f aca="false">IF(D50&lt;=($F$13-$E$13)/($G$13-$E$13),$E$13+SQRT(D50*($G$13-$E$13)*($F$13-$E$13)),$G$13-SQRT((1-D50)*($G$13-$E$13)*($G$13-$F$13)))</f>
        <v>-29218.4301726072</v>
      </c>
      <c r="F50" s="15" t="n">
        <f aca="true">RAND()</f>
        <v>0.84609199333475</v>
      </c>
      <c r="G50" s="12" t="n">
        <f aca="false">IF(F50&lt;=($F$14-$E$14)/($G$14-$E$14),$E$14+SQRT(F50*($G$14-$E$14)*($F$14-$E$14)),$G$14-SQRT((1-F50)*($G$14-$E$14)*($G$14-$F$14)))</f>
        <v>41602.4861295509</v>
      </c>
      <c r="H50" s="15" t="n">
        <f aca="true">RAND()</f>
        <v>0.574013454838323</v>
      </c>
      <c r="I50" s="12" t="n">
        <f aca="false">IF(H50&lt;=($F$14-$E$14)/($G$14-$E$14),$E$14+SQRT(H50*($G$14-$E$14)*($F$14-$E$14)),$G$14-SQRT((1-H50)*($G$14-$E$14)*($G$14-$F$14)))</f>
        <v>39279.1173193224</v>
      </c>
      <c r="J50" s="15" t="n">
        <f aca="true">RAND()</f>
        <v>0.214286472301165</v>
      </c>
      <c r="K50" s="12" t="n">
        <f aca="false">IF(J50&lt;=($F$14-$E$14)/($G$14-$E$14),$E$14+SQRT(J50*($G$14-$E$14)*($F$14-$E$14)),$G$14-SQRT((1-J50)*($G$14-$E$14)*($G$14-$F$14)))</f>
        <v>35669.4771227314</v>
      </c>
      <c r="L50" s="15" t="n">
        <f aca="true">RAND()</f>
        <v>0.200809343831127</v>
      </c>
      <c r="M50" s="12" t="n">
        <f aca="false">IF(L50&lt;=($F$14-$E$14)/($G$14-$E$14),$E$14+SQRT(L50*($G$14-$E$14)*($F$14-$E$14)),$G$14-SQRT((1-L50)*($G$14-$E$14)*($G$14-$F$14)))</f>
        <v>35488.2967826703</v>
      </c>
      <c r="N50" s="15" t="n">
        <f aca="true">RAND()</f>
        <v>0.382537186504057</v>
      </c>
      <c r="O50" s="12" t="n">
        <f aca="false">IF(N50&lt;=($F$14-$E$14)/($G$14-$E$14),$E$14+SQRT(N50*($G$14-$E$14)*($F$14-$E$14)),$G$14-SQRT((1-N50)*($G$14-$E$14)*($G$14-$F$14)))</f>
        <v>37574.9968960791</v>
      </c>
      <c r="P50" s="15" t="n">
        <f aca="true">RAND()</f>
        <v>0.230097360605711</v>
      </c>
      <c r="Q50" s="16" t="n">
        <f aca="false">IF(P50&lt;=($F$15-$E$15)/($G$15-$E$15),$E$15+SQRT(P50*($G$15-$E$15)*($F$15-$E$15)),$G$15-SQRT((1-P50)*($G$15-$E$15)*($G$15-$F$15)))</f>
        <v>14.0351296005176</v>
      </c>
      <c r="R50" s="15" t="n">
        <f aca="true">RAND()</f>
        <v>0.313623144986906</v>
      </c>
      <c r="S50" s="16" t="n">
        <f aca="false">IF(R50&lt;=($F$16-$E$16)/($G$16-$E$16),$E$16+SQRT(R50*($G$16-$E$16)*($F$16-$E$16)),$G$16-SQRT((1-R50)*($G$16-$E$16)*($G$16-$F$16)))</f>
        <v>14.375966458047</v>
      </c>
      <c r="T50" s="15" t="n">
        <f aca="true">RAND()</f>
        <v>0.480836666042904</v>
      </c>
      <c r="U50" s="16" t="n">
        <f aca="false">IF(T50&lt;=($F$17-$E$17)/($G$17-$E$17),$E$17+SQRT(T50*($G$17-$E$17)*($F$17-$E$17)),$G$17-SQRT((1-T50)*($G$17-$E$17)*($G$17-$F$17)))</f>
        <v>18.1873141552445</v>
      </c>
      <c r="V50" s="15" t="n">
        <f aca="true">RAND()</f>
        <v>0.502021235514993</v>
      </c>
      <c r="W50" s="16" t="n">
        <f aca="false">IF(V50&lt;=($F$18-$E$18)/($G$18-$E$18),$E$18+SQRT(V50*($G$18-$E$18)*($F$18-$E$18)),$G$18-SQRT((1-V50)*($G$18-$E$18)*($G$18-$F$18)))</f>
        <v>20.8251638646559</v>
      </c>
      <c r="X50" s="15" t="n">
        <f aca="true">RAND()</f>
        <v>0.770098703224797</v>
      </c>
      <c r="Y50" s="16" t="n">
        <f aca="false">IF(X50&lt;=($F$19-$E$19)/($G$19-$E$19),$E$19+SQRT(X50*($G$19-$E$19)*($F$19-$E$19)),$G$19-SQRT((1-X50)*($G$19-$E$19)*($G$19-$F$19)))</f>
        <v>24.476554239688</v>
      </c>
      <c r="Z50" s="12" t="n">
        <f aca="false">G50*(1+Q50/100)</f>
        <v>47441.4489748708</v>
      </c>
      <c r="AA50" s="12" t="n">
        <f aca="false">I50*(1+Q50/100)*(1+S50/100)</f>
        <v>51231.2741358659</v>
      </c>
      <c r="AB50" s="12" t="n">
        <f aca="false">K50*(1+Q50/100)*(1+S50/100)*(1+U50/100)</f>
        <v>54984.5966610967</v>
      </c>
      <c r="AC50" s="12" t="n">
        <f aca="false">M50*(1+Q50/100)*(1+S50/100)*(1+U50/100)*(1+W50/100)</f>
        <v>66097.7764275995</v>
      </c>
      <c r="AD50" s="12" t="n">
        <f aca="false">O50*(1+Q50/100)*(1+S50/100)*(1+U50/100)*(1+W50/100)*(1+Y50/100)</f>
        <v>87114.0499041933</v>
      </c>
      <c r="AE50" s="12" t="n">
        <f aca="false">ABS(C50)/$B$7</f>
        <v>13344.8626827647</v>
      </c>
      <c r="AF50" s="12" t="n">
        <f aca="false">Z50-AE50</f>
        <v>34096.5862921061</v>
      </c>
      <c r="AG50" s="12" t="n">
        <f aca="false">AA50-AE50</f>
        <v>37886.4114531012</v>
      </c>
      <c r="AH50" s="12" t="n">
        <f aca="false">AB50-AE50</f>
        <v>41639.733978332</v>
      </c>
      <c r="AI50" s="12" t="n">
        <f aca="false">AC50-AE50</f>
        <v>52752.9137448348</v>
      </c>
      <c r="AJ50" s="12" t="n">
        <f aca="false">AD50-AE50</f>
        <v>73769.1872214286</v>
      </c>
      <c r="AK50" s="12" t="n">
        <f aca="false">AF50*$B$4</f>
        <v>17048.293146053</v>
      </c>
      <c r="AL50" s="12" t="n">
        <f aca="false">AG50*$B$4</f>
        <v>18943.2057265506</v>
      </c>
      <c r="AM50" s="12" t="n">
        <f aca="false">AH50*$B$4</f>
        <v>20819.866989166</v>
      </c>
      <c r="AN50" s="12" t="n">
        <f aca="false">AI50*$B$4</f>
        <v>26376.4568724174</v>
      </c>
      <c r="AO50" s="12" t="n">
        <f aca="false">AJ50*$B$4</f>
        <v>36884.5936107143</v>
      </c>
      <c r="AP50" s="12" t="n">
        <f aca="false">AF50-AK50</f>
        <v>17048.293146053</v>
      </c>
      <c r="AQ50" s="12" t="n">
        <f aca="false">AG50-AL50</f>
        <v>18943.2057265506</v>
      </c>
      <c r="AR50" s="12" t="n">
        <f aca="false">AH50-AM50</f>
        <v>20819.866989166</v>
      </c>
      <c r="AS50" s="12" t="n">
        <f aca="false">AI50-AN50</f>
        <v>26376.4568724174</v>
      </c>
      <c r="AT50" s="12" t="n">
        <f aca="false">AJ50-AO50</f>
        <v>36884.5936107143</v>
      </c>
      <c r="AU50" s="12" t="n">
        <f aca="false">0.2*ABS(C50)+1*ABS(E50)</f>
        <v>42563.2928553719</v>
      </c>
      <c r="AV50" s="12" t="n">
        <f aca="false">C50+E50</f>
        <v>-95942.7435864307</v>
      </c>
      <c r="AW50" s="12" t="n">
        <f aca="false">AP50+AE50</f>
        <v>30393.1558288177</v>
      </c>
      <c r="AX50" s="12" t="n">
        <f aca="false">AQ50+AE50</f>
        <v>32288.0684093153</v>
      </c>
      <c r="AY50" s="12" t="n">
        <f aca="false">AR50+AE50</f>
        <v>34164.7296719307</v>
      </c>
      <c r="AZ50" s="12" t="n">
        <f aca="false">AS50+AE50</f>
        <v>39721.3195551821</v>
      </c>
      <c r="BA50" s="12" t="n">
        <f aca="false">AT50+AE50+AU50</f>
        <v>92792.7491488509</v>
      </c>
      <c r="BB50" s="4" t="n">
        <f aca="false">IFERROR(IRR(AV50:BA50,0.15),"n/a")</f>
        <v>0.304501416959362</v>
      </c>
      <c r="BC50" s="12" t="n">
        <f aca="false">NPV($B$5,AW50:BA50)+AV50</f>
        <v>46209.5598180496</v>
      </c>
    </row>
    <row r="51" customFormat="false" ht="15" hidden="false" customHeight="false" outlineLevel="0" collapsed="false">
      <c r="A51" s="3" t="n">
        <v>27</v>
      </c>
      <c r="B51" s="15" t="n">
        <f aca="true">RAND()</f>
        <v>0.104491665946325</v>
      </c>
      <c r="C51" s="12" t="n">
        <f aca="false">IF(B51&lt;=($F$12-$E$12)/($G$12-$E$12),$E$12+SQRT(B51*($G$12-$E$12)*($F$12-$E$12)),$G$12-SQRT((1-B51)*($G$12-$E$12)*($G$12-$F$12)))</f>
        <v>-88802.2324039303</v>
      </c>
      <c r="D51" s="15" t="n">
        <f aca="true">RAND()</f>
        <v>0.288810000281585</v>
      </c>
      <c r="E51" s="12" t="n">
        <f aca="false">IF(D51&lt;=($F$13-$E$13)/($G$13-$E$13),$E$13+SQRT(D51*($G$13-$E$13)*($F$13-$E$13)),$G$13-SQRT((1-D51)*($G$13-$E$13)*($G$13-$F$13)))</f>
        <v>-33418.092978305</v>
      </c>
      <c r="F51" s="15" t="n">
        <f aca="true">RAND()</f>
        <v>0.928037217822222</v>
      </c>
      <c r="G51" s="12" t="n">
        <f aca="false">IF(F51&lt;=($F$14-$E$14)/($G$14-$E$14),$E$14+SQRT(F51*($G$14-$E$14)*($F$14-$E$14)),$G$14-SQRT((1-F51)*($G$14-$E$14)*($G$14-$F$14)))</f>
        <v>42676.8106699338</v>
      </c>
      <c r="H51" s="15" t="n">
        <f aca="true">RAND()</f>
        <v>0.899082376067312</v>
      </c>
      <c r="I51" s="12" t="n">
        <f aca="false">IF(H51&lt;=($F$14-$E$14)/($G$14-$E$14),$E$14+SQRT(H51*($G$14-$E$14)*($F$14-$E$14)),$G$14-SQRT((1-H51)*($G$14-$E$14)*($G$14-$F$14)))</f>
        <v>42248.8508228466</v>
      </c>
      <c r="J51" s="15" t="n">
        <f aca="true">RAND()</f>
        <v>0.479509730792796</v>
      </c>
      <c r="K51" s="12" t="n">
        <f aca="false">IF(J51&lt;=($F$14-$E$14)/($G$14-$E$14),$E$14+SQRT(J51*($G$14-$E$14)*($F$14-$E$14)),$G$14-SQRT((1-J51)*($G$14-$E$14)*($G$14-$F$14)))</f>
        <v>38480.9468586308</v>
      </c>
      <c r="L51" s="15" t="n">
        <f aca="true">RAND()</f>
        <v>0.550673907681092</v>
      </c>
      <c r="M51" s="12" t="n">
        <f aca="false">IF(L51&lt;=($F$14-$E$14)/($G$14-$E$14),$E$14+SQRT(L51*($G$14-$E$14)*($F$14-$E$14)),$G$14-SQRT((1-L51)*($G$14-$E$14)*($G$14-$F$14)))</f>
        <v>39088.5139683099</v>
      </c>
      <c r="N51" s="15" t="n">
        <f aca="true">RAND()</f>
        <v>0.846741829193859</v>
      </c>
      <c r="O51" s="12" t="n">
        <f aca="false">IF(N51&lt;=($F$14-$E$14)/($G$14-$E$14),$E$14+SQRT(N51*($G$14-$E$14)*($F$14-$E$14)),$G$14-SQRT((1-N51)*($G$14-$E$14)*($G$14-$F$14)))</f>
        <v>41609.6662685717</v>
      </c>
      <c r="P51" s="15" t="n">
        <f aca="true">RAND()</f>
        <v>0.710555601579943</v>
      </c>
      <c r="Q51" s="16" t="n">
        <f aca="false">IF(P51&lt;=($F$15-$E$15)/($G$15-$E$15),$E$15+SQRT(P51*($G$15-$E$15)*($F$15-$E$15)),$G$15-SQRT((1-P51)*($G$15-$E$15)*($G$15-$F$15)))</f>
        <v>15.7174577393702</v>
      </c>
      <c r="R51" s="15" t="n">
        <f aca="true">RAND()</f>
        <v>0.377655942002237</v>
      </c>
      <c r="S51" s="16" t="n">
        <f aca="false">IF(R51&lt;=($F$16-$E$16)/($G$16-$E$16),$E$16+SQRT(R51*($G$16-$E$16)*($F$16-$E$16)),$G$16-SQRT((1-R51)*($G$16-$E$16)*($G$16-$F$16)))</f>
        <v>14.6072604311883</v>
      </c>
      <c r="T51" s="15" t="n">
        <f aca="true">RAND()</f>
        <v>0.0143268718991625</v>
      </c>
      <c r="U51" s="16" t="n">
        <f aca="false">IF(T51&lt;=($F$17-$E$17)/($G$17-$E$17),$E$17+SQRT(T51*($G$17-$E$17)*($F$17-$E$17)),$G$17-SQRT((1-T51)*($G$17-$E$17)*($G$17-$F$17)))</f>
        <v>15.5485109934016</v>
      </c>
      <c r="V51" s="15" t="n">
        <f aca="true">RAND()</f>
        <v>0.205415154381205</v>
      </c>
      <c r="W51" s="16" t="n">
        <f aca="false">IF(V51&lt;=($F$18-$E$18)/($G$18-$E$18),$E$18+SQRT(V51*($G$18-$E$18)*($F$18-$E$18)),$G$18-SQRT((1-V51)*($G$18-$E$18)*($G$18-$F$18)))</f>
        <v>19.6958219721825</v>
      </c>
      <c r="X51" s="15" t="n">
        <f aca="true">RAND()</f>
        <v>0.0438677011285989</v>
      </c>
      <c r="Y51" s="16" t="n">
        <f aca="false">IF(X51&lt;=($F$19-$E$19)/($G$19-$E$19),$E$19+SQRT(X51*($G$19-$E$19)*($F$19-$E$19)),$G$19-SQRT((1-X51)*($G$19-$E$19)*($G$19-$F$19)))</f>
        <v>20.0883142608972</v>
      </c>
      <c r="Z51" s="12" t="n">
        <f aca="false">G51*(1+Q51/100)</f>
        <v>49384.5203514917</v>
      </c>
      <c r="AA51" s="12" t="n">
        <f aca="false">I51*(1+Q51/100)*(1+S51/100)</f>
        <v>56030.682900058</v>
      </c>
      <c r="AB51" s="12" t="n">
        <f aca="false">K51*(1+Q51/100)*(1+S51/100)*(1+U51/100)</f>
        <v>58968.6408771542</v>
      </c>
      <c r="AC51" s="12" t="n">
        <f aca="false">M51*(1+Q51/100)*(1+S51/100)*(1+U51/100)*(1+W51/100)</f>
        <v>71697.4186797917</v>
      </c>
      <c r="AD51" s="12" t="n">
        <f aca="false">O51*(1+Q51/100)*(1+S51/100)*(1+U51/100)*(1+W51/100)*(1+Y51/100)</f>
        <v>91653.5605204291</v>
      </c>
      <c r="AE51" s="12" t="n">
        <f aca="false">ABS(C51)/$B$7</f>
        <v>17760.4464807861</v>
      </c>
      <c r="AF51" s="12" t="n">
        <f aca="false">Z51-AE51</f>
        <v>31624.0738707056</v>
      </c>
      <c r="AG51" s="12" t="n">
        <f aca="false">AA51-AE51</f>
        <v>38270.236419272</v>
      </c>
      <c r="AH51" s="12" t="n">
        <f aca="false">AB51-AE51</f>
        <v>41208.1943963681</v>
      </c>
      <c r="AI51" s="12" t="n">
        <f aca="false">AC51-AE51</f>
        <v>53936.9721990057</v>
      </c>
      <c r="AJ51" s="12" t="n">
        <f aca="false">AD51-AE51</f>
        <v>73893.1140396431</v>
      </c>
      <c r="AK51" s="12" t="n">
        <f aca="false">AF51*$B$4</f>
        <v>15812.0369353528</v>
      </c>
      <c r="AL51" s="12" t="n">
        <f aca="false">AG51*$B$4</f>
        <v>19135.118209636</v>
      </c>
      <c r="AM51" s="12" t="n">
        <f aca="false">AH51*$B$4</f>
        <v>20604.0971981841</v>
      </c>
      <c r="AN51" s="12" t="n">
        <f aca="false">AI51*$B$4</f>
        <v>26968.4860995028</v>
      </c>
      <c r="AO51" s="12" t="n">
        <f aca="false">AJ51*$B$4</f>
        <v>36946.5570198215</v>
      </c>
      <c r="AP51" s="12" t="n">
        <f aca="false">AF51-AK51</f>
        <v>15812.0369353528</v>
      </c>
      <c r="AQ51" s="12" t="n">
        <f aca="false">AG51-AL51</f>
        <v>19135.118209636</v>
      </c>
      <c r="AR51" s="12" t="n">
        <f aca="false">AH51-AM51</f>
        <v>20604.0971981841</v>
      </c>
      <c r="AS51" s="12" t="n">
        <f aca="false">AI51-AN51</f>
        <v>26968.4860995028</v>
      </c>
      <c r="AT51" s="12" t="n">
        <f aca="false">AJ51-AO51</f>
        <v>36946.5570198215</v>
      </c>
      <c r="AU51" s="12" t="n">
        <f aca="false">0.2*ABS(C51)+1*ABS(E51)</f>
        <v>51178.5394590911</v>
      </c>
      <c r="AV51" s="12" t="n">
        <f aca="false">C51+E51</f>
        <v>-122220.325382235</v>
      </c>
      <c r="AW51" s="12" t="n">
        <f aca="false">AP51+AE51</f>
        <v>33572.4834161389</v>
      </c>
      <c r="AX51" s="12" t="n">
        <f aca="false">AQ51+AE51</f>
        <v>36895.564690422</v>
      </c>
      <c r="AY51" s="12" t="n">
        <f aca="false">AR51+AE51</f>
        <v>38364.5436789701</v>
      </c>
      <c r="AZ51" s="12" t="n">
        <f aca="false">AS51+AE51</f>
        <v>44728.9325802889</v>
      </c>
      <c r="BA51" s="12" t="n">
        <f aca="false">AT51+AE51+AU51</f>
        <v>105885.542959699</v>
      </c>
      <c r="BB51" s="4" t="n">
        <f aca="false">IFERROR(IRR(AV51:BA51,0.15),"n/a")</f>
        <v>0.253016028541813</v>
      </c>
      <c r="BC51" s="12" t="n">
        <f aca="false">NPV($B$5,AW51:BA51)+AV51</f>
        <v>38314.5372073379</v>
      </c>
    </row>
    <row r="52" customFormat="false" ht="15" hidden="false" customHeight="false" outlineLevel="0" collapsed="false">
      <c r="A52" s="3" t="n">
        <v>28</v>
      </c>
      <c r="B52" s="15" t="n">
        <f aca="true">RAND()</f>
        <v>0.514900172194309</v>
      </c>
      <c r="C52" s="12" t="n">
        <f aca="false">IF(B52&lt;=($F$12-$E$12)/($G$12-$E$12),$E$12+SQRT(B52*($G$12-$E$12)*($F$12-$E$12)),$G$12-SQRT((1-B52)*($G$12-$E$12)*($G$12-$F$12)))</f>
        <v>-75142.8037254165</v>
      </c>
      <c r="D52" s="15" t="n">
        <f aca="true">RAND()</f>
        <v>0.243906883431202</v>
      </c>
      <c r="E52" s="12" t="n">
        <f aca="false">IF(D52&lt;=($F$13-$E$13)/($G$13-$E$13),$E$13+SQRT(D52*($G$13-$E$13)*($F$13-$E$13)),$G$13-SQRT((1-D52)*($G$13-$E$13)*($G$13-$F$13)))</f>
        <v>-33951.3611023074</v>
      </c>
      <c r="F52" s="15" t="n">
        <f aca="true">RAND()</f>
        <v>0.58010526351273</v>
      </c>
      <c r="G52" s="12" t="n">
        <f aca="false">IF(F52&lt;=($F$14-$E$14)/($G$14-$E$14),$E$14+SQRT(F52*($G$14-$E$14)*($F$14-$E$14)),$G$14-SQRT((1-F52)*($G$14-$E$14)*($G$14-$F$14)))</f>
        <v>39328.2254221749</v>
      </c>
      <c r="H52" s="15" t="n">
        <f aca="true">RAND()</f>
        <v>0.613499257522092</v>
      </c>
      <c r="I52" s="12" t="n">
        <f aca="false">IF(H52&lt;=($F$14-$E$14)/($G$14-$E$14),$E$14+SQRT(H52*($G$14-$E$14)*($F$14-$E$14)),$G$14-SQRT((1-H52)*($G$14-$E$14)*($G$14-$F$14)))</f>
        <v>39592.9603683281</v>
      </c>
      <c r="J52" s="15" t="n">
        <f aca="true">RAND()</f>
        <v>0.684422885018973</v>
      </c>
      <c r="K52" s="12" t="n">
        <f aca="false">IF(J52&lt;=($F$14-$E$14)/($G$14-$E$14),$E$14+SQRT(J52*($G$14-$E$14)*($F$14-$E$14)),$G$14-SQRT((1-J52)*($G$14-$E$14)*($G$14-$F$14)))</f>
        <v>40134.9939749701</v>
      </c>
      <c r="L52" s="15" t="n">
        <f aca="true">RAND()</f>
        <v>0.708724512410388</v>
      </c>
      <c r="M52" s="12" t="n">
        <f aca="false">IF(L52&lt;=($F$14-$E$14)/($G$14-$E$14),$E$14+SQRT(L52*($G$14-$E$14)*($F$14-$E$14)),$G$14-SQRT((1-L52)*($G$14-$E$14)*($G$14-$F$14)))</f>
        <v>40326.0657290436</v>
      </c>
      <c r="N52" s="15" t="n">
        <f aca="true">RAND()</f>
        <v>0.511613716718487</v>
      </c>
      <c r="O52" s="12" t="n">
        <f aca="false">IF(N52&lt;=($F$14-$E$14)/($G$14-$E$14),$E$14+SQRT(N52*($G$14-$E$14)*($F$14-$E$14)),$G$14-SQRT((1-N52)*($G$14-$E$14)*($G$14-$F$14)))</f>
        <v>38760.254420265</v>
      </c>
      <c r="P52" s="15" t="n">
        <f aca="true">RAND()</f>
        <v>0.0158404929872344</v>
      </c>
      <c r="Q52" s="16" t="n">
        <f aca="false">IF(P52&lt;=($F$15-$E$15)/($G$15-$E$15),$E$15+SQRT(P52*($G$15-$E$15)*($F$15-$E$15)),$G$15-SQRT((1-P52)*($G$15-$E$15)*($G$15-$F$15)))</f>
        <v>12.5339746003044</v>
      </c>
      <c r="R52" s="15" t="n">
        <f aca="true">RAND()</f>
        <v>0.0266878550937999</v>
      </c>
      <c r="S52" s="16" t="n">
        <f aca="false">IF(R52&lt;=($F$16-$E$16)/($G$16-$E$16),$E$16+SQRT(R52*($G$16-$E$16)*($F$16-$E$16)),$G$16-SQRT((1-R52)*($G$16-$E$16)*($G$16-$F$16)))</f>
        <v>12.6930955141165</v>
      </c>
      <c r="T52" s="15" t="n">
        <f aca="true">RAND()</f>
        <v>0.803315178371326</v>
      </c>
      <c r="U52" s="16" t="n">
        <f aca="false">IF(T52&lt;=($F$17-$E$17)/($G$17-$E$17),$E$17+SQRT(T52*($G$17-$E$17)*($F$17-$E$17)),$G$17-SQRT((1-T52)*($G$17-$E$17)*($G$17-$F$17)))</f>
        <v>19.6532629023253</v>
      </c>
      <c r="V52" s="15" t="n">
        <f aca="true">RAND()</f>
        <v>0.0384608329669242</v>
      </c>
      <c r="W52" s="16" t="n">
        <f aca="false">IF(V52&lt;=($F$18-$E$18)/($G$18-$E$18),$E$18+SQRT(V52*($G$18-$E$18)*($F$18-$E$18)),$G$18-SQRT((1-V52)*($G$18-$E$18)*($G$18-$F$18)))</f>
        <v>18.7337926556848</v>
      </c>
      <c r="X52" s="15" t="n">
        <f aca="true">RAND()</f>
        <v>0.541893738120195</v>
      </c>
      <c r="Y52" s="16" t="n">
        <f aca="false">IF(X52&lt;=($F$19-$E$19)/($G$19-$E$19),$E$19+SQRT(X52*($G$19-$E$19)*($F$19-$E$19)),$G$19-SQRT((1-X52)*($G$19-$E$19)*($G$19-$F$19)))</f>
        <v>23.0262953302885</v>
      </c>
      <c r="Z52" s="12" t="n">
        <f aca="false">G52*(1+Q52/100)</f>
        <v>44257.6152073407</v>
      </c>
      <c r="AA52" s="12" t="n">
        <f aca="false">I52*(1+Q52/100)*(1+S52/100)</f>
        <v>50211.0081934673</v>
      </c>
      <c r="AB52" s="12" t="n">
        <f aca="false">K52*(1+Q52/100)*(1+S52/100)*(1+U52/100)</f>
        <v>60901.6017235551</v>
      </c>
      <c r="AC52" s="12" t="n">
        <f aca="false">M52*(1+Q52/100)*(1+S52/100)*(1+U52/100)*(1+W52/100)</f>
        <v>72655.0334126931</v>
      </c>
      <c r="AD52" s="12" t="n">
        <f aca="false">O52*(1+Q52/100)*(1+S52/100)*(1+U52/100)*(1+W52/100)*(1+Y52/100)</f>
        <v>85914.0947870729</v>
      </c>
      <c r="AE52" s="12" t="n">
        <f aca="false">ABS(C52)/$B$7</f>
        <v>15028.5607450833</v>
      </c>
      <c r="AF52" s="12" t="n">
        <f aca="false">Z52-AE52</f>
        <v>29229.0544622574</v>
      </c>
      <c r="AG52" s="12" t="n">
        <f aca="false">AA52-AE52</f>
        <v>35182.447448384</v>
      </c>
      <c r="AH52" s="12" t="n">
        <f aca="false">AB52-AE52</f>
        <v>45873.0409784718</v>
      </c>
      <c r="AI52" s="12" t="n">
        <f aca="false">AC52-AE52</f>
        <v>57626.4726676098</v>
      </c>
      <c r="AJ52" s="12" t="n">
        <f aca="false">AD52-AE52</f>
        <v>70885.5340419896</v>
      </c>
      <c r="AK52" s="12" t="n">
        <f aca="false">AF52*$B$4</f>
        <v>14614.5272311287</v>
      </c>
      <c r="AL52" s="12" t="n">
        <f aca="false">AG52*$B$4</f>
        <v>17591.223724192</v>
      </c>
      <c r="AM52" s="12" t="n">
        <f aca="false">AH52*$B$4</f>
        <v>22936.5204892359</v>
      </c>
      <c r="AN52" s="12" t="n">
        <f aca="false">AI52*$B$4</f>
        <v>28813.2363338049</v>
      </c>
      <c r="AO52" s="12" t="n">
        <f aca="false">AJ52*$B$4</f>
        <v>35442.7670209948</v>
      </c>
      <c r="AP52" s="12" t="n">
        <f aca="false">AF52-AK52</f>
        <v>14614.5272311287</v>
      </c>
      <c r="AQ52" s="12" t="n">
        <f aca="false">AG52-AL52</f>
        <v>17591.223724192</v>
      </c>
      <c r="AR52" s="12" t="n">
        <f aca="false">AH52-AM52</f>
        <v>22936.5204892359</v>
      </c>
      <c r="AS52" s="12" t="n">
        <f aca="false">AI52-AN52</f>
        <v>28813.2363338049</v>
      </c>
      <c r="AT52" s="12" t="n">
        <f aca="false">AJ52-AO52</f>
        <v>35442.7670209948</v>
      </c>
      <c r="AU52" s="12" t="n">
        <f aca="false">0.2*ABS(C52)+1*ABS(E52)</f>
        <v>48979.9218473907</v>
      </c>
      <c r="AV52" s="12" t="n">
        <f aca="false">C52+E52</f>
        <v>-109094.164827724</v>
      </c>
      <c r="AW52" s="12" t="n">
        <f aca="false">AP52+AE52</f>
        <v>29643.087976212</v>
      </c>
      <c r="AX52" s="12" t="n">
        <f aca="false">AQ52+AE52</f>
        <v>32619.7844692753</v>
      </c>
      <c r="AY52" s="12" t="n">
        <f aca="false">AR52+AE52</f>
        <v>37965.0812343192</v>
      </c>
      <c r="AZ52" s="12" t="n">
        <f aca="false">AS52+AE52</f>
        <v>43841.7970788882</v>
      </c>
      <c r="BA52" s="12" t="n">
        <f aca="false">AT52+AE52+AU52</f>
        <v>99451.2496134687</v>
      </c>
      <c r="BB52" s="4" t="n">
        <f aca="false">IFERROR(IRR(AV52:BA52,0.15),"n/a")</f>
        <v>0.26984915601051</v>
      </c>
      <c r="BC52" s="12" t="n">
        <f aca="false">NPV($B$5,AW52:BA52)+AV52</f>
        <v>40821.8714212982</v>
      </c>
    </row>
    <row r="53" customFormat="false" ht="15" hidden="false" customHeight="false" outlineLevel="0" collapsed="false">
      <c r="A53" s="3" t="n">
        <v>29</v>
      </c>
      <c r="B53" s="15" t="n">
        <f aca="true">RAND()</f>
        <v>0.236531478865051</v>
      </c>
      <c r="C53" s="12" t="n">
        <f aca="false">IF(B53&lt;=($F$12-$E$12)/($G$12-$E$12),$E$12+SQRT(B53*($G$12-$E$12)*($F$12-$E$12)),$G$12-SQRT((1-B53)*($G$12-$E$12)*($G$12-$F$12)))</f>
        <v>-83152.5142932822</v>
      </c>
      <c r="D53" s="15" t="n">
        <f aca="true">RAND()</f>
        <v>0.251539809217581</v>
      </c>
      <c r="E53" s="12" t="n">
        <f aca="false">IF(D53&lt;=($F$13-$E$13)/($G$13-$E$13),$E$13+SQRT(D53*($G$13-$E$13)*($F$13-$E$13)),$G$13-SQRT((1-D53)*($G$13-$E$13)*($G$13-$F$13)))</f>
        <v>-33857.4458583878</v>
      </c>
      <c r="F53" s="15" t="n">
        <f aca="true">RAND()</f>
        <v>0.163134704795746</v>
      </c>
      <c r="G53" s="12" t="n">
        <f aca="false">IF(F53&lt;=($F$14-$E$14)/($G$14-$E$14),$E$14+SQRT(F53*($G$14-$E$14)*($F$14-$E$14)),$G$14-SQRT((1-F53)*($G$14-$E$14)*($G$14-$F$14)))</f>
        <v>34946.7368758973</v>
      </c>
      <c r="H53" s="15" t="n">
        <f aca="true">RAND()</f>
        <v>0.739766009273075</v>
      </c>
      <c r="I53" s="12" t="n">
        <f aca="false">IF(H53&lt;=($F$14-$E$14)/($G$14-$E$14),$E$14+SQRT(H53*($G$14-$E$14)*($F$14-$E$14)),$G$14-SQRT((1-H53)*($G$14-$E$14)*($G$14-$F$14)))</f>
        <v>40582.1329462602</v>
      </c>
      <c r="J53" s="15" t="n">
        <f aca="true">RAND()</f>
        <v>0.488769360887654</v>
      </c>
      <c r="K53" s="12" t="n">
        <f aca="false">IF(J53&lt;=($F$14-$E$14)/($G$14-$E$14),$E$14+SQRT(J53*($G$14-$E$14)*($F$14-$E$14)),$G$14-SQRT((1-J53)*($G$14-$E$14)*($G$14-$F$14)))</f>
        <v>38562.4414820277</v>
      </c>
      <c r="L53" s="15" t="n">
        <f aca="true">RAND()</f>
        <v>0.168815867855477</v>
      </c>
      <c r="M53" s="12" t="n">
        <f aca="false">IF(L53&lt;=($F$14-$E$14)/($G$14-$E$14),$E$14+SQRT(L53*($G$14-$E$14)*($F$14-$E$14)),$G$14-SQRT((1-L53)*($G$14-$E$14)*($G$14-$F$14)))</f>
        <v>35032.1347535933</v>
      </c>
      <c r="N53" s="15" t="n">
        <f aca="true">RAND()</f>
        <v>0.0295132412222074</v>
      </c>
      <c r="O53" s="12" t="n">
        <f aca="false">IF(N53&lt;=($F$14-$E$14)/($G$14-$E$14),$E$14+SQRT(N53*($G$14-$E$14)*($F$14-$E$14)),$G$14-SQRT((1-N53)*($G$14-$E$14)*($G$14-$F$14)))</f>
        <v>32104.0404424181</v>
      </c>
      <c r="P53" s="15" t="n">
        <f aca="true">RAND()</f>
        <v>0.285195017027954</v>
      </c>
      <c r="Q53" s="16" t="n">
        <f aca="false">IF(P53&lt;=($F$15-$E$15)/($G$15-$E$15),$E$15+SQRT(P53*($G$15-$E$15)*($F$15-$E$15)),$G$15-SQRT((1-P53)*($G$15-$E$15)*($G$15-$F$15)))</f>
        <v>14.2657251171541</v>
      </c>
      <c r="R53" s="15" t="n">
        <f aca="true">RAND()</f>
        <v>0.642587437376853</v>
      </c>
      <c r="S53" s="16" t="n">
        <f aca="false">IF(R53&lt;=($F$16-$E$16)/($G$16-$E$16),$E$16+SQRT(R53*($G$16-$E$16)*($F$16-$E$16)),$G$16-SQRT((1-R53)*($G$16-$E$16)*($G$16-$F$16)))</f>
        <v>15.4635800570062</v>
      </c>
      <c r="T53" s="15" t="n">
        <f aca="true">RAND()</f>
        <v>0.571359609041984</v>
      </c>
      <c r="U53" s="16" t="n">
        <f aca="false">IF(T53&lt;=($F$17-$E$17)/($G$17-$E$17),$E$17+SQRT(T53*($G$17-$E$17)*($F$17-$E$17)),$G$17-SQRT((1-T53)*($G$17-$E$17)*($G$17-$F$17)))</f>
        <v>18.535619687906</v>
      </c>
      <c r="V53" s="15" t="n">
        <f aca="true">RAND()</f>
        <v>0.564424047874982</v>
      </c>
      <c r="W53" s="16" t="n">
        <f aca="false">IF(V53&lt;=($F$18-$E$18)/($G$18-$E$18),$E$18+SQRT(V53*($G$18-$E$18)*($F$18-$E$18)),$G$18-SQRT((1-V53)*($G$18-$E$18)*($G$18-$F$18)))</f>
        <v>21.0954951242986</v>
      </c>
      <c r="X53" s="15" t="n">
        <f aca="true">RAND()</f>
        <v>0.949274757043185</v>
      </c>
      <c r="Y53" s="16" t="n">
        <f aca="false">IF(X53&lt;=($F$19-$E$19)/($G$19-$E$19),$E$19+SQRT(X53*($G$19-$E$19)*($F$19-$E$19)),$G$19-SQRT((1-X53)*($G$19-$E$19)*($G$19-$F$19)))</f>
        <v>26.3449582725297</v>
      </c>
      <c r="Z53" s="12" t="n">
        <f aca="false">G53*(1+Q53/100)</f>
        <v>39932.1422960279</v>
      </c>
      <c r="AA53" s="12" t="n">
        <f aca="false">I53*(1+Q53/100)*(1+S53/100)</f>
        <v>53542.1576309193</v>
      </c>
      <c r="AB53" s="12" t="n">
        <f aca="false">K53*(1+Q53/100)*(1+S53/100)*(1+U53/100)</f>
        <v>60307.9263601069</v>
      </c>
      <c r="AC53" s="12" t="n">
        <f aca="false">M53*(1+Q53/100)*(1+S53/100)*(1+U53/100)*(1+W53/100)</f>
        <v>66344.4294358416</v>
      </c>
      <c r="AD53" s="12" t="n">
        <f aca="false">O53*(1+Q53/100)*(1+S53/100)*(1+U53/100)*(1+W53/100)*(1+Y53/100)</f>
        <v>76816.668993813</v>
      </c>
      <c r="AE53" s="12" t="n">
        <f aca="false">ABS(C53)/$B$7</f>
        <v>16630.5028586564</v>
      </c>
      <c r="AF53" s="12" t="n">
        <f aca="false">Z53-AE53</f>
        <v>23301.6394373715</v>
      </c>
      <c r="AG53" s="12" t="n">
        <f aca="false">AA53-AE53</f>
        <v>36911.6547722629</v>
      </c>
      <c r="AH53" s="12" t="n">
        <f aca="false">AB53-AE53</f>
        <v>43677.4235014505</v>
      </c>
      <c r="AI53" s="12" t="n">
        <f aca="false">AC53-AE53</f>
        <v>49713.9265771852</v>
      </c>
      <c r="AJ53" s="12" t="n">
        <f aca="false">AD53-AE53</f>
        <v>60186.1661351566</v>
      </c>
      <c r="AK53" s="12" t="n">
        <f aca="false">AF53*$B$4</f>
        <v>11650.8197186857</v>
      </c>
      <c r="AL53" s="12" t="n">
        <f aca="false">AG53*$B$4</f>
        <v>18455.8273861315</v>
      </c>
      <c r="AM53" s="12" t="n">
        <f aca="false">AH53*$B$4</f>
        <v>21838.7117507252</v>
      </c>
      <c r="AN53" s="12" t="n">
        <f aca="false">AI53*$B$4</f>
        <v>24856.9632885926</v>
      </c>
      <c r="AO53" s="12" t="n">
        <f aca="false">AJ53*$B$4</f>
        <v>30093.0830675783</v>
      </c>
      <c r="AP53" s="12" t="n">
        <f aca="false">AF53-AK53</f>
        <v>11650.8197186857</v>
      </c>
      <c r="AQ53" s="12" t="n">
        <f aca="false">AG53-AL53</f>
        <v>18455.8273861315</v>
      </c>
      <c r="AR53" s="12" t="n">
        <f aca="false">AH53-AM53</f>
        <v>21838.7117507252</v>
      </c>
      <c r="AS53" s="12" t="n">
        <f aca="false">AI53-AN53</f>
        <v>24856.9632885926</v>
      </c>
      <c r="AT53" s="12" t="n">
        <f aca="false">AJ53-AO53</f>
        <v>30093.0830675783</v>
      </c>
      <c r="AU53" s="12" t="n">
        <f aca="false">0.2*ABS(C53)+1*ABS(E53)</f>
        <v>50487.9487170442</v>
      </c>
      <c r="AV53" s="12" t="n">
        <f aca="false">C53+E53</f>
        <v>-117009.96015167</v>
      </c>
      <c r="AW53" s="12" t="n">
        <f aca="false">AP53+AE53</f>
        <v>28281.3225773422</v>
      </c>
      <c r="AX53" s="12" t="n">
        <f aca="false">AQ53+AE53</f>
        <v>35086.3302447879</v>
      </c>
      <c r="AY53" s="12" t="n">
        <f aca="false">AR53+AE53</f>
        <v>38469.2146093817</v>
      </c>
      <c r="AZ53" s="12" t="n">
        <f aca="false">AS53+AE53</f>
        <v>41487.466147249</v>
      </c>
      <c r="BA53" s="12" t="n">
        <f aca="false">AT53+AE53+AU53</f>
        <v>97211.534643279</v>
      </c>
      <c r="BB53" s="4" t="n">
        <f aca="false">IFERROR(IRR(AV53:BA53,0.15),"n/a")</f>
        <v>0.23830944547682</v>
      </c>
      <c r="BC53" s="12" t="n">
        <f aca="false">NPV($B$5,AW53:BA53)+AV53</f>
        <v>31458.8405896712</v>
      </c>
    </row>
    <row r="54" customFormat="false" ht="15" hidden="false" customHeight="false" outlineLevel="0" collapsed="false">
      <c r="A54" s="3" t="n">
        <v>30</v>
      </c>
      <c r="B54" s="15" t="n">
        <f aca="true">RAND()</f>
        <v>0.944226132344274</v>
      </c>
      <c r="C54" s="12" t="n">
        <f aca="false">IF(B54&lt;=($F$12-$E$12)/($G$12-$E$12),$E$12+SQRT(B54*($G$12-$E$12)*($F$12-$E$12)),$G$12-SQRT((1-B54)*($G$12-$E$12)*($G$12-$F$12)))</f>
        <v>-64723.298324507</v>
      </c>
      <c r="D54" s="15" t="n">
        <f aca="true">RAND()</f>
        <v>0.264901209787432</v>
      </c>
      <c r="E54" s="12" t="n">
        <f aca="false">IF(D54&lt;=($F$13-$E$13)/($G$13-$E$13),$E$13+SQRT(D54*($G$13-$E$13)*($F$13-$E$13)),$G$13-SQRT((1-D54)*($G$13-$E$13)*($G$13-$F$13)))</f>
        <v>-33696.4151891075</v>
      </c>
      <c r="F54" s="15" t="n">
        <f aca="true">RAND()</f>
        <v>0.845345532878756</v>
      </c>
      <c r="G54" s="12" t="n">
        <f aca="false">IF(F54&lt;=($F$14-$E$14)/($G$14-$E$14),$E$14+SQRT(F54*($G$14-$E$14)*($F$14-$E$14)),$G$14-SQRT((1-F54)*($G$14-$E$14)*($G$14-$F$14)))</f>
        <v>41594.2570510837</v>
      </c>
      <c r="H54" s="15" t="n">
        <f aca="true">RAND()</f>
        <v>0.635198617345439</v>
      </c>
      <c r="I54" s="12" t="n">
        <f aca="false">IF(H54&lt;=($F$14-$E$14)/($G$14-$E$14),$E$14+SQRT(H54*($G$14-$E$14)*($F$14-$E$14)),$G$14-SQRT((1-H54)*($G$14-$E$14)*($G$14-$F$14)))</f>
        <v>39761.1368498662</v>
      </c>
      <c r="J54" s="15" t="n">
        <f aca="true">RAND()</f>
        <v>0.864068580787411</v>
      </c>
      <c r="K54" s="12" t="n">
        <f aca="false">IF(J54&lt;=($F$14-$E$14)/($G$14-$E$14),$E$14+SQRT(J54*($G$14-$E$14)*($F$14-$E$14)),$G$14-SQRT((1-J54)*($G$14-$E$14)*($G$14-$F$14)))</f>
        <v>41807.0614724138</v>
      </c>
      <c r="L54" s="15" t="n">
        <f aca="true">RAND()</f>
        <v>0.203950894362981</v>
      </c>
      <c r="M54" s="12" t="n">
        <f aca="false">IF(L54&lt;=($F$14-$E$14)/($G$14-$E$14),$E$14+SQRT(L54*($G$14-$E$14)*($F$14-$E$14)),$G$14-SQRT((1-L54)*($G$14-$E$14)*($G$14-$F$14)))</f>
        <v>35531.0608525352</v>
      </c>
      <c r="N54" s="15" t="n">
        <f aca="true">RAND()</f>
        <v>0.515951754687047</v>
      </c>
      <c r="O54" s="12" t="n">
        <f aca="false">IF(N54&lt;=($F$14-$E$14)/($G$14-$E$14),$E$14+SQRT(N54*($G$14-$E$14)*($F$14-$E$14)),$G$14-SQRT((1-N54)*($G$14-$E$14)*($G$14-$F$14)))</f>
        <v>38797.3156816757</v>
      </c>
      <c r="P54" s="15" t="n">
        <f aca="true">RAND()</f>
        <v>0.540772682497157</v>
      </c>
      <c r="Q54" s="16" t="n">
        <f aca="false">IF(P54&lt;=($F$15-$E$15)/($G$15-$E$15),$E$15+SQRT(P54*($G$15-$E$15)*($F$15-$E$15)),$G$15-SQRT((1-P54)*($G$15-$E$15)*($G$15-$F$15)))</f>
        <v>15.1249188333108</v>
      </c>
      <c r="R54" s="15" t="n">
        <f aca="true">RAND()</f>
        <v>0.442145802570199</v>
      </c>
      <c r="S54" s="16" t="n">
        <f aca="false">IF(R54&lt;=($F$16-$E$16)/($G$16-$E$16),$E$16+SQRT(R54*($G$16-$E$16)*($F$16-$E$16)),$G$16-SQRT((1-R54)*($G$16-$E$16)*($G$16-$F$16)))</f>
        <v>14.8211034093531</v>
      </c>
      <c r="T54" s="15" t="n">
        <f aca="true">RAND()</f>
        <v>0.118331899259794</v>
      </c>
      <c r="U54" s="16" t="n">
        <f aca="false">IF(T54&lt;=($F$17-$E$17)/($G$17-$E$17),$E$17+SQRT(T54*($G$17-$E$17)*($F$17-$E$17)),$G$17-SQRT((1-T54)*($G$17-$E$17)*($G$17-$F$17)))</f>
        <v>16.5763787249439</v>
      </c>
      <c r="V54" s="15" t="n">
        <f aca="true">RAND()</f>
        <v>0.496129192869883</v>
      </c>
      <c r="W54" s="16" t="n">
        <f aca="false">IF(V54&lt;=($F$18-$E$18)/($G$18-$E$18),$E$18+SQRT(V54*($G$18-$E$18)*($F$18-$E$18)),$G$18-SQRT((1-V54)*($G$18-$E$18)*($G$18-$F$18)))</f>
        <v>20.8005383381255</v>
      </c>
      <c r="X54" s="15" t="n">
        <f aca="true">RAND()</f>
        <v>0.159942434036807</v>
      </c>
      <c r="Y54" s="16" t="n">
        <f aca="false">IF(X54&lt;=($F$19-$E$19)/($G$19-$E$19),$E$19+SQRT(X54*($G$19-$E$19)*($F$19-$E$19)),$G$19-SQRT((1-X54)*($G$19-$E$19)*($G$19-$F$19)))</f>
        <v>21.0780870335464</v>
      </c>
      <c r="Z54" s="12" t="n">
        <f aca="false">G54*(1+Q54/100)</f>
        <v>47885.3546693787</v>
      </c>
      <c r="AA54" s="12" t="n">
        <f aca="false">I54*(1+Q54/100)*(1+S54/100)</f>
        <v>52559.3331320778</v>
      </c>
      <c r="AB54" s="12" t="n">
        <f aca="false">K54*(1+Q54/100)*(1+S54/100)*(1+U54/100)</f>
        <v>64424.529648283</v>
      </c>
      <c r="AC54" s="12" t="n">
        <f aca="false">M54*(1+Q54/100)*(1+S54/100)*(1+U54/100)*(1+W54/100)</f>
        <v>66142.2032694843</v>
      </c>
      <c r="AD54" s="12" t="n">
        <f aca="false">O54*(1+Q54/100)*(1+S54/100)*(1+U54/100)*(1+W54/100)*(1+Y54/100)</f>
        <v>87445.5497685703</v>
      </c>
      <c r="AE54" s="12" t="n">
        <f aca="false">ABS(C54)/$B$7</f>
        <v>12944.6596649014</v>
      </c>
      <c r="AF54" s="12" t="n">
        <f aca="false">Z54-AE54</f>
        <v>34940.6950044773</v>
      </c>
      <c r="AG54" s="12" t="n">
        <f aca="false">AA54-AE54</f>
        <v>39614.6734671764</v>
      </c>
      <c r="AH54" s="12" t="n">
        <f aca="false">AB54-AE54</f>
        <v>51479.8699833816</v>
      </c>
      <c r="AI54" s="12" t="n">
        <f aca="false">AC54-AE54</f>
        <v>53197.5436045829</v>
      </c>
      <c r="AJ54" s="12" t="n">
        <f aca="false">AD54-AE54</f>
        <v>74500.8901036689</v>
      </c>
      <c r="AK54" s="12" t="n">
        <f aca="false">AF54*$B$4</f>
        <v>17470.3475022387</v>
      </c>
      <c r="AL54" s="12" t="n">
        <f aca="false">AG54*$B$4</f>
        <v>19807.3367335882</v>
      </c>
      <c r="AM54" s="12" t="n">
        <f aca="false">AH54*$B$4</f>
        <v>25739.9349916908</v>
      </c>
      <c r="AN54" s="12" t="n">
        <f aca="false">AI54*$B$4</f>
        <v>26598.7718022914</v>
      </c>
      <c r="AO54" s="12" t="n">
        <f aca="false">AJ54*$B$4</f>
        <v>37250.4450518345</v>
      </c>
      <c r="AP54" s="12" t="n">
        <f aca="false">AF54-AK54</f>
        <v>17470.3475022387</v>
      </c>
      <c r="AQ54" s="12" t="n">
        <f aca="false">AG54-AL54</f>
        <v>19807.3367335882</v>
      </c>
      <c r="AR54" s="12" t="n">
        <f aca="false">AH54-AM54</f>
        <v>25739.9349916908</v>
      </c>
      <c r="AS54" s="12" t="n">
        <f aca="false">AI54-AN54</f>
        <v>26598.7718022914</v>
      </c>
      <c r="AT54" s="12" t="n">
        <f aca="false">AJ54-AO54</f>
        <v>37250.4450518345</v>
      </c>
      <c r="AU54" s="12" t="n">
        <f aca="false">0.2*ABS(C54)+1*ABS(E54)</f>
        <v>46641.0748540089</v>
      </c>
      <c r="AV54" s="12" t="n">
        <f aca="false">C54+E54</f>
        <v>-98419.7135136145</v>
      </c>
      <c r="AW54" s="12" t="n">
        <f aca="false">AP54+AE54</f>
        <v>30415.0071671401</v>
      </c>
      <c r="AX54" s="12" t="n">
        <f aca="false">AQ54+AE54</f>
        <v>32751.9963984896</v>
      </c>
      <c r="AY54" s="12" t="n">
        <f aca="false">AR54+AE54</f>
        <v>38684.5946565922</v>
      </c>
      <c r="AZ54" s="12" t="n">
        <f aca="false">AS54+AE54</f>
        <v>39543.4314671928</v>
      </c>
      <c r="BA54" s="12" t="n">
        <f aca="false">AT54+AE54+AU54</f>
        <v>96836.1795707448</v>
      </c>
      <c r="BB54" s="4" t="n">
        <f aca="false">IFERROR(IRR(AV54:BA54,0.15),"n/a")</f>
        <v>0.308294978694198</v>
      </c>
      <c r="BC54" s="12" t="n">
        <f aca="false">NPV($B$5,AW54:BA54)+AV54</f>
        <v>48982.863306439</v>
      </c>
    </row>
    <row r="55" customFormat="false" ht="15" hidden="false" customHeight="false" outlineLevel="0" collapsed="false">
      <c r="A55" s="3" t="n">
        <v>31</v>
      </c>
      <c r="B55" s="15" t="n">
        <f aca="true">RAND()</f>
        <v>0.336415534247846</v>
      </c>
      <c r="C55" s="12" t="n">
        <f aca="false">IF(B55&lt;=($F$12-$E$12)/($G$12-$E$12),$E$12+SQRT(B55*($G$12-$E$12)*($F$12-$E$12)),$G$12-SQRT((1-B55)*($G$12-$E$12)*($G$12-$F$12)))</f>
        <v>-79907.746739168</v>
      </c>
      <c r="D55" s="15" t="n">
        <f aca="true">RAND()</f>
        <v>0.0530566127602613</v>
      </c>
      <c r="E55" s="12" t="n">
        <f aca="false">IF(D55&lt;=($F$13-$E$13)/($G$13-$E$13),$E$13+SQRT(D55*($G$13-$E$13)*($F$13-$E$13)),$G$13-SQRT((1-D55)*($G$13-$E$13)*($G$13-$F$13)))</f>
        <v>-37178.9200801751</v>
      </c>
      <c r="F55" s="15" t="n">
        <f aca="true">RAND()</f>
        <v>0.488776704651028</v>
      </c>
      <c r="G55" s="12" t="n">
        <f aca="false">IF(F55&lt;=($F$14-$E$14)/($G$14-$E$14),$E$14+SQRT(F55*($G$14-$E$14)*($F$14-$E$14)),$G$14-SQRT((1-F55)*($G$14-$E$14)*($G$14-$F$14)))</f>
        <v>38562.5058071603</v>
      </c>
      <c r="H55" s="15" t="n">
        <f aca="true">RAND()</f>
        <v>0.570267383536871</v>
      </c>
      <c r="I55" s="12" t="n">
        <f aca="false">IF(H55&lt;=($F$14-$E$14)/($G$14-$E$14),$E$14+SQRT(H55*($G$14-$E$14)*($F$14-$E$14)),$G$14-SQRT((1-H55)*($G$14-$E$14)*($G$14-$F$14)))</f>
        <v>39248.7895170412</v>
      </c>
      <c r="J55" s="15" t="n">
        <f aca="true">RAND()</f>
        <v>0.277896815743449</v>
      </c>
      <c r="K55" s="12" t="n">
        <f aca="false">IF(J55&lt;=($F$14-$E$14)/($G$14-$E$14),$E$14+SQRT(J55*($G$14-$E$14)*($F$14-$E$14)),$G$14-SQRT((1-J55)*($G$14-$E$14)*($G$14-$F$14)))</f>
        <v>36456.3551917097</v>
      </c>
      <c r="L55" s="15" t="n">
        <f aca="true">RAND()</f>
        <v>0.193441179291273</v>
      </c>
      <c r="M55" s="12" t="n">
        <f aca="false">IF(L55&lt;=($F$14-$E$14)/($G$14-$E$14),$E$14+SQRT(L55*($G$14-$E$14)*($F$14-$E$14)),$G$14-SQRT((1-L55)*($G$14-$E$14)*($G$14-$F$14)))</f>
        <v>35386.6665846041</v>
      </c>
      <c r="N55" s="15" t="n">
        <f aca="true">RAND()</f>
        <v>0.479298817986847</v>
      </c>
      <c r="O55" s="12" t="n">
        <f aca="false">IF(N55&lt;=($F$14-$E$14)/($G$14-$E$14),$E$14+SQRT(N55*($G$14-$E$14)*($F$14-$E$14)),$G$14-SQRT((1-N55)*($G$14-$E$14)*($G$14-$F$14)))</f>
        <v>38479.0814772608</v>
      </c>
      <c r="P55" s="15" t="n">
        <f aca="true">RAND()</f>
        <v>0.765009361965798</v>
      </c>
      <c r="Q55" s="16" t="n">
        <f aca="false">IF(P55&lt;=($F$15-$E$15)/($G$15-$E$15),$E$15+SQRT(P55*($G$15-$E$15)*($F$15-$E$15)),$G$15-SQRT((1-P55)*($G$15-$E$15)*($G$15-$F$15)))</f>
        <v>15.9433445877796</v>
      </c>
      <c r="R55" s="15" t="n">
        <f aca="true">RAND()</f>
        <v>0.935955769789182</v>
      </c>
      <c r="S55" s="16" t="n">
        <f aca="false">IF(R55&lt;=($F$16-$E$16)/($G$16-$E$16),$E$16+SQRT(R55*($G$16-$E$16)*($F$16-$E$16)),$G$16-SQRT((1-R55)*($G$16-$E$16)*($G$16-$F$16)))</f>
        <v>16.9263165532641</v>
      </c>
      <c r="T55" s="15" t="n">
        <f aca="true">RAND()</f>
        <v>0.612323424199991</v>
      </c>
      <c r="U55" s="16" t="n">
        <f aca="false">IF(T55&lt;=($F$17-$E$17)/($G$17-$E$17),$E$17+SQRT(T55*($G$17-$E$17)*($F$17-$E$17)),$G$17-SQRT((1-T55)*($G$17-$E$17)*($G$17-$F$17)))</f>
        <v>18.7053157780448</v>
      </c>
      <c r="V55" s="15" t="n">
        <f aca="true">RAND()</f>
        <v>0.446105682921056</v>
      </c>
      <c r="W55" s="16" t="n">
        <f aca="false">IF(V55&lt;=($F$18-$E$18)/($G$18-$E$18),$E$18+SQRT(V55*($G$18-$E$18)*($F$18-$E$18)),$G$18-SQRT((1-V55)*($G$18-$E$18)*($G$18-$F$18)))</f>
        <v>20.5970122532804</v>
      </c>
      <c r="X55" s="15" t="n">
        <f aca="true">RAND()</f>
        <v>0.381787967605891</v>
      </c>
      <c r="Y55" s="16" t="n">
        <f aca="false">IF(X55&lt;=($F$19-$E$19)/($G$19-$E$19),$E$19+SQRT(X55*($G$19-$E$19)*($F$19-$E$19)),$G$19-SQRT((1-X55)*($G$19-$E$19)*($G$19-$F$19)))</f>
        <v>22.2221587293106</v>
      </c>
      <c r="Z55" s="12" t="n">
        <f aca="false">G55*(1+Q55/100)</f>
        <v>44710.6589896784</v>
      </c>
      <c r="AA55" s="12" t="n">
        <f aca="false">I55*(1+Q55/100)*(1+S55/100)</f>
        <v>53208.9096992434</v>
      </c>
      <c r="AB55" s="12" t="n">
        <f aca="false">K55*(1+Q55/100)*(1+S55/100)*(1+U55/100)</f>
        <v>58668.0302688292</v>
      </c>
      <c r="AC55" s="12" t="n">
        <f aca="false">M55*(1+Q55/100)*(1+S55/100)*(1+U55/100)*(1+W55/100)</f>
        <v>68675.9163650776</v>
      </c>
      <c r="AD55" s="12" t="n">
        <f aca="false">O55*(1+Q55/100)*(1+S55/100)*(1+U55/100)*(1+W55/100)*(1+Y55/100)</f>
        <v>91272.3968896861</v>
      </c>
      <c r="AE55" s="12" t="n">
        <f aca="false">ABS(C55)/$B$7</f>
        <v>15981.5493478336</v>
      </c>
      <c r="AF55" s="12" t="n">
        <f aca="false">Z55-AE55</f>
        <v>28729.1096418448</v>
      </c>
      <c r="AG55" s="12" t="n">
        <f aca="false">AA55-AE55</f>
        <v>37227.3603514098</v>
      </c>
      <c r="AH55" s="12" t="n">
        <f aca="false">AB55-AE55</f>
        <v>42686.4809209956</v>
      </c>
      <c r="AI55" s="12" t="n">
        <f aca="false">AC55-AE55</f>
        <v>52694.367017244</v>
      </c>
      <c r="AJ55" s="12" t="n">
        <f aca="false">AD55-AE55</f>
        <v>75290.8475418525</v>
      </c>
      <c r="AK55" s="12" t="n">
        <f aca="false">AF55*$B$4</f>
        <v>14364.5548209224</v>
      </c>
      <c r="AL55" s="12" t="n">
        <f aca="false">AG55*$B$4</f>
        <v>18613.6801757049</v>
      </c>
      <c r="AM55" s="12" t="n">
        <f aca="false">AH55*$B$4</f>
        <v>21343.2404604978</v>
      </c>
      <c r="AN55" s="12" t="n">
        <f aca="false">AI55*$B$4</f>
        <v>26347.183508622</v>
      </c>
      <c r="AO55" s="12" t="n">
        <f aca="false">AJ55*$B$4</f>
        <v>37645.4237709263</v>
      </c>
      <c r="AP55" s="12" t="n">
        <f aca="false">AF55-AK55</f>
        <v>14364.5548209224</v>
      </c>
      <c r="AQ55" s="12" t="n">
        <f aca="false">AG55-AL55</f>
        <v>18613.6801757049</v>
      </c>
      <c r="AR55" s="12" t="n">
        <f aca="false">AH55-AM55</f>
        <v>21343.2404604978</v>
      </c>
      <c r="AS55" s="12" t="n">
        <f aca="false">AI55-AN55</f>
        <v>26347.183508622</v>
      </c>
      <c r="AT55" s="12" t="n">
        <f aca="false">AJ55-AO55</f>
        <v>37645.4237709263</v>
      </c>
      <c r="AU55" s="12" t="n">
        <f aca="false">0.2*ABS(C55)+1*ABS(E55)</f>
        <v>53160.4694280087</v>
      </c>
      <c r="AV55" s="12" t="n">
        <f aca="false">C55+E55</f>
        <v>-117086.666819343</v>
      </c>
      <c r="AW55" s="12" t="n">
        <f aca="false">AP55+AE55</f>
        <v>30346.104168756</v>
      </c>
      <c r="AX55" s="12" t="n">
        <f aca="false">AQ55+AE55</f>
        <v>34595.2295235385</v>
      </c>
      <c r="AY55" s="12" t="n">
        <f aca="false">AR55+AE55</f>
        <v>37324.7898083314</v>
      </c>
      <c r="AZ55" s="12" t="n">
        <f aca="false">AS55+AE55</f>
        <v>42328.7328564556</v>
      </c>
      <c r="BA55" s="12" t="n">
        <f aca="false">AT55+AE55+AU55</f>
        <v>106787.442546769</v>
      </c>
      <c r="BB55" s="4" t="n">
        <f aca="false">IFERROR(IRR(AV55:BA55,0.15),"n/a")</f>
        <v>0.252618035152117</v>
      </c>
      <c r="BC55" s="12" t="n">
        <f aca="false">NPV($B$5,AW55:BA55)+AV55</f>
        <v>37295.6911919078</v>
      </c>
    </row>
    <row r="56" customFormat="false" ht="15" hidden="false" customHeight="false" outlineLevel="0" collapsed="false">
      <c r="A56" s="3" t="n">
        <v>32</v>
      </c>
      <c r="B56" s="15" t="n">
        <f aca="true">RAND()</f>
        <v>0.747735797735037</v>
      </c>
      <c r="C56" s="12" t="n">
        <f aca="false">IF(B56&lt;=($F$12-$E$12)/($G$12-$E$12),$E$12+SQRT(B56*($G$12-$E$12)*($F$12-$E$12)),$G$12-SQRT((1-B56)*($G$12-$E$12)*($G$12-$F$12)))</f>
        <v>-70045.3182743992</v>
      </c>
      <c r="D56" s="15" t="n">
        <f aca="true">RAND()</f>
        <v>0.0516642609743753</v>
      </c>
      <c r="E56" s="12" t="n">
        <f aca="false">IF(D56&lt;=($F$13-$E$13)/($G$13-$E$13),$E$13+SQRT(D56*($G$13-$E$13)*($F$13-$E$13)),$G$13-SQRT((1-D56)*($G$13-$E$13)*($G$13-$F$13)))</f>
        <v>-37216.182630603</v>
      </c>
      <c r="F56" s="15" t="n">
        <f aca="true">RAND()</f>
        <v>0.76203769262609</v>
      </c>
      <c r="G56" s="12" t="n">
        <f aca="false">IF(F56&lt;=($F$14-$E$14)/($G$14-$E$14),$E$14+SQRT(F56*($G$14-$E$14)*($F$14-$E$14)),$G$14-SQRT((1-F56)*($G$14-$E$14)*($G$14-$F$14)))</f>
        <v>40775.4085341843</v>
      </c>
      <c r="H56" s="15" t="n">
        <f aca="true">RAND()</f>
        <v>0.769790058530731</v>
      </c>
      <c r="I56" s="12" t="n">
        <f aca="false">IF(H56&lt;=($F$14-$E$14)/($G$14-$E$14),$E$14+SQRT(H56*($G$14-$E$14)*($F$14-$E$14)),$G$14-SQRT((1-H56)*($G$14-$E$14)*($G$14-$F$14)))</f>
        <v>40844.792952187</v>
      </c>
      <c r="J56" s="15" t="n">
        <f aca="true">RAND()</f>
        <v>0.646415749514797</v>
      </c>
      <c r="K56" s="12" t="n">
        <f aca="false">IF(J56&lt;=($F$14-$E$14)/($G$14-$E$14),$E$14+SQRT(J56*($G$14-$E$14)*($F$14-$E$14)),$G$14-SQRT((1-J56)*($G$14-$E$14)*($G$14-$F$14)))</f>
        <v>39846.9468581495</v>
      </c>
      <c r="L56" s="15" t="n">
        <f aca="true">RAND()</f>
        <v>0.420204583690742</v>
      </c>
      <c r="M56" s="12" t="n">
        <f aca="false">IF(L56&lt;=($F$14-$E$14)/($G$14-$E$14),$E$14+SQRT(L56*($G$14-$E$14)*($F$14-$E$14)),$G$14-SQRT((1-L56)*($G$14-$E$14)*($G$14-$F$14)))</f>
        <v>37939.1868320132</v>
      </c>
      <c r="N56" s="15" t="n">
        <f aca="true">RAND()</f>
        <v>0.0318221126982563</v>
      </c>
      <c r="O56" s="12" t="n">
        <f aca="false">IF(N56&lt;=($F$14-$E$14)/($G$14-$E$14),$E$14+SQRT(N56*($G$14-$E$14)*($F$14-$E$14)),$G$14-SQRT((1-N56)*($G$14-$E$14)*($G$14-$F$14)))</f>
        <v>32184.7921879983</v>
      </c>
      <c r="P56" s="15" t="n">
        <f aca="true">RAND()</f>
        <v>0.80539181356228</v>
      </c>
      <c r="Q56" s="16" t="n">
        <f aca="false">IF(P56&lt;=($F$15-$E$15)/($G$15-$E$15),$E$15+SQRT(P56*($G$15-$E$15)*($F$15-$E$15)),$G$15-SQRT((1-P56)*($G$15-$E$15)*($G$15-$F$15)))</f>
        <v>16.1283837583845</v>
      </c>
      <c r="R56" s="15" t="n">
        <f aca="true">RAND()</f>
        <v>0.59726022442036</v>
      </c>
      <c r="S56" s="16" t="n">
        <f aca="false">IF(R56&lt;=($F$16-$E$16)/($G$16-$E$16),$E$16+SQRT(R56*($G$16-$E$16)*($F$16-$E$16)),$G$16-SQRT((1-R56)*($G$16-$E$16)*($G$16-$F$16)))</f>
        <v>15.3075446223877</v>
      </c>
      <c r="T56" s="15" t="n">
        <f aca="true">RAND()</f>
        <v>0.944972418639915</v>
      </c>
      <c r="U56" s="16" t="n">
        <f aca="false">IF(T56&lt;=($F$17-$E$17)/($G$17-$E$17),$E$17+SQRT(T56*($G$17-$E$17)*($F$17-$E$17)),$G$17-SQRT((1-T56)*($G$17-$E$17)*($G$17-$F$17)))</f>
        <v>20.7587215146945</v>
      </c>
      <c r="V56" s="15" t="n">
        <f aca="true">RAND()</f>
        <v>0.985088025977236</v>
      </c>
      <c r="W56" s="16" t="n">
        <f aca="false">IF(V56&lt;=($F$18-$E$18)/($G$18-$E$18),$E$18+SQRT(V56*($G$18-$E$18)*($F$18-$E$18)),$G$18-SQRT((1-V56)*($G$18-$E$18)*($G$18-$F$18)))</f>
        <v>24.2775603203057</v>
      </c>
      <c r="X56" s="15" t="n">
        <f aca="true">RAND()</f>
        <v>0.737172000778158</v>
      </c>
      <c r="Y56" s="16" t="n">
        <f aca="false">IF(X56&lt;=($F$19-$E$19)/($G$19-$E$19),$E$19+SQRT(X56*($G$19-$E$19)*($F$19-$E$19)),$G$19-SQRT((1-X56)*($G$19-$E$19)*($G$19-$F$19)))</f>
        <v>24.2326784105973</v>
      </c>
      <c r="Z56" s="12" t="n">
        <f aca="false">G56*(1+Q56/100)</f>
        <v>47351.8229016266</v>
      </c>
      <c r="AA56" s="12" t="n">
        <f aca="false">I56*(1+Q56/100)*(1+S56/100)</f>
        <v>54693.1333795841</v>
      </c>
      <c r="AB56" s="12" t="n">
        <f aca="false">K56*(1+Q56/100)*(1+S56/100)*(1+U56/100)</f>
        <v>64433.1944288751</v>
      </c>
      <c r="AC56" s="12" t="n">
        <f aca="false">M56*(1+Q56/100)*(1+S56/100)*(1+U56/100)*(1+W56/100)</f>
        <v>76242.1877442644</v>
      </c>
      <c r="AD56" s="12" t="n">
        <f aca="false">O56*(1+Q56/100)*(1+S56/100)*(1+U56/100)*(1+W56/100)*(1+Y56/100)</f>
        <v>80351.4816476651</v>
      </c>
      <c r="AE56" s="12" t="n">
        <f aca="false">ABS(C56)/$B$7</f>
        <v>14009.0636548798</v>
      </c>
      <c r="AF56" s="12" t="n">
        <f aca="false">Z56-AE56</f>
        <v>33342.7592467467</v>
      </c>
      <c r="AG56" s="12" t="n">
        <f aca="false">AA56-AE56</f>
        <v>40684.0697247043</v>
      </c>
      <c r="AH56" s="12" t="n">
        <f aca="false">AB56-AE56</f>
        <v>50424.1307739953</v>
      </c>
      <c r="AI56" s="12" t="n">
        <f aca="false">AC56-AE56</f>
        <v>62233.1240893845</v>
      </c>
      <c r="AJ56" s="12" t="n">
        <f aca="false">AD56-AE56</f>
        <v>66342.4179927852</v>
      </c>
      <c r="AK56" s="12" t="n">
        <f aca="false">AF56*$B$4</f>
        <v>16671.3796233734</v>
      </c>
      <c r="AL56" s="12" t="n">
        <f aca="false">AG56*$B$4</f>
        <v>20342.0348623521</v>
      </c>
      <c r="AM56" s="12" t="n">
        <f aca="false">AH56*$B$4</f>
        <v>25212.0653869976</v>
      </c>
      <c r="AN56" s="12" t="n">
        <f aca="false">AI56*$B$4</f>
        <v>31116.5620446923</v>
      </c>
      <c r="AO56" s="12" t="n">
        <f aca="false">AJ56*$B$4</f>
        <v>33171.2089963926</v>
      </c>
      <c r="AP56" s="12" t="n">
        <f aca="false">AF56-AK56</f>
        <v>16671.3796233734</v>
      </c>
      <c r="AQ56" s="12" t="n">
        <f aca="false">AG56-AL56</f>
        <v>20342.0348623521</v>
      </c>
      <c r="AR56" s="12" t="n">
        <f aca="false">AH56-AM56</f>
        <v>25212.0653869976</v>
      </c>
      <c r="AS56" s="12" t="n">
        <f aca="false">AI56-AN56</f>
        <v>31116.5620446923</v>
      </c>
      <c r="AT56" s="12" t="n">
        <f aca="false">AJ56-AO56</f>
        <v>33171.2089963926</v>
      </c>
      <c r="AU56" s="12" t="n">
        <f aca="false">0.2*ABS(C56)+1*ABS(E56)</f>
        <v>51225.2462854829</v>
      </c>
      <c r="AV56" s="12" t="n">
        <f aca="false">C56+E56</f>
        <v>-107261.500905002</v>
      </c>
      <c r="AW56" s="12" t="n">
        <f aca="false">AP56+AE56</f>
        <v>30680.4432782532</v>
      </c>
      <c r="AX56" s="12" t="n">
        <f aca="false">AQ56+AE56</f>
        <v>34351.098517232</v>
      </c>
      <c r="AY56" s="12" t="n">
        <f aca="false">AR56+AE56</f>
        <v>39221.1290418775</v>
      </c>
      <c r="AZ56" s="12" t="n">
        <f aca="false">AS56+AE56</f>
        <v>45125.6256995721</v>
      </c>
      <c r="BA56" s="12" t="n">
        <f aca="false">AT56+AE56+AU56</f>
        <v>98405.5189367553</v>
      </c>
      <c r="BB56" s="4" t="n">
        <f aca="false">IFERROR(IRR(AV56:BA56,0.15),"n/a")</f>
        <v>0.287125699752976</v>
      </c>
      <c r="BC56" s="12" t="n">
        <f aca="false">NPV($B$5,AW56:BA56)+AV56</f>
        <v>45905.6976252075</v>
      </c>
    </row>
    <row r="57" customFormat="false" ht="15" hidden="false" customHeight="false" outlineLevel="0" collapsed="false">
      <c r="A57" s="3" t="n">
        <v>33</v>
      </c>
      <c r="B57" s="15" t="n">
        <f aca="true">RAND()</f>
        <v>0.15633665122037</v>
      </c>
      <c r="C57" s="12" t="n">
        <f aca="false">IF(B57&lt;=($F$12-$E$12)/($G$12-$E$12),$E$12+SQRT(B57*($G$12-$E$12)*($F$12-$E$12)),$G$12-SQRT((1-B57)*($G$12-$E$12)*($G$12-$F$12)))</f>
        <v>-86303.1397223873</v>
      </c>
      <c r="D57" s="15" t="n">
        <f aca="true">RAND()</f>
        <v>0.590353941659212</v>
      </c>
      <c r="E57" s="12" t="n">
        <f aca="false">IF(D57&lt;=($F$13-$E$13)/($G$13-$E$13),$E$13+SQRT(D57*($G$13-$E$13)*($F$13-$E$13)),$G$13-SQRT((1-D57)*($G$13-$E$13)*($G$13-$F$13)))</f>
        <v>-30589.7347939135</v>
      </c>
      <c r="F57" s="15" t="n">
        <f aca="true">RAND()</f>
        <v>0.466999208194322</v>
      </c>
      <c r="G57" s="12" t="n">
        <f aca="false">IF(F57&lt;=($F$14-$E$14)/($G$14-$E$14),$E$14+SQRT(F57*($G$14-$E$14)*($F$14-$E$14)),$G$14-SQRT((1-F57)*($G$14-$E$14)*($G$14-$F$14)))</f>
        <v>38369.580708085</v>
      </c>
      <c r="H57" s="15" t="n">
        <f aca="true">RAND()</f>
        <v>0.305670484553114</v>
      </c>
      <c r="I57" s="12" t="n">
        <f aca="false">IF(H57&lt;=($F$14-$E$14)/($G$14-$E$14),$E$14+SQRT(H57*($G$14-$E$14)*($F$14-$E$14)),$G$14-SQRT((1-H57)*($G$14-$E$14)*($G$14-$F$14)))</f>
        <v>36771.3050945122</v>
      </c>
      <c r="J57" s="15" t="n">
        <f aca="true">RAND()</f>
        <v>0.312910093371689</v>
      </c>
      <c r="K57" s="12" t="n">
        <f aca="false">IF(J57&lt;=($F$14-$E$14)/($G$14-$E$14),$E$14+SQRT(J57*($G$14-$E$14)*($F$14-$E$14)),$G$14-SQRT((1-J57)*($G$14-$E$14)*($G$14-$F$14)))</f>
        <v>36851.0228437623</v>
      </c>
      <c r="L57" s="15" t="n">
        <f aca="true">RAND()</f>
        <v>0.201974692764347</v>
      </c>
      <c r="M57" s="12" t="n">
        <f aca="false">IF(L57&lt;=($F$14-$E$14)/($G$14-$E$14),$E$14+SQRT(L57*($G$14-$E$14)*($F$14-$E$14)),$G$14-SQRT((1-L57)*($G$14-$E$14)*($G$14-$F$14)))</f>
        <v>35504.1987531931</v>
      </c>
      <c r="N57" s="15" t="n">
        <f aca="true">RAND()</f>
        <v>0.182070600358089</v>
      </c>
      <c r="O57" s="12" t="n">
        <f aca="false">IF(N57&lt;=($F$14-$E$14)/($G$14-$E$14),$E$14+SQRT(N57*($G$14-$E$14)*($F$14-$E$14)),$G$14-SQRT((1-N57)*($G$14-$E$14)*($G$14-$F$14)))</f>
        <v>35225.9535066544</v>
      </c>
      <c r="P57" s="15" t="n">
        <f aca="true">RAND()</f>
        <v>0.734875697938272</v>
      </c>
      <c r="Q57" s="16" t="n">
        <f aca="false">IF(P57&lt;=($F$15-$E$15)/($G$15-$E$15),$E$15+SQRT(P57*($G$15-$E$15)*($F$15-$E$15)),$G$15-SQRT((1-P57)*($G$15-$E$15)*($G$15-$F$15)))</f>
        <v>15.8154548672295</v>
      </c>
      <c r="R57" s="15" t="n">
        <f aca="true">RAND()</f>
        <v>0.0154411725067491</v>
      </c>
      <c r="S57" s="16" t="n">
        <f aca="false">IF(R57&lt;=($F$16-$E$16)/($G$16-$E$16),$E$16+SQRT(R57*($G$16-$E$16)*($F$16-$E$16)),$G$16-SQRT((1-R57)*($G$16-$E$16)*($G$16-$F$16)))</f>
        <v>12.5272011998483</v>
      </c>
      <c r="T57" s="15" t="n">
        <f aca="true">RAND()</f>
        <v>0.322115746969403</v>
      </c>
      <c r="U57" s="16" t="n">
        <f aca="false">IF(T57&lt;=($F$17-$E$17)/($G$17-$E$17),$E$17+SQRT(T57*($G$17-$E$17)*($F$17-$E$17)),$G$17-SQRT((1-T57)*($G$17-$E$17)*($G$17-$F$17)))</f>
        <v>17.6008519154995</v>
      </c>
      <c r="V57" s="15" t="n">
        <f aca="true">RAND()</f>
        <v>0.455275316372744</v>
      </c>
      <c r="W57" s="16" t="n">
        <f aca="false">IF(V57&lt;=($F$18-$E$18)/($G$18-$E$18),$E$18+SQRT(V57*($G$18-$E$18)*($F$18-$E$18)),$G$18-SQRT((1-V57)*($G$18-$E$18)*($G$18-$F$18)))</f>
        <v>20.6336097372138</v>
      </c>
      <c r="X57" s="15" t="n">
        <f aca="true">RAND()</f>
        <v>0.149442081229496</v>
      </c>
      <c r="Y57" s="16" t="n">
        <f aca="false">IF(X57&lt;=($F$19-$E$19)/($G$19-$E$19),$E$19+SQRT(X57*($G$19-$E$19)*($F$19-$E$19)),$G$19-SQRT((1-X57)*($G$19-$E$19)*($G$19-$F$19)))</f>
        <v>21.0087150602304</v>
      </c>
      <c r="Z57" s="12" t="n">
        <f aca="false">G57*(1+Q57/100)</f>
        <v>44437.9044277174</v>
      </c>
      <c r="AA57" s="12" t="n">
        <f aca="false">I57*(1+Q57/100)*(1+S57/100)</f>
        <v>47921.7951731395</v>
      </c>
      <c r="AB57" s="12" t="n">
        <f aca="false">K57*(1+Q57/100)*(1+S57/100)*(1+U57/100)</f>
        <v>56478.6163974903</v>
      </c>
      <c r="AC57" s="12" t="n">
        <f aca="false">M57*(1+Q57/100)*(1+S57/100)*(1+U57/100)*(1+W57/100)</f>
        <v>65642.111387626</v>
      </c>
      <c r="AD57" s="12" t="n">
        <f aca="false">O57*(1+Q57/100)*(1+S57/100)*(1+U57/100)*(1+W57/100)*(1+Y57/100)</f>
        <v>78810.164243658</v>
      </c>
      <c r="AE57" s="12" t="n">
        <f aca="false">ABS(C57)/$B$7</f>
        <v>17260.6279444775</v>
      </c>
      <c r="AF57" s="12" t="n">
        <f aca="false">Z57-AE57</f>
        <v>27177.2764832399</v>
      </c>
      <c r="AG57" s="12" t="n">
        <f aca="false">AA57-AE57</f>
        <v>30661.1672286621</v>
      </c>
      <c r="AH57" s="12" t="n">
        <f aca="false">AB57-AE57</f>
        <v>39217.9884530129</v>
      </c>
      <c r="AI57" s="12" t="n">
        <f aca="false">AC57-AE57</f>
        <v>48381.4834431485</v>
      </c>
      <c r="AJ57" s="12" t="n">
        <f aca="false">AD57-AE57</f>
        <v>61549.5362991805</v>
      </c>
      <c r="AK57" s="12" t="n">
        <f aca="false">AF57*$B$4</f>
        <v>13588.63824162</v>
      </c>
      <c r="AL57" s="12" t="n">
        <f aca="false">AG57*$B$4</f>
        <v>15330.583614331</v>
      </c>
      <c r="AM57" s="12" t="n">
        <f aca="false">AH57*$B$4</f>
        <v>19608.9942265064</v>
      </c>
      <c r="AN57" s="12" t="n">
        <f aca="false">AI57*$B$4</f>
        <v>24190.7417215743</v>
      </c>
      <c r="AO57" s="12" t="n">
        <f aca="false">AJ57*$B$4</f>
        <v>30774.7681495902</v>
      </c>
      <c r="AP57" s="12" t="n">
        <f aca="false">AF57-AK57</f>
        <v>13588.63824162</v>
      </c>
      <c r="AQ57" s="12" t="n">
        <f aca="false">AG57-AL57</f>
        <v>15330.583614331</v>
      </c>
      <c r="AR57" s="12" t="n">
        <f aca="false">AH57-AM57</f>
        <v>19608.9942265064</v>
      </c>
      <c r="AS57" s="12" t="n">
        <f aca="false">AI57-AN57</f>
        <v>24190.7417215743</v>
      </c>
      <c r="AT57" s="12" t="n">
        <f aca="false">AJ57-AO57</f>
        <v>30774.7681495902</v>
      </c>
      <c r="AU57" s="12" t="n">
        <f aca="false">0.2*ABS(C57)+1*ABS(E57)</f>
        <v>47850.362738391</v>
      </c>
      <c r="AV57" s="12" t="n">
        <f aca="false">C57+E57</f>
        <v>-116892.874516301</v>
      </c>
      <c r="AW57" s="12" t="n">
        <f aca="false">AP57+AE57</f>
        <v>30849.2661860974</v>
      </c>
      <c r="AX57" s="12" t="n">
        <f aca="false">AQ57+AE57</f>
        <v>32591.2115588085</v>
      </c>
      <c r="AY57" s="12" t="n">
        <f aca="false">AR57+AE57</f>
        <v>36869.6221709839</v>
      </c>
      <c r="AZ57" s="12" t="n">
        <f aca="false">AS57+AE57</f>
        <v>41451.3696660517</v>
      </c>
      <c r="BA57" s="12" t="n">
        <f aca="false">AT57+AE57+AU57</f>
        <v>95885.7588324587</v>
      </c>
      <c r="BB57" s="4" t="n">
        <f aca="false">IFERROR(IRR(AV57:BA57,0.15),"n/a")</f>
        <v>0.235750532286941</v>
      </c>
      <c r="BC57" s="12" t="n">
        <f aca="false">NPV($B$5,AW57:BA57)+AV57</f>
        <v>30190.7113107169</v>
      </c>
    </row>
    <row r="58" customFormat="false" ht="15" hidden="false" customHeight="false" outlineLevel="0" collapsed="false">
      <c r="A58" s="3" t="n">
        <v>34</v>
      </c>
      <c r="B58" s="15" t="n">
        <f aca="true">RAND()</f>
        <v>0.385810499641595</v>
      </c>
      <c r="C58" s="12" t="n">
        <f aca="false">IF(B58&lt;=($F$12-$E$12)/($G$12-$E$12),$E$12+SQRT(B58*($G$12-$E$12)*($F$12-$E$12)),$G$12-SQRT((1-B58)*($G$12-$E$12)*($G$12-$F$12)))</f>
        <v>-78483.2019210591</v>
      </c>
      <c r="D58" s="15" t="n">
        <f aca="true">RAND()</f>
        <v>0.191974871522377</v>
      </c>
      <c r="E58" s="12" t="n">
        <f aca="false">IF(D58&lt;=($F$13-$E$13)/($G$13-$E$13),$E$13+SQRT(D58*($G$13-$E$13)*($F$13-$E$13)),$G$13-SQRT((1-D58)*($G$13-$E$13)*($G$13-$F$13)))</f>
        <v>-34633.7880466425</v>
      </c>
      <c r="F58" s="15" t="n">
        <f aca="true">RAND()</f>
        <v>0.700138105863723</v>
      </c>
      <c r="G58" s="12" t="n">
        <f aca="false">IF(F58&lt;=($F$14-$E$14)/($G$14-$E$14),$E$14+SQRT(F58*($G$14-$E$14)*($F$14-$E$14)),$G$14-SQRT((1-F58)*($G$14-$E$14)*($G$14-$F$14)))</f>
        <v>40257.6754581513</v>
      </c>
      <c r="H58" s="15" t="n">
        <f aca="true">RAND()</f>
        <v>0.056587563315041</v>
      </c>
      <c r="I58" s="12" t="n">
        <f aca="false">IF(H58&lt;=($F$14-$E$14)/($G$14-$E$14),$E$14+SQRT(H58*($G$14-$E$14)*($F$14-$E$14)),$G$14-SQRT((1-H58)*($G$14-$E$14)*($G$14-$F$14)))</f>
        <v>32913.4403198377</v>
      </c>
      <c r="J58" s="15" t="n">
        <f aca="true">RAND()</f>
        <v>0.880219811733649</v>
      </c>
      <c r="K58" s="12" t="n">
        <f aca="false">IF(J58&lt;=($F$14-$E$14)/($G$14-$E$14),$E$14+SQRT(J58*($G$14-$E$14)*($F$14-$E$14)),$G$14-SQRT((1-J58)*($G$14-$E$14)*($G$14-$F$14)))</f>
        <v>42002.7489060847</v>
      </c>
      <c r="L58" s="15" t="n">
        <f aca="true">RAND()</f>
        <v>0.0524229499045777</v>
      </c>
      <c r="M58" s="12" t="n">
        <f aca="false">IF(L58&lt;=($F$14-$E$14)/($G$14-$E$14),$E$14+SQRT(L58*($G$14-$E$14)*($F$14-$E$14)),$G$14-SQRT((1-L58)*($G$14-$E$14)*($G$14-$F$14)))</f>
        <v>32804.1830335566</v>
      </c>
      <c r="N58" s="15" t="n">
        <f aca="true">RAND()</f>
        <v>0.731098621623887</v>
      </c>
      <c r="O58" s="12" t="n">
        <f aca="false">IF(N58&lt;=($F$14-$E$14)/($G$14-$E$14),$E$14+SQRT(N58*($G$14-$E$14)*($F$14-$E$14)),$G$14-SQRT((1-N58)*($G$14-$E$14)*($G$14-$F$14)))</f>
        <v>40509.1645122307</v>
      </c>
      <c r="P58" s="15" t="n">
        <f aca="true">RAND()</f>
        <v>0.234659388163161</v>
      </c>
      <c r="Q58" s="16" t="n">
        <f aca="false">IF(P58&lt;=($F$15-$E$15)/($G$15-$E$15),$E$15+SQRT(P58*($G$15-$E$15)*($F$15-$E$15)),$G$15-SQRT((1-P58)*($G$15-$E$15)*($G$15-$F$15)))</f>
        <v>14.0552053393607</v>
      </c>
      <c r="R58" s="15" t="n">
        <f aca="true">RAND()</f>
        <v>0.185209246392603</v>
      </c>
      <c r="S58" s="16" t="n">
        <f aca="false">IF(R58&lt;=($F$16-$E$16)/($G$16-$E$16),$E$16+SQRT(R58*($G$16-$E$16)*($F$16-$E$16)),$G$16-SQRT((1-R58)*($G$16-$E$16)*($G$16-$F$16)))</f>
        <v>13.8258604642926</v>
      </c>
      <c r="T58" s="15" t="n">
        <f aca="true">RAND()</f>
        <v>0.537923967270455</v>
      </c>
      <c r="U58" s="16" t="n">
        <f aca="false">IF(T58&lt;=($F$17-$E$17)/($G$17-$E$17),$E$17+SQRT(T58*($G$17-$E$17)*($F$17-$E$17)),$G$17-SQRT((1-T58)*($G$17-$E$17)*($G$17-$F$17)))</f>
        <v>18.403038933151</v>
      </c>
      <c r="V58" s="15" t="n">
        <f aca="true">RAND()</f>
        <v>0.998571439064352</v>
      </c>
      <c r="W58" s="16" t="n">
        <f aca="false">IF(V58&lt;=($F$18-$E$18)/($G$18-$E$18),$E$18+SQRT(V58*($G$18-$E$18)*($F$18-$E$18)),$G$18-SQRT((1-V58)*($G$18-$E$18)*($G$18-$F$18)))</f>
        <v>24.7763940234527</v>
      </c>
      <c r="X58" s="15" t="n">
        <f aca="true">RAND()</f>
        <v>0.659822052293844</v>
      </c>
      <c r="Y58" s="16" t="n">
        <f aca="false">IF(X58&lt;=($F$19-$E$19)/($G$19-$E$19),$E$19+SQRT(X58*($G$19-$E$19)*($F$19-$E$19)),$G$19-SQRT((1-X58)*($G$19-$E$19)*($G$19-$F$19)))</f>
        <v>23.7140217947203</v>
      </c>
      <c r="Z58" s="12" t="n">
        <f aca="false">G58*(1+Q58/100)</f>
        <v>45915.9744086479</v>
      </c>
      <c r="AA58" s="12" t="n">
        <f aca="false">I58*(1+Q58/100)*(1+S58/100)</f>
        <v>42729.6497158113</v>
      </c>
      <c r="AB58" s="12" t="n">
        <f aca="false">K58*(1+Q58/100)*(1+S58/100)*(1+U58/100)</f>
        <v>64564.9198155498</v>
      </c>
      <c r="AC58" s="12" t="n">
        <f aca="false">M58*(1+Q58/100)*(1+S58/100)*(1+U58/100)*(1+W58/100)</f>
        <v>62918.8185166681</v>
      </c>
      <c r="AD58" s="12" t="n">
        <f aca="false">O58*(1+Q58/100)*(1+S58/100)*(1+U58/100)*(1+W58/100)*(1+Y58/100)</f>
        <v>96122.1650132121</v>
      </c>
      <c r="AE58" s="12" t="n">
        <f aca="false">ABS(C58)/$B$7</f>
        <v>15696.6403842118</v>
      </c>
      <c r="AF58" s="12" t="n">
        <f aca="false">Z58-AE58</f>
        <v>30219.334024436</v>
      </c>
      <c r="AG58" s="12" t="n">
        <f aca="false">AA58-AE58</f>
        <v>27033.0093315995</v>
      </c>
      <c r="AH58" s="12" t="n">
        <f aca="false">AB58-AE58</f>
        <v>48868.279431338</v>
      </c>
      <c r="AI58" s="12" t="n">
        <f aca="false">AC58-AE58</f>
        <v>47222.1781324563</v>
      </c>
      <c r="AJ58" s="12" t="n">
        <f aca="false">AD58-AE58</f>
        <v>80425.5246290003</v>
      </c>
      <c r="AK58" s="12" t="n">
        <f aca="false">AF58*$B$4</f>
        <v>15109.667012218</v>
      </c>
      <c r="AL58" s="12" t="n">
        <f aca="false">AG58*$B$4</f>
        <v>13516.5046657997</v>
      </c>
      <c r="AM58" s="12" t="n">
        <f aca="false">AH58*$B$4</f>
        <v>24434.139715669</v>
      </c>
      <c r="AN58" s="12" t="n">
        <f aca="false">AI58*$B$4</f>
        <v>23611.0890662282</v>
      </c>
      <c r="AO58" s="12" t="n">
        <f aca="false">AJ58*$B$4</f>
        <v>40212.7623145002</v>
      </c>
      <c r="AP58" s="12" t="n">
        <f aca="false">AF58-AK58</f>
        <v>15109.667012218</v>
      </c>
      <c r="AQ58" s="12" t="n">
        <f aca="false">AG58-AL58</f>
        <v>13516.5046657997</v>
      </c>
      <c r="AR58" s="12" t="n">
        <f aca="false">AH58-AM58</f>
        <v>24434.139715669</v>
      </c>
      <c r="AS58" s="12" t="n">
        <f aca="false">AI58-AN58</f>
        <v>23611.0890662282</v>
      </c>
      <c r="AT58" s="12" t="n">
        <f aca="false">AJ58-AO58</f>
        <v>40212.7623145002</v>
      </c>
      <c r="AU58" s="12" t="n">
        <f aca="false">0.2*ABS(C58)+1*ABS(E58)</f>
        <v>50330.4284308544</v>
      </c>
      <c r="AV58" s="12" t="n">
        <f aca="false">C58+E58</f>
        <v>-113116.989967702</v>
      </c>
      <c r="AW58" s="12" t="n">
        <f aca="false">AP58+AE58</f>
        <v>30806.3073964298</v>
      </c>
      <c r="AX58" s="12" t="n">
        <f aca="false">AQ58+AE58</f>
        <v>29213.1450500115</v>
      </c>
      <c r="AY58" s="12" t="n">
        <f aca="false">AR58+AE58</f>
        <v>40130.7800998808</v>
      </c>
      <c r="AZ58" s="12" t="n">
        <f aca="false">AS58+AE58</f>
        <v>39307.72945044</v>
      </c>
      <c r="BA58" s="12" t="n">
        <f aca="false">AT58+AE58+AU58</f>
        <v>106239.831129566</v>
      </c>
      <c r="BB58" s="4" t="n">
        <f aca="false">IFERROR(IRR(AV58:BA58,0.15),"n/a")</f>
        <v>0.255881620081987</v>
      </c>
      <c r="BC58" s="12" t="n">
        <f aca="false">NPV($B$5,AW58:BA58)+AV58</f>
        <v>37441.3716775385</v>
      </c>
    </row>
    <row r="59" customFormat="false" ht="15" hidden="false" customHeight="false" outlineLevel="0" collapsed="false">
      <c r="A59" s="3" t="n">
        <v>35</v>
      </c>
      <c r="B59" s="15" t="n">
        <f aca="true">RAND()</f>
        <v>0.391909785872176</v>
      </c>
      <c r="C59" s="12" t="n">
        <f aca="false">IF(B59&lt;=($F$12-$E$12)/($G$12-$E$12),$E$12+SQRT(B59*($G$12-$E$12)*($F$12-$E$12)),$G$12-SQRT((1-B59)*($G$12-$E$12)*($G$12-$F$12)))</f>
        <v>-78313.7891035199</v>
      </c>
      <c r="D59" s="15" t="n">
        <f aca="true">RAND()</f>
        <v>0.918260539517364</v>
      </c>
      <c r="E59" s="12" t="n">
        <f aca="false">IF(D59&lt;=($F$13-$E$13)/($G$13-$E$13),$E$13+SQRT(D59*($G$13-$E$13)*($F$13-$E$13)),$G$13-SQRT((1-D59)*($G$13-$E$13)*($G$13-$F$13)))</f>
        <v>-27475.9764813499</v>
      </c>
      <c r="F59" s="15" t="n">
        <f aca="true">RAND()</f>
        <v>0.145261181785033</v>
      </c>
      <c r="G59" s="12" t="n">
        <f aca="false">IF(F59&lt;=($F$14-$E$14)/($G$14-$E$14),$E$14+SQRT(F59*($G$14-$E$14)*($F$14-$E$14)),$G$14-SQRT((1-F59)*($G$14-$E$14)*($G$14-$F$14)))</f>
        <v>34667.8878808038</v>
      </c>
      <c r="H59" s="15" t="n">
        <f aca="true">RAND()</f>
        <v>0.907310892413636</v>
      </c>
      <c r="I59" s="12" t="n">
        <f aca="false">IF(H59&lt;=($F$14-$E$14)/($G$14-$E$14),$E$14+SQRT(H59*($G$14-$E$14)*($F$14-$E$14)),$G$14-SQRT((1-H59)*($G$14-$E$14)*($G$14-$F$14)))</f>
        <v>42363.3955418043</v>
      </c>
      <c r="J59" s="15" t="n">
        <f aca="true">RAND()</f>
        <v>0.933021754935723</v>
      </c>
      <c r="K59" s="12" t="n">
        <f aca="false">IF(J59&lt;=($F$14-$E$14)/($G$14-$E$14),$E$14+SQRT(J59*($G$14-$E$14)*($F$14-$E$14)),$G$14-SQRT((1-J59)*($G$14-$E$14)*($G$14-$F$14)))</f>
        <v>42758.7127850673</v>
      </c>
      <c r="L59" s="15" t="n">
        <f aca="true">RAND()</f>
        <v>0.626214354996846</v>
      </c>
      <c r="M59" s="12" t="n">
        <f aca="false">IF(L59&lt;=($F$14-$E$14)/($G$14-$E$14),$E$14+SQRT(L59*($G$14-$E$14)*($F$14-$E$14)),$G$14-SQRT((1-L59)*($G$14-$E$14)*($G$14-$F$14)))</f>
        <v>39691.8601542494</v>
      </c>
      <c r="N59" s="15" t="n">
        <f aca="true">RAND()</f>
        <v>0.248893641921038</v>
      </c>
      <c r="O59" s="12" t="n">
        <f aca="false">IF(N59&lt;=($F$14-$E$14)/($G$14-$E$14),$E$14+SQRT(N59*($G$14-$E$14)*($F$14-$E$14)),$G$14-SQRT((1-N59)*($G$14-$E$14)*($G$14-$F$14)))</f>
        <v>36110.1592686407</v>
      </c>
      <c r="P59" s="15" t="n">
        <f aca="true">RAND()</f>
        <v>0.525580940306668</v>
      </c>
      <c r="Q59" s="16" t="n">
        <f aca="false">IF(P59&lt;=($F$15-$E$15)/($G$15-$E$15),$E$15+SQRT(P59*($G$15-$E$15)*($F$15-$E$15)),$G$15-SQRT((1-P59)*($G$15-$E$15)*($G$15-$F$15)))</f>
        <v>15.0777503401523</v>
      </c>
      <c r="R59" s="15" t="n">
        <f aca="true">RAND()</f>
        <v>0.922346833647413</v>
      </c>
      <c r="S59" s="16" t="n">
        <f aca="false">IF(R59&lt;=($F$16-$E$16)/($G$16-$E$16),$E$16+SQRT(R59*($G$16-$E$16)*($F$16-$E$16)),$G$16-SQRT((1-R59)*($G$16-$E$16)*($G$16-$F$16)))</f>
        <v>16.8177322662161</v>
      </c>
      <c r="T59" s="15" t="n">
        <f aca="true">RAND()</f>
        <v>0.737451477020066</v>
      </c>
      <c r="U59" s="16" t="n">
        <f aca="false">IF(T59&lt;=($F$17-$E$17)/($G$17-$E$17),$E$17+SQRT(T59*($G$17-$E$17)*($F$17-$E$17)),$G$17-SQRT((1-T59)*($G$17-$E$17)*($G$17-$F$17)))</f>
        <v>19.2886610976423</v>
      </c>
      <c r="V59" s="15" t="n">
        <f aca="true">RAND()</f>
        <v>0.510257972994823</v>
      </c>
      <c r="W59" s="16" t="n">
        <f aca="false">IF(V59&lt;=($F$18-$E$18)/($G$18-$E$18),$E$18+SQRT(V59*($G$18-$E$18)*($F$18-$E$18)),$G$18-SQRT((1-V59)*($G$18-$E$18)*($G$18-$F$18)))</f>
        <v>20.8598344302213</v>
      </c>
      <c r="X59" s="15" t="n">
        <f aca="true">RAND()</f>
        <v>0.425199400183309</v>
      </c>
      <c r="Y59" s="16" t="n">
        <f aca="false">IF(X59&lt;=($F$19-$E$19)/($G$19-$E$19),$E$19+SQRT(X59*($G$19-$E$19)*($F$19-$E$19)),$G$19-SQRT((1-X59)*($G$19-$E$19)*($G$19-$F$19)))</f>
        <v>22.4287135785259</v>
      </c>
      <c r="Z59" s="12" t="n">
        <f aca="false">G59*(1+Q59/100)</f>
        <v>39895.0254636753</v>
      </c>
      <c r="AA59" s="12" t="n">
        <f aca="false">I59*(1+Q59/100)*(1+S59/100)</f>
        <v>56949.6287360047</v>
      </c>
      <c r="AB59" s="12" t="n">
        <f aca="false">K59*(1+Q59/100)*(1+S59/100)*(1+U59/100)</f>
        <v>68568.3850959263</v>
      </c>
      <c r="AC59" s="12" t="n">
        <f aca="false">M59*(1+Q59/100)*(1+S59/100)*(1+U59/100)*(1+W59/100)</f>
        <v>76927.6996508629</v>
      </c>
      <c r="AD59" s="12" t="n">
        <f aca="false">O59*(1+Q59/100)*(1+S59/100)*(1+U59/100)*(1+W59/100)*(1+Y59/100)</f>
        <v>85682.8657726546</v>
      </c>
      <c r="AE59" s="12" t="n">
        <f aca="false">ABS(C59)/$B$7</f>
        <v>15662.757820704</v>
      </c>
      <c r="AF59" s="12" t="n">
        <f aca="false">Z59-AE59</f>
        <v>24232.2676429713</v>
      </c>
      <c r="AG59" s="12" t="n">
        <f aca="false">AA59-AE59</f>
        <v>41286.8709153007</v>
      </c>
      <c r="AH59" s="12" t="n">
        <f aca="false">AB59-AE59</f>
        <v>52905.6272752223</v>
      </c>
      <c r="AI59" s="12" t="n">
        <f aca="false">AC59-AE59</f>
        <v>61264.9418301589</v>
      </c>
      <c r="AJ59" s="12" t="n">
        <f aca="false">AD59-AE59</f>
        <v>70020.1079519506</v>
      </c>
      <c r="AK59" s="12" t="n">
        <f aca="false">AF59*$B$4</f>
        <v>12116.1338214857</v>
      </c>
      <c r="AL59" s="12" t="n">
        <f aca="false">AG59*$B$4</f>
        <v>20643.4354576504</v>
      </c>
      <c r="AM59" s="12" t="n">
        <f aca="false">AH59*$B$4</f>
        <v>26452.8136376111</v>
      </c>
      <c r="AN59" s="12" t="n">
        <f aca="false">AI59*$B$4</f>
        <v>30632.4709150795</v>
      </c>
      <c r="AO59" s="12" t="n">
        <f aca="false">AJ59*$B$4</f>
        <v>35010.0539759753</v>
      </c>
      <c r="AP59" s="12" t="n">
        <f aca="false">AF59-AK59</f>
        <v>12116.1338214857</v>
      </c>
      <c r="AQ59" s="12" t="n">
        <f aca="false">AG59-AL59</f>
        <v>20643.4354576504</v>
      </c>
      <c r="AR59" s="12" t="n">
        <f aca="false">AH59-AM59</f>
        <v>26452.8136376111</v>
      </c>
      <c r="AS59" s="12" t="n">
        <f aca="false">AI59-AN59</f>
        <v>30632.4709150795</v>
      </c>
      <c r="AT59" s="12" t="n">
        <f aca="false">AJ59-AO59</f>
        <v>35010.0539759753</v>
      </c>
      <c r="AU59" s="12" t="n">
        <f aca="false">0.2*ABS(C59)+1*ABS(E59)</f>
        <v>43138.7343020539</v>
      </c>
      <c r="AV59" s="12" t="n">
        <f aca="false">C59+E59</f>
        <v>-105789.76558487</v>
      </c>
      <c r="AW59" s="12" t="n">
        <f aca="false">AP59+AE59</f>
        <v>27778.8916421897</v>
      </c>
      <c r="AX59" s="12" t="n">
        <f aca="false">AQ59+AE59</f>
        <v>36306.1932783543</v>
      </c>
      <c r="AY59" s="12" t="n">
        <f aca="false">AR59+AE59</f>
        <v>42115.5714583151</v>
      </c>
      <c r="AZ59" s="12" t="n">
        <f aca="false">AS59+AE59</f>
        <v>46295.2287357835</v>
      </c>
      <c r="BA59" s="12" t="n">
        <f aca="false">AT59+AE59+AU59</f>
        <v>93811.5460987332</v>
      </c>
      <c r="BB59" s="4" t="n">
        <f aca="false">IFERROR(IRR(AV59:BA59,0.15),"n/a")</f>
        <v>0.29063711938646</v>
      </c>
      <c r="BC59" s="12" t="n">
        <f aca="false">NPV($B$5,AW59:BA59)+AV59</f>
        <v>46620.5278757419</v>
      </c>
    </row>
    <row r="60" customFormat="false" ht="15" hidden="false" customHeight="false" outlineLevel="0" collapsed="false">
      <c r="A60" s="3" t="n">
        <v>36</v>
      </c>
      <c r="B60" s="15" t="n">
        <f aca="true">RAND()</f>
        <v>0.245790009961953</v>
      </c>
      <c r="C60" s="12" t="n">
        <f aca="false">IF(B60&lt;=($F$12-$E$12)/($G$12-$E$12),$E$12+SQRT(B60*($G$12-$E$12)*($F$12-$E$12)),$G$12-SQRT((1-B60)*($G$12-$E$12)*($G$12-$F$12)))</f>
        <v>-82825.9494598874</v>
      </c>
      <c r="D60" s="15" t="n">
        <f aca="true">RAND()</f>
        <v>0.291789467084721</v>
      </c>
      <c r="E60" s="12" t="n">
        <f aca="false">IF(D60&lt;=($F$13-$E$13)/($G$13-$E$13),$E$13+SQRT(D60*($G$13-$E$13)*($F$13-$E$13)),$G$13-SQRT((1-D60)*($G$13-$E$13)*($G$13-$F$13)))</f>
        <v>-33384.2294430121</v>
      </c>
      <c r="F60" s="15" t="n">
        <f aca="true">RAND()</f>
        <v>0.601800505325751</v>
      </c>
      <c r="G60" s="12" t="n">
        <f aca="false">IF(F60&lt;=($F$14-$E$14)/($G$14-$E$14),$E$14+SQRT(F60*($G$14-$E$14)*($F$14-$E$14)),$G$14-SQRT((1-F60)*($G$14-$E$14)*($G$14-$F$14)))</f>
        <v>39501.0565622389</v>
      </c>
      <c r="H60" s="15" t="n">
        <f aca="true">RAND()</f>
        <v>0.177938151576893</v>
      </c>
      <c r="I60" s="12" t="n">
        <f aca="false">IF(H60&lt;=($F$14-$E$14)/($G$14-$E$14),$E$14+SQRT(H60*($G$14-$E$14)*($F$14-$E$14)),$G$14-SQRT((1-H60)*($G$14-$E$14)*($G$14-$F$14)))</f>
        <v>35166.3064888307</v>
      </c>
      <c r="J60" s="15" t="n">
        <f aca="true">RAND()</f>
        <v>0.973291787262437</v>
      </c>
      <c r="K60" s="12" t="n">
        <f aca="false">IF(J60&lt;=($F$14-$E$14)/($G$14-$E$14),$E$14+SQRT(J60*($G$14-$E$14)*($F$14-$E$14)),$G$14-SQRT((1-J60)*($G$14-$E$14)*($G$14-$F$14)))</f>
        <v>43584.6852098147</v>
      </c>
      <c r="L60" s="15" t="n">
        <f aca="true">RAND()</f>
        <v>0.191617122268559</v>
      </c>
      <c r="M60" s="12" t="n">
        <f aca="false">IF(L60&lt;=($F$14-$E$14)/($G$14-$E$14),$E$14+SQRT(L60*($G$14-$E$14)*($F$14-$E$14)),$G$14-SQRT((1-L60)*($G$14-$E$14)*($G$14-$F$14)))</f>
        <v>35361.20959675</v>
      </c>
      <c r="N60" s="15" t="n">
        <f aca="true">RAND()</f>
        <v>0.405268343614008</v>
      </c>
      <c r="O60" s="12" t="n">
        <f aca="false">IF(N60&lt;=($F$14-$E$14)/($G$14-$E$14),$E$14+SQRT(N60*($G$14-$E$14)*($F$14-$E$14)),$G$14-SQRT((1-N60)*($G$14-$E$14)*($G$14-$F$14)))</f>
        <v>37796.8103441152</v>
      </c>
      <c r="P60" s="15" t="n">
        <f aca="true">RAND()</f>
        <v>0.815740627354583</v>
      </c>
      <c r="Q60" s="16" t="n">
        <f aca="false">IF(P60&lt;=($F$15-$E$15)/($G$15-$E$15),$E$15+SQRT(P60*($G$15-$E$15)*($F$15-$E$15)),$G$15-SQRT((1-P60)*($G$15-$E$15)*($G$15-$F$15)))</f>
        <v>16.178827655707</v>
      </c>
      <c r="R60" s="15" t="n">
        <f aca="true">RAND()</f>
        <v>0.721842182044895</v>
      </c>
      <c r="S60" s="16" t="n">
        <f aca="false">IF(R60&lt;=($F$16-$E$16)/($G$16-$E$16),$E$16+SQRT(R60*($G$16-$E$16)*($F$16-$E$16)),$G$16-SQRT((1-R60)*($G$16-$E$16)*($G$16-$F$16)))</f>
        <v>15.7624029131249</v>
      </c>
      <c r="T60" s="15" t="n">
        <f aca="true">RAND()</f>
        <v>0.744700115466813</v>
      </c>
      <c r="U60" s="16" t="n">
        <f aca="false">IF(T60&lt;=($F$17-$E$17)/($G$17-$E$17),$E$17+SQRT(T60*($G$17-$E$17)*($F$17-$E$17)),$G$17-SQRT((1-T60)*($G$17-$E$17)*($G$17-$F$17)))</f>
        <v>19.3263514129697</v>
      </c>
      <c r="V60" s="15" t="n">
        <f aca="true">RAND()</f>
        <v>0.836338541837092</v>
      </c>
      <c r="W60" s="16" t="n">
        <f aca="false">IF(V60&lt;=($F$18-$E$18)/($G$18-$E$18),$E$18+SQRT(V60*($G$18-$E$18)*($F$18-$E$18)),$G$18-SQRT((1-V60)*($G$18-$E$18)*($G$18-$F$18)))</f>
        <v>22.6066443984017</v>
      </c>
      <c r="X60" s="15" t="n">
        <f aca="true">RAND()</f>
        <v>0.338845814872483</v>
      </c>
      <c r="Y60" s="16" t="n">
        <f aca="false">IF(X60&lt;=($F$19-$E$19)/($G$19-$E$19),$E$19+SQRT(X60*($G$19-$E$19)*($F$19-$E$19)),$G$19-SQRT((1-X60)*($G$19-$E$19)*($G$19-$F$19)))</f>
        <v>22.0248576588598</v>
      </c>
      <c r="Z60" s="12" t="n">
        <f aca="false">G60*(1+Q60/100)</f>
        <v>45891.8644256269</v>
      </c>
      <c r="AA60" s="12" t="n">
        <f aca="false">I60*(1+Q60/100)*(1+S60/100)</f>
        <v>47295.6588290848</v>
      </c>
      <c r="AB60" s="12" t="n">
        <f aca="false">K60*(1+Q60/100)*(1+S60/100)*(1+U60/100)</f>
        <v>69946.3083326472</v>
      </c>
      <c r="AC60" s="12" t="n">
        <f aca="false">M60*(1+Q60/100)*(1+S60/100)*(1+U60/100)*(1+W60/100)</f>
        <v>69578.0099866674</v>
      </c>
      <c r="AD60" s="12" t="n">
        <f aca="false">O60*(1+Q60/100)*(1+S60/100)*(1+U60/100)*(1+W60/100)*(1+Y60/100)</f>
        <v>90750.3590526915</v>
      </c>
      <c r="AE60" s="12" t="n">
        <f aca="false">ABS(C60)/$B$7</f>
        <v>16565.1898919775</v>
      </c>
      <c r="AF60" s="12" t="n">
        <f aca="false">Z60-AE60</f>
        <v>29326.6745336494</v>
      </c>
      <c r="AG60" s="12" t="n">
        <f aca="false">AA60-AE60</f>
        <v>30730.4689371073</v>
      </c>
      <c r="AH60" s="12" t="n">
        <f aca="false">AB60-AE60</f>
        <v>53381.1184406697</v>
      </c>
      <c r="AI60" s="12" t="n">
        <f aca="false">AC60-AE60</f>
        <v>53012.8200946899</v>
      </c>
      <c r="AJ60" s="12" t="n">
        <f aca="false">AD60-AE60</f>
        <v>74185.169160714</v>
      </c>
      <c r="AK60" s="12" t="n">
        <f aca="false">AF60*$B$4</f>
        <v>14663.3372668247</v>
      </c>
      <c r="AL60" s="12" t="n">
        <f aca="false">AG60*$B$4</f>
        <v>15365.2344685537</v>
      </c>
      <c r="AM60" s="12" t="n">
        <f aca="false">AH60*$B$4</f>
        <v>26690.5592203349</v>
      </c>
      <c r="AN60" s="12" t="n">
        <f aca="false">AI60*$B$4</f>
        <v>26506.410047345</v>
      </c>
      <c r="AO60" s="12" t="n">
        <f aca="false">AJ60*$B$4</f>
        <v>37092.584580357</v>
      </c>
      <c r="AP60" s="12" t="n">
        <f aca="false">AF60-AK60</f>
        <v>14663.3372668247</v>
      </c>
      <c r="AQ60" s="12" t="n">
        <f aca="false">AG60-AL60</f>
        <v>15365.2344685537</v>
      </c>
      <c r="AR60" s="12" t="n">
        <f aca="false">AH60-AM60</f>
        <v>26690.5592203349</v>
      </c>
      <c r="AS60" s="12" t="n">
        <f aca="false">AI60-AN60</f>
        <v>26506.410047345</v>
      </c>
      <c r="AT60" s="12" t="n">
        <f aca="false">AJ60-AO60</f>
        <v>37092.584580357</v>
      </c>
      <c r="AU60" s="12" t="n">
        <f aca="false">0.2*ABS(C60)+1*ABS(E60)</f>
        <v>49949.4193349896</v>
      </c>
      <c r="AV60" s="12" t="n">
        <f aca="false">C60+E60</f>
        <v>-116210.178902899</v>
      </c>
      <c r="AW60" s="12" t="n">
        <f aca="false">AP60+AE60</f>
        <v>31228.5271588022</v>
      </c>
      <c r="AX60" s="12" t="n">
        <f aca="false">AQ60+AE60</f>
        <v>31930.4243605311</v>
      </c>
      <c r="AY60" s="12" t="n">
        <f aca="false">AR60+AE60</f>
        <v>43255.7491123123</v>
      </c>
      <c r="AZ60" s="12" t="n">
        <f aca="false">AS60+AE60</f>
        <v>43071.5999393224</v>
      </c>
      <c r="BA60" s="12" t="n">
        <f aca="false">AT60+AE60+AU60</f>
        <v>103607.193807324</v>
      </c>
      <c r="BB60" s="4" t="n">
        <f aca="false">IFERROR(IRR(AV60:BA60,0.15),"n/a")</f>
        <v>0.260081090392732</v>
      </c>
      <c r="BC60" s="12" t="n">
        <f aca="false">NPV($B$5,AW60:BA60)+AV60</f>
        <v>39667.8208951551</v>
      </c>
    </row>
    <row r="61" customFormat="false" ht="15" hidden="false" customHeight="false" outlineLevel="0" collapsed="false">
      <c r="A61" s="3" t="n">
        <v>37</v>
      </c>
      <c r="B61" s="15" t="n">
        <f aca="true">RAND()</f>
        <v>0.950926943961126</v>
      </c>
      <c r="C61" s="12" t="n">
        <f aca="false">IF(B61&lt;=($F$12-$E$12)/($G$12-$E$12),$E$12+SQRT(B61*($G$12-$E$12)*($F$12-$E$12)),$G$12-SQRT((1-B61)*($G$12-$E$12)*($G$12-$F$12)))</f>
        <v>-64430.4878304256</v>
      </c>
      <c r="D61" s="15" t="n">
        <f aca="true">RAND()</f>
        <v>0.309469588316529</v>
      </c>
      <c r="E61" s="12" t="n">
        <f aca="false">IF(D61&lt;=($F$13-$E$13)/($G$13-$E$13),$E$13+SQRT(D61*($G$13-$E$13)*($F$13-$E$13)),$G$13-SQRT((1-D61)*($G$13-$E$13)*($G$13-$F$13)))</f>
        <v>-33186.7453997756</v>
      </c>
      <c r="F61" s="15" t="n">
        <f aca="true">RAND()</f>
        <v>0.213052153326621</v>
      </c>
      <c r="G61" s="12" t="n">
        <f aca="false">IF(F61&lt;=($F$14-$E$14)/($G$14-$E$14),$E$14+SQRT(F61*($G$14-$E$14)*($F$14-$E$14)),$G$14-SQRT((1-F61)*($G$14-$E$14)*($G$14-$F$14)))</f>
        <v>35653.125064864</v>
      </c>
      <c r="H61" s="15" t="n">
        <f aca="true">RAND()</f>
        <v>0.0973240516386073</v>
      </c>
      <c r="I61" s="12" t="n">
        <f aca="false">IF(H61&lt;=($F$14-$E$14)/($G$14-$E$14),$E$14+SQRT(H61*($G$14-$E$14)*($F$14-$E$14)),$G$14-SQRT((1-H61)*($G$14-$E$14)*($G$14-$F$14)))</f>
        <v>33820.8124457753</v>
      </c>
      <c r="J61" s="15" t="n">
        <f aca="true">RAND()</f>
        <v>0.772108344824515</v>
      </c>
      <c r="K61" s="12" t="n">
        <f aca="false">IF(J61&lt;=($F$14-$E$14)/($G$14-$E$14),$E$14+SQRT(J61*($G$14-$E$14)*($F$14-$E$14)),$G$14-SQRT((1-J61)*($G$14-$E$14)*($G$14-$F$14)))</f>
        <v>40865.7680110858</v>
      </c>
      <c r="L61" s="15" t="n">
        <f aca="true">RAND()</f>
        <v>0.683323118556605</v>
      </c>
      <c r="M61" s="12" t="n">
        <f aca="false">IF(L61&lt;=($F$14-$E$14)/($G$14-$E$14),$E$14+SQRT(L61*($G$14-$E$14)*($F$14-$E$14)),$G$14-SQRT((1-L61)*($G$14-$E$14)*($G$14-$F$14)))</f>
        <v>40126.5242271809</v>
      </c>
      <c r="N61" s="15" t="n">
        <f aca="true">RAND()</f>
        <v>0.362314191540592</v>
      </c>
      <c r="O61" s="12" t="n">
        <f aca="false">IF(N61&lt;=($F$14-$E$14)/($G$14-$E$14),$E$14+SQRT(N61*($G$14-$E$14)*($F$14-$E$14)),$G$14-SQRT((1-N61)*($G$14-$E$14)*($G$14-$F$14)))</f>
        <v>37372.050510617</v>
      </c>
      <c r="P61" s="15" t="n">
        <f aca="true">RAND()</f>
        <v>0.389134949960843</v>
      </c>
      <c r="Q61" s="16" t="n">
        <f aca="false">IF(P61&lt;=($F$15-$E$15)/($G$15-$E$15),$E$15+SQRT(P61*($G$15-$E$15)*($F$15-$E$15)),$G$15-SQRT((1-P61)*($G$15-$E$15)*($G$15-$F$15)))</f>
        <v>14.6465881997952</v>
      </c>
      <c r="R61" s="15" t="n">
        <f aca="true">RAND()</f>
        <v>0.912464837537798</v>
      </c>
      <c r="S61" s="16" t="n">
        <f aca="false">IF(R61&lt;=($F$16-$E$16)/($G$16-$E$16),$E$16+SQRT(R61*($G$16-$E$16)*($F$16-$E$16)),$G$16-SQRT((1-R61)*($G$16-$E$16)*($G$16-$F$16)))</f>
        <v>16.7447578224424</v>
      </c>
      <c r="T61" s="15" t="n">
        <f aca="true">RAND()</f>
        <v>0.622746678608619</v>
      </c>
      <c r="U61" s="16" t="n">
        <f aca="false">IF(T61&lt;=($F$17-$E$17)/($G$17-$E$17),$E$17+SQRT(T61*($G$17-$E$17)*($F$17-$E$17)),$G$17-SQRT((1-T61)*($G$17-$E$17)*($G$17-$F$17)))</f>
        <v>18.7499087706714</v>
      </c>
      <c r="V61" s="15" t="n">
        <f aca="true">RAND()</f>
        <v>0.907505086017707</v>
      </c>
      <c r="W61" s="16" t="n">
        <f aca="false">IF(V61&lt;=($F$18-$E$18)/($G$18-$E$18),$E$18+SQRT(V61*($G$18-$E$18)*($F$18-$E$18)),$G$18-SQRT((1-V61)*($G$18-$E$18)*($G$18-$F$18)))</f>
        <v>23.2007440456177</v>
      </c>
      <c r="X61" s="15" t="n">
        <f aca="true">RAND()</f>
        <v>0.613669572642662</v>
      </c>
      <c r="Y61" s="16" t="n">
        <f aca="false">IF(X61&lt;=($F$19-$E$19)/($G$19-$E$19),$E$19+SQRT(X61*($G$19-$E$19)*($F$19-$E$19)),$G$19-SQRT((1-X61)*($G$19-$E$19)*($G$19-$F$19)))</f>
        <v>23.4325233358783</v>
      </c>
      <c r="Z61" s="12" t="n">
        <f aca="false">G61*(1+Q61/100)</f>
        <v>40875.0914734726</v>
      </c>
      <c r="AA61" s="12" t="n">
        <f aca="false">I61*(1+Q61/100)*(1+S61/100)</f>
        <v>45267.0882153056</v>
      </c>
      <c r="AB61" s="12" t="n">
        <f aca="false">K61*(1+Q61/100)*(1+S61/100)*(1+U61/100)</f>
        <v>64951.8422266647</v>
      </c>
      <c r="AC61" s="12" t="n">
        <f aca="false">M61*(1+Q61/100)*(1+S61/100)*(1+U61/100)*(1+W61/100)</f>
        <v>78573.605405887</v>
      </c>
      <c r="AD61" s="12" t="n">
        <f aca="false">O61*(1+Q61/100)*(1+S61/100)*(1+U61/100)*(1+W61/100)*(1+Y61/100)</f>
        <v>90327.8500452248</v>
      </c>
      <c r="AE61" s="12" t="n">
        <f aca="false">ABS(C61)/$B$7</f>
        <v>12886.0975660851</v>
      </c>
      <c r="AF61" s="12" t="n">
        <f aca="false">Z61-AE61</f>
        <v>27988.9939073874</v>
      </c>
      <c r="AG61" s="12" t="n">
        <f aca="false">AA61-AE61</f>
        <v>32380.9906492204</v>
      </c>
      <c r="AH61" s="12" t="n">
        <f aca="false">AB61-AE61</f>
        <v>52065.7446605796</v>
      </c>
      <c r="AI61" s="12" t="n">
        <f aca="false">AC61-AE61</f>
        <v>65687.5078398019</v>
      </c>
      <c r="AJ61" s="12" t="n">
        <f aca="false">AD61-AE61</f>
        <v>77441.7524791397</v>
      </c>
      <c r="AK61" s="12" t="n">
        <f aca="false">AF61*$B$4</f>
        <v>13994.4969536937</v>
      </c>
      <c r="AL61" s="12" t="n">
        <f aca="false">AG61*$B$4</f>
        <v>16190.4953246102</v>
      </c>
      <c r="AM61" s="12" t="n">
        <f aca="false">AH61*$B$4</f>
        <v>26032.8723302898</v>
      </c>
      <c r="AN61" s="12" t="n">
        <f aca="false">AI61*$B$4</f>
        <v>32843.7539199009</v>
      </c>
      <c r="AO61" s="12" t="n">
        <f aca="false">AJ61*$B$4</f>
        <v>38720.8762395699</v>
      </c>
      <c r="AP61" s="12" t="n">
        <f aca="false">AF61-AK61</f>
        <v>13994.4969536937</v>
      </c>
      <c r="AQ61" s="12" t="n">
        <f aca="false">AG61-AL61</f>
        <v>16190.4953246102</v>
      </c>
      <c r="AR61" s="12" t="n">
        <f aca="false">AH61-AM61</f>
        <v>26032.8723302898</v>
      </c>
      <c r="AS61" s="12" t="n">
        <f aca="false">AI61-AN61</f>
        <v>32843.7539199009</v>
      </c>
      <c r="AT61" s="12" t="n">
        <f aca="false">AJ61-AO61</f>
        <v>38720.8762395699</v>
      </c>
      <c r="AU61" s="12" t="n">
        <f aca="false">0.2*ABS(C61)+1*ABS(E61)</f>
        <v>46072.8429658607</v>
      </c>
      <c r="AV61" s="12" t="n">
        <f aca="false">C61+E61</f>
        <v>-97617.2332302012</v>
      </c>
      <c r="AW61" s="12" t="n">
        <f aca="false">AP61+AE61</f>
        <v>26880.5945197788</v>
      </c>
      <c r="AX61" s="12" t="n">
        <f aca="false">AQ61+AE61</f>
        <v>29076.5928906954</v>
      </c>
      <c r="AY61" s="12" t="n">
        <f aca="false">AR61+AE61</f>
        <v>38918.9698963749</v>
      </c>
      <c r="AZ61" s="12" t="n">
        <f aca="false">AS61+AE61</f>
        <v>45729.8514859861</v>
      </c>
      <c r="BA61" s="12" t="n">
        <f aca="false">AT61+AE61+AU61</f>
        <v>97679.8167715157</v>
      </c>
      <c r="BB61" s="4" t="n">
        <f aca="false">IFERROR(IRR(AV61:BA61,0.15),"n/a")</f>
        <v>0.301283020819558</v>
      </c>
      <c r="BC61" s="12" t="n">
        <f aca="false">NPV($B$5,AW61:BA61)+AV61</f>
        <v>48043.4562388595</v>
      </c>
    </row>
    <row r="62" customFormat="false" ht="15" hidden="false" customHeight="false" outlineLevel="0" collapsed="false">
      <c r="A62" s="3" t="n">
        <v>38</v>
      </c>
      <c r="B62" s="15" t="n">
        <f aca="true">RAND()</f>
        <v>0.378513184310485</v>
      </c>
      <c r="C62" s="12" t="n">
        <f aca="false">IF(B62&lt;=($F$12-$E$12)/($G$12-$E$12),$E$12+SQRT(B62*($G$12-$E$12)*($F$12-$E$12)),$G$12-SQRT((1-B62)*($G$12-$E$12)*($G$12-$F$12)))</f>
        <v>-78687.6603543257</v>
      </c>
      <c r="D62" s="15" t="n">
        <f aca="true">RAND()</f>
        <v>0.778695172461336</v>
      </c>
      <c r="E62" s="12" t="n">
        <f aca="false">IF(D62&lt;=($F$13-$E$13)/($G$13-$E$13),$E$13+SQRT(D62*($G$13-$E$13)*($F$13-$E$13)),$G$13-SQRT((1-D62)*($G$13-$E$13)*($G$13-$F$13)))</f>
        <v>-29074.0473813396</v>
      </c>
      <c r="F62" s="15" t="n">
        <f aca="true">RAND()</f>
        <v>0.218100400191859</v>
      </c>
      <c r="G62" s="12" t="n">
        <f aca="false">IF(F62&lt;=($F$14-$E$14)/($G$14-$E$14),$E$14+SQRT(F62*($G$14-$E$14)*($F$14-$E$14)),$G$14-SQRT((1-F62)*($G$14-$E$14)*($G$14-$F$14)))</f>
        <v>35719.7080370224</v>
      </c>
      <c r="H62" s="15" t="n">
        <f aca="true">RAND()</f>
        <v>0.425654558457281</v>
      </c>
      <c r="I62" s="12" t="n">
        <f aca="false">IF(H62&lt;=($F$14-$E$14)/($G$14-$E$14),$E$14+SQRT(H62*($G$14-$E$14)*($F$14-$E$14)),$G$14-SQRT((1-H62)*($G$14-$E$14)*($G$14-$F$14)))</f>
        <v>37990.505851859</v>
      </c>
      <c r="J62" s="15" t="n">
        <f aca="true">RAND()</f>
        <v>0.458469714381282</v>
      </c>
      <c r="K62" s="12" t="n">
        <f aca="false">IF(J62&lt;=($F$14-$E$14)/($G$14-$E$14),$E$14+SQRT(J62*($G$14-$E$14)*($F$14-$E$14)),$G$14-SQRT((1-J62)*($G$14-$E$14)*($G$14-$F$14)))</f>
        <v>38292.7954971284</v>
      </c>
      <c r="L62" s="15" t="n">
        <f aca="true">RAND()</f>
        <v>0.139507283612272</v>
      </c>
      <c r="M62" s="12" t="n">
        <f aca="false">IF(L62&lt;=($F$14-$E$14)/($G$14-$E$14),$E$14+SQRT(L62*($G$14-$E$14)*($F$14-$E$14)),$G$14-SQRT((1-L62)*($G$14-$E$14)*($G$14-$F$14)))</f>
        <v>34574.504622562</v>
      </c>
      <c r="N62" s="15" t="n">
        <f aca="true">RAND()</f>
        <v>0.958660839683789</v>
      </c>
      <c r="O62" s="12" t="n">
        <f aca="false">IF(N62&lt;=($F$14-$E$14)/($G$14-$E$14),$E$14+SQRT(N62*($G$14-$E$14)*($F$14-$E$14)),$G$14-SQRT((1-N62)*($G$14-$E$14)*($G$14-$F$14)))</f>
        <v>43239.1942118122</v>
      </c>
      <c r="P62" s="15" t="n">
        <f aca="true">RAND()</f>
        <v>0.354815799096559</v>
      </c>
      <c r="Q62" s="16" t="n">
        <f aca="false">IF(P62&lt;=($F$15-$E$15)/($G$15-$E$15),$E$15+SQRT(P62*($G$15-$E$15)*($F$15-$E$15)),$G$15-SQRT((1-P62)*($G$15-$E$15)*($G$15-$F$15)))</f>
        <v>14.5271890280978</v>
      </c>
      <c r="R62" s="15" t="n">
        <f aca="true">RAND()</f>
        <v>0.916362453463532</v>
      </c>
      <c r="S62" s="16" t="n">
        <f aca="false">IF(R62&lt;=($F$16-$E$16)/($G$16-$E$16),$E$16+SQRT(R62*($G$16-$E$16)*($F$16-$E$16)),$G$16-SQRT((1-R62)*($G$16-$E$16)*($G$16-$F$16)))</f>
        <v>16.7730216637379</v>
      </c>
      <c r="T62" s="15" t="n">
        <f aca="true">RAND()</f>
        <v>0.974549095741903</v>
      </c>
      <c r="U62" s="16" t="n">
        <f aca="false">IF(T62&lt;=($F$17-$E$17)/($G$17-$E$17),$E$17+SQRT(T62*($G$17-$E$17)*($F$17-$E$17)),$G$17-SQRT((1-T62)*($G$17-$E$17)*($G$17-$F$17)))</f>
        <v>21.1558286197538</v>
      </c>
      <c r="V62" s="15" t="n">
        <f aca="true">RAND()</f>
        <v>0.402962996600726</v>
      </c>
      <c r="W62" s="16" t="n">
        <f aca="false">IF(V62&lt;=($F$18-$E$18)/($G$18-$E$18),$E$18+SQRT(V62*($G$18-$E$18)*($F$18-$E$18)),$G$18-SQRT((1-V62)*($G$18-$E$18)*($G$18-$F$18)))</f>
        <v>20.4287534392712</v>
      </c>
      <c r="X62" s="15" t="n">
        <f aca="true">RAND()</f>
        <v>0.976137800312472</v>
      </c>
      <c r="Y62" s="16" t="n">
        <f aca="false">IF(X62&lt;=($F$19-$E$19)/($G$19-$E$19),$E$19+SQRT(X62*($G$19-$E$19)*($F$19-$E$19)),$G$19-SQRT((1-X62)*($G$19-$E$19)*($G$19-$F$19)))</f>
        <v>26.8648529684986</v>
      </c>
      <c r="Z62" s="12" t="n">
        <f aca="false">G62*(1+Q62/100)</f>
        <v>40908.7775438453</v>
      </c>
      <c r="AA62" s="12" t="n">
        <f aca="false">I62*(1+Q62/100)*(1+S62/100)</f>
        <v>50807.3093412305</v>
      </c>
      <c r="AB62" s="12" t="n">
        <f aca="false">K62*(1+Q62/100)*(1+S62/100)*(1+U62/100)</f>
        <v>62045.8165439994</v>
      </c>
      <c r="AC62" s="12" t="n">
        <f aca="false">M62*(1+Q62/100)*(1+S62/100)*(1+U62/100)*(1+W62/100)</f>
        <v>67465.4760715824</v>
      </c>
      <c r="AD62" s="12" t="n">
        <f aca="false">O62*(1+Q62/100)*(1+S62/100)*(1+U62/100)*(1+W62/100)*(1+Y62/100)</f>
        <v>107039.614290077</v>
      </c>
      <c r="AE62" s="12" t="n">
        <f aca="false">ABS(C62)/$B$7</f>
        <v>15737.5320708651</v>
      </c>
      <c r="AF62" s="12" t="n">
        <f aca="false">Z62-AE62</f>
        <v>25171.2454729802</v>
      </c>
      <c r="AG62" s="12" t="n">
        <f aca="false">AA62-AE62</f>
        <v>35069.7772703653</v>
      </c>
      <c r="AH62" s="12" t="n">
        <f aca="false">AB62-AE62</f>
        <v>46308.2844731343</v>
      </c>
      <c r="AI62" s="12" t="n">
        <f aca="false">AC62-AE62</f>
        <v>51727.9440007172</v>
      </c>
      <c r="AJ62" s="12" t="n">
        <f aca="false">AD62-AE62</f>
        <v>91302.082219212</v>
      </c>
      <c r="AK62" s="12" t="n">
        <f aca="false">AF62*$B$4</f>
        <v>12585.6227364901</v>
      </c>
      <c r="AL62" s="12" t="n">
        <f aca="false">AG62*$B$4</f>
        <v>17534.8886351827</v>
      </c>
      <c r="AM62" s="12" t="n">
        <f aca="false">AH62*$B$4</f>
        <v>23154.1422365671</v>
      </c>
      <c r="AN62" s="12" t="n">
        <f aca="false">AI62*$B$4</f>
        <v>25863.9720003586</v>
      </c>
      <c r="AO62" s="12" t="n">
        <f aca="false">AJ62*$B$4</f>
        <v>45651.041109606</v>
      </c>
      <c r="AP62" s="12" t="n">
        <f aca="false">AF62-AK62</f>
        <v>12585.6227364901</v>
      </c>
      <c r="AQ62" s="12" t="n">
        <f aca="false">AG62-AL62</f>
        <v>17534.8886351827</v>
      </c>
      <c r="AR62" s="12" t="n">
        <f aca="false">AH62-AM62</f>
        <v>23154.1422365671</v>
      </c>
      <c r="AS62" s="12" t="n">
        <f aca="false">AI62-AN62</f>
        <v>25863.9720003586</v>
      </c>
      <c r="AT62" s="12" t="n">
        <f aca="false">AJ62-AO62</f>
        <v>45651.041109606</v>
      </c>
      <c r="AU62" s="12" t="n">
        <f aca="false">0.2*ABS(C62)+1*ABS(E62)</f>
        <v>44811.5794522047</v>
      </c>
      <c r="AV62" s="12" t="n">
        <f aca="false">C62+E62</f>
        <v>-107761.707735665</v>
      </c>
      <c r="AW62" s="12" t="n">
        <f aca="false">AP62+AE62</f>
        <v>28323.1548073552</v>
      </c>
      <c r="AX62" s="12" t="n">
        <f aca="false">AQ62+AE62</f>
        <v>33272.4207060478</v>
      </c>
      <c r="AY62" s="12" t="n">
        <f aca="false">AR62+AE62</f>
        <v>38891.6743074323</v>
      </c>
      <c r="AZ62" s="12" t="n">
        <f aca="false">AS62+AE62</f>
        <v>41601.5040712238</v>
      </c>
      <c r="BA62" s="12" t="n">
        <f aca="false">AT62+AE62+AU62</f>
        <v>106200.152632676</v>
      </c>
      <c r="BB62" s="4" t="n">
        <f aca="false">IFERROR(IRR(AV62:BA62,0.15),"n/a")</f>
        <v>0.278569550912773</v>
      </c>
      <c r="BC62" s="12" t="n">
        <f aca="false">NPV($B$5,AW62:BA62)+AV62</f>
        <v>44183.8000560754</v>
      </c>
    </row>
    <row r="63" customFormat="false" ht="15" hidden="false" customHeight="false" outlineLevel="0" collapsed="false">
      <c r="A63" s="3" t="n">
        <v>39</v>
      </c>
      <c r="B63" s="15" t="n">
        <f aca="true">RAND()</f>
        <v>0.382898093908623</v>
      </c>
      <c r="C63" s="12" t="n">
        <f aca="false">IF(B63&lt;=($F$12-$E$12)/($G$12-$E$12),$E$12+SQRT(B63*($G$12-$E$12)*($F$12-$E$12)),$G$12-SQRT((1-B63)*($G$12-$E$12)*($G$12-$F$12)))</f>
        <v>-78564.5687542716</v>
      </c>
      <c r="D63" s="15" t="n">
        <f aca="true">RAND()</f>
        <v>0.267823381805676</v>
      </c>
      <c r="E63" s="12" t="n">
        <f aca="false">IF(D63&lt;=($F$13-$E$13)/($G$13-$E$13),$E$13+SQRT(D63*($G$13-$E$13)*($F$13-$E$13)),$G$13-SQRT((1-D63)*($G$13-$E$13)*($G$13-$F$13)))</f>
        <v>-33661.7425682723</v>
      </c>
      <c r="F63" s="15" t="n">
        <f aca="true">RAND()</f>
        <v>0.980029591714857</v>
      </c>
      <c r="G63" s="12" t="n">
        <f aca="false">IF(F63&lt;=($F$14-$E$14)/($G$14-$E$14),$E$14+SQRT(F63*($G$14-$E$14)*($F$14-$E$14)),$G$14-SQRT((1-F63)*($G$14-$E$14)*($G$14-$F$14)))</f>
        <v>43776.1615215292</v>
      </c>
      <c r="H63" s="15" t="n">
        <f aca="true">RAND()</f>
        <v>0.716962737003474</v>
      </c>
      <c r="I63" s="12" t="n">
        <f aca="false">IF(H63&lt;=($F$14-$E$14)/($G$14-$E$14),$E$14+SQRT(H63*($G$14-$E$14)*($F$14-$E$14)),$G$14-SQRT((1-H63)*($G$14-$E$14)*($G$14-$F$14)))</f>
        <v>40392.6369011397</v>
      </c>
      <c r="J63" s="15" t="n">
        <f aca="true">RAND()</f>
        <v>0.585548339321008</v>
      </c>
      <c r="K63" s="12" t="n">
        <f aca="false">IF(J63&lt;=($F$14-$E$14)/($G$14-$E$14),$E$14+SQRT(J63*($G$14-$E$14)*($F$14-$E$14)),$G$14-SQRT((1-J63)*($G$14-$E$14)*($G$14-$F$14)))</f>
        <v>39371.8861974605</v>
      </c>
      <c r="L63" s="15" t="n">
        <f aca="true">RAND()</f>
        <v>0.254738563172612</v>
      </c>
      <c r="M63" s="12" t="n">
        <f aca="false">IF(L63&lt;=($F$14-$E$14)/($G$14-$E$14),$E$14+SQRT(L63*($G$14-$E$14)*($F$14-$E$14)),$G$14-SQRT((1-L63)*($G$14-$E$14)*($G$14-$F$14)))</f>
        <v>36181.4872381889</v>
      </c>
      <c r="N63" s="15" t="n">
        <f aca="true">RAND()</f>
        <v>0.439591268870072</v>
      </c>
      <c r="O63" s="12" t="n">
        <f aca="false">IF(N63&lt;=($F$14-$E$14)/($G$14-$E$14),$E$14+SQRT(N63*($G$14-$E$14)*($F$14-$E$14)),$G$14-SQRT((1-N63)*($G$14-$E$14)*($G$14-$F$14)))</f>
        <v>38120.2641786158</v>
      </c>
      <c r="P63" s="15" t="n">
        <f aca="true">RAND()</f>
        <v>0.851056161195697</v>
      </c>
      <c r="Q63" s="16" t="n">
        <f aca="false">IF(P63&lt;=($F$15-$E$15)/($G$15-$E$15),$E$15+SQRT(P63*($G$15-$E$15)*($F$15-$E$15)),$G$15-SQRT((1-P63)*($G$15-$E$15)*($G$15-$F$15)))</f>
        <v>16.3626273794651</v>
      </c>
      <c r="R63" s="15" t="n">
        <f aca="true">RAND()</f>
        <v>0.338396039151192</v>
      </c>
      <c r="S63" s="16" t="n">
        <f aca="false">IF(R63&lt;=($F$16-$E$16)/($G$16-$E$16),$E$16+SQRT(R63*($G$16-$E$16)*($F$16-$E$16)),$G$16-SQRT((1-R63)*($G$16-$E$16)*($G$16-$F$16)))</f>
        <v>14.4680212123727</v>
      </c>
      <c r="T63" s="15" t="n">
        <f aca="true">RAND()</f>
        <v>0.898023874439203</v>
      </c>
      <c r="U63" s="16" t="n">
        <f aca="false">IF(T63&lt;=($F$17-$E$17)/($G$17-$E$17),$E$17+SQRT(T63*($G$17-$E$17)*($F$17-$E$17)),$G$17-SQRT((1-T63)*($G$17-$E$17)*($G$17-$F$17)))</f>
        <v>20.3102273775143</v>
      </c>
      <c r="V63" s="15" t="n">
        <f aca="true">RAND()</f>
        <v>0.326911737700084</v>
      </c>
      <c r="W63" s="16" t="n">
        <f aca="false">IF(V63&lt;=($F$18-$E$18)/($G$18-$E$18),$E$18+SQRT(V63*($G$18-$E$18)*($F$18-$E$18)),$G$18-SQRT((1-V63)*($G$18-$E$18)*($G$18-$F$18)))</f>
        <v>20.1463323990515</v>
      </c>
      <c r="X63" s="15" t="n">
        <f aca="true">RAND()</f>
        <v>0.370593634990622</v>
      </c>
      <c r="Y63" s="16" t="n">
        <f aca="false">IF(X63&lt;=($F$19-$E$19)/($G$19-$E$19),$E$19+SQRT(X63*($G$19-$E$19)*($F$19-$E$19)),$G$19-SQRT((1-X63)*($G$19-$E$19)*($G$19-$F$19)))</f>
        <v>22.1700820151132</v>
      </c>
      <c r="Z63" s="12" t="n">
        <f aca="false">G63*(1+Q63/100)</f>
        <v>50939.0917123298</v>
      </c>
      <c r="AA63" s="12" t="n">
        <f aca="false">I63*(1+Q63/100)*(1+S63/100)</f>
        <v>53802.1832845697</v>
      </c>
      <c r="AB63" s="12" t="n">
        <f aca="false">K63*(1+Q63/100)*(1+S63/100)*(1+U63/100)</f>
        <v>63093.7677419409</v>
      </c>
      <c r="AC63" s="12" t="n">
        <f aca="false">M63*(1+Q63/100)*(1+S63/100)*(1+U63/100)*(1+W63/100)</f>
        <v>69662.1981392816</v>
      </c>
      <c r="AD63" s="12" t="n">
        <f aca="false">O63*(1+Q63/100)*(1+S63/100)*(1+U63/100)*(1+W63/100)*(1+Y63/100)</f>
        <v>89666.7702045264</v>
      </c>
      <c r="AE63" s="12" t="n">
        <f aca="false">ABS(C63)/$B$7</f>
        <v>15712.9137508543</v>
      </c>
      <c r="AF63" s="12" t="n">
        <f aca="false">Z63-AE63</f>
        <v>35226.1779614754</v>
      </c>
      <c r="AG63" s="12" t="n">
        <f aca="false">AA63-AE63</f>
        <v>38089.2695337153</v>
      </c>
      <c r="AH63" s="12" t="n">
        <f aca="false">AB63-AE63</f>
        <v>47380.8539910866</v>
      </c>
      <c r="AI63" s="12" t="n">
        <f aca="false">AC63-AE63</f>
        <v>53949.2843884272</v>
      </c>
      <c r="AJ63" s="12" t="n">
        <f aca="false">AD63-AE63</f>
        <v>73953.8564536721</v>
      </c>
      <c r="AK63" s="12" t="n">
        <f aca="false">AF63*$B$4</f>
        <v>17613.0889807377</v>
      </c>
      <c r="AL63" s="12" t="n">
        <f aca="false">AG63*$B$4</f>
        <v>19044.6347668577</v>
      </c>
      <c r="AM63" s="12" t="n">
        <f aca="false">AH63*$B$4</f>
        <v>23690.4269955433</v>
      </c>
      <c r="AN63" s="12" t="n">
        <f aca="false">AI63*$B$4</f>
        <v>26974.6421942136</v>
      </c>
      <c r="AO63" s="12" t="n">
        <f aca="false">AJ63*$B$4</f>
        <v>36976.928226836</v>
      </c>
      <c r="AP63" s="12" t="n">
        <f aca="false">AF63-AK63</f>
        <v>17613.0889807377</v>
      </c>
      <c r="AQ63" s="12" t="n">
        <f aca="false">AG63-AL63</f>
        <v>19044.6347668577</v>
      </c>
      <c r="AR63" s="12" t="n">
        <f aca="false">AH63-AM63</f>
        <v>23690.4269955433</v>
      </c>
      <c r="AS63" s="12" t="n">
        <f aca="false">AI63-AN63</f>
        <v>26974.6421942136</v>
      </c>
      <c r="AT63" s="12" t="n">
        <f aca="false">AJ63-AO63</f>
        <v>36976.928226836</v>
      </c>
      <c r="AU63" s="12" t="n">
        <f aca="false">0.2*ABS(C63)+1*ABS(E63)</f>
        <v>49374.6563191266</v>
      </c>
      <c r="AV63" s="12" t="n">
        <f aca="false">C63+E63</f>
        <v>-112226.311322544</v>
      </c>
      <c r="AW63" s="12" t="n">
        <f aca="false">AP63+AE63</f>
        <v>33326.002731592</v>
      </c>
      <c r="AX63" s="12" t="n">
        <f aca="false">AQ63+AE63</f>
        <v>34757.548517712</v>
      </c>
      <c r="AY63" s="12" t="n">
        <f aca="false">AR63+AE63</f>
        <v>39403.3407463976</v>
      </c>
      <c r="AZ63" s="12" t="n">
        <f aca="false">AS63+AE63</f>
        <v>42687.5559450679</v>
      </c>
      <c r="BA63" s="12" t="n">
        <f aca="false">AT63+AE63+AU63</f>
        <v>102064.498296817</v>
      </c>
      <c r="BB63" s="4" t="n">
        <f aca="false">IFERROR(IRR(AV63:BA63,0.15),"n/a")</f>
        <v>0.277805694848413</v>
      </c>
      <c r="BC63" s="12" t="n">
        <f aca="false">NPV($B$5,AW63:BA63)+AV63</f>
        <v>44093.7005538662</v>
      </c>
    </row>
    <row r="64" customFormat="false" ht="15" hidden="false" customHeight="false" outlineLevel="0" collapsed="false">
      <c r="A64" s="3" t="n">
        <v>40</v>
      </c>
      <c r="B64" s="15" t="n">
        <f aca="true">RAND()</f>
        <v>0.757850181282254</v>
      </c>
      <c r="C64" s="12" t="n">
        <f aca="false">IF(B64&lt;=($F$12-$E$12)/($G$12-$E$12),$E$12+SQRT(B64*($G$12-$E$12)*($F$12-$E$12)),$G$12-SQRT((1-B64)*($G$12-$E$12)*($G$12-$F$12)))</f>
        <v>-69841.7441283087</v>
      </c>
      <c r="D64" s="15" t="n">
        <f aca="true">RAND()</f>
        <v>0.847547366895821</v>
      </c>
      <c r="E64" s="12" t="n">
        <f aca="false">IF(D64&lt;=($F$13-$E$13)/($G$13-$E$13),$E$13+SQRT(D64*($G$13-$E$13)*($F$13-$E$13)),$G$13-SQRT((1-D64)*($G$13-$E$13)*($G$13-$F$13)))</f>
        <v>-28381.4120545733</v>
      </c>
      <c r="F64" s="15" t="n">
        <f aca="true">RAND()</f>
        <v>0.638157480276279</v>
      </c>
      <c r="G64" s="12" t="n">
        <f aca="false">IF(F64&lt;=($F$14-$E$14)/($G$14-$E$14),$E$14+SQRT(F64*($G$14-$E$14)*($F$14-$E$14)),$G$14-SQRT((1-F64)*($G$14-$E$14)*($G$14-$F$14)))</f>
        <v>39783.8449518296</v>
      </c>
      <c r="H64" s="15" t="n">
        <f aca="true">RAND()</f>
        <v>0.980399900148165</v>
      </c>
      <c r="I64" s="12" t="n">
        <f aca="false">IF(H64&lt;=($F$14-$E$14)/($G$14-$E$14),$E$14+SQRT(H64*($G$14-$E$14)*($F$14-$E$14)),$G$14-SQRT((1-H64)*($G$14-$E$14)*($G$14-$F$14)))</f>
        <v>43787.5613463405</v>
      </c>
      <c r="J64" s="15" t="n">
        <f aca="true">RAND()</f>
        <v>0.520194632967502</v>
      </c>
      <c r="K64" s="12" t="n">
        <f aca="false">IF(J64&lt;=($F$14-$E$14)/($G$14-$E$14),$E$14+SQRT(J64*($G$14-$E$14)*($F$14-$E$14)),$G$14-SQRT((1-J64)*($G$14-$E$14)*($G$14-$F$14)))</f>
        <v>38833.4135499888</v>
      </c>
      <c r="L64" s="15" t="n">
        <f aca="true">RAND()</f>
        <v>0.51797521301398</v>
      </c>
      <c r="M64" s="12" t="n">
        <f aca="false">IF(L64&lt;=($F$14-$E$14)/($G$14-$E$14),$E$14+SQRT(L64*($G$14-$E$14)*($F$14-$E$14)),$G$14-SQRT((1-L64)*($G$14-$E$14)*($G$14-$F$14)))</f>
        <v>38814.5494469143</v>
      </c>
      <c r="N64" s="15" t="n">
        <f aca="true">RAND()</f>
        <v>0.16986918445707</v>
      </c>
      <c r="O64" s="12" t="n">
        <f aca="false">IF(N64&lt;=($F$14-$E$14)/($G$14-$E$14),$E$14+SQRT(N64*($G$14-$E$14)*($F$14-$E$14)),$G$14-SQRT((1-N64)*($G$14-$E$14)*($G$14-$F$14)))</f>
        <v>35047.8091949439</v>
      </c>
      <c r="P64" s="15" t="n">
        <f aca="true">RAND()</f>
        <v>0.576008487788534</v>
      </c>
      <c r="Q64" s="16" t="n">
        <f aca="false">IF(P64&lt;=($F$15-$E$15)/($G$15-$E$15),$E$15+SQRT(P64*($G$15-$E$15)*($F$15-$E$15)),$G$15-SQRT((1-P64)*($G$15-$E$15)*($G$15-$F$15)))</f>
        <v>15.2374201876133</v>
      </c>
      <c r="R64" s="15" t="n">
        <f aca="true">RAND()</f>
        <v>0.865834572312259</v>
      </c>
      <c r="S64" s="16" t="n">
        <f aca="false">IF(R64&lt;=($F$16-$E$16)/($G$16-$E$16),$E$16+SQRT(R64*($G$16-$E$16)*($F$16-$E$16)),$G$16-SQRT((1-R64)*($G$16-$E$16)*($G$16-$F$16)))</f>
        <v>16.4459801486534</v>
      </c>
      <c r="T64" s="15" t="n">
        <f aca="true">RAND()</f>
        <v>0.62459872289516</v>
      </c>
      <c r="U64" s="16" t="n">
        <f aca="false">IF(T64&lt;=($F$17-$E$17)/($G$17-$E$17),$E$17+SQRT(T64*($G$17-$E$17)*($F$17-$E$17)),$G$17-SQRT((1-T64)*($G$17-$E$17)*($G$17-$F$17)))</f>
        <v>18.7578963991051</v>
      </c>
      <c r="V64" s="15" t="n">
        <f aca="true">RAND()</f>
        <v>0.110953280931395</v>
      </c>
      <c r="W64" s="16" t="n">
        <f aca="false">IF(V64&lt;=($F$18-$E$18)/($G$18-$E$18),$E$18+SQRT(V64*($G$18-$E$18)*($F$18-$E$18)),$G$18-SQRT((1-V64)*($G$18-$E$18)*($G$18-$F$18)))</f>
        <v>19.2463329944439</v>
      </c>
      <c r="X64" s="15" t="n">
        <f aca="true">RAND()</f>
        <v>0.0986759806798848</v>
      </c>
      <c r="Y64" s="16" t="n">
        <f aca="false">IF(X64&lt;=($F$19-$E$19)/($G$19-$E$19),$E$19+SQRT(X64*($G$19-$E$19)*($F$19-$E$19)),$G$19-SQRT((1-X64)*($G$19-$E$19)*($G$19-$F$19)))</f>
        <v>20.6322534969657</v>
      </c>
      <c r="Z64" s="12" t="n">
        <f aca="false">G64*(1+Q64/100)</f>
        <v>45845.8765739285</v>
      </c>
      <c r="AA64" s="12" t="n">
        <f aca="false">I64*(1+Q64/100)*(1+S64/100)</f>
        <v>58758.2410770661</v>
      </c>
      <c r="AB64" s="12" t="n">
        <f aca="false">K64*(1+Q64/100)*(1+S64/100)*(1+U64/100)</f>
        <v>61885.0992656018</v>
      </c>
      <c r="AC64" s="12" t="n">
        <f aca="false">M64*(1+Q64/100)*(1+S64/100)*(1+U64/100)*(1+W64/100)</f>
        <v>73759.863809435</v>
      </c>
      <c r="AD64" s="12" t="n">
        <f aca="false">O64*(1+Q64/100)*(1+S64/100)*(1+U64/100)*(1+W64/100)*(1+Y64/100)</f>
        <v>80343.338413255</v>
      </c>
      <c r="AE64" s="12" t="n">
        <f aca="false">ABS(C64)/$B$7</f>
        <v>13968.3488256617</v>
      </c>
      <c r="AF64" s="12" t="n">
        <f aca="false">Z64-AE64</f>
        <v>31877.5277482667</v>
      </c>
      <c r="AG64" s="12" t="n">
        <f aca="false">AA64-AE64</f>
        <v>44789.8922514044</v>
      </c>
      <c r="AH64" s="12" t="n">
        <f aca="false">AB64-AE64</f>
        <v>47916.7504399401</v>
      </c>
      <c r="AI64" s="12" t="n">
        <f aca="false">AC64-AE64</f>
        <v>59791.5149837733</v>
      </c>
      <c r="AJ64" s="12" t="n">
        <f aca="false">AD64-AE64</f>
        <v>66374.9895875933</v>
      </c>
      <c r="AK64" s="12" t="n">
        <f aca="false">AF64*$B$4</f>
        <v>15938.7638741334</v>
      </c>
      <c r="AL64" s="12" t="n">
        <f aca="false">AG64*$B$4</f>
        <v>22394.9461257022</v>
      </c>
      <c r="AM64" s="12" t="n">
        <f aca="false">AH64*$B$4</f>
        <v>23958.37521997</v>
      </c>
      <c r="AN64" s="12" t="n">
        <f aca="false">AI64*$B$4</f>
        <v>29895.7574918866</v>
      </c>
      <c r="AO64" s="12" t="n">
        <f aca="false">AJ64*$B$4</f>
        <v>33187.4947937966</v>
      </c>
      <c r="AP64" s="12" t="n">
        <f aca="false">AF64-AK64</f>
        <v>15938.7638741334</v>
      </c>
      <c r="AQ64" s="12" t="n">
        <f aca="false">AG64-AL64</f>
        <v>22394.9461257022</v>
      </c>
      <c r="AR64" s="12" t="n">
        <f aca="false">AH64-AM64</f>
        <v>23958.37521997</v>
      </c>
      <c r="AS64" s="12" t="n">
        <f aca="false">AI64-AN64</f>
        <v>29895.7574918866</v>
      </c>
      <c r="AT64" s="12" t="n">
        <f aca="false">AJ64-AO64</f>
        <v>33187.4947937966</v>
      </c>
      <c r="AU64" s="12" t="n">
        <f aca="false">0.2*ABS(C64)+1*ABS(E64)</f>
        <v>42349.760880235</v>
      </c>
      <c r="AV64" s="12" t="n">
        <f aca="false">C64+E64</f>
        <v>-98223.156182882</v>
      </c>
      <c r="AW64" s="12" t="n">
        <f aca="false">AP64+AE64</f>
        <v>29907.1126997951</v>
      </c>
      <c r="AX64" s="12" t="n">
        <f aca="false">AQ64+AE64</f>
        <v>36363.2949513639</v>
      </c>
      <c r="AY64" s="12" t="n">
        <f aca="false">AR64+AE64</f>
        <v>37926.7240456318</v>
      </c>
      <c r="AZ64" s="12" t="n">
        <f aca="false">AS64+AE64</f>
        <v>43864.1063175484</v>
      </c>
      <c r="BA64" s="12" t="n">
        <f aca="false">AT64+AE64+AU64</f>
        <v>89505.6044996934</v>
      </c>
      <c r="BB64" s="4" t="n">
        <f aca="false">IFERROR(IRR(AV64:BA64,0.15),"n/a")</f>
        <v>0.313444873440893</v>
      </c>
      <c r="BC64" s="12" t="n">
        <f aca="false">NPV($B$5,AW64:BA64)+AV64</f>
        <v>49795.8900641058</v>
      </c>
    </row>
    <row r="65" customFormat="false" ht="15" hidden="false" customHeight="false" outlineLevel="0" collapsed="false">
      <c r="A65" s="3" t="n">
        <v>41</v>
      </c>
      <c r="B65" s="15" t="n">
        <f aca="true">RAND()</f>
        <v>0.750571977888691</v>
      </c>
      <c r="C65" s="12" t="n">
        <f aca="false">IF(B65&lt;=($F$12-$E$12)/($G$12-$E$12),$E$12+SQRT(B65*($G$12-$E$12)*($F$12-$E$12)),$G$12-SQRT((1-B65)*($G$12-$E$12)*($G$12-$F$12)))</f>
        <v>-69988.5538915563</v>
      </c>
      <c r="D65" s="15" t="n">
        <f aca="true">RAND()</f>
        <v>0.345789417759026</v>
      </c>
      <c r="E65" s="12" t="n">
        <f aca="false">IF(D65&lt;=($F$13-$E$13)/($G$13-$E$13),$E$13+SQRT(D65*($G$13-$E$13)*($F$13-$E$13)),$G$13-SQRT((1-D65)*($G$13-$E$13)*($G$13-$F$13)))</f>
        <v>-32798.0271686257</v>
      </c>
      <c r="F65" s="15" t="n">
        <f aca="true">RAND()</f>
        <v>0.145661995088204</v>
      </c>
      <c r="G65" s="12" t="n">
        <f aca="false">IF(F65&lt;=($F$14-$E$14)/($G$14-$E$14),$E$14+SQRT(F65*($G$14-$E$14)*($F$14-$E$14)),$G$14-SQRT((1-F65)*($G$14-$E$14)*($G$14-$F$14)))</f>
        <v>34674.3234016519</v>
      </c>
      <c r="H65" s="15" t="n">
        <f aca="true">RAND()</f>
        <v>0.607021467529067</v>
      </c>
      <c r="I65" s="12" t="n">
        <f aca="false">IF(H65&lt;=($F$14-$E$14)/($G$14-$E$14),$E$14+SQRT(H65*($G$14-$E$14)*($F$14-$E$14)),$G$14-SQRT((1-H65)*($G$14-$E$14)*($G$14-$F$14)))</f>
        <v>39542.1810991702</v>
      </c>
      <c r="J65" s="15" t="n">
        <f aca="true">RAND()</f>
        <v>0.0585660914009906</v>
      </c>
      <c r="K65" s="12" t="n">
        <f aca="false">IF(J65&lt;=($F$14-$E$14)/($G$14-$E$14),$E$14+SQRT(J65*($G$14-$E$14)*($F$14-$E$14)),$G$14-SQRT((1-J65)*($G$14-$E$14)*($G$14-$F$14)))</f>
        <v>32963.9355104571</v>
      </c>
      <c r="L65" s="15" t="n">
        <f aca="true">RAND()</f>
        <v>0.448019717066779</v>
      </c>
      <c r="M65" s="12" t="n">
        <f aca="false">IF(L65&lt;=($F$14-$E$14)/($G$14-$E$14),$E$14+SQRT(L65*($G$14-$E$14)*($F$14-$E$14)),$G$14-SQRT((1-L65)*($G$14-$E$14)*($G$14-$F$14)))</f>
        <v>38197.7410034727</v>
      </c>
      <c r="N65" s="15" t="n">
        <f aca="true">RAND()</f>
        <v>0.884080487162482</v>
      </c>
      <c r="O65" s="12" t="n">
        <f aca="false">IF(N65&lt;=($F$14-$E$14)/($G$14-$E$14),$E$14+SQRT(N65*($G$14-$E$14)*($F$14-$E$14)),$G$14-SQRT((1-N65)*($G$14-$E$14)*($G$14-$F$14)))</f>
        <v>42051.4472257031</v>
      </c>
      <c r="P65" s="15" t="n">
        <f aca="true">RAND()</f>
        <v>0.520031188261265</v>
      </c>
      <c r="Q65" s="16" t="n">
        <f aca="false">IF(P65&lt;=($F$15-$E$15)/($G$15-$E$15),$E$15+SQRT(P65*($G$15-$E$15)*($F$15-$E$15)),$G$15-SQRT((1-P65)*($G$15-$E$15)*($G$15-$F$15)))</f>
        <v>15.060707804369</v>
      </c>
      <c r="R65" s="15" t="n">
        <f aca="true">RAND()</f>
        <v>0.546340411368382</v>
      </c>
      <c r="S65" s="16" t="n">
        <f aca="false">IF(R65&lt;=($F$16-$E$16)/($G$16-$E$16),$E$16+SQRT(R65*($G$16-$E$16)*($F$16-$E$16)),$G$16-SQRT((1-R65)*($G$16-$E$16)*($G$16-$F$16)))</f>
        <v>15.142400903666</v>
      </c>
      <c r="T65" s="15" t="n">
        <f aca="true">RAND()</f>
        <v>0.567665471485082</v>
      </c>
      <c r="U65" s="16" t="n">
        <f aca="false">IF(T65&lt;=($F$17-$E$17)/($G$17-$E$17),$E$17+SQRT(T65*($G$17-$E$17)*($F$17-$E$17)),$G$17-SQRT((1-T65)*($G$17-$E$17)*($G$17-$F$17)))</f>
        <v>18.5207232363007</v>
      </c>
      <c r="V65" s="15" t="n">
        <f aca="true">RAND()</f>
        <v>0.152547044675836</v>
      </c>
      <c r="W65" s="16" t="n">
        <f aca="false">IF(V65&lt;=($F$18-$E$18)/($G$18-$E$18),$E$18+SQRT(V65*($G$18-$E$18)*($F$18-$E$18)),$G$18-SQRT((1-V65)*($G$18-$E$18)*($G$18-$F$18)))</f>
        <v>19.4613892792346</v>
      </c>
      <c r="X65" s="15" t="n">
        <f aca="true">RAND()</f>
        <v>0.566605273540549</v>
      </c>
      <c r="Y65" s="16" t="n">
        <f aca="false">IF(X65&lt;=($F$19-$E$19)/($G$19-$E$19),$E$19+SQRT(X65*($G$19-$E$19)*($F$19-$E$19)),$G$19-SQRT((1-X65)*($G$19-$E$19)*($G$19-$F$19)))</f>
        <v>23.1623026935524</v>
      </c>
      <c r="Z65" s="12" t="n">
        <f aca="false">G65*(1+Q65/100)</f>
        <v>39896.5219323166</v>
      </c>
      <c r="AA65" s="12" t="n">
        <f aca="false">I65*(1+Q65/100)*(1+S65/100)</f>
        <v>52386.9293423932</v>
      </c>
      <c r="AB65" s="12" t="n">
        <f aca="false">K65*(1+Q65/100)*(1+S65/100)*(1+U65/100)</f>
        <v>51760.1672571159</v>
      </c>
      <c r="AC65" s="12" t="n">
        <f aca="false">M65*(1+Q65/100)*(1+S65/100)*(1+U65/100)*(1+W65/100)</f>
        <v>71650.934000522</v>
      </c>
      <c r="AD65" s="12" t="n">
        <f aca="false">O65*(1+Q65/100)*(1+S65/100)*(1+U65/100)*(1+W65/100)*(1+Y65/100)</f>
        <v>97150.026463757</v>
      </c>
      <c r="AE65" s="12" t="n">
        <f aca="false">ABS(C65)/$B$7</f>
        <v>13997.7107783113</v>
      </c>
      <c r="AF65" s="12" t="n">
        <f aca="false">Z65-AE65</f>
        <v>25898.8111540054</v>
      </c>
      <c r="AG65" s="12" t="n">
        <f aca="false">AA65-AE65</f>
        <v>38389.218564082</v>
      </c>
      <c r="AH65" s="12" t="n">
        <f aca="false">AB65-AE65</f>
        <v>37762.4564788047</v>
      </c>
      <c r="AI65" s="12" t="n">
        <f aca="false">AC65-AE65</f>
        <v>57653.2232222108</v>
      </c>
      <c r="AJ65" s="12" t="n">
        <f aca="false">AD65-AE65</f>
        <v>83152.3156854457</v>
      </c>
      <c r="AK65" s="12" t="n">
        <f aca="false">AF65*$B$4</f>
        <v>12949.4055770027</v>
      </c>
      <c r="AL65" s="12" t="n">
        <f aca="false">AG65*$B$4</f>
        <v>19194.609282041</v>
      </c>
      <c r="AM65" s="12" t="n">
        <f aca="false">AH65*$B$4</f>
        <v>18881.2282394023</v>
      </c>
      <c r="AN65" s="12" t="n">
        <f aca="false">AI65*$B$4</f>
        <v>28826.6116111054</v>
      </c>
      <c r="AO65" s="12" t="n">
        <f aca="false">AJ65*$B$4</f>
        <v>41576.1578427228</v>
      </c>
      <c r="AP65" s="12" t="n">
        <f aca="false">AF65-AK65</f>
        <v>12949.4055770027</v>
      </c>
      <c r="AQ65" s="12" t="n">
        <f aca="false">AG65-AL65</f>
        <v>19194.609282041</v>
      </c>
      <c r="AR65" s="12" t="n">
        <f aca="false">AH65-AM65</f>
        <v>18881.2282394023</v>
      </c>
      <c r="AS65" s="12" t="n">
        <f aca="false">AI65-AN65</f>
        <v>28826.6116111054</v>
      </c>
      <c r="AT65" s="12" t="n">
        <f aca="false">AJ65-AO65</f>
        <v>41576.1578427228</v>
      </c>
      <c r="AU65" s="12" t="n">
        <f aca="false">0.2*ABS(C65)+1*ABS(E65)</f>
        <v>46795.7379469369</v>
      </c>
      <c r="AV65" s="12" t="n">
        <f aca="false">C65+E65</f>
        <v>-102786.581060182</v>
      </c>
      <c r="AW65" s="12" t="n">
        <f aca="false">AP65+AE65</f>
        <v>26947.116355314</v>
      </c>
      <c r="AX65" s="12" t="n">
        <f aca="false">AQ65+AE65</f>
        <v>33192.3200603522</v>
      </c>
      <c r="AY65" s="12" t="n">
        <f aca="false">AR65+AE65</f>
        <v>32878.9390177136</v>
      </c>
      <c r="AZ65" s="12" t="n">
        <f aca="false">AS65+AE65</f>
        <v>42824.3223894166</v>
      </c>
      <c r="BA65" s="12" t="n">
        <f aca="false">AT65+AE65+AU65</f>
        <v>102369.606567971</v>
      </c>
      <c r="BB65" s="4" t="n">
        <f aca="false">IFERROR(IRR(AV65:BA65,0.15),"n/a")</f>
        <v>0.279799018295954</v>
      </c>
      <c r="BC65" s="12" t="n">
        <f aca="false">NPV($B$5,AW65:BA65)+AV65</f>
        <v>42743.0248609125</v>
      </c>
    </row>
    <row r="66" customFormat="false" ht="15" hidden="false" customHeight="false" outlineLevel="0" collapsed="false">
      <c r="A66" s="3" t="n">
        <v>42</v>
      </c>
      <c r="B66" s="15" t="n">
        <f aca="true">RAND()</f>
        <v>0.874422631408529</v>
      </c>
      <c r="C66" s="12" t="n">
        <f aca="false">IF(B66&lt;=($F$12-$E$12)/($G$12-$E$12),$E$12+SQRT(B66*($G$12-$E$12)*($F$12-$E$12)),$G$12-SQRT((1-B66)*($G$12-$E$12)*($G$12-$F$12)))</f>
        <v>-67087.3794477641</v>
      </c>
      <c r="D66" s="15" t="n">
        <f aca="true">RAND()</f>
        <v>0.0908522263339098</v>
      </c>
      <c r="E66" s="12" t="n">
        <f aca="false">IF(D66&lt;=($F$13-$E$13)/($G$13-$E$13),$E$13+SQRT(D66*($G$13-$E$13)*($F$13-$E$13)),$G$13-SQRT((1-D66)*($G$13-$E$13)*($G$13-$F$13)))</f>
        <v>-36308.4103762625</v>
      </c>
      <c r="F66" s="15" t="n">
        <f aca="true">RAND()</f>
        <v>0.791969109978995</v>
      </c>
      <c r="G66" s="12" t="n">
        <f aca="false">IF(F66&lt;=($F$14-$E$14)/($G$14-$E$14),$E$14+SQRT(F66*($G$14-$E$14)*($F$14-$E$14)),$G$14-SQRT((1-F66)*($G$14-$E$14)*($G$14-$F$14)))</f>
        <v>41050.0231960712</v>
      </c>
      <c r="H66" s="15" t="n">
        <f aca="true">RAND()</f>
        <v>0.553740960828988</v>
      </c>
      <c r="I66" s="12" t="n">
        <f aca="false">IF(H66&lt;=($F$14-$E$14)/($G$14-$E$14),$E$14+SQRT(H66*($G$14-$E$14)*($F$14-$E$14)),$G$14-SQRT((1-H66)*($G$14-$E$14)*($G$14-$F$14)))</f>
        <v>39113.788681133</v>
      </c>
      <c r="J66" s="15" t="n">
        <f aca="true">RAND()</f>
        <v>0.356040547619463</v>
      </c>
      <c r="K66" s="12" t="n">
        <f aca="false">IF(J66&lt;=($F$14-$E$14)/($G$14-$E$14),$E$14+SQRT(J66*($G$14-$E$14)*($F$14-$E$14)),$G$14-SQRT((1-J66)*($G$14-$E$14)*($G$14-$F$14)))</f>
        <v>37307.9465065721</v>
      </c>
      <c r="L66" s="15" t="n">
        <f aca="true">RAND()</f>
        <v>0.154767355006275</v>
      </c>
      <c r="M66" s="12" t="n">
        <f aca="false">IF(L66&lt;=($F$14-$E$14)/($G$14-$E$14),$E$14+SQRT(L66*($G$14-$E$14)*($F$14-$E$14)),$G$14-SQRT((1-L66)*($G$14-$E$14)*($G$14-$F$14)))</f>
        <v>34818.2053973384</v>
      </c>
      <c r="N66" s="15" t="n">
        <f aca="true">RAND()</f>
        <v>0.446919279477423</v>
      </c>
      <c r="O66" s="12" t="n">
        <f aca="false">IF(N66&lt;=($F$14-$E$14)/($G$14-$E$14),$E$14+SQRT(N66*($G$14-$E$14)*($F$14-$E$14)),$G$14-SQRT((1-N66)*($G$14-$E$14)*($G$14-$F$14)))</f>
        <v>38187.6670622109</v>
      </c>
      <c r="P66" s="15" t="n">
        <f aca="true">RAND()</f>
        <v>0.818856429733209</v>
      </c>
      <c r="Q66" s="16" t="n">
        <f aca="false">IF(P66&lt;=($F$15-$E$15)/($G$15-$E$15),$E$15+SQRT(P66*($G$15-$E$15)*($F$15-$E$15)),$G$15-SQRT((1-P66)*($G$15-$E$15)*($G$15-$F$15)))</f>
        <v>16.1942912015493</v>
      </c>
      <c r="R66" s="15" t="n">
        <f aca="true">RAND()</f>
        <v>0.529996357274066</v>
      </c>
      <c r="S66" s="16" t="n">
        <f aca="false">IF(R66&lt;=($F$16-$E$16)/($G$16-$E$16),$E$16+SQRT(R66*($G$16-$E$16)*($F$16-$E$16)),$G$16-SQRT((1-R66)*($G$16-$E$16)*($G$16-$F$16)))</f>
        <v>15.0913808140173</v>
      </c>
      <c r="T66" s="15" t="n">
        <f aca="true">RAND()</f>
        <v>0.250749708798956</v>
      </c>
      <c r="U66" s="16" t="n">
        <f aca="false">IF(T66&lt;=($F$17-$E$17)/($G$17-$E$17),$E$17+SQRT(T66*($G$17-$E$17)*($F$17-$E$17)),$G$17-SQRT((1-T66)*($G$17-$E$17)*($G$17-$F$17)))</f>
        <v>17.2947208729556</v>
      </c>
      <c r="V66" s="15" t="n">
        <f aca="true">RAND()</f>
        <v>0.588743079031994</v>
      </c>
      <c r="W66" s="16" t="n">
        <f aca="false">IF(V66&lt;=($F$18-$E$18)/($G$18-$E$18),$E$18+SQRT(V66*($G$18-$E$18)*($F$18-$E$18)),$G$18-SQRT((1-V66)*($G$18-$E$18)*($G$18-$F$18)))</f>
        <v>21.2060584830706</v>
      </c>
      <c r="X66" s="15" t="n">
        <f aca="true">RAND()</f>
        <v>0.864862333018213</v>
      </c>
      <c r="Y66" s="16" t="n">
        <f aca="false">IF(X66&lt;=($F$19-$E$19)/($G$19-$E$19),$E$19+SQRT(X66*($G$19-$E$19)*($F$19-$E$19)),$G$19-SQRT((1-X66)*($G$19-$E$19)*($G$19-$F$19)))</f>
        <v>25.2986236809699</v>
      </c>
      <c r="Z66" s="12" t="n">
        <f aca="false">G66*(1+Q66/100)</f>
        <v>47697.7834907465</v>
      </c>
      <c r="AA66" s="12" t="n">
        <f aca="false">I66*(1+Q66/100)*(1+S66/100)</f>
        <v>52306.7186909094</v>
      </c>
      <c r="AB66" s="12" t="n">
        <f aca="false">K66*(1+Q66/100)*(1+S66/100)*(1+U66/100)</f>
        <v>58520.4157831279</v>
      </c>
      <c r="AC66" s="12" t="n">
        <f aca="false">M66*(1+Q66/100)*(1+S66/100)*(1+U66/100)*(1+W66/100)</f>
        <v>66196.7654543217</v>
      </c>
      <c r="AD66" s="12" t="n">
        <f aca="false">O66*(1+Q66/100)*(1+S66/100)*(1+U66/100)*(1+W66/100)*(1+Y66/100)</f>
        <v>90970.3392725186</v>
      </c>
      <c r="AE66" s="12" t="n">
        <f aca="false">ABS(C66)/$B$7</f>
        <v>13417.4758895528</v>
      </c>
      <c r="AF66" s="12" t="n">
        <f aca="false">Z66-AE66</f>
        <v>34280.3076011937</v>
      </c>
      <c r="AG66" s="12" t="n">
        <f aca="false">AA66-AE66</f>
        <v>38889.2428013566</v>
      </c>
      <c r="AH66" s="12" t="n">
        <f aca="false">AB66-AE66</f>
        <v>45102.9398935751</v>
      </c>
      <c r="AI66" s="12" t="n">
        <f aca="false">AC66-AE66</f>
        <v>52779.2895647689</v>
      </c>
      <c r="AJ66" s="12" t="n">
        <f aca="false">AD66-AE66</f>
        <v>77552.8633829658</v>
      </c>
      <c r="AK66" s="12" t="n">
        <f aca="false">AF66*$B$4</f>
        <v>17140.1538005969</v>
      </c>
      <c r="AL66" s="12" t="n">
        <f aca="false">AG66*$B$4</f>
        <v>19444.6214006783</v>
      </c>
      <c r="AM66" s="12" t="n">
        <f aca="false">AH66*$B$4</f>
        <v>22551.4699467876</v>
      </c>
      <c r="AN66" s="12" t="n">
        <f aca="false">AI66*$B$4</f>
        <v>26389.6447823845</v>
      </c>
      <c r="AO66" s="12" t="n">
        <f aca="false">AJ66*$B$4</f>
        <v>38776.4316914829</v>
      </c>
      <c r="AP66" s="12" t="n">
        <f aca="false">AF66-AK66</f>
        <v>17140.1538005969</v>
      </c>
      <c r="AQ66" s="12" t="n">
        <f aca="false">AG66-AL66</f>
        <v>19444.6214006783</v>
      </c>
      <c r="AR66" s="12" t="n">
        <f aca="false">AH66-AM66</f>
        <v>22551.4699467876</v>
      </c>
      <c r="AS66" s="12" t="n">
        <f aca="false">AI66-AN66</f>
        <v>26389.6447823845</v>
      </c>
      <c r="AT66" s="12" t="n">
        <f aca="false">AJ66-AO66</f>
        <v>38776.4316914829</v>
      </c>
      <c r="AU66" s="12" t="n">
        <f aca="false">0.2*ABS(C66)+1*ABS(E66)</f>
        <v>49725.8862658153</v>
      </c>
      <c r="AV66" s="12" t="n">
        <f aca="false">C66+E66</f>
        <v>-103395.789824027</v>
      </c>
      <c r="AW66" s="12" t="n">
        <f aca="false">AP66+AE66</f>
        <v>30557.6296901497</v>
      </c>
      <c r="AX66" s="12" t="n">
        <f aca="false">AQ66+AE66</f>
        <v>32862.0972902311</v>
      </c>
      <c r="AY66" s="12" t="n">
        <f aca="false">AR66+AE66</f>
        <v>35968.9458363404</v>
      </c>
      <c r="AZ66" s="12" t="n">
        <f aca="false">AS66+AE66</f>
        <v>39807.1206719373</v>
      </c>
      <c r="BA66" s="12" t="n">
        <f aca="false">AT66+AE66+AU66</f>
        <v>101919.793846851</v>
      </c>
      <c r="BB66" s="4" t="n">
        <f aca="false">IFERROR(IRR(AV66:BA66,0.15),"n/a")</f>
        <v>0.288772284152807</v>
      </c>
      <c r="BC66" s="12" t="n">
        <f aca="false">NPV($B$5,AW66:BA66)+AV66</f>
        <v>45106.6954003571</v>
      </c>
    </row>
    <row r="67" customFormat="false" ht="15" hidden="false" customHeight="false" outlineLevel="0" collapsed="false">
      <c r="A67" s="3" t="n">
        <v>43</v>
      </c>
      <c r="B67" s="15" t="n">
        <f aca="true">RAND()</f>
        <v>0.724968957194032</v>
      </c>
      <c r="C67" s="12" t="n">
        <f aca="false">IF(B67&lt;=($F$12-$E$12)/($G$12-$E$12),$E$12+SQRT(B67*($G$12-$E$12)*($F$12-$E$12)),$G$12-SQRT((1-B67)*($G$12-$E$12)*($G$12-$F$12)))</f>
        <v>-70504.8690690677</v>
      </c>
      <c r="D67" s="15" t="n">
        <f aca="true">RAND()</f>
        <v>0.508677335180723</v>
      </c>
      <c r="E67" s="12" t="n">
        <f aca="false">IF(D67&lt;=($F$13-$E$13)/($G$13-$E$13),$E$13+SQRT(D67*($G$13-$E$13)*($F$13-$E$13)),$G$13-SQRT((1-D67)*($G$13-$E$13)*($G$13-$F$13)))</f>
        <v>-31264.921278139</v>
      </c>
      <c r="F67" s="15" t="n">
        <f aca="true">RAND()</f>
        <v>0.652222002256037</v>
      </c>
      <c r="G67" s="12" t="n">
        <f aca="false">IF(F67&lt;=($F$14-$E$14)/($G$14-$E$14),$E$14+SQRT(F67*($G$14-$E$14)*($F$14-$E$14)),$G$14-SQRT((1-F67)*($G$14-$E$14)*($G$14-$F$14)))</f>
        <v>39891.071748724</v>
      </c>
      <c r="H67" s="15" t="n">
        <f aca="true">RAND()</f>
        <v>0.0509054017868238</v>
      </c>
      <c r="I67" s="12" t="n">
        <f aca="false">IF(H67&lt;=($F$14-$E$14)/($G$14-$E$14),$E$14+SQRT(H67*($G$14-$E$14)*($F$14-$E$14)),$G$14-SQRT((1-H67)*($G$14-$E$14)*($G$14-$F$14)))</f>
        <v>32763.2969923668</v>
      </c>
      <c r="J67" s="15" t="n">
        <f aca="true">RAND()</f>
        <v>0.627787291538275</v>
      </c>
      <c r="K67" s="12" t="n">
        <f aca="false">IF(J67&lt;=($F$14-$E$14)/($G$14-$E$14),$E$14+SQRT(J67*($G$14-$E$14)*($F$14-$E$14)),$G$14-SQRT((1-J67)*($G$14-$E$14)*($G$14-$F$14)))</f>
        <v>39704.0246151142</v>
      </c>
      <c r="L67" s="15" t="n">
        <f aca="true">RAND()</f>
        <v>0.642997073439415</v>
      </c>
      <c r="M67" s="12" t="n">
        <f aca="false">IF(L67&lt;=($F$14-$E$14)/($G$14-$E$14),$E$14+SQRT(L67*($G$14-$E$14)*($F$14-$E$14)),$G$14-SQRT((1-L67)*($G$14-$E$14)*($G$14-$F$14)))</f>
        <v>39820.8737399435</v>
      </c>
      <c r="N67" s="15" t="n">
        <f aca="true">RAND()</f>
        <v>0.0210247909592664</v>
      </c>
      <c r="O67" s="12" t="n">
        <f aca="false">IF(N67&lt;=($F$14-$E$14)/($G$14-$E$14),$E$14+SQRT(N67*($G$14-$E$14)*($F$14-$E$14)),$G$14-SQRT((1-N67)*($G$14-$E$14)*($G$14-$F$14)))</f>
        <v>31775.871235166</v>
      </c>
      <c r="P67" s="15" t="n">
        <f aca="true">RAND()</f>
        <v>0.62230153704733</v>
      </c>
      <c r="Q67" s="16" t="n">
        <f aca="false">IF(P67&lt;=($F$15-$E$15)/($G$15-$E$15),$E$15+SQRT(P67*($G$15-$E$15)*($F$15-$E$15)),$G$15-SQRT((1-P67)*($G$15-$E$15)*($G$15-$F$15)))</f>
        <v>15.3925927949114</v>
      </c>
      <c r="R67" s="15" t="n">
        <f aca="true">RAND()</f>
        <v>0.192778497146488</v>
      </c>
      <c r="S67" s="16" t="n">
        <f aca="false">IF(R67&lt;=($F$16-$E$16)/($G$16-$E$16),$E$16+SQRT(R67*($G$16-$E$16)*($F$16-$E$16)),$G$16-SQRT((1-R67)*($G$16-$E$16)*($G$16-$F$16)))</f>
        <v>13.8627970766127</v>
      </c>
      <c r="T67" s="15" t="n">
        <f aca="true">RAND()</f>
        <v>0.886644170273381</v>
      </c>
      <c r="U67" s="16" t="n">
        <f aca="false">IF(T67&lt;=($F$17-$E$17)/($G$17-$E$17),$E$17+SQRT(T67*($G$17-$E$17)*($F$17-$E$17)),$G$17-SQRT((1-T67)*($G$17-$E$17)*($G$17-$F$17)))</f>
        <v>20.2184379796523</v>
      </c>
      <c r="V67" s="15" t="n">
        <f aca="true">RAND()</f>
        <v>0.580327995993166</v>
      </c>
      <c r="W67" s="16" t="n">
        <f aca="false">IF(V67&lt;=($F$18-$E$18)/($G$18-$E$18),$E$18+SQRT(V67*($G$18-$E$18)*($F$18-$E$18)),$G$18-SQRT((1-V67)*($G$18-$E$18)*($G$18-$F$18)))</f>
        <v>21.1674394798987</v>
      </c>
      <c r="X67" s="15" t="n">
        <f aca="true">RAND()</f>
        <v>0.0835359418065061</v>
      </c>
      <c r="Y67" s="16" t="n">
        <f aca="false">IF(X67&lt;=($F$19-$E$19)/($G$19-$E$19),$E$19+SQRT(X67*($G$19-$E$19)*($F$19-$E$19)),$G$19-SQRT((1-X67)*($G$19-$E$19)*($G$19-$F$19)))</f>
        <v>20.5018223692487</v>
      </c>
      <c r="Z67" s="12" t="n">
        <f aca="false">G67*(1+Q67/100)</f>
        <v>46031.341984531</v>
      </c>
      <c r="AA67" s="12" t="n">
        <f aca="false">I67*(1+Q67/100)*(1+S67/100)</f>
        <v>43047.4448778661</v>
      </c>
      <c r="AB67" s="12" t="n">
        <f aca="false">K67*(1+Q67/100)*(1+S67/100)*(1+U67/100)</f>
        <v>62714.1285977456</v>
      </c>
      <c r="AC67" s="12" t="n">
        <f aca="false">M67*(1+Q67/100)*(1+S67/100)*(1+U67/100)*(1+W67/100)</f>
        <v>76212.7400917848</v>
      </c>
      <c r="AD67" s="12" t="n">
        <f aca="false">O67*(1+Q67/100)*(1+S67/100)*(1+U67/100)*(1+W67/100)*(1+Y67/100)</f>
        <v>73283.781809832</v>
      </c>
      <c r="AE67" s="12" t="n">
        <f aca="false">ABS(C67)/$B$7</f>
        <v>14100.9738138135</v>
      </c>
      <c r="AF67" s="12" t="n">
        <f aca="false">Z67-AE67</f>
        <v>31930.3681707174</v>
      </c>
      <c r="AG67" s="12" t="n">
        <f aca="false">AA67-AE67</f>
        <v>28946.4710640526</v>
      </c>
      <c r="AH67" s="12" t="n">
        <f aca="false">AB67-AE67</f>
        <v>48613.154783932</v>
      </c>
      <c r="AI67" s="12" t="n">
        <f aca="false">AC67-AE67</f>
        <v>62111.7662779712</v>
      </c>
      <c r="AJ67" s="12" t="n">
        <f aca="false">AD67-AE67</f>
        <v>59182.8079960184</v>
      </c>
      <c r="AK67" s="12" t="n">
        <f aca="false">AF67*$B$4</f>
        <v>15965.1840853587</v>
      </c>
      <c r="AL67" s="12" t="n">
        <f aca="false">AG67*$B$4</f>
        <v>14473.2355320263</v>
      </c>
      <c r="AM67" s="12" t="n">
        <f aca="false">AH67*$B$4</f>
        <v>24306.577391966</v>
      </c>
      <c r="AN67" s="12" t="n">
        <f aca="false">AI67*$B$4</f>
        <v>31055.8831389856</v>
      </c>
      <c r="AO67" s="12" t="n">
        <f aca="false">AJ67*$B$4</f>
        <v>29591.4039980092</v>
      </c>
      <c r="AP67" s="12" t="n">
        <f aca="false">AF67-AK67</f>
        <v>15965.1840853587</v>
      </c>
      <c r="AQ67" s="12" t="n">
        <f aca="false">AG67-AL67</f>
        <v>14473.2355320263</v>
      </c>
      <c r="AR67" s="12" t="n">
        <f aca="false">AH67-AM67</f>
        <v>24306.577391966</v>
      </c>
      <c r="AS67" s="12" t="n">
        <f aca="false">AI67-AN67</f>
        <v>31055.8831389856</v>
      </c>
      <c r="AT67" s="12" t="n">
        <f aca="false">AJ67-AO67</f>
        <v>29591.4039980092</v>
      </c>
      <c r="AU67" s="12" t="n">
        <f aca="false">0.2*ABS(C67)+1*ABS(E67)</f>
        <v>45365.8950919526</v>
      </c>
      <c r="AV67" s="12" t="n">
        <f aca="false">C67+E67</f>
        <v>-101769.790347207</v>
      </c>
      <c r="AW67" s="12" t="n">
        <f aca="false">AP67+AE67</f>
        <v>30066.1578991723</v>
      </c>
      <c r="AX67" s="12" t="n">
        <f aca="false">AQ67+AE67</f>
        <v>28574.2093458398</v>
      </c>
      <c r="AY67" s="12" t="n">
        <f aca="false">AR67+AE67</f>
        <v>38407.5512057796</v>
      </c>
      <c r="AZ67" s="12" t="n">
        <f aca="false">AS67+AE67</f>
        <v>45156.8569527992</v>
      </c>
      <c r="BA67" s="12" t="n">
        <f aca="false">AT67+AE67+AU67</f>
        <v>89058.2729037753</v>
      </c>
      <c r="BB67" s="4" t="n">
        <f aca="false">IFERROR(IRR(AV67:BA67,0.15),"n/a")</f>
        <v>0.280890576472359</v>
      </c>
      <c r="BC67" s="12" t="n">
        <f aca="false">NPV($B$5,AW67:BA67)+AV67</f>
        <v>41330.771490287</v>
      </c>
    </row>
    <row r="68" customFormat="false" ht="15" hidden="false" customHeight="false" outlineLevel="0" collapsed="false">
      <c r="A68" s="3" t="n">
        <v>44</v>
      </c>
      <c r="B68" s="15" t="n">
        <f aca="true">RAND()</f>
        <v>0.437977098639103</v>
      </c>
      <c r="C68" s="12" t="n">
        <f aca="false">IF(B68&lt;=($F$12-$E$12)/($G$12-$E$12),$E$12+SQRT(B68*($G$12-$E$12)*($F$12-$E$12)),$G$12-SQRT((1-B68)*($G$12-$E$12)*($G$12-$F$12)))</f>
        <v>-77074.631554391</v>
      </c>
      <c r="D68" s="15" t="n">
        <f aca="true">RAND()</f>
        <v>0.883365127439564</v>
      </c>
      <c r="E68" s="12" t="n">
        <f aca="false">IF(D68&lt;=($F$13-$E$13)/($G$13-$E$13),$E$13+SQRT(D68*($G$13-$E$13)*($F$13-$E$13)),$G$13-SQRT((1-D68)*($G$13-$E$13)*($G$13-$F$13)))</f>
        <v>-27957.6368002229</v>
      </c>
      <c r="F68" s="15" t="n">
        <f aca="true">RAND()</f>
        <v>0.358837444623314</v>
      </c>
      <c r="G68" s="12" t="n">
        <f aca="false">IF(F68&lt;=($F$14-$E$14)/($G$14-$E$14),$E$14+SQRT(F68*($G$14-$E$14)*($F$14-$E$14)),$G$14-SQRT((1-F68)*($G$14-$E$14)*($G$14-$F$14)))</f>
        <v>37336.5943525247</v>
      </c>
      <c r="H68" s="15" t="n">
        <f aca="true">RAND()</f>
        <v>0.965737695609807</v>
      </c>
      <c r="I68" s="12" t="n">
        <f aca="false">IF(H68&lt;=($F$14-$E$14)/($G$14-$E$14),$E$14+SQRT(H68*($G$14-$E$14)*($F$14-$E$14)),$G$14-SQRT((1-H68)*($G$14-$E$14)*($G$14-$F$14)))</f>
        <v>43396.9800908085</v>
      </c>
      <c r="J68" s="15" t="n">
        <f aca="true">RAND()</f>
        <v>0.709602867846429</v>
      </c>
      <c r="K68" s="12" t="n">
        <f aca="false">IF(J68&lt;=($F$14-$E$14)/($G$14-$E$14),$E$14+SQRT(J68*($G$14-$E$14)*($F$14-$E$14)),$G$14-SQRT((1-J68)*($G$14-$E$14)*($G$14-$F$14)))</f>
        <v>40333.1182882445</v>
      </c>
      <c r="L68" s="15" t="n">
        <f aca="true">RAND()</f>
        <v>0.249143700505667</v>
      </c>
      <c r="M68" s="12" t="n">
        <f aca="false">IF(L68&lt;=($F$14-$E$14)/($G$14-$E$14),$E$14+SQRT(L68*($G$14-$E$14)*($F$14-$E$14)),$G$14-SQRT((1-L68)*($G$14-$E$14)*($G$14-$F$14)))</f>
        <v>36113.2278769771</v>
      </c>
      <c r="N68" s="15" t="n">
        <f aca="true">RAND()</f>
        <v>0.734139195960708</v>
      </c>
      <c r="O68" s="12" t="n">
        <f aca="false">IF(N68&lt;=($F$14-$E$14)/($G$14-$E$14),$E$14+SQRT(N68*($G$14-$E$14)*($F$14-$E$14)),$G$14-SQRT((1-N68)*($G$14-$E$14)*($G$14-$F$14)))</f>
        <v>40534.626521449</v>
      </c>
      <c r="P68" s="15" t="n">
        <f aca="true">RAND()</f>
        <v>0.377701963491296</v>
      </c>
      <c r="Q68" s="16" t="n">
        <f aca="false">IF(P68&lt;=($F$15-$E$15)/($G$15-$E$15),$E$15+SQRT(P68*($G$15-$E$15)*($F$15-$E$15)),$G$15-SQRT((1-P68)*($G$15-$E$15)*($G$15-$F$15)))</f>
        <v>14.6074192878867</v>
      </c>
      <c r="R68" s="15" t="n">
        <f aca="true">RAND()</f>
        <v>0.353194859225525</v>
      </c>
      <c r="S68" s="16" t="n">
        <f aca="false">IF(R68&lt;=($F$16-$E$16)/($G$16-$E$16),$E$16+SQRT(R68*($G$16-$E$16)*($F$16-$E$16)),$G$16-SQRT((1-R68)*($G$16-$E$16)*($G$16-$F$16)))</f>
        <v>14.5214098171577</v>
      </c>
      <c r="T68" s="15" t="n">
        <f aca="true">RAND()</f>
        <v>0.528253565058225</v>
      </c>
      <c r="U68" s="16" t="n">
        <f aca="false">IF(T68&lt;=($F$17-$E$17)/($G$17-$E$17),$E$17+SQRT(T68*($G$17-$E$17)*($F$17-$E$17)),$G$17-SQRT((1-T68)*($G$17-$E$17)*($G$17-$F$17)))</f>
        <v>18.3655949347425</v>
      </c>
      <c r="V68" s="15" t="n">
        <f aca="true">RAND()</f>
        <v>0.106840429367195</v>
      </c>
      <c r="W68" s="16" t="n">
        <f aca="false">IF(V68&lt;=($F$18-$E$18)/($G$18-$E$18),$E$18+SQRT(V68*($G$18-$E$18)*($F$18-$E$18)),$G$18-SQRT((1-V68)*($G$18-$E$18)*($G$18-$F$18)))</f>
        <v>19.2230151311986</v>
      </c>
      <c r="X68" s="15" t="n">
        <f aca="true">RAND()</f>
        <v>0.000524750565139405</v>
      </c>
      <c r="Y68" s="16" t="n">
        <f aca="false">IF(X68&lt;=($F$19-$E$19)/($G$19-$E$19),$E$19+SQRT(X68*($G$19-$E$19)*($F$19-$E$19)),$G$19-SQRT((1-X68)*($G$19-$E$19)*($G$19-$F$19)))</f>
        <v>19.119030522383</v>
      </c>
      <c r="Z68" s="12" t="n">
        <f aca="false">G68*(1+Q68/100)</f>
        <v>42790.5072374154</v>
      </c>
      <c r="AA68" s="12" t="n">
        <f aca="false">I68*(1+Q68/100)*(1+S68/100)</f>
        <v>56958.5503966302</v>
      </c>
      <c r="AB68" s="12" t="n">
        <f aca="false">K68*(1+Q68/100)*(1+S68/100)*(1+U68/100)</f>
        <v>62659.4681670538</v>
      </c>
      <c r="AC68" s="12" t="n">
        <f aca="false">M68*(1+Q68/100)*(1+S68/100)*(1+U68/100)*(1+W68/100)</f>
        <v>66888.4779295734</v>
      </c>
      <c r="AD68" s="12" t="n">
        <f aca="false">O68*(1+Q68/100)*(1+S68/100)*(1+U68/100)*(1+W68/100)*(1+Y68/100)</f>
        <v>89431.8739927628</v>
      </c>
      <c r="AE68" s="12" t="n">
        <f aca="false">ABS(C68)/$B$7</f>
        <v>15414.9263108782</v>
      </c>
      <c r="AF68" s="12" t="n">
        <f aca="false">Z68-AE68</f>
        <v>27375.5809265372</v>
      </c>
      <c r="AG68" s="12" t="n">
        <f aca="false">AA68-AE68</f>
        <v>41543.624085752</v>
      </c>
      <c r="AH68" s="12" t="n">
        <f aca="false">AB68-AE68</f>
        <v>47244.5418561756</v>
      </c>
      <c r="AI68" s="12" t="n">
        <f aca="false">AC68-AE68</f>
        <v>51473.5516186952</v>
      </c>
      <c r="AJ68" s="12" t="n">
        <f aca="false">AD68-AE68</f>
        <v>74016.9476818846</v>
      </c>
      <c r="AK68" s="12" t="n">
        <f aca="false">AF68*$B$4</f>
        <v>13687.7904632686</v>
      </c>
      <c r="AL68" s="12" t="n">
        <f aca="false">AG68*$B$4</f>
        <v>20771.812042876</v>
      </c>
      <c r="AM68" s="12" t="n">
        <f aca="false">AH68*$B$4</f>
        <v>23622.2709280878</v>
      </c>
      <c r="AN68" s="12" t="n">
        <f aca="false">AI68*$B$4</f>
        <v>25736.7758093476</v>
      </c>
      <c r="AO68" s="12" t="n">
        <f aca="false">AJ68*$B$4</f>
        <v>37008.4738409423</v>
      </c>
      <c r="AP68" s="12" t="n">
        <f aca="false">AF68-AK68</f>
        <v>13687.7904632686</v>
      </c>
      <c r="AQ68" s="12" t="n">
        <f aca="false">AG68-AL68</f>
        <v>20771.812042876</v>
      </c>
      <c r="AR68" s="12" t="n">
        <f aca="false">AH68-AM68</f>
        <v>23622.2709280878</v>
      </c>
      <c r="AS68" s="12" t="n">
        <f aca="false">AI68-AN68</f>
        <v>25736.7758093476</v>
      </c>
      <c r="AT68" s="12" t="n">
        <f aca="false">AJ68-AO68</f>
        <v>37008.4738409423</v>
      </c>
      <c r="AU68" s="12" t="n">
        <f aca="false">0.2*ABS(C68)+1*ABS(E68)</f>
        <v>43372.5631111011</v>
      </c>
      <c r="AV68" s="12" t="n">
        <f aca="false">C68+E68</f>
        <v>-105032.268354614</v>
      </c>
      <c r="AW68" s="12" t="n">
        <f aca="false">AP68+AE68</f>
        <v>29102.7167741468</v>
      </c>
      <c r="AX68" s="12" t="n">
        <f aca="false">AQ68+AE68</f>
        <v>36186.7383537542</v>
      </c>
      <c r="AY68" s="12" t="n">
        <f aca="false">AR68+AE68</f>
        <v>39037.197238966</v>
      </c>
      <c r="AZ68" s="12" t="n">
        <f aca="false">AS68+AE68</f>
        <v>41151.7021202258</v>
      </c>
      <c r="BA68" s="12" t="n">
        <f aca="false">AT68+AE68+AU68</f>
        <v>95795.9632629216</v>
      </c>
      <c r="BB68" s="4" t="n">
        <f aca="false">IFERROR(IRR(AV68:BA68,0.15),"n/a")</f>
        <v>0.286470839542038</v>
      </c>
      <c r="BC68" s="12" t="n">
        <f aca="false">NPV($B$5,AW68:BA68)+AV68</f>
        <v>44460.549302092</v>
      </c>
    </row>
    <row r="69" customFormat="false" ht="15" hidden="false" customHeight="false" outlineLevel="0" collapsed="false">
      <c r="A69" s="3" t="n">
        <v>45</v>
      </c>
      <c r="B69" s="15" t="n">
        <f aca="true">RAND()</f>
        <v>0.990406836380075</v>
      </c>
      <c r="C69" s="12" t="n">
        <f aca="false">IF(B69&lt;=($F$12-$E$12)/($G$12-$E$12),$E$12+SQRT(B69*($G$12-$E$12)*($F$12-$E$12)),$G$12-SQRT((1-B69)*($G$12-$E$12)*($G$12-$F$12)))</f>
        <v>-61958.8939348444</v>
      </c>
      <c r="D69" s="15" t="n">
        <f aca="true">RAND()</f>
        <v>0.0123711535344294</v>
      </c>
      <c r="E69" s="12" t="n">
        <f aca="false">IF(D69&lt;=($F$13-$E$13)/($G$13-$E$13),$E$13+SQRT(D69*($G$13-$E$13)*($F$13-$E$13)),$G$13-SQRT((1-D69)*($G$13-$E$13)*($G$13-$F$13)))</f>
        <v>-38637.7690980732</v>
      </c>
      <c r="F69" s="15" t="n">
        <f aca="true">RAND()</f>
        <v>0.0223050180191208</v>
      </c>
      <c r="G69" s="12" t="n">
        <f aca="false">IF(F69&lt;=($F$14-$E$14)/($G$14-$E$14),$E$14+SQRT(F69*($G$14-$E$14)*($F$14-$E$14)),$G$14-SQRT((1-F69)*($G$14-$E$14)*($G$14-$F$14)))</f>
        <v>31829.1398806182</v>
      </c>
      <c r="H69" s="15" t="n">
        <f aca="true">RAND()</f>
        <v>0.0617823775443646</v>
      </c>
      <c r="I69" s="12" t="n">
        <f aca="false">IF(H69&lt;=($F$14-$E$14)/($G$14-$E$14),$E$14+SQRT(H69*($G$14-$E$14)*($F$14-$E$14)),$G$14-SQRT((1-H69)*($G$14-$E$14)*($G$14-$F$14)))</f>
        <v>33044.2333405399</v>
      </c>
      <c r="J69" s="15" t="n">
        <f aca="true">RAND()</f>
        <v>0.305955165017005</v>
      </c>
      <c r="K69" s="12" t="n">
        <f aca="false">IF(J69&lt;=($F$14-$E$14)/($G$14-$E$14),$E$14+SQRT(J69*($G$14-$E$14)*($F$14-$E$14)),$G$14-SQRT((1-J69)*($G$14-$E$14)*($G$14-$F$14)))</f>
        <v>36774.4575245957</v>
      </c>
      <c r="L69" s="15" t="n">
        <f aca="true">RAND()</f>
        <v>0.067509290175546</v>
      </c>
      <c r="M69" s="12" t="n">
        <f aca="false">IF(L69&lt;=($F$14-$E$14)/($G$14-$E$14),$E$14+SQRT(L69*($G$14-$E$14)*($F$14-$E$14)),$G$14-SQRT((1-L69)*($G$14-$E$14)*($G$14-$F$14)))</f>
        <v>33182.1994793432</v>
      </c>
      <c r="N69" s="15" t="n">
        <f aca="true">RAND()</f>
        <v>0.541279220680995</v>
      </c>
      <c r="O69" s="12" t="n">
        <f aca="false">IF(N69&lt;=($F$14-$E$14)/($G$14-$E$14),$E$14+SQRT(N69*($G$14-$E$14)*($F$14-$E$14)),$G$14-SQRT((1-N69)*($G$14-$E$14)*($G$14-$F$14)))</f>
        <v>39010.6538665154</v>
      </c>
      <c r="P69" s="15" t="n">
        <f aca="true">RAND()</f>
        <v>0.397006259697524</v>
      </c>
      <c r="Q69" s="16" t="n">
        <f aca="false">IF(P69&lt;=($F$15-$E$15)/($G$15-$E$15),$E$15+SQRT(P69*($G$15-$E$15)*($F$15-$E$15)),$G$15-SQRT((1-P69)*($G$15-$E$15)*($G$15-$F$15)))</f>
        <v>14.6732214039536</v>
      </c>
      <c r="R69" s="15" t="n">
        <f aca="true">RAND()</f>
        <v>0.491219846790173</v>
      </c>
      <c r="S69" s="16" t="n">
        <f aca="false">IF(R69&lt;=($F$16-$E$16)/($G$16-$E$16),$E$16+SQRT(R69*($G$16-$E$16)*($F$16-$E$16)),$G$16-SQRT((1-R69)*($G$16-$E$16)*($G$16-$F$16)))</f>
        <v>14.9735428771456</v>
      </c>
      <c r="T69" s="15" t="n">
        <f aca="true">RAND()</f>
        <v>0.0547496761048368</v>
      </c>
      <c r="U69" s="16" t="n">
        <f aca="false">IF(T69&lt;=($F$17-$E$17)/($G$17-$E$17),$E$17+SQRT(T69*($G$17-$E$17)*($F$17-$E$17)),$G$17-SQRT((1-T69)*($G$17-$E$17)*($G$17-$F$17)))</f>
        <v>16.0722607883354</v>
      </c>
      <c r="V69" s="15" t="n">
        <f aca="true">RAND()</f>
        <v>0.182552497408661</v>
      </c>
      <c r="W69" s="16" t="n">
        <f aca="false">IF(V69&lt;=($F$18-$E$18)/($G$18-$E$18),$E$18+SQRT(V69*($G$18-$E$18)*($F$18-$E$18)),$G$18-SQRT((1-V69)*($G$18-$E$18)*($G$18-$F$18)))</f>
        <v>19.5986666205689</v>
      </c>
      <c r="X69" s="15" t="n">
        <f aca="true">RAND()</f>
        <v>0.794594838162946</v>
      </c>
      <c r="Y69" s="16" t="n">
        <f aca="false">IF(X69&lt;=($F$19-$E$19)/($G$19-$E$19),$E$19+SQRT(X69*($G$19-$E$19)*($F$19-$E$19)),$G$19-SQRT((1-X69)*($G$19-$E$19)*($G$19-$F$19)))</f>
        <v>24.6695527718937</v>
      </c>
      <c r="Z69" s="12" t="n">
        <f aca="false">G69*(1+Q69/100)</f>
        <v>36499.5000462754</v>
      </c>
      <c r="AA69" s="12" t="n">
        <f aca="false">I69*(1+Q69/100)*(1+S69/100)</f>
        <v>43566.7945211822</v>
      </c>
      <c r="AB69" s="12" t="n">
        <f aca="false">K69*(1+Q69/100)*(1+S69/100)*(1+U69/100)</f>
        <v>56277.4804229953</v>
      </c>
      <c r="AC69" s="12" t="n">
        <f aca="false">M69*(1+Q69/100)*(1+S69/100)*(1+U69/100)*(1+W69/100)</f>
        <v>60732.3209164973</v>
      </c>
      <c r="AD69" s="12" t="n">
        <f aca="false">O69*(1+Q69/100)*(1+S69/100)*(1+U69/100)*(1+W69/100)*(1+Y69/100)</f>
        <v>89014.0045837502</v>
      </c>
      <c r="AE69" s="12" t="n">
        <f aca="false">ABS(C69)/$B$7</f>
        <v>12391.7787869689</v>
      </c>
      <c r="AF69" s="12" t="n">
        <f aca="false">Z69-AE69</f>
        <v>24107.7212593066</v>
      </c>
      <c r="AG69" s="12" t="n">
        <f aca="false">AA69-AE69</f>
        <v>31175.0157342133</v>
      </c>
      <c r="AH69" s="12" t="n">
        <f aca="false">AB69-AE69</f>
        <v>43885.7016360264</v>
      </c>
      <c r="AI69" s="12" t="n">
        <f aca="false">AC69-AE69</f>
        <v>48340.5421295284</v>
      </c>
      <c r="AJ69" s="12" t="n">
        <f aca="false">AD69-AE69</f>
        <v>76622.2257967814</v>
      </c>
      <c r="AK69" s="12" t="n">
        <f aca="false">AF69*$B$4</f>
        <v>12053.8606296533</v>
      </c>
      <c r="AL69" s="12" t="n">
        <f aca="false">AG69*$B$4</f>
        <v>15587.5078671067</v>
      </c>
      <c r="AM69" s="12" t="n">
        <f aca="false">AH69*$B$4</f>
        <v>21942.8508180132</v>
      </c>
      <c r="AN69" s="12" t="n">
        <f aca="false">AI69*$B$4</f>
        <v>24170.2710647642</v>
      </c>
      <c r="AO69" s="12" t="n">
        <f aca="false">AJ69*$B$4</f>
        <v>38311.1128983907</v>
      </c>
      <c r="AP69" s="12" t="n">
        <f aca="false">AF69-AK69</f>
        <v>12053.8606296533</v>
      </c>
      <c r="AQ69" s="12" t="n">
        <f aca="false">AG69-AL69</f>
        <v>15587.5078671067</v>
      </c>
      <c r="AR69" s="12" t="n">
        <f aca="false">AH69-AM69</f>
        <v>21942.8508180132</v>
      </c>
      <c r="AS69" s="12" t="n">
        <f aca="false">AI69-AN69</f>
        <v>24170.2710647642</v>
      </c>
      <c r="AT69" s="12" t="n">
        <f aca="false">AJ69-AO69</f>
        <v>38311.1128983907</v>
      </c>
      <c r="AU69" s="12" t="n">
        <f aca="false">0.2*ABS(C69)+1*ABS(E69)</f>
        <v>51029.547885042</v>
      </c>
      <c r="AV69" s="12" t="n">
        <f aca="false">C69+E69</f>
        <v>-100596.663032918</v>
      </c>
      <c r="AW69" s="12" t="n">
        <f aca="false">AP69+AE69</f>
        <v>24445.6394166222</v>
      </c>
      <c r="AX69" s="12" t="n">
        <f aca="false">AQ69+AE69</f>
        <v>27979.2866540755</v>
      </c>
      <c r="AY69" s="12" t="n">
        <f aca="false">AR69+AE69</f>
        <v>34334.6296049821</v>
      </c>
      <c r="AZ69" s="12" t="n">
        <f aca="false">AS69+AE69</f>
        <v>36562.0498517331</v>
      </c>
      <c r="BA69" s="12" t="n">
        <f aca="false">AT69+AE69+AU69</f>
        <v>101732.439570402</v>
      </c>
      <c r="BB69" s="4" t="n">
        <f aca="false">IFERROR(IRR(AV69:BA69,0.15),"n/a")</f>
        <v>0.260513550918669</v>
      </c>
      <c r="BC69" s="12" t="n">
        <f aca="false">NPV($B$5,AW69:BA69)+AV69</f>
        <v>35875.8242872488</v>
      </c>
    </row>
    <row r="70" customFormat="false" ht="15" hidden="false" customHeight="false" outlineLevel="0" collapsed="false">
      <c r="A70" s="3" t="n">
        <v>46</v>
      </c>
      <c r="B70" s="15" t="n">
        <f aca="true">RAND()</f>
        <v>0.326686322697459</v>
      </c>
      <c r="C70" s="12" t="n">
        <f aca="false">IF(B70&lt;=($F$12-$E$12)/($G$12-$E$12),$E$12+SQRT(B70*($G$12-$E$12)*($F$12-$E$12)),$G$12-SQRT((1-B70)*($G$12-$E$12)*($G$12-$F$12)))</f>
        <v>-80200.4144680513</v>
      </c>
      <c r="D70" s="15" t="n">
        <f aca="true">RAND()</f>
        <v>0.851365988645399</v>
      </c>
      <c r="E70" s="12" t="n">
        <f aca="false">IF(D70&lt;=($F$13-$E$13)/($G$13-$E$13),$E$13+SQRT(D70*($G$13-$E$13)*($F$13-$E$13)),$G$13-SQRT((1-D70)*($G$13-$E$13)*($G$13-$F$13)))</f>
        <v>-28338.7948202301</v>
      </c>
      <c r="F70" s="15" t="n">
        <f aca="true">RAND()</f>
        <v>0.0621413967013247</v>
      </c>
      <c r="G70" s="12" t="n">
        <f aca="false">IF(F70&lt;=($F$14-$E$14)/($G$14-$E$14),$E$14+SQRT(F70*($G$14-$E$14)*($F$14-$E$14)),$G$14-SQRT((1-F70)*($G$14-$E$14)*($G$14-$F$14)))</f>
        <v>33053.0655913686</v>
      </c>
      <c r="H70" s="15" t="n">
        <f aca="true">RAND()</f>
        <v>0.0780376421265082</v>
      </c>
      <c r="I70" s="12" t="n">
        <f aca="false">IF(H70&lt;=($F$14-$E$14)/($G$14-$E$14),$E$14+SQRT(H70*($G$14-$E$14)*($F$14-$E$14)),$G$14-SQRT((1-H70)*($G$14-$E$14)*($G$14-$F$14)))</f>
        <v>33421.3515339667</v>
      </c>
      <c r="J70" s="15" t="n">
        <f aca="true">RAND()</f>
        <v>0.518318575361912</v>
      </c>
      <c r="K70" s="12" t="n">
        <f aca="false">IF(J70&lt;=($F$14-$E$14)/($G$14-$E$14),$E$14+SQRT(J70*($G$14-$E$14)*($F$14-$E$14)),$G$14-SQRT((1-J70)*($G$14-$E$14)*($G$14-$F$14)))</f>
        <v>38817.4705162131</v>
      </c>
      <c r="L70" s="15" t="n">
        <f aca="true">RAND()</f>
        <v>0.675229525435525</v>
      </c>
      <c r="M70" s="12" t="n">
        <f aca="false">IF(L70&lt;=($F$14-$E$14)/($G$14-$E$14),$E$14+SQRT(L70*($G$14-$E$14)*($F$14-$E$14)),$G$14-SQRT((1-L70)*($G$14-$E$14)*($G$14-$F$14)))</f>
        <v>40064.6392642143</v>
      </c>
      <c r="N70" s="15" t="n">
        <f aca="true">RAND()</f>
        <v>0.212130876606267</v>
      </c>
      <c r="O70" s="12" t="n">
        <f aca="false">IF(N70&lt;=($F$14-$E$14)/($G$14-$E$14),$E$14+SQRT(N70*($G$14-$E$14)*($F$14-$E$14)),$G$14-SQRT((1-N70)*($G$14-$E$14)*($G$14-$F$14)))</f>
        <v>35640.8892464699</v>
      </c>
      <c r="P70" s="15" t="n">
        <f aca="true">RAND()</f>
        <v>0.194934388680091</v>
      </c>
      <c r="Q70" s="16" t="n">
        <f aca="false">IF(P70&lt;=($F$15-$E$15)/($G$15-$E$15),$E$15+SQRT(P70*($G$15-$E$15)*($F$15-$E$15)),$G$15-SQRT((1-P70)*($G$15-$E$15)*($G$15-$F$15)))</f>
        <v>13.8731841864167</v>
      </c>
      <c r="R70" s="15" t="n">
        <f aca="true">RAND()</f>
        <v>0.347946633369788</v>
      </c>
      <c r="S70" s="16" t="n">
        <f aca="false">IF(R70&lt;=($F$16-$E$16)/($G$16-$E$16),$E$16+SQRT(R70*($G$16-$E$16)*($F$16-$E$16)),$G$16-SQRT((1-R70)*($G$16-$E$16)*($G$16-$F$16)))</f>
        <v>14.5026065213405</v>
      </c>
      <c r="T70" s="15" t="n">
        <f aca="true">RAND()</f>
        <v>0.835506753616449</v>
      </c>
      <c r="U70" s="16" t="n">
        <f aca="false">IF(T70&lt;=($F$17-$E$17)/($G$17-$E$17),$E$17+SQRT(T70*($G$17-$E$17)*($F$17-$E$17)),$G$17-SQRT((1-T70)*($G$17-$E$17)*($G$17-$F$17)))</f>
        <v>19.8538846958424</v>
      </c>
      <c r="V70" s="15" t="n">
        <f aca="true">RAND()</f>
        <v>0.858985039176979</v>
      </c>
      <c r="W70" s="16" t="n">
        <f aca="false">IF(V70&lt;=($F$18-$E$18)/($G$18-$E$18),$E$18+SQRT(V70*($G$18-$E$18)*($F$18-$E$18)),$G$18-SQRT((1-V70)*($G$18-$E$18)*($G$18-$F$18)))</f>
        <v>22.7783961584464</v>
      </c>
      <c r="X70" s="15" t="n">
        <f aca="true">RAND()</f>
        <v>0.384984360006111</v>
      </c>
      <c r="Y70" s="16" t="n">
        <f aca="false">IF(X70&lt;=($F$19-$E$19)/($G$19-$E$19),$E$19+SQRT(X70*($G$19-$E$19)*($F$19-$E$19)),$G$19-SQRT((1-X70)*($G$19-$E$19)*($G$19-$F$19)))</f>
        <v>22.2371149100759</v>
      </c>
      <c r="Z70" s="12" t="n">
        <f aca="false">G70*(1+Q70/100)</f>
        <v>37638.5782601163</v>
      </c>
      <c r="AA70" s="12" t="n">
        <f aca="false">I70*(1+Q70/100)*(1+S70/100)</f>
        <v>43577.3529711699</v>
      </c>
      <c r="AB70" s="12" t="n">
        <f aca="false">K70*(1+Q70/100)*(1+S70/100)*(1+U70/100)</f>
        <v>60661.9245496537</v>
      </c>
      <c r="AC70" s="12" t="n">
        <f aca="false">M70*(1+Q70/100)*(1+S70/100)*(1+U70/100)*(1+W70/100)</f>
        <v>76872.7018381055</v>
      </c>
      <c r="AD70" s="12" t="n">
        <f aca="false">O70*(1+Q70/100)*(1+S70/100)*(1+U70/100)*(1+W70/100)*(1+Y70/100)</f>
        <v>83591.5793767073</v>
      </c>
      <c r="AE70" s="12" t="n">
        <f aca="false">ABS(C70)/$B$7</f>
        <v>16040.0828936103</v>
      </c>
      <c r="AF70" s="12" t="n">
        <f aca="false">Z70-AE70</f>
        <v>21598.495366506</v>
      </c>
      <c r="AG70" s="12" t="n">
        <f aca="false">AA70-AE70</f>
        <v>27537.2700775596</v>
      </c>
      <c r="AH70" s="12" t="n">
        <f aca="false">AB70-AE70</f>
        <v>44621.8416560434</v>
      </c>
      <c r="AI70" s="12" t="n">
        <f aca="false">AC70-AE70</f>
        <v>60832.6189444953</v>
      </c>
      <c r="AJ70" s="12" t="n">
        <f aca="false">AD70-AE70</f>
        <v>67551.496483097</v>
      </c>
      <c r="AK70" s="12" t="n">
        <f aca="false">AF70*$B$4</f>
        <v>10799.247683253</v>
      </c>
      <c r="AL70" s="12" t="n">
        <f aca="false">AG70*$B$4</f>
        <v>13768.6350387798</v>
      </c>
      <c r="AM70" s="12" t="n">
        <f aca="false">AH70*$B$4</f>
        <v>22310.9208280217</v>
      </c>
      <c r="AN70" s="12" t="n">
        <f aca="false">AI70*$B$4</f>
        <v>30416.3094722476</v>
      </c>
      <c r="AO70" s="12" t="n">
        <f aca="false">AJ70*$B$4</f>
        <v>33775.7482415485</v>
      </c>
      <c r="AP70" s="12" t="n">
        <f aca="false">AF70-AK70</f>
        <v>10799.247683253</v>
      </c>
      <c r="AQ70" s="12" t="n">
        <f aca="false">AG70-AL70</f>
        <v>13768.6350387798</v>
      </c>
      <c r="AR70" s="12" t="n">
        <f aca="false">AH70-AM70</f>
        <v>22310.9208280217</v>
      </c>
      <c r="AS70" s="12" t="n">
        <f aca="false">AI70-AN70</f>
        <v>30416.3094722476</v>
      </c>
      <c r="AT70" s="12" t="n">
        <f aca="false">AJ70-AO70</f>
        <v>33775.7482415485</v>
      </c>
      <c r="AU70" s="12" t="n">
        <f aca="false">0.2*ABS(C70)+1*ABS(E70)</f>
        <v>44378.8777138403</v>
      </c>
      <c r="AV70" s="12" t="n">
        <f aca="false">C70+E70</f>
        <v>-108539.209288281</v>
      </c>
      <c r="AW70" s="12" t="n">
        <f aca="false">AP70+AE70</f>
        <v>26839.3305768633</v>
      </c>
      <c r="AX70" s="12" t="n">
        <f aca="false">AQ70+AE70</f>
        <v>29808.7179323901</v>
      </c>
      <c r="AY70" s="12" t="n">
        <f aca="false">AR70+AE70</f>
        <v>38351.003721632</v>
      </c>
      <c r="AZ70" s="12" t="n">
        <f aca="false">AS70+AE70</f>
        <v>46456.3923658579</v>
      </c>
      <c r="BA70" s="12" t="n">
        <f aca="false">AT70+AE70+AU70</f>
        <v>94194.7088489991</v>
      </c>
      <c r="BB70" s="4" t="n">
        <f aca="false">IFERROR(IRR(AV70:BA70,0.15),"n/a")</f>
        <v>0.255575450194939</v>
      </c>
      <c r="BC70" s="12" t="n">
        <f aca="false">NPV($B$5,AW70:BA70)+AV70</f>
        <v>35948.4307529123</v>
      </c>
    </row>
    <row r="71" customFormat="false" ht="15" hidden="false" customHeight="false" outlineLevel="0" collapsed="false">
      <c r="A71" s="3" t="n">
        <v>47</v>
      </c>
      <c r="B71" s="15" t="n">
        <f aca="true">RAND()</f>
        <v>0.00191501180759398</v>
      </c>
      <c r="C71" s="12" t="n">
        <f aca="false">IF(B71&lt;=($F$12-$E$12)/($G$12-$E$12),$E$12+SQRT(B71*($G$12-$E$12)*($F$12-$E$12)),$G$12-SQRT((1-B71)*($G$12-$E$12)*($G$12-$F$12)))</f>
        <v>-98484.0797616257</v>
      </c>
      <c r="D71" s="15" t="n">
        <f aca="true">RAND()</f>
        <v>0.965347275039648</v>
      </c>
      <c r="E71" s="12" t="n">
        <f aca="false">IF(D71&lt;=($F$13-$E$13)/($G$13-$E$13),$E$13+SQRT(D71*($G$13-$E$13)*($F$13-$E$13)),$G$13-SQRT((1-D71)*($G$13-$E$13)*($G$13-$F$13)))</f>
        <v>-26612.1272815837</v>
      </c>
      <c r="F71" s="15" t="n">
        <f aca="true">RAND()</f>
        <v>0.105278853338688</v>
      </c>
      <c r="G71" s="12" t="n">
        <f aca="false">IF(F71&lt;=($F$14-$E$14)/($G$14-$E$14),$E$14+SQRT(F71*($G$14-$E$14)*($F$14-$E$14)),$G$14-SQRT((1-F71)*($G$14-$E$14)*($G$14-$F$14)))</f>
        <v>33973.893305161</v>
      </c>
      <c r="H71" s="15" t="n">
        <f aca="true">RAND()</f>
        <v>0.595877081038206</v>
      </c>
      <c r="I71" s="12" t="n">
        <f aca="false">IF(H71&lt;=($F$14-$E$14)/($G$14-$E$14),$E$14+SQRT(H71*($G$14-$E$14)*($F$14-$E$14)),$G$14-SQRT((1-H71)*($G$14-$E$14)*($G$14-$F$14)))</f>
        <v>39454.1822573785</v>
      </c>
      <c r="J71" s="15" t="n">
        <f aca="true">RAND()</f>
        <v>0.909165866598666</v>
      </c>
      <c r="K71" s="12" t="n">
        <f aca="false">IF(J71&lt;=($F$14-$E$14)/($G$14-$E$14),$E$14+SQRT(J71*($G$14-$E$14)*($F$14-$E$14)),$G$14-SQRT((1-J71)*($G$14-$E$14)*($G$14-$F$14)))</f>
        <v>42389.9118779053</v>
      </c>
      <c r="L71" s="15" t="n">
        <f aca="true">RAND()</f>
        <v>0.262804453730213</v>
      </c>
      <c r="M71" s="12" t="n">
        <f aca="false">IF(L71&lt;=($F$14-$E$14)/($G$14-$E$14),$E$14+SQRT(L71*($G$14-$E$14)*($F$14-$E$14)),$G$14-SQRT((1-L71)*($G$14-$E$14)*($G$14-$F$14)))</f>
        <v>36278.5880625768</v>
      </c>
      <c r="N71" s="15" t="n">
        <f aca="true">RAND()</f>
        <v>0.0422971380975318</v>
      </c>
      <c r="O71" s="12" t="n">
        <f aca="false">IF(N71&lt;=($F$14-$E$14)/($G$14-$E$14),$E$14+SQRT(N71*($G$14-$E$14)*($F$14-$E$14)),$G$14-SQRT((1-N71)*($G$14-$E$14)*($G$14-$F$14)))</f>
        <v>32518.8431302147</v>
      </c>
      <c r="P71" s="15" t="n">
        <f aca="true">RAND()</f>
        <v>0.577323324219639</v>
      </c>
      <c r="Q71" s="16" t="n">
        <f aca="false">IF(P71&lt;=($F$15-$E$15)/($G$15-$E$15),$E$15+SQRT(P71*($G$15-$E$15)*($F$15-$E$15)),$G$15-SQRT((1-P71)*($G$15-$E$15)*($G$15-$F$15)))</f>
        <v>15.2417070199041</v>
      </c>
      <c r="R71" s="15" t="n">
        <f aca="true">RAND()</f>
        <v>0.705103167941731</v>
      </c>
      <c r="S71" s="16" t="n">
        <f aca="false">IF(R71&lt;=($F$16-$E$16)/($G$16-$E$16),$E$16+SQRT(R71*($G$16-$E$16)*($F$16-$E$16)),$G$16-SQRT((1-R71)*($G$16-$E$16)*($G$16-$F$16)))</f>
        <v>15.6960592505342</v>
      </c>
      <c r="T71" s="15" t="n">
        <f aca="true">RAND()</f>
        <v>0.476910298132446</v>
      </c>
      <c r="U71" s="16" t="n">
        <f aca="false">IF(T71&lt;=($F$17-$E$17)/($G$17-$E$17),$E$17+SQRT(T71*($G$17-$E$17)*($F$17-$E$17)),$G$17-SQRT((1-T71)*($G$17-$E$17)*($G$17-$F$17)))</f>
        <v>18.1729238768622</v>
      </c>
      <c r="V71" s="15" t="n">
        <f aca="true">RAND()</f>
        <v>0.260014126981766</v>
      </c>
      <c r="W71" s="16" t="n">
        <f aca="false">IF(V71&lt;=($F$18-$E$18)/($G$18-$E$18),$E$18+SQRT(V71*($G$18-$E$18)*($F$18-$E$18)),$G$18-SQRT((1-V71)*($G$18-$E$18)*($G$18-$F$18)))</f>
        <v>19.9079302339826</v>
      </c>
      <c r="X71" s="15" t="n">
        <f aca="true">RAND()</f>
        <v>0.465258418618707</v>
      </c>
      <c r="Y71" s="16" t="n">
        <f aca="false">IF(X71&lt;=($F$19-$E$19)/($G$19-$E$19),$E$19+SQRT(X71*($G$19-$E$19)*($F$19-$E$19)),$G$19-SQRT((1-X71)*($G$19-$E$19)*($G$19-$F$19)))</f>
        <v>22.6263564135133</v>
      </c>
      <c r="Z71" s="12" t="n">
        <f aca="false">G71*(1+Q71/100)</f>
        <v>39152.0945859884</v>
      </c>
      <c r="AA71" s="12" t="n">
        <f aca="false">I71*(1+Q71/100)*(1+S71/100)</f>
        <v>52604.3060375525</v>
      </c>
      <c r="AB71" s="12" t="n">
        <f aca="false">K71*(1+Q71/100)*(1+S71/100)*(1+U71/100)</f>
        <v>66789.5848703223</v>
      </c>
      <c r="AC71" s="12" t="n">
        <f aca="false">M71*(1+Q71/100)*(1+S71/100)*(1+U71/100)*(1+W71/100)</f>
        <v>68540.0651995508</v>
      </c>
      <c r="AD71" s="12" t="n">
        <f aca="false">O71*(1+Q71/100)*(1+S71/100)*(1+U71/100)*(1+W71/100)*(1+Y71/100)</f>
        <v>75337.8198428462</v>
      </c>
      <c r="AE71" s="12" t="n">
        <f aca="false">ABS(C71)/$B$7</f>
        <v>19696.8159523251</v>
      </c>
      <c r="AF71" s="12" t="n">
        <f aca="false">Z71-AE71</f>
        <v>19455.2786336633</v>
      </c>
      <c r="AG71" s="12" t="n">
        <f aca="false">AA71-AE71</f>
        <v>32907.4900852273</v>
      </c>
      <c r="AH71" s="12" t="n">
        <f aca="false">AB71-AE71</f>
        <v>47092.7689179972</v>
      </c>
      <c r="AI71" s="12" t="n">
        <f aca="false">AC71-AE71</f>
        <v>48843.2492472256</v>
      </c>
      <c r="AJ71" s="12" t="n">
        <f aca="false">AD71-AE71</f>
        <v>55641.003890521</v>
      </c>
      <c r="AK71" s="12" t="n">
        <f aca="false">AF71*$B$4</f>
        <v>9727.63931683164</v>
      </c>
      <c r="AL71" s="12" t="n">
        <f aca="false">AG71*$B$4</f>
        <v>16453.7450426137</v>
      </c>
      <c r="AM71" s="12" t="n">
        <f aca="false">AH71*$B$4</f>
        <v>23546.3844589986</v>
      </c>
      <c r="AN71" s="12" t="n">
        <f aca="false">AI71*$B$4</f>
        <v>24421.6246236128</v>
      </c>
      <c r="AO71" s="12" t="n">
        <f aca="false">AJ71*$B$4</f>
        <v>27820.5019452605</v>
      </c>
      <c r="AP71" s="12" t="n">
        <f aca="false">AF71-AK71</f>
        <v>9727.63931683164</v>
      </c>
      <c r="AQ71" s="12" t="n">
        <f aca="false">AG71-AL71</f>
        <v>16453.7450426137</v>
      </c>
      <c r="AR71" s="12" t="n">
        <f aca="false">AH71-AM71</f>
        <v>23546.3844589986</v>
      </c>
      <c r="AS71" s="12" t="n">
        <f aca="false">AI71-AN71</f>
        <v>24421.6246236128</v>
      </c>
      <c r="AT71" s="12" t="n">
        <f aca="false">AJ71-AO71</f>
        <v>27820.5019452605</v>
      </c>
      <c r="AU71" s="12" t="n">
        <f aca="false">0.2*ABS(C71)+1*ABS(E71)</f>
        <v>46308.9432339088</v>
      </c>
      <c r="AV71" s="12" t="n">
        <f aca="false">C71+E71</f>
        <v>-125096.207043209</v>
      </c>
      <c r="AW71" s="12" t="n">
        <f aca="false">AP71+AE71</f>
        <v>29424.4552691568</v>
      </c>
      <c r="AX71" s="12" t="n">
        <f aca="false">AQ71+AE71</f>
        <v>36150.5609949388</v>
      </c>
      <c r="AY71" s="12" t="n">
        <f aca="false">AR71+AE71</f>
        <v>43243.2004113237</v>
      </c>
      <c r="AZ71" s="12" t="n">
        <f aca="false">AS71+AE71</f>
        <v>44118.440575938</v>
      </c>
      <c r="BA71" s="12" t="n">
        <f aca="false">AT71+AE71+AU71</f>
        <v>93826.2611314945</v>
      </c>
      <c r="BB71" s="4" t="n">
        <f aca="false">IFERROR(IRR(AV71:BA71,0.15),"n/a")</f>
        <v>0.225447537145355</v>
      </c>
      <c r="BC71" s="12" t="n">
        <f aca="false">NPV($B$5,AW71:BA71)+AV71</f>
        <v>28131.495562237</v>
      </c>
    </row>
    <row r="72" customFormat="false" ht="15" hidden="false" customHeight="false" outlineLevel="0" collapsed="false">
      <c r="A72" s="3" t="n">
        <v>48</v>
      </c>
      <c r="B72" s="15" t="n">
        <f aca="true">RAND()</f>
        <v>0.605241213412853</v>
      </c>
      <c r="C72" s="12" t="n">
        <f aca="false">IF(B72&lt;=($F$12-$E$12)/($G$12-$E$12),$E$12+SQRT(B72*($G$12-$E$12)*($F$12-$E$12)),$G$12-SQRT((1-B72)*($G$12-$E$12)*($G$12-$F$12)))</f>
        <v>-73050.2420030267</v>
      </c>
      <c r="D72" s="15" t="n">
        <f aca="true">RAND()</f>
        <v>0.133423436087505</v>
      </c>
      <c r="E72" s="12" t="n">
        <f aca="false">IF(D72&lt;=($F$13-$E$13)/($G$13-$E$13),$E$13+SQRT(D72*($G$13-$E$13)*($F$13-$E$13)),$G$13-SQRT((1-D72)*($G$13-$E$13)*($G$13-$F$13)))</f>
        <v>-35526.3532310736</v>
      </c>
      <c r="F72" s="15" t="n">
        <f aca="true">RAND()</f>
        <v>0.863037152471985</v>
      </c>
      <c r="G72" s="12" t="n">
        <f aca="false">IF(F72&lt;=($F$14-$E$14)/($G$14-$E$14),$E$14+SQRT(F72*($G$14-$E$14)*($F$14-$E$14)),$G$14-SQRT((1-F72)*($G$14-$E$14)*($G$14-$F$14)))</f>
        <v>41794.9705828805</v>
      </c>
      <c r="H72" s="15" t="n">
        <f aca="true">RAND()</f>
        <v>0.487405125152393</v>
      </c>
      <c r="I72" s="12" t="n">
        <f aca="false">IF(H72&lt;=($F$14-$E$14)/($G$14-$E$14),$E$14+SQRT(H72*($G$14-$E$14)*($F$14-$E$14)),$G$14-SQRT((1-H72)*($G$14-$E$14)*($G$14-$F$14)))</f>
        <v>38550.4835402952</v>
      </c>
      <c r="J72" s="15" t="n">
        <f aca="true">RAND()</f>
        <v>0.929359528121705</v>
      </c>
      <c r="K72" s="12" t="n">
        <f aca="false">IF(J72&lt;=($F$14-$E$14)/($G$14-$E$14),$E$14+SQRT(J72*($G$14-$E$14)*($F$14-$E$14)),$G$14-SQRT((1-J72)*($G$14-$E$14)*($G$14-$F$14)))</f>
        <v>42698.2538387407</v>
      </c>
      <c r="L72" s="15" t="n">
        <f aca="true">RAND()</f>
        <v>0.0239189117008482</v>
      </c>
      <c r="M72" s="12" t="n">
        <f aca="false">IF(L72&lt;=($F$14-$E$14)/($G$14-$E$14),$E$14+SQRT(L72*($G$14-$E$14)*($F$14-$E$14)),$G$14-SQRT((1-L72)*($G$14-$E$14)*($G$14-$F$14)))</f>
        <v>31894.1585876392</v>
      </c>
      <c r="N72" s="15" t="n">
        <f aca="true">RAND()</f>
        <v>0.274983751325233</v>
      </c>
      <c r="O72" s="12" t="n">
        <f aca="false">IF(N72&lt;=($F$14-$E$14)/($G$14-$E$14),$E$14+SQRT(N72*($G$14-$E$14)*($F$14-$E$14)),$G$14-SQRT((1-N72)*($G$14-$E$14)*($G$14-$F$14)))</f>
        <v>36422.4265428874</v>
      </c>
      <c r="P72" s="15" t="n">
        <f aca="true">RAND()</f>
        <v>0.916303218062483</v>
      </c>
      <c r="Q72" s="16" t="n">
        <f aca="false">IF(P72&lt;=($F$15-$E$15)/($G$15-$E$15),$E$15+SQRT(P72*($G$15-$E$15)*($F$15-$E$15)),$G$15-SQRT((1-P72)*($G$15-$E$15)*($G$15-$F$15)))</f>
        <v>16.772587243477</v>
      </c>
      <c r="R72" s="15" t="n">
        <f aca="true">RAND()</f>
        <v>0.929735368573336</v>
      </c>
      <c r="S72" s="16" t="n">
        <f aca="false">IF(R72&lt;=($F$16-$E$16)/($G$16-$E$16),$E$16+SQRT(R72*($G$16-$E$16)*($F$16-$E$16)),$G$16-SQRT((1-R72)*($G$16-$E$16)*($G$16-$F$16)))</f>
        <v>16.8753830137865</v>
      </c>
      <c r="T72" s="15" t="n">
        <f aca="true">RAND()</f>
        <v>0.751120391528861</v>
      </c>
      <c r="U72" s="16" t="n">
        <f aca="false">IF(T72&lt;=($F$17-$E$17)/($G$17-$E$17),$E$17+SQRT(T72*($G$17-$E$17)*($F$17-$E$17)),$G$17-SQRT((1-T72)*($G$17-$E$17)*($G$17-$F$17)))</f>
        <v>19.3601839008764</v>
      </c>
      <c r="V72" s="15" t="n">
        <f aca="true">RAND()</f>
        <v>0.674452460817911</v>
      </c>
      <c r="W72" s="16" t="n">
        <f aca="false">IF(V72&lt;=($F$18-$E$18)/($G$18-$E$18),$E$18+SQRT(V72*($G$18-$E$18)*($F$18-$E$18)),$G$18-SQRT((1-V72)*($G$18-$E$18)*($G$18-$F$18)))</f>
        <v>21.6244757634742</v>
      </c>
      <c r="X72" s="15" t="n">
        <f aca="true">RAND()</f>
        <v>0.919744914825439</v>
      </c>
      <c r="Y72" s="16" t="n">
        <f aca="false">IF(X72&lt;=($F$19-$E$19)/($G$19-$E$19),$E$19+SQRT(X72*($G$19-$E$19)*($F$19-$E$19)),$G$19-SQRT((1-X72)*($G$19-$E$19)*($G$19-$F$19)))</f>
        <v>25.9182280145447</v>
      </c>
      <c r="Z72" s="12" t="n">
        <f aca="false">G72*(1+Q72/100)</f>
        <v>48805.0684872797</v>
      </c>
      <c r="AA72" s="12" t="n">
        <f aca="false">I72*(1+Q72/100)*(1+S72/100)</f>
        <v>52613.0864418276</v>
      </c>
      <c r="AB72" s="12" t="n">
        <f aca="false">K72*(1+Q72/100)*(1+S72/100)*(1+U72/100)</f>
        <v>69555.8310280812</v>
      </c>
      <c r="AC72" s="12" t="n">
        <f aca="false">M72*(1+Q72/100)*(1+S72/100)*(1+U72/100)*(1+W72/100)</f>
        <v>63191.0482444453</v>
      </c>
      <c r="AD72" s="12" t="n">
        <f aca="false">O72*(1+Q72/100)*(1+S72/100)*(1+U72/100)*(1+W72/100)*(1+Y72/100)</f>
        <v>90866.1003133255</v>
      </c>
      <c r="AE72" s="12" t="n">
        <f aca="false">ABS(C72)/$B$7</f>
        <v>14610.0484006053</v>
      </c>
      <c r="AF72" s="12" t="n">
        <f aca="false">Z72-AE72</f>
        <v>34195.0200866744</v>
      </c>
      <c r="AG72" s="12" t="n">
        <f aca="false">AA72-AE72</f>
        <v>38003.0380412223</v>
      </c>
      <c r="AH72" s="12" t="n">
        <f aca="false">AB72-AE72</f>
        <v>54945.7826274759</v>
      </c>
      <c r="AI72" s="12" t="n">
        <f aca="false">AC72-AE72</f>
        <v>48580.99984384</v>
      </c>
      <c r="AJ72" s="12" t="n">
        <f aca="false">AD72-AE72</f>
        <v>76256.0519127202</v>
      </c>
      <c r="AK72" s="12" t="n">
        <f aca="false">AF72*$B$4</f>
        <v>17097.5100433372</v>
      </c>
      <c r="AL72" s="12" t="n">
        <f aca="false">AG72*$B$4</f>
        <v>19001.5190206111</v>
      </c>
      <c r="AM72" s="12" t="n">
        <f aca="false">AH72*$B$4</f>
        <v>27472.8913137379</v>
      </c>
      <c r="AN72" s="12" t="n">
        <f aca="false">AI72*$B$4</f>
        <v>24290.49992192</v>
      </c>
      <c r="AO72" s="12" t="n">
        <f aca="false">AJ72*$B$4</f>
        <v>38128.0259563601</v>
      </c>
      <c r="AP72" s="12" t="n">
        <f aca="false">AF72-AK72</f>
        <v>17097.5100433372</v>
      </c>
      <c r="AQ72" s="12" t="n">
        <f aca="false">AG72-AL72</f>
        <v>19001.5190206111</v>
      </c>
      <c r="AR72" s="12" t="n">
        <f aca="false">AH72-AM72</f>
        <v>27472.8913137379</v>
      </c>
      <c r="AS72" s="12" t="n">
        <f aca="false">AI72-AN72</f>
        <v>24290.49992192</v>
      </c>
      <c r="AT72" s="12" t="n">
        <f aca="false">AJ72-AO72</f>
        <v>38128.0259563601</v>
      </c>
      <c r="AU72" s="12" t="n">
        <f aca="false">0.2*ABS(C72)+1*ABS(E72)</f>
        <v>50136.4016316789</v>
      </c>
      <c r="AV72" s="12" t="n">
        <f aca="false">C72+E72</f>
        <v>-108576.5952341</v>
      </c>
      <c r="AW72" s="12" t="n">
        <f aca="false">AP72+AE72</f>
        <v>31707.5584439425</v>
      </c>
      <c r="AX72" s="12" t="n">
        <f aca="false">AQ72+AE72</f>
        <v>33611.5674212165</v>
      </c>
      <c r="AY72" s="12" t="n">
        <f aca="false">AR72+AE72</f>
        <v>42082.9397143433</v>
      </c>
      <c r="AZ72" s="12" t="n">
        <f aca="false">AS72+AE72</f>
        <v>38900.5483225253</v>
      </c>
      <c r="BA72" s="12" t="n">
        <f aca="false">AT72+AE72+AU72</f>
        <v>102874.475988644</v>
      </c>
      <c r="BB72" s="4" t="n">
        <f aca="false">IFERROR(IRR(AV72:BA72,0.15),"n/a")</f>
        <v>0.284676712129223</v>
      </c>
      <c r="BC72" s="12" t="n">
        <f aca="false">NPV($B$5,AW72:BA72)+AV72</f>
        <v>45468.8954175724</v>
      </c>
    </row>
    <row r="73" customFormat="false" ht="15" hidden="false" customHeight="false" outlineLevel="0" collapsed="false">
      <c r="A73" s="3" t="n">
        <v>49</v>
      </c>
      <c r="B73" s="15" t="n">
        <f aca="true">RAND()</f>
        <v>0.522375291530649</v>
      </c>
      <c r="C73" s="12" t="n">
        <f aca="false">IF(B73&lt;=($F$12-$E$12)/($G$12-$E$12),$E$12+SQRT(B73*($G$12-$E$12)*($F$12-$E$12)),$G$12-SQRT((1-B73)*($G$12-$E$12)*($G$12-$F$12)))</f>
        <v>-74963.0203531501</v>
      </c>
      <c r="D73" s="15" t="n">
        <f aca="true">RAND()</f>
        <v>0.760777841378707</v>
      </c>
      <c r="E73" s="12" t="n">
        <f aca="false">IF(D73&lt;=($F$13-$E$13)/($G$13-$E$13),$E$13+SQRT(D73*($G$13-$E$13)*($F$13-$E$13)),$G$13-SQRT((1-D73)*($G$13-$E$13)*($G$13-$F$13)))</f>
        <v>-29235.7598960041</v>
      </c>
      <c r="F73" s="15" t="n">
        <f aca="true">RAND()</f>
        <v>0.546135621138939</v>
      </c>
      <c r="G73" s="12" t="n">
        <f aca="false">IF(F73&lt;=($F$14-$E$14)/($G$14-$E$14),$E$14+SQRT(F73*($G$14-$E$14)*($F$14-$E$14)),$G$14-SQRT((1-F73)*($G$14-$E$14)*($G$14-$F$14)))</f>
        <v>39050.9857568577</v>
      </c>
      <c r="H73" s="15" t="n">
        <f aca="true">RAND()</f>
        <v>0.405080723236024</v>
      </c>
      <c r="I73" s="12" t="n">
        <f aca="false">IF(H73&lt;=($F$14-$E$14)/($G$14-$E$14),$E$14+SQRT(H73*($G$14-$E$14)*($F$14-$E$14)),$G$14-SQRT((1-H73)*($G$14-$E$14)*($G$14-$F$14)))</f>
        <v>37795.0053550593</v>
      </c>
      <c r="J73" s="15" t="n">
        <f aca="true">RAND()</f>
        <v>0.852005758865277</v>
      </c>
      <c r="K73" s="12" t="n">
        <f aca="false">IF(J73&lt;=($F$14-$E$14)/($G$14-$E$14),$E$14+SQRT(J73*($G$14-$E$14)*($F$14-$E$14)),$G$14-SQRT((1-J73)*($G$14-$E$14)*($G$14-$F$14)))</f>
        <v>41668.3985704913</v>
      </c>
      <c r="L73" s="15" t="n">
        <f aca="true">RAND()</f>
        <v>0.36417575618004</v>
      </c>
      <c r="M73" s="12" t="n">
        <f aca="false">IF(L73&lt;=($F$14-$E$14)/($G$14-$E$14),$E$14+SQRT(L73*($G$14-$E$14)*($F$14-$E$14)),$G$14-SQRT((1-L73)*($G$14-$E$14)*($G$14-$F$14)))</f>
        <v>37390.9649861846</v>
      </c>
      <c r="N73" s="15" t="n">
        <f aca="true">RAND()</f>
        <v>0.405975843148823</v>
      </c>
      <c r="O73" s="12" t="n">
        <f aca="false">IF(N73&lt;=($F$14-$E$14)/($G$14-$E$14),$E$14+SQRT(N73*($G$14-$E$14)*($F$14-$E$14)),$G$14-SQRT((1-N73)*($G$14-$E$14)*($G$14-$F$14)))</f>
        <v>37803.6130396326</v>
      </c>
      <c r="P73" s="15" t="n">
        <f aca="true">RAND()</f>
        <v>0.213440176112727</v>
      </c>
      <c r="Q73" s="16" t="n">
        <f aca="false">IF(P73&lt;=($F$15-$E$15)/($G$15-$E$15),$E$15+SQRT(P73*($G$15-$E$15)*($F$15-$E$15)),$G$15-SQRT((1-P73)*($G$15-$E$15)*($G$15-$F$15)))</f>
        <v>13.9600824396002</v>
      </c>
      <c r="R73" s="15" t="n">
        <f aca="true">RAND()</f>
        <v>0.940951358079826</v>
      </c>
      <c r="S73" s="16" t="n">
        <f aca="false">IF(R73&lt;=($F$16-$E$16)/($G$16-$E$16),$E$16+SQRT(R73*($G$16-$E$16)*($F$16-$E$16)),$G$16-SQRT((1-R73)*($G$16-$E$16)*($G$16-$F$16)))</f>
        <v>16.969041438969</v>
      </c>
      <c r="T73" s="15" t="n">
        <f aca="true">RAND()</f>
        <v>0.641571370309237</v>
      </c>
      <c r="U73" s="16" t="n">
        <f aca="false">IF(T73&lt;=($F$17-$E$17)/($G$17-$E$17),$E$17+SQRT(T73*($G$17-$E$17)*($F$17-$E$17)),$G$17-SQRT((1-T73)*($G$17-$E$17)*($G$17-$F$17)))</f>
        <v>18.832035096258</v>
      </c>
      <c r="V73" s="15" t="n">
        <f aca="true">RAND()</f>
        <v>0.902158282543064</v>
      </c>
      <c r="W73" s="16" t="n">
        <f aca="false">IF(V73&lt;=($F$18-$E$18)/($G$18-$E$18),$E$18+SQRT(V73*($G$18-$E$18)*($F$18-$E$18)),$G$18-SQRT((1-V73)*($G$18-$E$18)*($G$18-$F$18)))</f>
        <v>23.1494703161006</v>
      </c>
      <c r="X73" s="15" t="n">
        <f aca="true">RAND()</f>
        <v>0.416837009028655</v>
      </c>
      <c r="Y73" s="16" t="n">
        <f aca="false">IF(X73&lt;=($F$19-$E$19)/($G$19-$E$19),$E$19+SQRT(X73*($G$19-$E$19)*($F$19-$E$19)),$G$19-SQRT((1-X73)*($G$19-$E$19)*($G$19-$F$19)))</f>
        <v>22.3883334460739</v>
      </c>
      <c r="Z73" s="12" t="n">
        <f aca="false">G73*(1+Q73/100)</f>
        <v>44502.5355619916</v>
      </c>
      <c r="AA73" s="12" t="n">
        <f aca="false">I73*(1+Q73/100)*(1+S73/100)</f>
        <v>50379.9923052904</v>
      </c>
      <c r="AB73" s="12" t="n">
        <f aca="false">K73*(1+Q73/100)*(1+S73/100)*(1+U73/100)</f>
        <v>66003.0538561945</v>
      </c>
      <c r="AC73" s="12" t="n">
        <f aca="false">M73*(1+Q73/100)*(1+S73/100)*(1+U73/100)*(1+W73/100)</f>
        <v>72938.4352662804</v>
      </c>
      <c r="AD73" s="12" t="n">
        <f aca="false">O73*(1+Q73/100)*(1+S73/100)*(1+U73/100)*(1+W73/100)*(1+Y73/100)</f>
        <v>90253.3017620367</v>
      </c>
      <c r="AE73" s="12" t="n">
        <f aca="false">ABS(C73)/$B$7</f>
        <v>14992.60407063</v>
      </c>
      <c r="AF73" s="12" t="n">
        <f aca="false">Z73-AE73</f>
        <v>29509.9314913615</v>
      </c>
      <c r="AG73" s="12" t="n">
        <f aca="false">AA73-AE73</f>
        <v>35387.3882346604</v>
      </c>
      <c r="AH73" s="12" t="n">
        <f aca="false">AB73-AE73</f>
        <v>51010.4497855645</v>
      </c>
      <c r="AI73" s="12" t="n">
        <f aca="false">AC73-AE73</f>
        <v>57945.8311956504</v>
      </c>
      <c r="AJ73" s="12" t="n">
        <f aca="false">AD73-AE73</f>
        <v>75260.6976914067</v>
      </c>
      <c r="AK73" s="12" t="n">
        <f aca="false">AF73*$B$4</f>
        <v>14754.9657456808</v>
      </c>
      <c r="AL73" s="12" t="n">
        <f aca="false">AG73*$B$4</f>
        <v>17693.6941173302</v>
      </c>
      <c r="AM73" s="12" t="n">
        <f aca="false">AH73*$B$4</f>
        <v>25505.2248927823</v>
      </c>
      <c r="AN73" s="12" t="n">
        <f aca="false">AI73*$B$4</f>
        <v>28972.9155978252</v>
      </c>
      <c r="AO73" s="12" t="n">
        <f aca="false">AJ73*$B$4</f>
        <v>37630.3488457033</v>
      </c>
      <c r="AP73" s="12" t="n">
        <f aca="false">AF73-AK73</f>
        <v>14754.9657456808</v>
      </c>
      <c r="AQ73" s="12" t="n">
        <f aca="false">AG73-AL73</f>
        <v>17693.6941173302</v>
      </c>
      <c r="AR73" s="12" t="n">
        <f aca="false">AH73-AM73</f>
        <v>25505.2248927823</v>
      </c>
      <c r="AS73" s="12" t="n">
        <f aca="false">AI73-AN73</f>
        <v>28972.9155978252</v>
      </c>
      <c r="AT73" s="12" t="n">
        <f aca="false">AJ73-AO73</f>
        <v>37630.3488457033</v>
      </c>
      <c r="AU73" s="12" t="n">
        <f aca="false">0.2*ABS(C73)+1*ABS(E73)</f>
        <v>44228.3639666342</v>
      </c>
      <c r="AV73" s="12" t="n">
        <f aca="false">C73+E73</f>
        <v>-104198.780249154</v>
      </c>
      <c r="AW73" s="12" t="n">
        <f aca="false">AP73+AE73</f>
        <v>29747.5698163108</v>
      </c>
      <c r="AX73" s="12" t="n">
        <f aca="false">AQ73+AE73</f>
        <v>32686.2981879602</v>
      </c>
      <c r="AY73" s="12" t="n">
        <f aca="false">AR73+AE73</f>
        <v>40497.8289634123</v>
      </c>
      <c r="AZ73" s="12" t="n">
        <f aca="false">AS73+AE73</f>
        <v>43965.5196684552</v>
      </c>
      <c r="BA73" s="12" t="n">
        <f aca="false">AT73+AE73+AU73</f>
        <v>96851.3168829675</v>
      </c>
      <c r="BB73" s="4" t="n">
        <f aca="false">IFERROR(IRR(AV73:BA73,0.15),"n/a")</f>
        <v>0.291451249105567</v>
      </c>
      <c r="BC73" s="12" t="n">
        <f aca="false">NPV($B$5,AW73:BA73)+AV73</f>
        <v>46301.839170765</v>
      </c>
    </row>
    <row r="74" customFormat="false" ht="15" hidden="false" customHeight="false" outlineLevel="0" collapsed="false">
      <c r="A74" s="3" t="n">
        <v>50</v>
      </c>
      <c r="B74" s="15" t="n">
        <f aca="true">RAND()</f>
        <v>0.856147375879159</v>
      </c>
      <c r="C74" s="12" t="n">
        <f aca="false">IF(B74&lt;=($F$12-$E$12)/($G$12-$E$12),$E$12+SQRT(B74*($G$12-$E$12)*($F$12-$E$12)),$G$12-SQRT((1-B74)*($G$12-$E$12)*($G$12-$F$12)))</f>
        <v>-67585.5816947902</v>
      </c>
      <c r="D74" s="15" t="n">
        <f aca="true">RAND()</f>
        <v>0.707064989097018</v>
      </c>
      <c r="E74" s="12" t="n">
        <f aca="false">IF(D74&lt;=($F$13-$E$13)/($G$13-$E$13),$E$13+SQRT(D74*($G$13-$E$13)*($F$13-$E$13)),$G$13-SQRT((1-D74)*($G$13-$E$13)*($G$13-$F$13)))</f>
        <v>-29687.2300794524</v>
      </c>
      <c r="F74" s="15" t="n">
        <f aca="true">RAND()</f>
        <v>0.371402316798505</v>
      </c>
      <c r="G74" s="12" t="n">
        <f aca="false">IF(F74&lt;=($F$14-$E$14)/($G$14-$E$14),$E$14+SQRT(F74*($G$14-$E$14)*($F$14-$E$14)),$G$14-SQRT((1-F74)*($G$14-$E$14)*($G$14-$F$14)))</f>
        <v>37463.9364627371</v>
      </c>
      <c r="H74" s="15" t="n">
        <f aca="true">RAND()</f>
        <v>0.746032041313428</v>
      </c>
      <c r="I74" s="12" t="n">
        <f aca="false">IF(H74&lt;=($F$14-$E$14)/($G$14-$E$14),$E$14+SQRT(H74*($G$14-$E$14)*($F$14-$E$14)),$G$14-SQRT((1-H74)*($G$14-$E$14)*($G$14-$F$14)))</f>
        <v>40635.6447324384</v>
      </c>
      <c r="J74" s="15" t="n">
        <f aca="true">RAND()</f>
        <v>0.0946734605793334</v>
      </c>
      <c r="K74" s="12" t="n">
        <f aca="false">IF(J74&lt;=($F$14-$E$14)/($G$14-$E$14),$E$14+SQRT(J74*($G$14-$E$14)*($F$14-$E$14)),$G$14-SQRT((1-J74)*($G$14-$E$14)*($G$14-$F$14)))</f>
        <v>33768.4239526492</v>
      </c>
      <c r="L74" s="15" t="n">
        <f aca="true">RAND()</f>
        <v>0.032104223985782</v>
      </c>
      <c r="M74" s="12" t="n">
        <f aca="false">IF(L74&lt;=($F$14-$E$14)/($G$14-$E$14),$E$14+SQRT(L74*($G$14-$E$14)*($F$14-$E$14)),$G$14-SQRT((1-L74)*($G$14-$E$14)*($G$14-$F$14)))</f>
        <v>32194.4551938619</v>
      </c>
      <c r="N74" s="15" t="n">
        <f aca="true">RAND()</f>
        <v>0.376483498320096</v>
      </c>
      <c r="O74" s="12" t="n">
        <f aca="false">IF(N74&lt;=($F$14-$E$14)/($G$14-$E$14),$E$14+SQRT(N74*($G$14-$E$14)*($F$14-$E$14)),$G$14-SQRT((1-N74)*($G$14-$E$14)*($G$14-$F$14)))</f>
        <v>37514.8203403684</v>
      </c>
      <c r="P74" s="15" t="n">
        <f aca="true">RAND()</f>
        <v>0.285595030706285</v>
      </c>
      <c r="Q74" s="16" t="n">
        <f aca="false">IF(P74&lt;=($F$15-$E$15)/($G$15-$E$15),$E$15+SQRT(P74*($G$15-$E$15)*($F$15-$E$15)),$G$15-SQRT((1-P74)*($G$15-$E$15)*($G$15-$F$15)))</f>
        <v>14.2673135100187</v>
      </c>
      <c r="R74" s="15" t="n">
        <f aca="true">RAND()</f>
        <v>0.325792753403345</v>
      </c>
      <c r="S74" s="16" t="n">
        <f aca="false">IF(R74&lt;=($F$16-$E$16)/($G$16-$E$16),$E$16+SQRT(R74*($G$16-$E$16)*($F$16-$E$16)),$G$16-SQRT((1-R74)*($G$16-$E$16)*($G$16-$F$16)))</f>
        <v>14.4216253965591</v>
      </c>
      <c r="T74" s="15" t="n">
        <f aca="true">RAND()</f>
        <v>0.00215526692333825</v>
      </c>
      <c r="U74" s="16" t="n">
        <f aca="false">IF(T74&lt;=($F$17-$E$17)/($G$17-$E$17),$E$17+SQRT(T74*($G$17-$E$17)*($F$17-$E$17)),$G$17-SQRT((1-T74)*($G$17-$E$17)*($G$17-$F$17)))</f>
        <v>15.2127454003971</v>
      </c>
      <c r="V74" s="15" t="n">
        <f aca="true">RAND()</f>
        <v>0.933538622279883</v>
      </c>
      <c r="W74" s="16" t="n">
        <f aca="false">IF(V74&lt;=($F$18-$E$18)/($G$18-$E$18),$E$18+SQRT(V74*($G$18-$E$18)*($F$18-$E$18)),$G$18-SQRT((1-V74)*($G$18-$E$18)*($G$18-$F$18)))</f>
        <v>23.4748284620397</v>
      </c>
      <c r="X74" s="15" t="n">
        <f aca="true">RAND()</f>
        <v>0.726024473448394</v>
      </c>
      <c r="Y74" s="16" t="n">
        <f aca="false">IF(X74&lt;=($F$19-$E$19)/($G$19-$E$19),$E$19+SQRT(X74*($G$19-$E$19)*($F$19-$E$19)),$G$19-SQRT((1-X74)*($G$19-$E$19)*($G$19-$F$19)))</f>
        <v>24.1536148874837</v>
      </c>
      <c r="Z74" s="12" t="n">
        <f aca="false">G74*(1+Q74/100)</f>
        <v>42809.03373107</v>
      </c>
      <c r="AA74" s="12" t="n">
        <f aca="false">I74*(1+Q74/100)*(1+S74/100)</f>
        <v>53129.6903168541</v>
      </c>
      <c r="AB74" s="12" t="n">
        <f aca="false">K74*(1+Q74/100)*(1+S74/100)*(1+U74/100)</f>
        <v>50867.6233529006</v>
      </c>
      <c r="AC74" s="12" t="n">
        <f aca="false">M74*(1+Q74/100)*(1+S74/100)*(1+U74/100)*(1+W74/100)</f>
        <v>59881.1547892554</v>
      </c>
      <c r="AD74" s="12" t="n">
        <f aca="false">O74*(1+Q74/100)*(1+S74/100)*(1+U74/100)*(1+W74/100)*(1+Y74/100)</f>
        <v>86630.6008992738</v>
      </c>
      <c r="AE74" s="12" t="n">
        <f aca="false">ABS(C74)/$B$7</f>
        <v>13517.116338958</v>
      </c>
      <c r="AF74" s="12" t="n">
        <f aca="false">Z74-AE74</f>
        <v>29291.9173921119</v>
      </c>
      <c r="AG74" s="12" t="n">
        <f aca="false">AA74-AE74</f>
        <v>39612.5739778961</v>
      </c>
      <c r="AH74" s="12" t="n">
        <f aca="false">AB74-AE74</f>
        <v>37350.5070139426</v>
      </c>
      <c r="AI74" s="12" t="n">
        <f aca="false">AC74-AE74</f>
        <v>46364.0384502973</v>
      </c>
      <c r="AJ74" s="12" t="n">
        <f aca="false">AD74-AE74</f>
        <v>73113.4845603158</v>
      </c>
      <c r="AK74" s="12" t="n">
        <f aca="false">AF74*$B$4</f>
        <v>14645.958696056</v>
      </c>
      <c r="AL74" s="12" t="n">
        <f aca="false">AG74*$B$4</f>
        <v>19806.286988948</v>
      </c>
      <c r="AM74" s="12" t="n">
        <f aca="false">AH74*$B$4</f>
        <v>18675.2535069713</v>
      </c>
      <c r="AN74" s="12" t="n">
        <f aca="false">AI74*$B$4</f>
        <v>23182.0192251487</v>
      </c>
      <c r="AO74" s="12" t="n">
        <f aca="false">AJ74*$B$4</f>
        <v>36556.7422801579</v>
      </c>
      <c r="AP74" s="12" t="n">
        <f aca="false">AF74-AK74</f>
        <v>14645.958696056</v>
      </c>
      <c r="AQ74" s="12" t="n">
        <f aca="false">AG74-AL74</f>
        <v>19806.286988948</v>
      </c>
      <c r="AR74" s="12" t="n">
        <f aca="false">AH74-AM74</f>
        <v>18675.2535069713</v>
      </c>
      <c r="AS74" s="12" t="n">
        <f aca="false">AI74-AN74</f>
        <v>23182.0192251487</v>
      </c>
      <c r="AT74" s="12" t="n">
        <f aca="false">AJ74-AO74</f>
        <v>36556.7422801579</v>
      </c>
      <c r="AU74" s="12" t="n">
        <f aca="false">0.2*ABS(C74)+1*ABS(E74)</f>
        <v>43204.3464184105</v>
      </c>
      <c r="AV74" s="12" t="n">
        <f aca="false">C74+E74</f>
        <v>-97272.8117742427</v>
      </c>
      <c r="AW74" s="12" t="n">
        <f aca="false">AP74+AE74</f>
        <v>28163.075035014</v>
      </c>
      <c r="AX74" s="12" t="n">
        <f aca="false">AQ74+AE74</f>
        <v>33323.4033279061</v>
      </c>
      <c r="AY74" s="12" t="n">
        <f aca="false">AR74+AE74</f>
        <v>32192.3698459293</v>
      </c>
      <c r="AZ74" s="12" t="n">
        <f aca="false">AS74+AE74</f>
        <v>36699.1355641067</v>
      </c>
      <c r="BA74" s="12" t="n">
        <f aca="false">AT74+AE74+AU74</f>
        <v>93278.2050375264</v>
      </c>
      <c r="BB74" s="4" t="n">
        <f aca="false">IFERROR(IRR(AV74:BA74,0.15),"n/a")</f>
        <v>0.285350880303468</v>
      </c>
      <c r="BC74" s="12" t="n">
        <f aca="false">NPV($B$5,AW74:BA74)+AV74</f>
        <v>40939.708148591</v>
      </c>
    </row>
    <row r="75" customFormat="false" ht="15" hidden="false" customHeight="false" outlineLevel="0" collapsed="false">
      <c r="A75" s="3" t="n">
        <v>51</v>
      </c>
      <c r="B75" s="15" t="n">
        <f aca="true">RAND()</f>
        <v>0.342311442602537</v>
      </c>
      <c r="C75" s="12" t="n">
        <f aca="false">IF(B75&lt;=($F$12-$E$12)/($G$12-$E$12),$E$12+SQRT(B75*($G$12-$E$12)*($F$12-$E$12)),$G$12-SQRT((1-B75)*($G$12-$E$12)*($G$12-$F$12)))</f>
        <v>-79732.4463458698</v>
      </c>
      <c r="D75" s="15" t="n">
        <f aca="true">RAND()</f>
        <v>0.0890038657285358</v>
      </c>
      <c r="E75" s="12" t="n">
        <f aca="false">IF(D75&lt;=($F$13-$E$13)/($G$13-$E$13),$E$13+SQRT(D75*($G$13-$E$13)*($F$13-$E$13)),$G$13-SQRT((1-D75)*($G$13-$E$13)*($G$13-$F$13)))</f>
        <v>-36346.1554686494</v>
      </c>
      <c r="F75" s="15" t="n">
        <f aca="true">RAND()</f>
        <v>0.400744455156155</v>
      </c>
      <c r="G75" s="12" t="n">
        <f aca="false">IF(F75&lt;=($F$14-$E$14)/($G$14-$E$14),$E$14+SQRT(F75*($G$14-$E$14)*($F$14-$E$14)),$G$14-SQRT((1-F75)*($G$14-$E$14)*($G$14-$F$14)))</f>
        <v>37753.1714977436</v>
      </c>
      <c r="H75" s="15" t="n">
        <f aca="true">RAND()</f>
        <v>4.6864586077575E-005</v>
      </c>
      <c r="I75" s="12" t="n">
        <f aca="false">IF(H75&lt;=($F$14-$E$14)/($G$14-$E$14),$E$14+SQRT(H75*($G$14-$E$14)*($F$14-$E$14)),$G$14-SQRT((1-H75)*($G$14-$E$14)*($G$14-$F$14)))</f>
        <v>30083.8432341435</v>
      </c>
      <c r="J75" s="15" t="n">
        <f aca="true">RAND()</f>
        <v>0.178308667575511</v>
      </c>
      <c r="K75" s="12" t="n">
        <f aca="false">IF(J75&lt;=($F$14-$E$14)/($G$14-$E$14),$E$14+SQRT(J75*($G$14-$E$14)*($F$14-$E$14)),$G$14-SQRT((1-J75)*($G$14-$E$14)*($G$14-$F$14)))</f>
        <v>35171.6825247038</v>
      </c>
      <c r="L75" s="15" t="n">
        <f aca="true">RAND()</f>
        <v>0.682816466690787</v>
      </c>
      <c r="M75" s="12" t="n">
        <f aca="false">IF(L75&lt;=($F$14-$E$14)/($G$14-$E$14),$E$14+SQRT(L75*($G$14-$E$14)*($F$14-$E$14)),$G$14-SQRT((1-L75)*($G$14-$E$14)*($G$14-$F$14)))</f>
        <v>40122.627244285</v>
      </c>
      <c r="N75" s="15" t="n">
        <f aca="true">RAND()</f>
        <v>0.220075613489856</v>
      </c>
      <c r="O75" s="12" t="n">
        <f aca="false">IF(N75&lt;=($F$14-$E$14)/($G$14-$E$14),$E$14+SQRT(N75*($G$14-$E$14)*($F$14-$E$14)),$G$14-SQRT((1-N75)*($G$14-$E$14)*($G$14-$F$14)))</f>
        <v>35745.5497581588</v>
      </c>
      <c r="P75" s="15" t="n">
        <f aca="true">RAND()</f>
        <v>0.215065005565229</v>
      </c>
      <c r="Q75" s="16" t="n">
        <f aca="false">IF(P75&lt;=($F$15-$E$15)/($G$15-$E$15),$E$15+SQRT(P75*($G$15-$E$15)*($F$15-$E$15)),$G$15-SQRT((1-P75)*($G$15-$E$15)*($G$15-$F$15)))</f>
        <v>13.9675289324872</v>
      </c>
      <c r="R75" s="15" t="n">
        <f aca="true">RAND()</f>
        <v>0.579179962962622</v>
      </c>
      <c r="S75" s="16" t="n">
        <f aca="false">IF(R75&lt;=($F$16-$E$16)/($G$16-$E$16),$E$16+SQRT(R75*($G$16-$E$16)*($F$16-$E$16)),$G$16-SQRT((1-R75)*($G$16-$E$16)*($G$16-$F$16)))</f>
        <v>15.2477716906708</v>
      </c>
      <c r="T75" s="15" t="n">
        <f aca="true">RAND()</f>
        <v>0.465980045872702</v>
      </c>
      <c r="U75" s="16" t="n">
        <f aca="false">IF(T75&lt;=($F$17-$E$17)/($G$17-$E$17),$E$17+SQRT(T75*($G$17-$E$17)*($F$17-$E$17)),$G$17-SQRT((1-T75)*($G$17-$E$17)*($G$17-$F$17)))</f>
        <v>18.1331461476332</v>
      </c>
      <c r="V75" s="15" t="n">
        <f aca="true">RAND()</f>
        <v>0.375846140630863</v>
      </c>
      <c r="W75" s="16" t="n">
        <f aca="false">IF(V75&lt;=($F$18-$E$18)/($G$18-$E$18),$E$18+SQRT(V75*($G$18-$E$18)*($F$18-$E$18)),$G$18-SQRT((1-V75)*($G$18-$E$18)*($G$18-$F$18)))</f>
        <v>20.326095307142</v>
      </c>
      <c r="X75" s="15" t="n">
        <f aca="true">RAND()</f>
        <v>0.148084610567259</v>
      </c>
      <c r="Y75" s="16" t="n">
        <f aca="false">IF(X75&lt;=($F$19-$E$19)/($G$19-$E$19),$E$19+SQRT(X75*($G$19-$E$19)*($F$19-$E$19)),$G$19-SQRT((1-X75)*($G$19-$E$19)*($G$19-$F$19)))</f>
        <v>20.9995710753349</v>
      </c>
      <c r="Z75" s="12" t="n">
        <f aca="false">G75*(1+Q75/100)</f>
        <v>43026.3566496224</v>
      </c>
      <c r="AA75" s="12" t="n">
        <f aca="false">I75*(1+Q75/100)*(1+S75/100)</f>
        <v>39513.6351910488</v>
      </c>
      <c r="AB75" s="12" t="n">
        <f aca="false">K75*(1+Q75/100)*(1+S75/100)*(1+U75/100)</f>
        <v>54573.0948886762</v>
      </c>
      <c r="AC75" s="12" t="n">
        <f aca="false">M75*(1+Q75/100)*(1+S75/100)*(1+U75/100)*(1+W75/100)</f>
        <v>74909.1080737749</v>
      </c>
      <c r="AD75" s="12" t="n">
        <f aca="false">O75*(1+Q75/100)*(1+S75/100)*(1+U75/100)*(1+W75/100)*(1+Y75/100)</f>
        <v>80751.5885633988</v>
      </c>
      <c r="AE75" s="12" t="n">
        <f aca="false">ABS(C75)/$B$7</f>
        <v>15946.489269174</v>
      </c>
      <c r="AF75" s="12" t="n">
        <f aca="false">Z75-AE75</f>
        <v>27079.8673804484</v>
      </c>
      <c r="AG75" s="12" t="n">
        <f aca="false">AA75-AE75</f>
        <v>23567.1459218748</v>
      </c>
      <c r="AH75" s="12" t="n">
        <f aca="false">AB75-AE75</f>
        <v>38626.6056195022</v>
      </c>
      <c r="AI75" s="12" t="n">
        <f aca="false">AC75-AE75</f>
        <v>58962.618804601</v>
      </c>
      <c r="AJ75" s="12" t="n">
        <f aca="false">AD75-AE75</f>
        <v>64805.0992942249</v>
      </c>
      <c r="AK75" s="12" t="n">
        <f aca="false">AF75*$B$4</f>
        <v>13539.9336902242</v>
      </c>
      <c r="AL75" s="12" t="n">
        <f aca="false">AG75*$B$4</f>
        <v>11783.5729609374</v>
      </c>
      <c r="AM75" s="12" t="n">
        <f aca="false">AH75*$B$4</f>
        <v>19313.3028097511</v>
      </c>
      <c r="AN75" s="12" t="n">
        <f aca="false">AI75*$B$4</f>
        <v>29481.3094023005</v>
      </c>
      <c r="AO75" s="12" t="n">
        <f aca="false">AJ75*$B$4</f>
        <v>32402.5496471124</v>
      </c>
      <c r="AP75" s="12" t="n">
        <f aca="false">AF75-AK75</f>
        <v>13539.9336902242</v>
      </c>
      <c r="AQ75" s="12" t="n">
        <f aca="false">AG75-AL75</f>
        <v>11783.5729609374</v>
      </c>
      <c r="AR75" s="12" t="n">
        <f aca="false">AH75-AM75</f>
        <v>19313.3028097511</v>
      </c>
      <c r="AS75" s="12" t="n">
        <f aca="false">AI75-AN75</f>
        <v>29481.3094023005</v>
      </c>
      <c r="AT75" s="12" t="n">
        <f aca="false">AJ75-AO75</f>
        <v>32402.5496471124</v>
      </c>
      <c r="AU75" s="12" t="n">
        <f aca="false">0.2*ABS(C75)+1*ABS(E75)</f>
        <v>52292.6447378234</v>
      </c>
      <c r="AV75" s="12" t="n">
        <f aca="false">C75+E75</f>
        <v>-116078.601814519</v>
      </c>
      <c r="AW75" s="12" t="n">
        <f aca="false">AP75+AE75</f>
        <v>29486.4229593982</v>
      </c>
      <c r="AX75" s="12" t="n">
        <f aca="false">AQ75+AE75</f>
        <v>27730.0622301114</v>
      </c>
      <c r="AY75" s="12" t="n">
        <f aca="false">AR75+AE75</f>
        <v>35259.7920789251</v>
      </c>
      <c r="AZ75" s="12" t="n">
        <f aca="false">AS75+AE75</f>
        <v>45427.7986714745</v>
      </c>
      <c r="BA75" s="12" t="n">
        <f aca="false">AT75+AE75+AU75</f>
        <v>100641.68365411</v>
      </c>
      <c r="BB75" s="4" t="n">
        <f aca="false">IFERROR(IRR(AV75:BA75,0.15),"n/a")</f>
        <v>0.232523003041465</v>
      </c>
      <c r="BC75" s="12" t="n">
        <f aca="false">NPV($B$5,AW75:BA75)+AV75</f>
        <v>29723.7576140123</v>
      </c>
    </row>
    <row r="76" customFormat="false" ht="15" hidden="false" customHeight="false" outlineLevel="0" collapsed="false">
      <c r="A76" s="3" t="n">
        <v>52</v>
      </c>
      <c r="B76" s="15" t="n">
        <f aca="true">RAND()</f>
        <v>0.176058038377566</v>
      </c>
      <c r="C76" s="12" t="n">
        <f aca="false">IF(B76&lt;=($F$12-$E$12)/($G$12-$E$12),$E$12+SQRT(B76*($G$12-$E$12)*($F$12-$E$12)),$G$12-SQRT((1-B76)*($G$12-$E$12)*($G$12-$F$12)))</f>
        <v>-85464.882317192</v>
      </c>
      <c r="D76" s="15" t="n">
        <f aca="true">RAND()</f>
        <v>0.0689848629848259</v>
      </c>
      <c r="E76" s="12" t="n">
        <f aca="false">IF(D76&lt;=($F$13-$E$13)/($G$13-$E$13),$E$13+SQRT(D76*($G$13-$E$13)*($F$13-$E$13)),$G$13-SQRT((1-D76)*($G$13-$E$13)*($G$13-$F$13)))</f>
        <v>-36783.2113144125</v>
      </c>
      <c r="F76" s="15" t="n">
        <f aca="true">RAND()</f>
        <v>0.698756042487343</v>
      </c>
      <c r="G76" s="12" t="n">
        <f aca="false">IF(F76&lt;=($F$14-$E$14)/($G$14-$E$14),$E$14+SQRT(F76*($G$14-$E$14)*($F$14-$E$14)),$G$14-SQRT((1-F76)*($G$14-$E$14)*($G$14-$F$14)))</f>
        <v>40246.759335627</v>
      </c>
      <c r="H76" s="15" t="n">
        <f aca="true">RAND()</f>
        <v>0.169369999361376</v>
      </c>
      <c r="I76" s="12" t="n">
        <f aca="false">IF(H76&lt;=($F$14-$E$14)/($G$14-$E$14),$E$14+SQRT(H76*($G$14-$E$14)*($F$14-$E$14)),$G$14-SQRT((1-H76)*($G$14-$E$14)*($G$14-$F$14)))</f>
        <v>35040.3868804097</v>
      </c>
      <c r="J76" s="15" t="n">
        <f aca="true">RAND()</f>
        <v>0.697984711421499</v>
      </c>
      <c r="K76" s="12" t="n">
        <f aca="false">IF(J76&lt;=($F$14-$E$14)/($G$14-$E$14),$E$14+SQRT(J76*($G$14-$E$14)*($F$14-$E$14)),$G$14-SQRT((1-J76)*($G$14-$E$14)*($G$14-$F$14)))</f>
        <v>40240.6779218687</v>
      </c>
      <c r="L76" s="15" t="n">
        <f aca="true">RAND()</f>
        <v>0.833554473079092</v>
      </c>
      <c r="M76" s="12" t="n">
        <f aca="false">IF(L76&lt;=($F$14-$E$14)/($G$14-$E$14),$E$14+SQRT(L76*($G$14-$E$14)*($F$14-$E$14)),$G$14-SQRT((1-L76)*($G$14-$E$14)*($G$14-$F$14)))</f>
        <v>41466.8124138297</v>
      </c>
      <c r="N76" s="15" t="n">
        <f aca="true">RAND()</f>
        <v>0.0717348385385551</v>
      </c>
      <c r="O76" s="12" t="n">
        <f aca="false">IF(N76&lt;=($F$14-$E$14)/($G$14-$E$14),$E$14+SQRT(N76*($G$14-$E$14)*($F$14-$E$14)),$G$14-SQRT((1-N76)*($G$14-$E$14)*($G$14-$F$14)))</f>
        <v>33280.2783084341</v>
      </c>
      <c r="P76" s="15" t="n">
        <f aca="true">RAND()</f>
        <v>0.734518022551338</v>
      </c>
      <c r="Q76" s="16" t="n">
        <f aca="false">IF(P76&lt;=($F$15-$E$15)/($G$15-$E$15),$E$15+SQRT(P76*($G$15-$E$15)*($F$15-$E$15)),$G$15-SQRT((1-P76)*($G$15-$E$15)*($G$15-$F$15)))</f>
        <v>15.8139817946605</v>
      </c>
      <c r="R76" s="15" t="n">
        <f aca="true">RAND()</f>
        <v>0.461501569817047</v>
      </c>
      <c r="S76" s="16" t="n">
        <f aca="false">IF(R76&lt;=($F$16-$E$16)/($G$16-$E$16),$E$16+SQRT(R76*($G$16-$E$16)*($F$16-$E$16)),$G$16-SQRT((1-R76)*($G$16-$E$16)*($G$16-$F$16)))</f>
        <v>14.8821915718264</v>
      </c>
      <c r="T76" s="15" t="n">
        <f aca="true">RAND()</f>
        <v>0.774182908331888</v>
      </c>
      <c r="U76" s="16" t="n">
        <f aca="false">IF(T76&lt;=($F$17-$E$17)/($G$17-$E$17),$E$17+SQRT(T76*($G$17-$E$17)*($F$17-$E$17)),$G$17-SQRT((1-T76)*($G$17-$E$17)*($G$17-$F$17)))</f>
        <v>19.4854665310028</v>
      </c>
      <c r="V76" s="15" t="n">
        <f aca="true">RAND()</f>
        <v>0.510161288547693</v>
      </c>
      <c r="W76" s="16" t="n">
        <f aca="false">IF(V76&lt;=($F$18-$E$18)/($G$18-$E$18),$E$18+SQRT(V76*($G$18-$E$18)*($F$18-$E$18)),$G$18-SQRT((1-V76)*($G$18-$E$18)*($G$18-$F$18)))</f>
        <v>20.8594257764374</v>
      </c>
      <c r="X76" s="15" t="n">
        <f aca="true">RAND()</f>
        <v>0.969618244715822</v>
      </c>
      <c r="Y76" s="16" t="n">
        <f aca="false">IF(X76&lt;=($F$19-$E$19)/($G$19-$E$19),$E$19+SQRT(X76*($G$19-$E$19)*($F$19-$E$19)),$G$19-SQRT((1-X76)*($G$19-$E$19)*($G$19-$F$19)))</f>
        <v>26.719135141654</v>
      </c>
      <c r="Z76" s="12" t="n">
        <f aca="false">G76*(1+Q76/100)</f>
        <v>46611.3745299038</v>
      </c>
      <c r="AA76" s="12" t="n">
        <f aca="false">I76*(1+Q76/100)*(1+S76/100)</f>
        <v>46621.1087504726</v>
      </c>
      <c r="AB76" s="12" t="n">
        <f aca="false">K76*(1+Q76/100)*(1+S76/100)*(1+U76/100)</f>
        <v>63972.6111221347</v>
      </c>
      <c r="AC76" s="12" t="n">
        <f aca="false">M76*(1+Q76/100)*(1+S76/100)*(1+U76/100)*(1+W76/100)</f>
        <v>79672.7793173318</v>
      </c>
      <c r="AD76" s="12" t="n">
        <f aca="false">O76*(1+Q76/100)*(1+S76/100)*(1+U76/100)*(1+W76/100)*(1+Y76/100)</f>
        <v>81028.6241949498</v>
      </c>
      <c r="AE76" s="12" t="n">
        <f aca="false">ABS(C76)/$B$7</f>
        <v>17092.9764634384</v>
      </c>
      <c r="AF76" s="12" t="n">
        <f aca="false">Z76-AE76</f>
        <v>29518.3980664654</v>
      </c>
      <c r="AG76" s="12" t="n">
        <f aca="false">AA76-AE76</f>
        <v>29528.1322870342</v>
      </c>
      <c r="AH76" s="12" t="n">
        <f aca="false">AB76-AE76</f>
        <v>46879.6346586963</v>
      </c>
      <c r="AI76" s="12" t="n">
        <f aca="false">AC76-AE76</f>
        <v>62579.8028538934</v>
      </c>
      <c r="AJ76" s="12" t="n">
        <f aca="false">AD76-AE76</f>
        <v>63935.6477315114</v>
      </c>
      <c r="AK76" s="12" t="n">
        <f aca="false">AF76*$B$4</f>
        <v>14759.1990332327</v>
      </c>
      <c r="AL76" s="12" t="n">
        <f aca="false">AG76*$B$4</f>
        <v>14764.0661435171</v>
      </c>
      <c r="AM76" s="12" t="n">
        <f aca="false">AH76*$B$4</f>
        <v>23439.8173293482</v>
      </c>
      <c r="AN76" s="12" t="n">
        <f aca="false">AI76*$B$4</f>
        <v>31289.9014269467</v>
      </c>
      <c r="AO76" s="12" t="n">
        <f aca="false">AJ76*$B$4</f>
        <v>31967.8238657557</v>
      </c>
      <c r="AP76" s="12" t="n">
        <f aca="false">AF76-AK76</f>
        <v>14759.1990332327</v>
      </c>
      <c r="AQ76" s="12" t="n">
        <f aca="false">AG76-AL76</f>
        <v>14764.0661435171</v>
      </c>
      <c r="AR76" s="12" t="n">
        <f aca="false">AH76-AM76</f>
        <v>23439.8173293482</v>
      </c>
      <c r="AS76" s="12" t="n">
        <f aca="false">AI76-AN76</f>
        <v>31289.9014269467</v>
      </c>
      <c r="AT76" s="12" t="n">
        <f aca="false">AJ76-AO76</f>
        <v>31967.8238657557</v>
      </c>
      <c r="AU76" s="12" t="n">
        <f aca="false">0.2*ABS(C76)+1*ABS(E76)</f>
        <v>53876.1877778509</v>
      </c>
      <c r="AV76" s="12" t="n">
        <f aca="false">C76+E76</f>
        <v>-122248.093631604</v>
      </c>
      <c r="AW76" s="12" t="n">
        <f aca="false">AP76+AE76</f>
        <v>31852.1754966711</v>
      </c>
      <c r="AX76" s="12" t="n">
        <f aca="false">AQ76+AE76</f>
        <v>31857.0426069555</v>
      </c>
      <c r="AY76" s="12" t="n">
        <f aca="false">AR76+AE76</f>
        <v>40532.7937927865</v>
      </c>
      <c r="AZ76" s="12" t="n">
        <f aca="false">AS76+AE76</f>
        <v>48382.8778903851</v>
      </c>
      <c r="BA76" s="12" t="n">
        <f aca="false">AT76+AE76+AU76</f>
        <v>102936.988107045</v>
      </c>
      <c r="BB76" s="4" t="n">
        <f aca="false">IFERROR(IRR(AV76:BA76,0.15),"n/a")</f>
        <v>0.243194145350321</v>
      </c>
      <c r="BC76" s="12" t="n">
        <f aca="false">NPV($B$5,AW76:BA76)+AV76</f>
        <v>35029.864322632</v>
      </c>
    </row>
    <row r="77" customFormat="false" ht="15" hidden="false" customHeight="false" outlineLevel="0" collapsed="false">
      <c r="A77" s="3" t="n">
        <v>53</v>
      </c>
      <c r="B77" s="15" t="n">
        <f aca="true">RAND()</f>
        <v>0.464752760341675</v>
      </c>
      <c r="C77" s="12" t="n">
        <f aca="false">IF(B77&lt;=($F$12-$E$12)/($G$12-$E$12),$E$12+SQRT(B77*($G$12-$E$12)*($F$12-$E$12)),$G$12-SQRT((1-B77)*($G$12-$E$12)*($G$12-$F$12)))</f>
        <v>-76384.2571065399</v>
      </c>
      <c r="D77" s="15" t="n">
        <f aca="true">RAND()</f>
        <v>0.507718784236498</v>
      </c>
      <c r="E77" s="12" t="n">
        <f aca="false">IF(D77&lt;=($F$13-$E$13)/($G$13-$E$13),$E$13+SQRT(D77*($G$13-$E$13)*($F$13-$E$13)),$G$13-SQRT((1-D77)*($G$13-$E$13)*($G$13-$F$13)))</f>
        <v>-31273.1553448297</v>
      </c>
      <c r="F77" s="15" t="n">
        <f aca="true">RAND()</f>
        <v>0.177759770944776</v>
      </c>
      <c r="G77" s="12" t="n">
        <f aca="false">IF(F77&lt;=($F$14-$E$14)/($G$14-$E$14),$E$14+SQRT(F77*($G$14-$E$14)*($F$14-$E$14)),$G$14-SQRT((1-F77)*($G$14-$E$14)*($G$14-$F$14)))</f>
        <v>35163.7162627043</v>
      </c>
      <c r="H77" s="15" t="n">
        <f aca="true">RAND()</f>
        <v>0.830253563801231</v>
      </c>
      <c r="I77" s="12" t="n">
        <f aca="false">IF(H77&lt;=($F$14-$E$14)/($G$14-$E$14),$E$14+SQRT(H77*($G$14-$E$14)*($F$14-$E$14)),$G$14-SQRT((1-H77)*($G$14-$E$14)*($G$14-$F$14)))</f>
        <v>41431.9497320094</v>
      </c>
      <c r="J77" s="15" t="n">
        <f aca="true">RAND()</f>
        <v>0.919218486377797</v>
      </c>
      <c r="K77" s="12" t="n">
        <f aca="false">IF(J77&lt;=($F$14-$E$14)/($G$14-$E$14),$E$14+SQRT(J77*($G$14-$E$14)*($F$14-$E$14)),$G$14-SQRT((1-J77)*($G$14-$E$14)*($G$14-$F$14)))</f>
        <v>42538.5749002529</v>
      </c>
      <c r="L77" s="15" t="n">
        <f aca="true">RAND()</f>
        <v>0.332863923461361</v>
      </c>
      <c r="M77" s="12" t="n">
        <f aca="false">IF(L77&lt;=($F$14-$E$14)/($G$14-$E$14),$E$14+SQRT(L77*($G$14-$E$14)*($F$14-$E$14)),$G$14-SQRT((1-L77)*($G$14-$E$14)*($G$14-$F$14)))</f>
        <v>37066.087214237</v>
      </c>
      <c r="N77" s="15" t="n">
        <f aca="true">RAND()</f>
        <v>0.872280228140743</v>
      </c>
      <c r="O77" s="12" t="n">
        <f aca="false">IF(N77&lt;=($F$14-$E$14)/($G$14-$E$14),$E$14+SQRT(N77*($G$14-$E$14)*($F$14-$E$14)),$G$14-SQRT((1-N77)*($G$14-$E$14)*($G$14-$F$14)))</f>
        <v>41905.0068030052</v>
      </c>
      <c r="P77" s="15" t="n">
        <f aca="true">RAND()</f>
        <v>0.244399270260895</v>
      </c>
      <c r="Q77" s="16" t="n">
        <f aca="false">IF(P77&lt;=($F$15-$E$15)/($G$15-$E$15),$E$15+SQRT(P77*($G$15-$E$15)*($F$15-$E$15)),$G$15-SQRT((1-P77)*($G$15-$E$15)*($G$15-$F$15)))</f>
        <v>14.0974238638616</v>
      </c>
      <c r="R77" s="15" t="n">
        <f aca="true">RAND()</f>
        <v>0.0200157787328108</v>
      </c>
      <c r="S77" s="16" t="n">
        <f aca="false">IF(R77&lt;=($F$16-$E$16)/($G$16-$E$16),$E$16+SQRT(R77*($G$16-$E$16)*($F$16-$E$16)),$G$16-SQRT((1-R77)*($G$16-$E$16)*($G$16-$F$16)))</f>
        <v>12.600236634329</v>
      </c>
      <c r="T77" s="15" t="n">
        <f aca="true">RAND()</f>
        <v>0.818467433096275</v>
      </c>
      <c r="U77" s="16" t="n">
        <f aca="false">IF(T77&lt;=($F$17-$E$17)/($G$17-$E$17),$E$17+SQRT(T77*($G$17-$E$17)*($F$17-$E$17)),$G$17-SQRT((1-T77)*($G$17-$E$17)*($G$17-$F$17)))</f>
        <v>19.7454685911914</v>
      </c>
      <c r="V77" s="15" t="n">
        <f aca="true">RAND()</f>
        <v>0.367935341842986</v>
      </c>
      <c r="W77" s="16" t="n">
        <f aca="false">IF(V77&lt;=($F$18-$E$18)/($G$18-$E$18),$E$18+SQRT(V77*($G$18-$E$18)*($F$18-$E$18)),$G$18-SQRT((1-V77)*($G$18-$E$18)*($G$18-$F$18)))</f>
        <v>20.2965690144858</v>
      </c>
      <c r="X77" s="15" t="n">
        <f aca="true">RAND()</f>
        <v>0.346268538056178</v>
      </c>
      <c r="Y77" s="16" t="n">
        <f aca="false">IF(X77&lt;=($F$19-$E$19)/($G$19-$E$19),$E$19+SQRT(X77*($G$19-$E$19)*($F$19-$E$19)),$G$19-SQRT((1-X77)*($G$19-$E$19)*($G$19-$F$19)))</f>
        <v>22.0584935458281</v>
      </c>
      <c r="Z77" s="12" t="n">
        <f aca="false">G77*(1+Q77/100)</f>
        <v>40120.8943905433</v>
      </c>
      <c r="AA77" s="12" t="n">
        <f aca="false">I77*(1+Q77/100)*(1+S77/100)</f>
        <v>53229.2703643358</v>
      </c>
      <c r="AB77" s="12" t="n">
        <f aca="false">K77*(1+Q77/100)*(1+S77/100)*(1+U77/100)</f>
        <v>65442.0908222905</v>
      </c>
      <c r="AC77" s="12" t="n">
        <f aca="false">M77*(1+Q77/100)*(1+S77/100)*(1+U77/100)*(1+W77/100)</f>
        <v>68596.856473326</v>
      </c>
      <c r="AD77" s="12" t="n">
        <f aca="false">O77*(1+Q77/100)*(1+S77/100)*(1+U77/100)*(1+W77/100)*(1+Y77/100)</f>
        <v>94658.8866075149</v>
      </c>
      <c r="AE77" s="12" t="n">
        <f aca="false">ABS(C77)/$B$7</f>
        <v>15276.851421308</v>
      </c>
      <c r="AF77" s="12" t="n">
        <f aca="false">Z77-AE77</f>
        <v>24844.0429692353</v>
      </c>
      <c r="AG77" s="12" t="n">
        <f aca="false">AA77-AE77</f>
        <v>37952.4189430278</v>
      </c>
      <c r="AH77" s="12" t="n">
        <f aca="false">AB77-AE77</f>
        <v>50165.2394009825</v>
      </c>
      <c r="AI77" s="12" t="n">
        <f aca="false">AC77-AE77</f>
        <v>53320.005052018</v>
      </c>
      <c r="AJ77" s="12" t="n">
        <f aca="false">AD77-AE77</f>
        <v>79382.0351862069</v>
      </c>
      <c r="AK77" s="12" t="n">
        <f aca="false">AF77*$B$4</f>
        <v>12422.0214846177</v>
      </c>
      <c r="AL77" s="12" t="n">
        <f aca="false">AG77*$B$4</f>
        <v>18976.2094715139</v>
      </c>
      <c r="AM77" s="12" t="n">
        <f aca="false">AH77*$B$4</f>
        <v>25082.6197004912</v>
      </c>
      <c r="AN77" s="12" t="n">
        <f aca="false">AI77*$B$4</f>
        <v>26660.002526009</v>
      </c>
      <c r="AO77" s="12" t="n">
        <f aca="false">AJ77*$B$4</f>
        <v>39691.0175931034</v>
      </c>
      <c r="AP77" s="12" t="n">
        <f aca="false">AF77-AK77</f>
        <v>12422.0214846177</v>
      </c>
      <c r="AQ77" s="12" t="n">
        <f aca="false">AG77-AL77</f>
        <v>18976.2094715139</v>
      </c>
      <c r="AR77" s="12" t="n">
        <f aca="false">AH77-AM77</f>
        <v>25082.6197004912</v>
      </c>
      <c r="AS77" s="12" t="n">
        <f aca="false">AI77-AN77</f>
        <v>26660.002526009</v>
      </c>
      <c r="AT77" s="12" t="n">
        <f aca="false">AJ77-AO77</f>
        <v>39691.0175931034</v>
      </c>
      <c r="AU77" s="12" t="n">
        <f aca="false">0.2*ABS(C77)+1*ABS(E77)</f>
        <v>46550.0067661377</v>
      </c>
      <c r="AV77" s="12" t="n">
        <f aca="false">C77+E77</f>
        <v>-107657.41245137</v>
      </c>
      <c r="AW77" s="12" t="n">
        <f aca="false">AP77+AE77</f>
        <v>27698.8729059256</v>
      </c>
      <c r="AX77" s="12" t="n">
        <f aca="false">AQ77+AE77</f>
        <v>34253.0608928219</v>
      </c>
      <c r="AY77" s="12" t="n">
        <f aca="false">AR77+AE77</f>
        <v>40359.4711217992</v>
      </c>
      <c r="AZ77" s="12" t="n">
        <f aca="false">AS77+AE77</f>
        <v>41936.853947317</v>
      </c>
      <c r="BA77" s="12" t="n">
        <f aca="false">AT77+AE77+AU77</f>
        <v>101517.875780549</v>
      </c>
      <c r="BB77" s="4" t="n">
        <f aca="false">IFERROR(IRR(AV77:BA77,0.15),"n/a")</f>
        <v>0.277317410951204</v>
      </c>
      <c r="BC77" s="12" t="n">
        <f aca="false">NPV($B$5,AW77:BA77)+AV77</f>
        <v>43315.6648724875</v>
      </c>
    </row>
    <row r="78" customFormat="false" ht="15" hidden="false" customHeight="false" outlineLevel="0" collapsed="false">
      <c r="A78" s="3" t="n">
        <v>54</v>
      </c>
      <c r="B78" s="15" t="n">
        <f aca="true">RAND()</f>
        <v>0.637600706531714</v>
      </c>
      <c r="C78" s="12" t="n">
        <f aca="false">IF(B78&lt;=($F$12-$E$12)/($G$12-$E$12),$E$12+SQRT(B78*($G$12-$E$12)*($F$12-$E$12)),$G$12-SQRT((1-B78)*($G$12-$E$12)*($G$12-$F$12)))</f>
        <v>-72339.1820829886</v>
      </c>
      <c r="D78" s="15" t="n">
        <f aca="true">RAND()</f>
        <v>0.353496891962616</v>
      </c>
      <c r="E78" s="12" t="n">
        <f aca="false">IF(D78&lt;=($F$13-$E$13)/($G$13-$E$13),$E$13+SQRT(D78*($G$13-$E$13)*($F$13-$E$13)),$G$13-SQRT((1-D78)*($G$13-$E$13)*($G$13-$F$13)))</f>
        <v>-32718.2053177536</v>
      </c>
      <c r="F78" s="15" t="n">
        <f aca="true">RAND()</f>
        <v>0.712568902904768</v>
      </c>
      <c r="G78" s="12" t="n">
        <f aca="false">IF(F78&lt;=($F$14-$E$14)/($G$14-$E$14),$E$14+SQRT(F78*($G$14-$E$14)*($F$14-$E$14)),$G$14-SQRT((1-F78)*($G$14-$E$14)*($G$14-$F$14)))</f>
        <v>40357.0125692457</v>
      </c>
      <c r="H78" s="15" t="n">
        <f aca="true">RAND()</f>
        <v>0.934163990176659</v>
      </c>
      <c r="I78" s="12" t="n">
        <f aca="false">IF(H78&lt;=($F$14-$E$14)/($G$14-$E$14),$E$14+SQRT(H78*($G$14-$E$14)*($F$14-$E$14)),$G$14-SQRT((1-H78)*($G$14-$E$14)*($G$14-$F$14)))</f>
        <v>42777.9062268323</v>
      </c>
      <c r="J78" s="15" t="n">
        <f aca="true">RAND()</f>
        <v>0.216978704775022</v>
      </c>
      <c r="K78" s="12" t="n">
        <f aca="false">IF(J78&lt;=($F$14-$E$14)/($G$14-$E$14),$E$14+SQRT(J78*($G$14-$E$14)*($F$14-$E$14)),$G$14-SQRT((1-J78)*($G$14-$E$14)*($G$14-$F$14)))</f>
        <v>35704.9807814096</v>
      </c>
      <c r="L78" s="15" t="n">
        <f aca="true">RAND()</f>
        <v>0.192519527269922</v>
      </c>
      <c r="M78" s="12" t="n">
        <f aca="false">IF(L78&lt;=($F$14-$E$14)/($G$14-$E$14),$E$14+SQRT(L78*($G$14-$E$14)*($F$14-$E$14)),$G$14-SQRT((1-L78)*($G$14-$E$14)*($G$14-$F$14)))</f>
        <v>35373.8188553847</v>
      </c>
      <c r="N78" s="15" t="n">
        <f aca="true">RAND()</f>
        <v>0.264382649739655</v>
      </c>
      <c r="O78" s="12" t="n">
        <f aca="false">IF(N78&lt;=($F$14-$E$14)/($G$14-$E$14),$E$14+SQRT(N78*($G$14-$E$14)*($F$14-$E$14)),$G$14-SQRT((1-N78)*($G$14-$E$14)*($G$14-$F$14)))</f>
        <v>36297.4119653194</v>
      </c>
      <c r="P78" s="15" t="n">
        <f aca="true">RAND()</f>
        <v>0.942340298417169</v>
      </c>
      <c r="Q78" s="16" t="n">
        <f aca="false">IF(P78&lt;=($F$15-$E$15)/($G$15-$E$15),$E$15+SQRT(P78*($G$15-$E$15)*($F$15-$E$15)),$G$15-SQRT((1-P78)*($G$15-$E$15)*($G$15-$F$15)))</f>
        <v>16.9812386793311</v>
      </c>
      <c r="R78" s="15" t="n">
        <f aca="true">RAND()</f>
        <v>0.514413261946966</v>
      </c>
      <c r="S78" s="16" t="n">
        <f aca="false">IF(R78&lt;=($F$16-$E$16)/($G$16-$E$16),$E$16+SQRT(R78*($G$16-$E$16)*($F$16-$E$16)),$G$16-SQRT((1-R78)*($G$16-$E$16)*($G$16-$F$16)))</f>
        <v>15.0435559729711</v>
      </c>
      <c r="T78" s="15" t="n">
        <f aca="true">RAND()</f>
        <v>0.271583643683824</v>
      </c>
      <c r="U78" s="16" t="n">
        <f aca="false">IF(T78&lt;=($F$17-$E$17)/($G$17-$E$17),$E$17+SQRT(T78*($G$17-$E$17)*($F$17-$E$17)),$G$17-SQRT((1-T78)*($G$17-$E$17)*($G$17-$F$17)))</f>
        <v>17.3881491823922</v>
      </c>
      <c r="V78" s="15" t="n">
        <f aca="true">RAND()</f>
        <v>0.630553818343563</v>
      </c>
      <c r="W78" s="16" t="n">
        <f aca="false">IF(V78&lt;=($F$18-$E$18)/($G$18-$E$18),$E$18+SQRT(V78*($G$18-$E$18)*($F$18-$E$18)),$G$18-SQRT((1-V78)*($G$18-$E$18)*($G$18-$F$18)))</f>
        <v>21.4040833772214</v>
      </c>
      <c r="X78" s="15" t="n">
        <f aca="true">RAND()</f>
        <v>0.414492271769306</v>
      </c>
      <c r="Y78" s="16" t="n">
        <f aca="false">IF(X78&lt;=($F$19-$E$19)/($G$19-$E$19),$E$19+SQRT(X78*($G$19-$E$19)*($F$19-$E$19)),$G$19-SQRT((1-X78)*($G$19-$E$19)*($G$19-$F$19)))</f>
        <v>22.3770632829048</v>
      </c>
      <c r="Z78" s="12" t="n">
        <f aca="false">G78*(1+Q78/100)</f>
        <v>47210.133197477</v>
      </c>
      <c r="AA78" s="12" t="n">
        <f aca="false">I78*(1+Q78/100)*(1+S78/100)</f>
        <v>57570.2396072744</v>
      </c>
      <c r="AB78" s="12" t="n">
        <f aca="false">K78*(1+Q78/100)*(1+S78/100)*(1+U78/100)</f>
        <v>56406.8141891364</v>
      </c>
      <c r="AC78" s="12" t="n">
        <f aca="false">M78*(1+Q78/100)*(1+S78/100)*(1+U78/100)*(1+W78/100)</f>
        <v>67845.0254948786</v>
      </c>
      <c r="AD78" s="12" t="n">
        <f aca="false">O78*(1+Q78/100)*(1+S78/100)*(1+U78/100)*(1+W78/100)*(1+Y78/100)</f>
        <v>85194.5376148943</v>
      </c>
      <c r="AE78" s="12" t="n">
        <f aca="false">ABS(C78)/$B$7</f>
        <v>14467.8364165977</v>
      </c>
      <c r="AF78" s="12" t="n">
        <f aca="false">Z78-AE78</f>
        <v>32742.2967808793</v>
      </c>
      <c r="AG78" s="12" t="n">
        <f aca="false">AA78-AE78</f>
        <v>43102.4031906767</v>
      </c>
      <c r="AH78" s="12" t="n">
        <f aca="false">AB78-AE78</f>
        <v>41938.9777725386</v>
      </c>
      <c r="AI78" s="12" t="n">
        <f aca="false">AC78-AE78</f>
        <v>53377.1890782809</v>
      </c>
      <c r="AJ78" s="12" t="n">
        <f aca="false">AD78-AE78</f>
        <v>70726.7011982966</v>
      </c>
      <c r="AK78" s="12" t="n">
        <f aca="false">AF78*$B$4</f>
        <v>16371.1483904396</v>
      </c>
      <c r="AL78" s="12" t="n">
        <f aca="false">AG78*$B$4</f>
        <v>21551.2015953383</v>
      </c>
      <c r="AM78" s="12" t="n">
        <f aca="false">AH78*$B$4</f>
        <v>20969.4888862693</v>
      </c>
      <c r="AN78" s="12" t="n">
        <f aca="false">AI78*$B$4</f>
        <v>26688.5945391404</v>
      </c>
      <c r="AO78" s="12" t="n">
        <f aca="false">AJ78*$B$4</f>
        <v>35363.3505991483</v>
      </c>
      <c r="AP78" s="12" t="n">
        <f aca="false">AF78-AK78</f>
        <v>16371.1483904396</v>
      </c>
      <c r="AQ78" s="12" t="n">
        <f aca="false">AG78-AL78</f>
        <v>21551.2015953383</v>
      </c>
      <c r="AR78" s="12" t="n">
        <f aca="false">AH78-AM78</f>
        <v>20969.4888862693</v>
      </c>
      <c r="AS78" s="12" t="n">
        <f aca="false">AI78-AN78</f>
        <v>26688.5945391404</v>
      </c>
      <c r="AT78" s="12" t="n">
        <f aca="false">AJ78-AO78</f>
        <v>35363.3505991483</v>
      </c>
      <c r="AU78" s="12" t="n">
        <f aca="false">0.2*ABS(C78)+1*ABS(E78)</f>
        <v>47186.0417343513</v>
      </c>
      <c r="AV78" s="12" t="n">
        <f aca="false">C78+E78</f>
        <v>-105057.387400742</v>
      </c>
      <c r="AW78" s="12" t="n">
        <f aca="false">AP78+AE78</f>
        <v>30838.9848070374</v>
      </c>
      <c r="AX78" s="12" t="n">
        <f aca="false">AQ78+AE78</f>
        <v>36019.0380119361</v>
      </c>
      <c r="AY78" s="12" t="n">
        <f aca="false">AR78+AE78</f>
        <v>35437.325302867</v>
      </c>
      <c r="AZ78" s="12" t="n">
        <f aca="false">AS78+AE78</f>
        <v>41156.4309557382</v>
      </c>
      <c r="BA78" s="12" t="n">
        <f aca="false">AT78+AE78+AU78</f>
        <v>97017.2287500973</v>
      </c>
      <c r="BB78" s="4" t="n">
        <f aca="false">IFERROR(IRR(AV78:BA78,0.15),"n/a")</f>
        <v>0.28598444139837</v>
      </c>
      <c r="BC78" s="12" t="n">
        <f aca="false">NPV($B$5,AW78:BA78)+AV78</f>
        <v>44061.3372762016</v>
      </c>
    </row>
    <row r="79" customFormat="false" ht="15" hidden="false" customHeight="false" outlineLevel="0" collapsed="false">
      <c r="A79" s="3" t="n">
        <v>55</v>
      </c>
      <c r="B79" s="15" t="n">
        <f aca="true">RAND()</f>
        <v>0.666508297532351</v>
      </c>
      <c r="C79" s="12" t="n">
        <f aca="false">IF(B79&lt;=($F$12-$E$12)/($G$12-$E$12),$E$12+SQRT(B79*($G$12-$E$12)*($F$12-$E$12)),$G$12-SQRT((1-B79)*($G$12-$E$12)*($G$12-$F$12)))</f>
        <v>-71719.0884687424</v>
      </c>
      <c r="D79" s="15" t="n">
        <f aca="true">RAND()</f>
        <v>0.142630129251917</v>
      </c>
      <c r="E79" s="12" t="n">
        <f aca="false">IF(D79&lt;=($F$13-$E$13)/($G$13-$E$13),$E$13+SQRT(D79*($G$13-$E$13)*($F$13-$E$13)),$G$13-SQRT((1-D79)*($G$13-$E$13)*($G$13-$F$13)))</f>
        <v>-35374.5790042648</v>
      </c>
      <c r="F79" s="15" t="n">
        <f aca="true">RAND()</f>
        <v>0.172435661396325</v>
      </c>
      <c r="G79" s="12" t="n">
        <f aca="false">IF(F79&lt;=($F$14-$E$14)/($G$14-$E$14),$E$14+SQRT(F79*($G$14-$E$14)*($F$14-$E$14)),$G$14-SQRT((1-F79)*($G$14-$E$14)*($G$14-$F$14)))</f>
        <v>35085.7987779157</v>
      </c>
      <c r="H79" s="15" t="n">
        <f aca="true">RAND()</f>
        <v>0.413298602740292</v>
      </c>
      <c r="I79" s="12" t="n">
        <f aca="false">IF(H79&lt;=($F$14-$E$14)/($G$14-$E$14),$E$14+SQRT(H79*($G$14-$E$14)*($F$14-$E$14)),$G$14-SQRT((1-H79)*($G$14-$E$14)*($G$14-$F$14)))</f>
        <v>37873.6770578329</v>
      </c>
      <c r="J79" s="15" t="n">
        <f aca="true">RAND()</f>
        <v>0.854861532216154</v>
      </c>
      <c r="K79" s="12" t="n">
        <f aca="false">IF(J79&lt;=($F$14-$E$14)/($G$14-$E$14),$E$14+SQRT(J79*($G$14-$E$14)*($F$14-$E$14)),$G$14-SQRT((1-J79)*($G$14-$E$14)*($G$14-$F$14)))</f>
        <v>41700.6993038238</v>
      </c>
      <c r="L79" s="15" t="n">
        <f aca="true">RAND()</f>
        <v>0.825205835687861</v>
      </c>
      <c r="M79" s="12" t="n">
        <f aca="false">IF(L79&lt;=($F$14-$E$14)/($G$14-$E$14),$E$14+SQRT(L79*($G$14-$E$14)*($F$14-$E$14)),$G$14-SQRT((1-L79)*($G$14-$E$14)*($G$14-$F$14)))</f>
        <v>41379.2870421131</v>
      </c>
      <c r="N79" s="15" t="n">
        <f aca="true">RAND()</f>
        <v>0.152476278848197</v>
      </c>
      <c r="O79" s="12" t="n">
        <f aca="false">IF(N79&lt;=($F$14-$E$14)/($G$14-$E$14),$E$14+SQRT(N79*($G$14-$E$14)*($F$14-$E$14)),$G$14-SQRT((1-N79)*($G$14-$E$14)*($G$14-$F$14)))</f>
        <v>34782.4096256207</v>
      </c>
      <c r="P79" s="15" t="n">
        <f aca="true">RAND()</f>
        <v>0.918106845097203</v>
      </c>
      <c r="Q79" s="16" t="n">
        <f aca="false">IF(P79&lt;=($F$15-$E$15)/($G$15-$E$15),$E$15+SQRT(P79*($G$15-$E$15)*($F$15-$E$15)),$G$15-SQRT((1-P79)*($G$15-$E$15)*($G$15-$F$15)))</f>
        <v>16.7858843596056</v>
      </c>
      <c r="R79" s="15" t="n">
        <f aca="true">RAND()</f>
        <v>0.592164515896069</v>
      </c>
      <c r="S79" s="16" t="n">
        <f aca="false">IF(R79&lt;=($F$16-$E$16)/($G$16-$E$16),$E$16+SQRT(R79*($G$16-$E$16)*($F$16-$E$16)),$G$16-SQRT((1-R79)*($G$16-$E$16)*($G$16-$F$16)))</f>
        <v>15.2905648718099</v>
      </c>
      <c r="T79" s="15" t="n">
        <f aca="true">RAND()</f>
        <v>0.236429950991347</v>
      </c>
      <c r="U79" s="16" t="n">
        <f aca="false">IF(T79&lt;=($F$17-$E$17)/($G$17-$E$17),$E$17+SQRT(T79*($G$17-$E$17)*($F$17-$E$17)),$G$17-SQRT((1-T79)*($G$17-$E$17)*($G$17-$F$17)))</f>
        <v>17.2282344963711</v>
      </c>
      <c r="V79" s="15" t="n">
        <f aca="true">RAND()</f>
        <v>0.971909443023216</v>
      </c>
      <c r="W79" s="16" t="n">
        <f aca="false">IF(V79&lt;=($F$18-$E$18)/($G$18-$E$18),$E$18+SQRT(V79*($G$18-$E$18)*($F$18-$E$18)),$G$18-SQRT((1-V79)*($G$18-$E$18)*($G$18-$F$18)))</f>
        <v>24.0084509622881</v>
      </c>
      <c r="X79" s="15" t="n">
        <f aca="true">RAND()</f>
        <v>0.335453058823213</v>
      </c>
      <c r="Y79" s="16" t="n">
        <f aca="false">IF(X79&lt;=($F$19-$E$19)/($G$19-$E$19),$E$19+SQRT(X79*($G$19-$E$19)*($F$19-$E$19)),$G$19-SQRT((1-X79)*($G$19-$E$19)*($G$19-$F$19)))</f>
        <v>22.0095463591188</v>
      </c>
      <c r="Z79" s="12" t="n">
        <f aca="false">G79*(1+Q79/100)</f>
        <v>40975.2603874205</v>
      </c>
      <c r="AA79" s="12" t="n">
        <f aca="false">I79*(1+Q79/100)*(1+S79/100)</f>
        <v>50994.2950594844</v>
      </c>
      <c r="AB79" s="12" t="n">
        <f aca="false">K79*(1+Q79/100)*(1+S79/100)*(1+U79/100)</f>
        <v>65820.2735927962</v>
      </c>
      <c r="AC79" s="12" t="n">
        <f aca="false">M79*(1+Q79/100)*(1+S79/100)*(1+U79/100)*(1+W79/100)</f>
        <v>80993.5866603605</v>
      </c>
      <c r="AD79" s="12" t="n">
        <f aca="false">O79*(1+Q79/100)*(1+S79/100)*(1+U79/100)*(1+W79/100)*(1+Y79/100)</f>
        <v>83065.5807106356</v>
      </c>
      <c r="AE79" s="12" t="n">
        <f aca="false">ABS(C79)/$B$7</f>
        <v>14343.8176937485</v>
      </c>
      <c r="AF79" s="12" t="n">
        <f aca="false">Z79-AE79</f>
        <v>26631.4426936721</v>
      </c>
      <c r="AG79" s="12" t="n">
        <f aca="false">AA79-AE79</f>
        <v>36650.4773657359</v>
      </c>
      <c r="AH79" s="12" t="n">
        <f aca="false">AB79-AE79</f>
        <v>51476.4558990478</v>
      </c>
      <c r="AI79" s="12" t="n">
        <f aca="false">AC79-AE79</f>
        <v>66649.768966612</v>
      </c>
      <c r="AJ79" s="12" t="n">
        <f aca="false">AD79-AE79</f>
        <v>68721.7630168871</v>
      </c>
      <c r="AK79" s="12" t="n">
        <f aca="false">AF79*$B$4</f>
        <v>13315.721346836</v>
      </c>
      <c r="AL79" s="12" t="n">
        <f aca="false">AG79*$B$4</f>
        <v>18325.2386828679</v>
      </c>
      <c r="AM79" s="12" t="n">
        <f aca="false">AH79*$B$4</f>
        <v>25738.2279495239</v>
      </c>
      <c r="AN79" s="12" t="n">
        <f aca="false">AI79*$B$4</f>
        <v>33324.884483306</v>
      </c>
      <c r="AO79" s="12" t="n">
        <f aca="false">AJ79*$B$4</f>
        <v>34360.8815084436</v>
      </c>
      <c r="AP79" s="12" t="n">
        <f aca="false">AF79-AK79</f>
        <v>13315.721346836</v>
      </c>
      <c r="AQ79" s="12" t="n">
        <f aca="false">AG79-AL79</f>
        <v>18325.2386828679</v>
      </c>
      <c r="AR79" s="12" t="n">
        <f aca="false">AH79-AM79</f>
        <v>25738.2279495239</v>
      </c>
      <c r="AS79" s="12" t="n">
        <f aca="false">AI79-AN79</f>
        <v>33324.884483306</v>
      </c>
      <c r="AT79" s="12" t="n">
        <f aca="false">AJ79-AO79</f>
        <v>34360.8815084436</v>
      </c>
      <c r="AU79" s="12" t="n">
        <f aca="false">0.2*ABS(C79)+1*ABS(E79)</f>
        <v>49718.3966980133</v>
      </c>
      <c r="AV79" s="12" t="n">
        <f aca="false">C79+E79</f>
        <v>-107093.667473007</v>
      </c>
      <c r="AW79" s="12" t="n">
        <f aca="false">AP79+AE79</f>
        <v>27659.5390405845</v>
      </c>
      <c r="AX79" s="12" t="n">
        <f aca="false">AQ79+AE79</f>
        <v>32669.0563766164</v>
      </c>
      <c r="AY79" s="12" t="n">
        <f aca="false">AR79+AE79</f>
        <v>40082.0456432723</v>
      </c>
      <c r="AZ79" s="12" t="n">
        <f aca="false">AS79+AE79</f>
        <v>47668.7021770545</v>
      </c>
      <c r="BA79" s="12" t="n">
        <f aca="false">AT79+AE79+AU79</f>
        <v>98423.0959002053</v>
      </c>
      <c r="BB79" s="4" t="n">
        <f aca="false">IFERROR(IRR(AV79:BA79,0.15),"n/a")</f>
        <v>0.279886397991987</v>
      </c>
      <c r="BC79" s="12" t="n">
        <f aca="false">NPV($B$5,AW79:BA79)+AV79</f>
        <v>44203.6100215867</v>
      </c>
    </row>
    <row r="80" customFormat="false" ht="15" hidden="false" customHeight="false" outlineLevel="0" collapsed="false">
      <c r="A80" s="3" t="n">
        <v>56</v>
      </c>
      <c r="B80" s="15" t="n">
        <f aca="true">RAND()</f>
        <v>0.330150109613993</v>
      </c>
      <c r="C80" s="12" t="n">
        <f aca="false">IF(B80&lt;=($F$12-$E$12)/($G$12-$E$12),$E$12+SQRT(B80*($G$12-$E$12)*($F$12-$E$12)),$G$12-SQRT((1-B80)*($G$12-$E$12)*($G$12-$F$12)))</f>
        <v>-80095.7257972869</v>
      </c>
      <c r="D80" s="15" t="n">
        <f aca="true">RAND()</f>
        <v>0.456666645532654</v>
      </c>
      <c r="E80" s="12" t="n">
        <f aca="false">IF(D80&lt;=($F$13-$E$13)/($G$13-$E$13),$E$13+SQRT(D80*($G$13-$E$13)*($F$13-$E$13)),$G$13-SQRT((1-D80)*($G$13-$E$13)*($G$13-$F$13)))</f>
        <v>-31723.5275128894</v>
      </c>
      <c r="F80" s="15" t="n">
        <f aca="true">RAND()</f>
        <v>0.964005924125252</v>
      </c>
      <c r="G80" s="12" t="n">
        <f aca="false">IF(F80&lt;=($F$14-$E$14)/($G$14-$E$14),$E$14+SQRT(F80*($G$14-$E$14)*($F$14-$E$14)),$G$14-SQRT((1-F80)*($G$14-$E$14)*($G$14-$F$14)))</f>
        <v>43356.9675320901</v>
      </c>
      <c r="H80" s="15" t="n">
        <f aca="true">RAND()</f>
        <v>0.985930401162822</v>
      </c>
      <c r="I80" s="12" t="n">
        <f aca="false">IF(H80&lt;=($F$14-$E$14)/($G$14-$E$14),$E$14+SQRT(H80*($G$14-$E$14)*($F$14-$E$14)),$G$14-SQRT((1-H80)*($G$14-$E$14)*($G$14-$F$14)))</f>
        <v>43972.761024499</v>
      </c>
      <c r="J80" s="15" t="n">
        <f aca="true">RAND()</f>
        <v>0.647086414040893</v>
      </c>
      <c r="K80" s="12" t="n">
        <f aca="false">IF(J80&lt;=($F$14-$E$14)/($G$14-$E$14),$E$14+SQRT(J80*($G$14-$E$14)*($F$14-$E$14)),$G$14-SQRT((1-J80)*($G$14-$E$14)*($G$14-$F$14)))</f>
        <v>39852.0536999214</v>
      </c>
      <c r="L80" s="15" t="n">
        <f aca="true">RAND()</f>
        <v>0.506761070440815</v>
      </c>
      <c r="M80" s="12" t="n">
        <f aca="false">IF(L80&lt;=($F$14-$E$14)/($G$14-$E$14),$E$14+SQRT(L80*($G$14-$E$14)*($F$14-$E$14)),$G$14-SQRT((1-L80)*($G$14-$E$14)*($G$14-$F$14)))</f>
        <v>38718.6100134209</v>
      </c>
      <c r="N80" s="15" t="n">
        <f aca="true">RAND()</f>
        <v>0.542734530902083</v>
      </c>
      <c r="O80" s="12" t="n">
        <f aca="false">IF(N80&lt;=($F$14-$E$14)/($G$14-$E$14),$E$14+SQRT(N80*($G$14-$E$14)*($F$14-$E$14)),$G$14-SQRT((1-N80)*($G$14-$E$14)*($G$14-$F$14)))</f>
        <v>39022.7589813378</v>
      </c>
      <c r="P80" s="15" t="n">
        <f aca="true">RAND()</f>
        <v>0.276459996607976</v>
      </c>
      <c r="Q80" s="16" t="n">
        <f aca="false">IF(P80&lt;=($F$15-$E$15)/($G$15-$E$15),$E$15+SQRT(P80*($G$15-$E$15)*($F$15-$E$15)),$G$15-SQRT((1-P80)*($G$15-$E$15)*($G$15-$F$15)))</f>
        <v>14.2307577051181</v>
      </c>
      <c r="R80" s="15" t="n">
        <f aca="true">RAND()</f>
        <v>0.766783355985088</v>
      </c>
      <c r="S80" s="16" t="n">
        <f aca="false">IF(R80&lt;=($F$16-$E$16)/($G$16-$E$16),$E$16+SQRT(R80*($G$16-$E$16)*($F$16-$E$16)),$G$16-SQRT((1-R80)*($G$16-$E$16)*($G$16-$F$16)))</f>
        <v>15.951122357907</v>
      </c>
      <c r="T80" s="15" t="n">
        <f aca="true">RAND()</f>
        <v>0.12158095157741</v>
      </c>
      <c r="U80" s="16" t="n">
        <f aca="false">IF(T80&lt;=($F$17-$E$17)/($G$17-$E$17),$E$17+SQRT(T80*($G$17-$E$17)*($F$17-$E$17)),$G$17-SQRT((1-T80)*($G$17-$E$17)*($G$17-$F$17)))</f>
        <v>16.5978735817096</v>
      </c>
      <c r="V80" s="15" t="n">
        <f aca="true">RAND()</f>
        <v>0.0973626262648794</v>
      </c>
      <c r="W80" s="16" t="n">
        <f aca="false">IF(V80&lt;=($F$18-$E$18)/($G$18-$E$18),$E$18+SQRT(V80*($G$18-$E$18)*($F$18-$E$18)),$G$18-SQRT((1-V80)*($G$18-$E$18)*($G$18-$F$18)))</f>
        <v>19.1675087869941</v>
      </c>
      <c r="X80" s="15" t="n">
        <f aca="true">RAND()</f>
        <v>0.689256683854865</v>
      </c>
      <c r="Y80" s="16" t="n">
        <f aca="false">IF(X80&lt;=($F$19-$E$19)/($G$19-$E$19),$E$19+SQRT(X80*($G$19-$E$19)*($F$19-$E$19)),$G$19-SQRT((1-X80)*($G$19-$E$19)*($G$19-$F$19)))</f>
        <v>23.9036431952481</v>
      </c>
      <c r="Z80" s="12" t="n">
        <f aca="false">G80*(1+Q80/100)</f>
        <v>49526.9925298686</v>
      </c>
      <c r="AA80" s="12" t="n">
        <f aca="false">I80*(1+Q80/100)*(1+S80/100)</f>
        <v>58242.7335545076</v>
      </c>
      <c r="AB80" s="12" t="n">
        <f aca="false">K80*(1+Q80/100)*(1+S80/100)*(1+U80/100)</f>
        <v>61545.9318124417</v>
      </c>
      <c r="AC80" s="12" t="n">
        <f aca="false">M80*(1+Q80/100)*(1+S80/100)*(1+U80/100)*(1+W80/100)</f>
        <v>71256.7914122486</v>
      </c>
      <c r="AD80" s="12" t="n">
        <f aca="false">O80*(1+Q80/100)*(1+S80/100)*(1+U80/100)*(1+W80/100)*(1+Y80/100)</f>
        <v>88983.3092300574</v>
      </c>
      <c r="AE80" s="12" t="n">
        <f aca="false">ABS(C80)/$B$7</f>
        <v>16019.1451594574</v>
      </c>
      <c r="AF80" s="12" t="n">
        <f aca="false">Z80-AE80</f>
        <v>33507.8473704112</v>
      </c>
      <c r="AG80" s="12" t="n">
        <f aca="false">AA80-AE80</f>
        <v>42223.5883950503</v>
      </c>
      <c r="AH80" s="12" t="n">
        <f aca="false">AB80-AE80</f>
        <v>45526.7866529843</v>
      </c>
      <c r="AI80" s="12" t="n">
        <f aca="false">AC80-AE80</f>
        <v>55237.6462527913</v>
      </c>
      <c r="AJ80" s="12" t="n">
        <f aca="false">AD80-AE80</f>
        <v>72964.1640706</v>
      </c>
      <c r="AK80" s="12" t="n">
        <f aca="false">AF80*$B$4</f>
        <v>16753.9236852056</v>
      </c>
      <c r="AL80" s="12" t="n">
        <f aca="false">AG80*$B$4</f>
        <v>21111.7941975251</v>
      </c>
      <c r="AM80" s="12" t="n">
        <f aca="false">AH80*$B$4</f>
        <v>22763.3933264922</v>
      </c>
      <c r="AN80" s="12" t="n">
        <f aca="false">AI80*$B$4</f>
        <v>27618.8231263956</v>
      </c>
      <c r="AO80" s="12" t="n">
        <f aca="false">AJ80*$B$4</f>
        <v>36482.0820353</v>
      </c>
      <c r="AP80" s="12" t="n">
        <f aca="false">AF80-AK80</f>
        <v>16753.9236852056</v>
      </c>
      <c r="AQ80" s="12" t="n">
        <f aca="false">AG80-AL80</f>
        <v>21111.7941975251</v>
      </c>
      <c r="AR80" s="12" t="n">
        <f aca="false">AH80-AM80</f>
        <v>22763.3933264922</v>
      </c>
      <c r="AS80" s="12" t="n">
        <f aca="false">AI80-AN80</f>
        <v>27618.8231263956</v>
      </c>
      <c r="AT80" s="12" t="n">
        <f aca="false">AJ80-AO80</f>
        <v>36482.0820353</v>
      </c>
      <c r="AU80" s="12" t="n">
        <f aca="false">0.2*ABS(C80)+1*ABS(E80)</f>
        <v>47742.6726723468</v>
      </c>
      <c r="AV80" s="12" t="n">
        <f aca="false">C80+E80</f>
        <v>-111819.253310176</v>
      </c>
      <c r="AW80" s="12" t="n">
        <f aca="false">AP80+AE80</f>
        <v>32773.068844663</v>
      </c>
      <c r="AX80" s="12" t="n">
        <f aca="false">AQ80+AE80</f>
        <v>37130.9393569825</v>
      </c>
      <c r="AY80" s="12" t="n">
        <f aca="false">AR80+AE80</f>
        <v>38782.5384859495</v>
      </c>
      <c r="AZ80" s="12" t="n">
        <f aca="false">AS80+AE80</f>
        <v>43637.968285853</v>
      </c>
      <c r="BA80" s="12" t="n">
        <f aca="false">AT80+AE80+AU80</f>
        <v>100243.899867104</v>
      </c>
      <c r="BB80" s="4" t="n">
        <f aca="false">IFERROR(IRR(AV80:BA80,0.15),"n/a")</f>
        <v>0.281414660471379</v>
      </c>
      <c r="BC80" s="12" t="n">
        <f aca="false">NPV($B$5,AW80:BA80)+AV80</f>
        <v>45044.6255373246</v>
      </c>
    </row>
    <row r="81" customFormat="false" ht="15" hidden="false" customHeight="false" outlineLevel="0" collapsed="false">
      <c r="A81" s="3" t="n">
        <v>57</v>
      </c>
      <c r="B81" s="15" t="n">
        <f aca="true">RAND()</f>
        <v>0.519431687514869</v>
      </c>
      <c r="C81" s="12" t="n">
        <f aca="false">IF(B81&lt;=($F$12-$E$12)/($G$12-$E$12),$E$12+SQRT(B81*($G$12-$E$12)*($F$12-$E$12)),$G$12-SQRT((1-B81)*($G$12-$E$12)*($G$12-$F$12)))</f>
        <v>-75033.6621624668</v>
      </c>
      <c r="D81" s="15" t="n">
        <f aca="true">RAND()</f>
        <v>0.410197485113494</v>
      </c>
      <c r="E81" s="12" t="n">
        <f aca="false">IF(D81&lt;=($F$13-$E$13)/($G$13-$E$13),$E$13+SQRT(D81*($G$13-$E$13)*($F$13-$E$13)),$G$13-SQRT((1-D81)*($G$13-$E$13)*($G$13-$F$13)))</f>
        <v>-32155.9179780535</v>
      </c>
      <c r="F81" s="15" t="n">
        <f aca="true">RAND()</f>
        <v>0.688255706187128</v>
      </c>
      <c r="G81" s="12" t="n">
        <f aca="false">IF(F81&lt;=($F$14-$E$14)/($G$14-$E$14),$E$14+SQRT(F81*($G$14-$E$14)*($F$14-$E$14)),$G$14-SQRT((1-F81)*($G$14-$E$14)*($G$14-$F$14)))</f>
        <v>40164.6280354077</v>
      </c>
      <c r="H81" s="15" t="n">
        <f aca="true">RAND()</f>
        <v>0.573724142715676</v>
      </c>
      <c r="I81" s="12" t="n">
        <f aca="false">IF(H81&lt;=($F$14-$E$14)/($G$14-$E$14),$E$14+SQRT(H81*($G$14-$E$14)*($F$14-$E$14)),$G$14-SQRT((1-H81)*($G$14-$E$14)*($G$14-$F$14)))</f>
        <v>39276.7786115306</v>
      </c>
      <c r="J81" s="15" t="n">
        <f aca="true">RAND()</f>
        <v>0.18597801267128</v>
      </c>
      <c r="K81" s="12" t="n">
        <f aca="false">IF(J81&lt;=($F$14-$E$14)/($G$14-$E$14),$E$14+SQRT(J81*($G$14-$E$14)*($F$14-$E$14)),$G$14-SQRT((1-J81)*($G$14-$E$14)*($G$14-$F$14)))</f>
        <v>35281.732850182</v>
      </c>
      <c r="L81" s="15" t="n">
        <f aca="true">RAND()</f>
        <v>0.75095474738073</v>
      </c>
      <c r="M81" s="12" t="n">
        <f aca="false">IF(L81&lt;=($F$14-$E$14)/($G$14-$E$14),$E$14+SQRT(L81*($G$14-$E$14)*($F$14-$E$14)),$G$14-SQRT((1-L81)*($G$14-$E$14)*($G$14-$F$14)))</f>
        <v>40678.149245237</v>
      </c>
      <c r="N81" s="15" t="n">
        <f aca="true">RAND()</f>
        <v>0.663116409162352</v>
      </c>
      <c r="O81" s="12" t="n">
        <f aca="false">IF(N81&lt;=($F$14-$E$14)/($G$14-$E$14),$E$14+SQRT(N81*($G$14-$E$14)*($F$14-$E$14)),$G$14-SQRT((1-N81)*($G$14-$E$14)*($G$14-$F$14)))</f>
        <v>39973.3375243372</v>
      </c>
      <c r="P81" s="15" t="n">
        <f aca="true">RAND()</f>
        <v>0.467343939017958</v>
      </c>
      <c r="Q81" s="16" t="n">
        <f aca="false">IF(P81&lt;=($F$15-$E$15)/($G$15-$E$15),$E$15+SQRT(P81*($G$15-$E$15)*($F$15-$E$15)),$G$15-SQRT((1-P81)*($G$15-$E$15)*($G$15-$F$15)))</f>
        <v>14.9003777171815</v>
      </c>
      <c r="R81" s="15" t="n">
        <f aca="true">RAND()</f>
        <v>0.235459579852554</v>
      </c>
      <c r="S81" s="16" t="n">
        <f aca="false">IF(R81&lt;=($F$16-$E$16)/($G$16-$E$16),$E$16+SQRT(R81*($G$16-$E$16)*($F$16-$E$16)),$G$16-SQRT((1-R81)*($G$16-$E$16)*($G$16-$F$16)))</f>
        <v>14.0587064961635</v>
      </c>
      <c r="T81" s="15" t="n">
        <f aca="true">RAND()</f>
        <v>0.0158216217457633</v>
      </c>
      <c r="U81" s="16" t="n">
        <f aca="false">IF(T81&lt;=($F$17-$E$17)/($G$17-$E$17),$E$17+SQRT(T81*($G$17-$E$17)*($F$17-$E$17)),$G$17-SQRT((1-T81)*($G$17-$E$17)*($G$17-$F$17)))</f>
        <v>15.5764148303618</v>
      </c>
      <c r="V81" s="15" t="n">
        <f aca="true">RAND()</f>
        <v>0.0941392869254173</v>
      </c>
      <c r="W81" s="16" t="n">
        <f aca="false">IF(V81&lt;=($F$18-$E$18)/($G$18-$E$18),$E$18+SQRT(V81*($G$18-$E$18)*($F$18-$E$18)),$G$18-SQRT((1-V81)*($G$18-$E$18)*($G$18-$F$18)))</f>
        <v>19.1480200420532</v>
      </c>
      <c r="X81" s="15" t="n">
        <f aca="true">RAND()</f>
        <v>0.822391598048312</v>
      </c>
      <c r="Y81" s="16" t="n">
        <f aca="false">IF(X81&lt;=($F$19-$E$19)/($G$19-$E$19),$E$19+SQRT(X81*($G$19-$E$19)*($F$19-$E$19)),$G$19-SQRT((1-X81)*($G$19-$E$19)*($G$19-$F$19)))</f>
        <v>24.9030896517027</v>
      </c>
      <c r="Z81" s="12" t="n">
        <f aca="false">G81*(1+Q81/100)</f>
        <v>46149.3093213844</v>
      </c>
      <c r="AA81" s="12" t="n">
        <f aca="false">I81*(1+Q81/100)*(1+S81/100)</f>
        <v>51473.744109642</v>
      </c>
      <c r="AB81" s="12" t="n">
        <f aca="false">K81*(1+Q81/100)*(1+S81/100)*(1+U81/100)</f>
        <v>53440.3168245297</v>
      </c>
      <c r="AC81" s="12" t="n">
        <f aca="false">M81*(1+Q81/100)*(1+S81/100)*(1+U81/100)*(1+W81/100)</f>
        <v>73412.0128895309</v>
      </c>
      <c r="AD81" s="12" t="n">
        <f aca="false">O81*(1+Q81/100)*(1+S81/100)*(1+U81/100)*(1+W81/100)*(1+Y81/100)</f>
        <v>90105.1344112573</v>
      </c>
      <c r="AE81" s="12" t="n">
        <f aca="false">ABS(C81)/$B$7</f>
        <v>15006.7324324934</v>
      </c>
      <c r="AF81" s="12" t="n">
        <f aca="false">Z81-AE81</f>
        <v>31142.5768888911</v>
      </c>
      <c r="AG81" s="12" t="n">
        <f aca="false">AA81-AE81</f>
        <v>36467.0116771487</v>
      </c>
      <c r="AH81" s="12" t="n">
        <f aca="false">AB81-AE81</f>
        <v>38433.5843920364</v>
      </c>
      <c r="AI81" s="12" t="n">
        <f aca="false">AC81-AE81</f>
        <v>58405.2804570375</v>
      </c>
      <c r="AJ81" s="12" t="n">
        <f aca="false">AD81-AE81</f>
        <v>75098.4019787639</v>
      </c>
      <c r="AK81" s="12" t="n">
        <f aca="false">AF81*$B$4</f>
        <v>15571.2884444455</v>
      </c>
      <c r="AL81" s="12" t="n">
        <f aca="false">AG81*$B$4</f>
        <v>18233.5058385743</v>
      </c>
      <c r="AM81" s="12" t="n">
        <f aca="false">AH81*$B$4</f>
        <v>19216.7921960182</v>
      </c>
      <c r="AN81" s="12" t="n">
        <f aca="false">AI81*$B$4</f>
        <v>29202.6402285188</v>
      </c>
      <c r="AO81" s="12" t="n">
        <f aca="false">AJ81*$B$4</f>
        <v>37549.200989382</v>
      </c>
      <c r="AP81" s="12" t="n">
        <f aca="false">AF81-AK81</f>
        <v>15571.2884444455</v>
      </c>
      <c r="AQ81" s="12" t="n">
        <f aca="false">AG81-AL81</f>
        <v>18233.5058385743</v>
      </c>
      <c r="AR81" s="12" t="n">
        <f aca="false">AH81-AM81</f>
        <v>19216.7921960182</v>
      </c>
      <c r="AS81" s="12" t="n">
        <f aca="false">AI81-AN81</f>
        <v>29202.6402285188</v>
      </c>
      <c r="AT81" s="12" t="n">
        <f aca="false">AJ81-AO81</f>
        <v>37549.200989382</v>
      </c>
      <c r="AU81" s="12" t="n">
        <f aca="false">0.2*ABS(C81)+1*ABS(E81)</f>
        <v>47162.6504105469</v>
      </c>
      <c r="AV81" s="12" t="n">
        <f aca="false">C81+E81</f>
        <v>-107189.58014052</v>
      </c>
      <c r="AW81" s="12" t="n">
        <f aca="false">AP81+AE81</f>
        <v>30578.0208769389</v>
      </c>
      <c r="AX81" s="12" t="n">
        <f aca="false">AQ81+AE81</f>
        <v>33240.2382710677</v>
      </c>
      <c r="AY81" s="12" t="n">
        <f aca="false">AR81+AE81</f>
        <v>34223.5246285115</v>
      </c>
      <c r="AZ81" s="12" t="n">
        <f aca="false">AS81+AE81</f>
        <v>44209.3726610121</v>
      </c>
      <c r="BA81" s="12" t="n">
        <f aca="false">AT81+AE81+AU81</f>
        <v>99718.5838324222</v>
      </c>
      <c r="BB81" s="4" t="n">
        <f aca="false">IFERROR(IRR(AV81:BA81,0.15),"n/a")</f>
        <v>0.275299242426479</v>
      </c>
      <c r="BC81" s="12" t="n">
        <f aca="false">NPV($B$5,AW81:BA81)+AV81</f>
        <v>41891.5341360554</v>
      </c>
    </row>
    <row r="82" customFormat="false" ht="15" hidden="false" customHeight="false" outlineLevel="0" collapsed="false">
      <c r="A82" s="3" t="n">
        <v>58</v>
      </c>
      <c r="B82" s="15" t="n">
        <f aca="true">RAND()</f>
        <v>0.562909954754708</v>
      </c>
      <c r="C82" s="12" t="n">
        <f aca="false">IF(B82&lt;=($F$12-$E$12)/($G$12-$E$12),$E$12+SQRT(B82*($G$12-$E$12)*($F$12-$E$12)),$G$12-SQRT((1-B82)*($G$12-$E$12)*($G$12-$F$12)))</f>
        <v>-74009.7721113175</v>
      </c>
      <c r="D82" s="15" t="n">
        <f aca="true">RAND()</f>
        <v>0.430385832222158</v>
      </c>
      <c r="E82" s="12" t="n">
        <f aca="false">IF(D82&lt;=($F$13-$E$13)/($G$13-$E$13),$E$13+SQRT(D82*($G$13-$E$13)*($F$13-$E$13)),$G$13-SQRT((1-D82)*($G$13-$E$13)*($G$13-$F$13)))</f>
        <v>-31965.2084760509</v>
      </c>
      <c r="F82" s="15" t="n">
        <f aca="true">RAND()</f>
        <v>0.371759475844111</v>
      </c>
      <c r="G82" s="12" t="n">
        <f aca="false">IF(F82&lt;=($F$14-$E$14)/($G$14-$E$14),$E$14+SQRT(F82*($G$14-$E$14)*($F$14-$E$14)),$G$14-SQRT((1-F82)*($G$14-$E$14)*($G$14-$F$14)))</f>
        <v>37467.5244476745</v>
      </c>
      <c r="H82" s="15" t="n">
        <f aca="true">RAND()</f>
        <v>0.887340107258784</v>
      </c>
      <c r="I82" s="12" t="n">
        <f aca="false">IF(H82&lt;=($F$14-$E$14)/($G$14-$E$14),$E$14+SQRT(H82*($G$14-$E$14)*($F$14-$E$14)),$G$14-SQRT((1-H82)*($G$14-$E$14)*($G$14-$F$14)))</f>
        <v>42093.1990168587</v>
      </c>
      <c r="J82" s="15" t="n">
        <f aca="true">RAND()</f>
        <v>0.598546320484613</v>
      </c>
      <c r="K82" s="12" t="n">
        <f aca="false">IF(J82&lt;=($F$14-$E$14)/($G$14-$E$14),$E$14+SQRT(J82*($G$14-$E$14)*($F$14-$E$14)),$G$14-SQRT((1-J82)*($G$14-$E$14)*($G$14-$F$14)))</f>
        <v>39475.3336655071</v>
      </c>
      <c r="L82" s="15" t="n">
        <f aca="true">RAND()</f>
        <v>0.563857155328843</v>
      </c>
      <c r="M82" s="12" t="n">
        <f aca="false">IF(L82&lt;=($F$14-$E$14)/($G$14-$E$14),$E$14+SQRT(L82*($G$14-$E$14)*($F$14-$E$14)),$G$14-SQRT((1-L82)*($G$14-$E$14)*($G$14-$F$14)))</f>
        <v>39196.6609864302</v>
      </c>
      <c r="N82" s="15" t="n">
        <f aca="true">RAND()</f>
        <v>0.248644883332058</v>
      </c>
      <c r="O82" s="12" t="n">
        <f aca="false">IF(N82&lt;=($F$14-$E$14)/($G$14-$E$14),$E$14+SQRT(N82*($G$14-$E$14)*($F$14-$E$14)),$G$14-SQRT((1-N82)*($G$14-$E$14)*($G$14-$F$14)))</f>
        <v>36107.1050834097</v>
      </c>
      <c r="P82" s="15" t="n">
        <f aca="true">RAND()</f>
        <v>0.614609231020267</v>
      </c>
      <c r="Q82" s="16" t="n">
        <f aca="false">IF(P82&lt;=($F$15-$E$15)/($G$15-$E$15),$E$15+SQRT(P82*($G$15-$E$15)*($F$15-$E$15)),$G$15-SQRT((1-P82)*($G$15-$E$15)*($G$15-$F$15)))</f>
        <v>15.3661750548612</v>
      </c>
      <c r="R82" s="15" t="n">
        <f aca="true">RAND()</f>
        <v>0.409627034383006</v>
      </c>
      <c r="S82" s="16" t="n">
        <f aca="false">IF(R82&lt;=($F$16-$E$16)/($G$16-$E$16),$E$16+SQRT(R82*($G$16-$E$16)*($F$16-$E$16)),$G$16-SQRT((1-R82)*($G$16-$E$16)*($G$16-$F$16)))</f>
        <v>14.7153796454445</v>
      </c>
      <c r="T82" s="15" t="n">
        <f aca="true">RAND()</f>
        <v>0.164710044619684</v>
      </c>
      <c r="U82" s="16" t="n">
        <f aca="false">IF(T82&lt;=($F$17-$E$17)/($G$17-$E$17),$E$17+SQRT(T82*($G$17-$E$17)*($F$17-$E$17)),$G$17-SQRT((1-T82)*($G$17-$E$17)*($G$17-$F$17)))</f>
        <v>16.8598147587901</v>
      </c>
      <c r="V82" s="15" t="n">
        <f aca="true">RAND()</f>
        <v>0.400757190580125</v>
      </c>
      <c r="W82" s="16" t="n">
        <f aca="false">IF(V82&lt;=($F$18-$E$18)/($G$18-$E$18),$E$18+SQRT(V82*($G$18-$E$18)*($F$18-$E$18)),$G$18-SQRT((1-V82)*($G$18-$E$18)*($G$18-$F$18)))</f>
        <v>20.4203167871898</v>
      </c>
      <c r="X82" s="15" t="n">
        <f aca="true">RAND()</f>
        <v>0.940176043361437</v>
      </c>
      <c r="Y82" s="16" t="n">
        <f aca="false">IF(X82&lt;=($F$19-$E$19)/($G$19-$E$19),$E$19+SQRT(X82*($G$19-$E$19)*($F$19-$E$19)),$G$19-SQRT((1-X82)*($G$19-$E$19)*($G$19-$F$19)))</f>
        <v>26.2026425902224</v>
      </c>
      <c r="Z82" s="12" t="n">
        <f aca="false">G82*(1+Q82/100)</f>
        <v>43224.8498430271</v>
      </c>
      <c r="AA82" s="12" t="n">
        <f aca="false">I82*(1+Q82/100)*(1+S82/100)</f>
        <v>55707.2953304502</v>
      </c>
      <c r="AB82" s="12" t="n">
        <f aca="false">K82*(1+Q82/100)*(1+S82/100)*(1+U82/100)</f>
        <v>61050.7697099138</v>
      </c>
      <c r="AC82" s="12" t="n">
        <f aca="false">M82*(1+Q82/100)*(1+S82/100)*(1+U82/100)*(1+W82/100)</f>
        <v>72998.5396852001</v>
      </c>
      <c r="AD82" s="12" t="n">
        <f aca="false">O82*(1+Q82/100)*(1+S82/100)*(1+U82/100)*(1+W82/100)*(1+Y82/100)</f>
        <v>84864.5315515806</v>
      </c>
      <c r="AE82" s="12" t="n">
        <f aca="false">ABS(C82)/$B$7</f>
        <v>14801.9544222635</v>
      </c>
      <c r="AF82" s="12" t="n">
        <f aca="false">Z82-AE82</f>
        <v>28422.8954207636</v>
      </c>
      <c r="AG82" s="12" t="n">
        <f aca="false">AA82-AE82</f>
        <v>40905.3409081867</v>
      </c>
      <c r="AH82" s="12" t="n">
        <f aca="false">AB82-AE82</f>
        <v>46248.8152876503</v>
      </c>
      <c r="AI82" s="12" t="n">
        <f aca="false">AC82-AE82</f>
        <v>58196.5852629366</v>
      </c>
      <c r="AJ82" s="12" t="n">
        <f aca="false">AD82-AE82</f>
        <v>70062.5771293171</v>
      </c>
      <c r="AK82" s="12" t="n">
        <f aca="false">AF82*$B$4</f>
        <v>14211.4477103818</v>
      </c>
      <c r="AL82" s="12" t="n">
        <f aca="false">AG82*$B$4</f>
        <v>20452.6704540933</v>
      </c>
      <c r="AM82" s="12" t="n">
        <f aca="false">AH82*$B$4</f>
        <v>23124.4076438252</v>
      </c>
      <c r="AN82" s="12" t="n">
        <f aca="false">AI82*$B$4</f>
        <v>29098.2926314683</v>
      </c>
      <c r="AO82" s="12" t="n">
        <f aca="false">AJ82*$B$4</f>
        <v>35031.2885646585</v>
      </c>
      <c r="AP82" s="12" t="n">
        <f aca="false">AF82-AK82</f>
        <v>14211.4477103818</v>
      </c>
      <c r="AQ82" s="12" t="n">
        <f aca="false">AG82-AL82</f>
        <v>20452.6704540933</v>
      </c>
      <c r="AR82" s="12" t="n">
        <f aca="false">AH82-AM82</f>
        <v>23124.4076438252</v>
      </c>
      <c r="AS82" s="12" t="n">
        <f aca="false">AI82-AN82</f>
        <v>29098.2926314683</v>
      </c>
      <c r="AT82" s="12" t="n">
        <f aca="false">AJ82-AO82</f>
        <v>35031.2885646585</v>
      </c>
      <c r="AU82" s="12" t="n">
        <f aca="false">0.2*ABS(C82)+1*ABS(E82)</f>
        <v>46767.1628983144</v>
      </c>
      <c r="AV82" s="12" t="n">
        <f aca="false">C82+E82</f>
        <v>-105974.980587368</v>
      </c>
      <c r="AW82" s="12" t="n">
        <f aca="false">AP82+AE82</f>
        <v>29013.4021326453</v>
      </c>
      <c r="AX82" s="12" t="n">
        <f aca="false">AQ82+AE82</f>
        <v>35254.6248763568</v>
      </c>
      <c r="AY82" s="12" t="n">
        <f aca="false">AR82+AE82</f>
        <v>37926.3620660887</v>
      </c>
      <c r="AZ82" s="12" t="n">
        <f aca="false">AS82+AE82</f>
        <v>43900.2470537318</v>
      </c>
      <c r="BA82" s="12" t="n">
        <f aca="false">AT82+AE82+AU82</f>
        <v>96600.4058852365</v>
      </c>
      <c r="BB82" s="4" t="n">
        <f aca="false">IFERROR(IRR(AV82:BA82,0.15),"n/a")</f>
        <v>0.283012014081855</v>
      </c>
      <c r="BC82" s="12" t="n">
        <f aca="false">NPV($B$5,AW82:BA82)+AV82</f>
        <v>43976.4079459124</v>
      </c>
    </row>
    <row r="83" customFormat="false" ht="15" hidden="false" customHeight="false" outlineLevel="0" collapsed="false">
      <c r="A83" s="3" t="n">
        <v>59</v>
      </c>
      <c r="B83" s="15" t="n">
        <f aca="true">RAND()</f>
        <v>0.614191759449732</v>
      </c>
      <c r="C83" s="12" t="n">
        <f aca="false">IF(B83&lt;=($F$12-$E$12)/($G$12-$E$12),$E$12+SQRT(B83*($G$12-$E$12)*($F$12-$E$12)),$G$12-SQRT((1-B83)*($G$12-$E$12)*($G$12-$F$12)))</f>
        <v>-72851.7015019416</v>
      </c>
      <c r="D83" s="15" t="n">
        <f aca="true">RAND()</f>
        <v>0.874054957164549</v>
      </c>
      <c r="E83" s="12" t="n">
        <f aca="false">IF(D83&lt;=($F$13-$E$13)/($G$13-$E$13),$E$13+SQRT(D83*($G$13-$E$13)*($F$13-$E$13)),$G$13-SQRT((1-D83)*($G$13-$E$13)*($G$13-$F$13)))</f>
        <v>-28073.4147479081</v>
      </c>
      <c r="F83" s="15" t="n">
        <f aca="true">RAND()</f>
        <v>0.344105668770455</v>
      </c>
      <c r="G83" s="12" t="n">
        <f aca="false">IF(F83&lt;=($F$14-$E$14)/($G$14-$E$14),$E$14+SQRT(F83*($G$14-$E$14)*($F$14-$E$14)),$G$14-SQRT((1-F83)*($G$14-$E$14)*($G$14-$F$14)))</f>
        <v>37184.41718691</v>
      </c>
      <c r="H83" s="15" t="n">
        <f aca="true">RAND()</f>
        <v>0.167042476343156</v>
      </c>
      <c r="I83" s="12" t="n">
        <f aca="false">IF(H83&lt;=($F$14-$E$14)/($G$14-$E$14),$E$14+SQRT(H83*($G$14-$E$14)*($F$14-$E$14)),$G$14-SQRT((1-H83)*($G$14-$E$14)*($G$14-$F$14)))</f>
        <v>35005.6339709844</v>
      </c>
      <c r="J83" s="15" t="n">
        <f aca="true">RAND()</f>
        <v>0.941927938736371</v>
      </c>
      <c r="K83" s="12" t="n">
        <f aca="false">IF(J83&lt;=($F$14-$E$14)/($G$14-$E$14),$E$14+SQRT(J83*($G$14-$E$14)*($F$14-$E$14)),$G$14-SQRT((1-J83)*($G$14-$E$14)*($G$14-$F$14)))</f>
        <v>42913.0393883036</v>
      </c>
      <c r="L83" s="15" t="n">
        <f aca="true">RAND()</f>
        <v>0.563399633924444</v>
      </c>
      <c r="M83" s="12" t="n">
        <f aca="false">IF(L83&lt;=($F$14-$E$14)/($G$14-$E$14),$E$14+SQRT(L83*($G$14-$E$14)*($F$14-$E$14)),$G$14-SQRT((1-L83)*($G$14-$E$14)*($G$14-$F$14)))</f>
        <v>39192.9290810202</v>
      </c>
      <c r="N83" s="15" t="n">
        <f aca="true">RAND()</f>
        <v>0.913141730054854</v>
      </c>
      <c r="O83" s="12" t="n">
        <f aca="false">IF(N83&lt;=($F$14-$E$14)/($G$14-$E$14),$E$14+SQRT(N83*($G$14-$E$14)*($F$14-$E$14)),$G$14-SQRT((1-N83)*($G$14-$E$14)*($G$14-$F$14)))</f>
        <v>42447.6735620446</v>
      </c>
      <c r="P83" s="15" t="n">
        <f aca="true">RAND()</f>
        <v>0.182973757984572</v>
      </c>
      <c r="Q83" s="16" t="n">
        <f aca="false">IF(P83&lt;=($F$15-$E$15)/($G$15-$E$15),$E$15+SQRT(P83*($G$15-$E$15)*($F$15-$E$15)),$G$15-SQRT((1-P83)*($G$15-$E$15)*($G$15-$F$15)))</f>
        <v>13.8148078806646</v>
      </c>
      <c r="R83" s="15" t="n">
        <f aca="true">RAND()</f>
        <v>0.943749021160166</v>
      </c>
      <c r="S83" s="16" t="n">
        <f aca="false">IF(R83&lt;=($F$16-$E$16)/($G$16-$E$16),$E$16+SQRT(R83*($G$16-$E$16)*($F$16-$E$16)),$G$16-SQRT((1-R83)*($G$16-$E$16)*($G$16-$F$16)))</f>
        <v>16.9937606551535</v>
      </c>
      <c r="T83" s="15" t="n">
        <f aca="true">RAND()</f>
        <v>0.673071857653376</v>
      </c>
      <c r="U83" s="16" t="n">
        <f aca="false">IF(T83&lt;=($F$17-$E$17)/($G$17-$E$17),$E$17+SQRT(T83*($G$17-$E$17)*($F$17-$E$17)),$G$17-SQRT((1-T83)*($G$17-$E$17)*($G$17-$F$17)))</f>
        <v>18.9744441856569</v>
      </c>
      <c r="V83" s="15" t="n">
        <f aca="true">RAND()</f>
        <v>0.549666619773278</v>
      </c>
      <c r="W83" s="16" t="n">
        <f aca="false">IF(V83&lt;=($F$18-$E$18)/($G$18-$E$18),$E$18+SQRT(V83*($G$18-$E$18)*($F$18-$E$18)),$G$18-SQRT((1-V83)*($G$18-$E$18)*($G$18-$F$18)))</f>
        <v>21.0299032369556</v>
      </c>
      <c r="X83" s="15" t="n">
        <f aca="true">RAND()</f>
        <v>0.117460256888634</v>
      </c>
      <c r="Y83" s="16" t="n">
        <f aca="false">IF(X83&lt;=($F$19-$E$19)/($G$19-$E$19),$E$19+SQRT(X83*($G$19-$E$19)*($F$19-$E$19)),$G$19-SQRT((1-X83)*($G$19-$E$19)*($G$19-$F$19)))</f>
        <v>20.7808500599414</v>
      </c>
      <c r="Z83" s="12" t="n">
        <f aca="false">G83*(1+Q83/100)</f>
        <v>42321.3729828265</v>
      </c>
      <c r="AA83" s="12" t="n">
        <f aca="false">I83*(1+Q83/100)*(1+S83/100)</f>
        <v>46612.1803557294</v>
      </c>
      <c r="AB83" s="12" t="n">
        <f aca="false">K83*(1+Q83/100)*(1+S83/100)*(1+U83/100)</f>
        <v>67983.6426096621</v>
      </c>
      <c r="AC83" s="12" t="n">
        <f aca="false">M83*(1+Q83/100)*(1+S83/100)*(1+U83/100)*(1+W83/100)</f>
        <v>75147.677539533</v>
      </c>
      <c r="AD83" s="12" t="n">
        <f aca="false">O83*(1+Q83/100)*(1+S83/100)*(1+U83/100)*(1+W83/100)*(1+Y83/100)</f>
        <v>98301.4255877419</v>
      </c>
      <c r="AE83" s="12" t="n">
        <f aca="false">ABS(C83)/$B$7</f>
        <v>14570.3403003883</v>
      </c>
      <c r="AF83" s="12" t="n">
        <f aca="false">Z83-AE83</f>
        <v>27751.0326824382</v>
      </c>
      <c r="AG83" s="12" t="n">
        <f aca="false">AA83-AE83</f>
        <v>32041.8400553411</v>
      </c>
      <c r="AH83" s="12" t="n">
        <f aca="false">AB83-AE83</f>
        <v>53413.3023092737</v>
      </c>
      <c r="AI83" s="12" t="n">
        <f aca="false">AC83-AE83</f>
        <v>60577.3372391447</v>
      </c>
      <c r="AJ83" s="12" t="n">
        <f aca="false">AD83-AE83</f>
        <v>83731.0852873536</v>
      </c>
      <c r="AK83" s="12" t="n">
        <f aca="false">AF83*$B$4</f>
        <v>13875.5163412191</v>
      </c>
      <c r="AL83" s="12" t="n">
        <f aca="false">AG83*$B$4</f>
        <v>16020.9200276705</v>
      </c>
      <c r="AM83" s="12" t="n">
        <f aca="false">AH83*$B$4</f>
        <v>26706.6511546369</v>
      </c>
      <c r="AN83" s="12" t="n">
        <f aca="false">AI83*$B$4</f>
        <v>30288.6686195723</v>
      </c>
      <c r="AO83" s="12" t="n">
        <f aca="false">AJ83*$B$4</f>
        <v>41865.5426436768</v>
      </c>
      <c r="AP83" s="12" t="n">
        <f aca="false">AF83-AK83</f>
        <v>13875.5163412191</v>
      </c>
      <c r="AQ83" s="12" t="n">
        <f aca="false">AG83-AL83</f>
        <v>16020.9200276705</v>
      </c>
      <c r="AR83" s="12" t="n">
        <f aca="false">AH83-AM83</f>
        <v>26706.6511546369</v>
      </c>
      <c r="AS83" s="12" t="n">
        <f aca="false">AI83-AN83</f>
        <v>30288.6686195723</v>
      </c>
      <c r="AT83" s="12" t="n">
        <f aca="false">AJ83-AO83</f>
        <v>41865.5426436768</v>
      </c>
      <c r="AU83" s="12" t="n">
        <f aca="false">0.2*ABS(C83)+1*ABS(E83)</f>
        <v>42643.7550482964</v>
      </c>
      <c r="AV83" s="12" t="n">
        <f aca="false">C83+E83</f>
        <v>-100925.11624985</v>
      </c>
      <c r="AW83" s="12" t="n">
        <f aca="false">AP83+AE83</f>
        <v>28445.8566416074</v>
      </c>
      <c r="AX83" s="12" t="n">
        <f aca="false">AQ83+AE83</f>
        <v>30591.2603280589</v>
      </c>
      <c r="AY83" s="12" t="n">
        <f aca="false">AR83+AE83</f>
        <v>41276.9914550252</v>
      </c>
      <c r="AZ83" s="12" t="n">
        <f aca="false">AS83+AE83</f>
        <v>44859.0089199607</v>
      </c>
      <c r="BA83" s="12" t="n">
        <f aca="false">AT83+AE83+AU83</f>
        <v>99079.6379923615</v>
      </c>
      <c r="BB83" s="4" t="n">
        <f aca="false">IFERROR(IRR(AV83:BA83,0.15),"n/a")</f>
        <v>0.300993252607458</v>
      </c>
      <c r="BC83" s="12" t="n">
        <f aca="false">NPV($B$5,AW83:BA83)+AV83</f>
        <v>48990.4658395692</v>
      </c>
    </row>
    <row r="84" customFormat="false" ht="15" hidden="false" customHeight="false" outlineLevel="0" collapsed="false">
      <c r="A84" s="3" t="n">
        <v>60</v>
      </c>
      <c r="B84" s="15" t="n">
        <f aca="true">RAND()</f>
        <v>0.138720078235419</v>
      </c>
      <c r="C84" s="12" t="n">
        <f aca="false">IF(B84&lt;=($F$12-$E$12)/($G$12-$E$12),$E$12+SQRT(B84*($G$12-$E$12)*($F$12-$E$12)),$G$12-SQRT((1-B84)*($G$12-$E$12)*($G$12-$F$12)))</f>
        <v>-87097.9035082471</v>
      </c>
      <c r="D84" s="15" t="n">
        <f aca="true">RAND()</f>
        <v>0.845115484967739</v>
      </c>
      <c r="E84" s="12" t="n">
        <f aca="false">IF(D84&lt;=($F$13-$E$13)/($G$13-$E$13),$E$13+SQRT(D84*($G$13-$E$13)*($F$13-$E$13)),$G$13-SQRT((1-D84)*($G$13-$E$13)*($G$13-$F$13)))</f>
        <v>-28408.2750222685</v>
      </c>
      <c r="F84" s="15" t="n">
        <f aca="true">RAND()</f>
        <v>0.781760975732121</v>
      </c>
      <c r="G84" s="12" t="n">
        <f aca="false">IF(F84&lt;=($F$14-$E$14)/($G$14-$E$14),$E$14+SQRT(F84*($G$14-$E$14)*($F$14-$E$14)),$G$14-SQRT((1-F84)*($G$14-$E$14)*($G$14-$F$14)))</f>
        <v>40954.2705453663</v>
      </c>
      <c r="H84" s="15" t="n">
        <f aca="true">RAND()</f>
        <v>0.505866865270991</v>
      </c>
      <c r="I84" s="12" t="n">
        <f aca="false">IF(H84&lt;=($F$14-$E$14)/($G$14-$E$14),$E$14+SQRT(H84*($G$14-$E$14)*($F$14-$E$14)),$G$14-SQRT((1-H84)*($G$14-$E$14)*($G$14-$F$14)))</f>
        <v>38710.9144061142</v>
      </c>
      <c r="J84" s="15" t="n">
        <f aca="true">RAND()</f>
        <v>0.791873520539283</v>
      </c>
      <c r="K84" s="12" t="n">
        <f aca="false">IF(J84&lt;=($F$14-$E$14)/($G$14-$E$14),$E$14+SQRT(J84*($G$14-$E$14)*($F$14-$E$14)),$G$14-SQRT((1-J84)*($G$14-$E$14)*($G$14-$F$14)))</f>
        <v>41049.1158002855</v>
      </c>
      <c r="L84" s="15" t="n">
        <f aca="true">RAND()</f>
        <v>0.262890716746901</v>
      </c>
      <c r="M84" s="12" t="n">
        <f aca="false">IF(L84&lt;=($F$14-$E$14)/($G$14-$E$14),$E$14+SQRT(L84*($G$14-$E$14)*($F$14-$E$14)),$G$14-SQRT((1-L84)*($G$14-$E$14)*($G$14-$F$14)))</f>
        <v>36279.6184208943</v>
      </c>
      <c r="N84" s="15" t="n">
        <f aca="true">RAND()</f>
        <v>0.731056013048627</v>
      </c>
      <c r="O84" s="12" t="n">
        <f aca="false">IF(N84&lt;=($F$14-$E$14)/($G$14-$E$14),$E$14+SQRT(N84*($G$14-$E$14)*($F$14-$E$14)),$G$14-SQRT((1-N84)*($G$14-$E$14)*($G$14-$F$14)))</f>
        <v>40508.808730264</v>
      </c>
      <c r="P84" s="15" t="n">
        <f aca="true">RAND()</f>
        <v>0.926302056490224</v>
      </c>
      <c r="Q84" s="16" t="n">
        <f aca="false">IF(P84&lt;=($F$15-$E$15)/($G$15-$E$15),$E$15+SQRT(P84*($G$15-$E$15)*($F$15-$E$15)),$G$15-SQRT((1-P84)*($G$15-$E$15)*($G$15-$F$15)))</f>
        <v>16.8482348402665</v>
      </c>
      <c r="R84" s="15" t="n">
        <f aca="true">RAND()</f>
        <v>0.87485808328666</v>
      </c>
      <c r="S84" s="16" t="n">
        <f aca="false">IF(R84&lt;=($F$16-$E$16)/($G$16-$E$16),$E$16+SQRT(R84*($G$16-$E$16)*($F$16-$E$16)),$G$16-SQRT((1-R84)*($G$16-$E$16)*($G$16-$F$16)))</f>
        <v>16.4991487412671</v>
      </c>
      <c r="T84" s="15" t="n">
        <f aca="true">RAND()</f>
        <v>0.818726818696849</v>
      </c>
      <c r="U84" s="16" t="n">
        <f aca="false">IF(T84&lt;=($F$17-$E$17)/($G$17-$E$17),$E$17+SQRT(T84*($G$17-$E$17)*($F$17-$E$17)),$G$17-SQRT((1-T84)*($G$17-$E$17)*($G$17-$F$17)))</f>
        <v>19.7470798779166</v>
      </c>
      <c r="V84" s="15" t="n">
        <f aca="true">RAND()</f>
        <v>0.627988353508948</v>
      </c>
      <c r="W84" s="16" t="n">
        <f aca="false">IF(V84&lt;=($F$18-$E$18)/($G$18-$E$18),$E$18+SQRT(V84*($G$18-$E$18)*($F$18-$E$18)),$G$18-SQRT((1-V84)*($G$18-$E$18)*($G$18-$F$18)))</f>
        <v>21.391619805621</v>
      </c>
      <c r="X84" s="15" t="n">
        <f aca="true">RAND()</f>
        <v>0.996255661677113</v>
      </c>
      <c r="Y84" s="16" t="n">
        <f aca="false">IF(X84&lt;=($F$19-$E$19)/($G$19-$E$19),$E$19+SQRT(X84*($G$19-$E$19)*($F$19-$E$19)),$G$19-SQRT((1-X84)*($G$19-$E$19)*($G$19-$F$19)))</f>
        <v>27.550339828942</v>
      </c>
      <c r="Z84" s="12" t="n">
        <f aca="false">G84*(1+Q84/100)</f>
        <v>47854.3422239677</v>
      </c>
      <c r="AA84" s="12" t="n">
        <f aca="false">I84*(1+Q84/100)*(1+S84/100)</f>
        <v>52696.0834527582</v>
      </c>
      <c r="AB84" s="12" t="n">
        <f aca="false">K84*(1+Q84/100)*(1+S84/100)*(1+U84/100)</f>
        <v>66913.4845544247</v>
      </c>
      <c r="AC84" s="12" t="n">
        <f aca="false">M84*(1+Q84/100)*(1+S84/100)*(1+U84/100)*(1+W84/100)</f>
        <v>71789.554272796</v>
      </c>
      <c r="AD84" s="12" t="n">
        <f aca="false">O84*(1+Q84/100)*(1+S84/100)*(1+U84/100)*(1+W84/100)*(1+Y84/100)</f>
        <v>102242.071040595</v>
      </c>
      <c r="AE84" s="12" t="n">
        <f aca="false">ABS(C84)/$B$7</f>
        <v>17419.5807016494</v>
      </c>
      <c r="AF84" s="12" t="n">
        <f aca="false">Z84-AE84</f>
        <v>30434.7615223183</v>
      </c>
      <c r="AG84" s="12" t="n">
        <f aca="false">AA84-AE84</f>
        <v>35276.5027511088</v>
      </c>
      <c r="AH84" s="12" t="n">
        <f aca="false">AB84-AE84</f>
        <v>49493.9038527753</v>
      </c>
      <c r="AI84" s="12" t="n">
        <f aca="false">AC84-AE84</f>
        <v>54369.9735711466</v>
      </c>
      <c r="AJ84" s="12" t="n">
        <f aca="false">AD84-AE84</f>
        <v>84822.4903389459</v>
      </c>
      <c r="AK84" s="12" t="n">
        <f aca="false">AF84*$B$4</f>
        <v>15217.3807611591</v>
      </c>
      <c r="AL84" s="12" t="n">
        <f aca="false">AG84*$B$4</f>
        <v>17638.2513755544</v>
      </c>
      <c r="AM84" s="12" t="n">
        <f aca="false">AH84*$B$4</f>
        <v>24746.9519263876</v>
      </c>
      <c r="AN84" s="12" t="n">
        <f aca="false">AI84*$B$4</f>
        <v>27184.9867855733</v>
      </c>
      <c r="AO84" s="12" t="n">
        <f aca="false">AJ84*$B$4</f>
        <v>42411.245169473</v>
      </c>
      <c r="AP84" s="12" t="n">
        <f aca="false">AF84-AK84</f>
        <v>15217.3807611591</v>
      </c>
      <c r="AQ84" s="12" t="n">
        <f aca="false">AG84-AL84</f>
        <v>17638.2513755544</v>
      </c>
      <c r="AR84" s="12" t="n">
        <f aca="false">AH84-AM84</f>
        <v>24746.9519263876</v>
      </c>
      <c r="AS84" s="12" t="n">
        <f aca="false">AI84-AN84</f>
        <v>27184.9867855733</v>
      </c>
      <c r="AT84" s="12" t="n">
        <f aca="false">AJ84-AO84</f>
        <v>42411.245169473</v>
      </c>
      <c r="AU84" s="12" t="n">
        <f aca="false">0.2*ABS(C84)+1*ABS(E84)</f>
        <v>45827.855723918</v>
      </c>
      <c r="AV84" s="12" t="n">
        <f aca="false">C84+E84</f>
        <v>-115506.178530516</v>
      </c>
      <c r="AW84" s="12" t="n">
        <f aca="false">AP84+AE84</f>
        <v>32636.9614628085</v>
      </c>
      <c r="AX84" s="12" t="n">
        <f aca="false">AQ84+AE84</f>
        <v>35057.8320772038</v>
      </c>
      <c r="AY84" s="12" t="n">
        <f aca="false">AR84+AE84</f>
        <v>42166.5326280371</v>
      </c>
      <c r="AZ84" s="12" t="n">
        <f aca="false">AS84+AE84</f>
        <v>44604.5674872227</v>
      </c>
      <c r="BA84" s="12" t="n">
        <f aca="false">AT84+AE84+AU84</f>
        <v>105658.68159504</v>
      </c>
      <c r="BB84" s="4" t="n">
        <f aca="false">IFERROR(IRR(AV84:BA84,0.15),"n/a")</f>
        <v>0.275859696687226</v>
      </c>
      <c r="BC84" s="12" t="n">
        <f aca="false">NPV($B$5,AW84:BA84)+AV84</f>
        <v>45141.5699419591</v>
      </c>
    </row>
    <row r="85" customFormat="false" ht="15" hidden="false" customHeight="false" outlineLevel="0" collapsed="false">
      <c r="A85" s="3" t="n">
        <v>61</v>
      </c>
      <c r="B85" s="15" t="n">
        <f aca="true">RAND()</f>
        <v>0.740359643746602</v>
      </c>
      <c r="C85" s="12" t="n">
        <f aca="false">IF(B85&lt;=($F$12-$E$12)/($G$12-$E$12),$E$12+SQRT(B85*($G$12-$E$12)*($F$12-$E$12)),$G$12-SQRT((1-B85)*($G$12-$E$12)*($G$12-$F$12)))</f>
        <v>-70193.4307157647</v>
      </c>
      <c r="D85" s="15" t="n">
        <f aca="true">RAND()</f>
        <v>0.738012981764654</v>
      </c>
      <c r="E85" s="12" t="n">
        <f aca="false">IF(D85&lt;=($F$13-$E$13)/($G$13-$E$13),$E$13+SQRT(D85*($G$13-$E$13)*($F$13-$E$13)),$G$13-SQRT((1-D85)*($G$13-$E$13)*($G$13-$F$13)))</f>
        <v>-29432.7222299227</v>
      </c>
      <c r="F85" s="15" t="n">
        <f aca="true">RAND()</f>
        <v>0.874814260035292</v>
      </c>
      <c r="G85" s="12" t="n">
        <f aca="false">IF(F85&lt;=($F$14-$E$14)/($G$14-$E$14),$E$14+SQRT(F85*($G$14-$E$14)*($F$14-$E$14)),$G$14-SQRT((1-F85)*($G$14-$E$14)*($G$14-$F$14)))</f>
        <v>41935.8638252595</v>
      </c>
      <c r="H85" s="15" t="n">
        <f aca="true">RAND()</f>
        <v>0.495961672772685</v>
      </c>
      <c r="I85" s="12" t="n">
        <f aca="false">IF(H85&lt;=($F$14-$E$14)/($G$14-$E$14),$E$14+SQRT(H85*($G$14-$E$14)*($F$14-$E$14)),$G$14-SQRT((1-H85)*($G$14-$E$14)*($G$14-$F$14)))</f>
        <v>38625.2101954621</v>
      </c>
      <c r="J85" s="15" t="n">
        <f aca="true">RAND()</f>
        <v>0.997248366203766</v>
      </c>
      <c r="K85" s="12" t="n">
        <f aca="false">IF(J85&lt;=($F$14-$E$14)/($G$14-$E$14),$E$14+SQRT(J85*($G$14-$E$14)*($F$14-$E$14)),$G$14-SQRT((1-J85)*($G$14-$E$14)*($G$14-$F$14)))</f>
        <v>44545.7175606327</v>
      </c>
      <c r="L85" s="15" t="n">
        <f aca="true">RAND()</f>
        <v>0.676094624663047</v>
      </c>
      <c r="M85" s="12" t="n">
        <f aca="false">IF(L85&lt;=($F$14-$E$14)/($G$14-$E$14),$E$14+SQRT(L85*($G$14-$E$14)*($F$14-$E$14)),$G$14-SQRT((1-L85)*($G$14-$E$14)*($G$14-$F$14)))</f>
        <v>40071.216869219</v>
      </c>
      <c r="N85" s="15" t="n">
        <f aca="true">RAND()</f>
        <v>0.086024278724059</v>
      </c>
      <c r="O85" s="12" t="n">
        <f aca="false">IF(N85&lt;=($F$14-$E$14)/($G$14-$E$14),$E$14+SQRT(N85*($G$14-$E$14)*($F$14-$E$14)),$G$14-SQRT((1-N85)*($G$14-$E$14)*($G$14-$F$14)))</f>
        <v>33592.1639451184</v>
      </c>
      <c r="P85" s="15" t="n">
        <f aca="true">RAND()</f>
        <v>0.92447041690649</v>
      </c>
      <c r="Q85" s="16" t="n">
        <f aca="false">IF(P85&lt;=($F$15-$E$15)/($G$15-$E$15),$E$15+SQRT(P85*($G$15-$E$15)*($F$15-$E$15)),$G$15-SQRT((1-P85)*($G$15-$E$15)*($G$15-$F$15)))</f>
        <v>16.8340100790817</v>
      </c>
      <c r="R85" s="15" t="n">
        <f aca="true">RAND()</f>
        <v>0.667410888240243</v>
      </c>
      <c r="S85" s="16" t="n">
        <f aca="false">IF(R85&lt;=($F$16-$E$16)/($G$16-$E$16),$E$16+SQRT(R85*($G$16-$E$16)*($F$16-$E$16)),$G$16-SQRT((1-R85)*($G$16-$E$16)*($G$16-$F$16)))</f>
        <v>15.5532462298638</v>
      </c>
      <c r="T85" s="15" t="n">
        <f aca="true">RAND()</f>
        <v>0.574559579091684</v>
      </c>
      <c r="U85" s="16" t="n">
        <f aca="false">IF(T85&lt;=($F$17-$E$17)/($G$17-$E$17),$E$17+SQRT(T85*($G$17-$E$17)*($F$17-$E$17)),$G$17-SQRT((1-T85)*($G$17-$E$17)*($G$17-$F$17)))</f>
        <v>18.5485753976897</v>
      </c>
      <c r="V85" s="15" t="n">
        <f aca="true">RAND()</f>
        <v>0.507976461123462</v>
      </c>
      <c r="W85" s="16" t="n">
        <f aca="false">IF(V85&lt;=($F$18-$E$18)/($G$18-$E$18),$E$18+SQRT(V85*($G$18-$E$18)*($F$18-$E$18)),$G$18-SQRT((1-V85)*($G$18-$E$18)*($G$18-$F$18)))</f>
        <v>20.8502019494102</v>
      </c>
      <c r="X85" s="15" t="n">
        <f aca="true">RAND()</f>
        <v>0.974415577453626</v>
      </c>
      <c r="Y85" s="16" t="n">
        <f aca="false">IF(X85&lt;=($F$19-$E$19)/($G$19-$E$19),$E$19+SQRT(X85*($G$19-$E$19)*($F$19-$E$19)),$G$19-SQRT((1-X85)*($G$19-$E$19)*($G$19-$F$19)))</f>
        <v>26.824602698019</v>
      </c>
      <c r="Z85" s="12" t="n">
        <f aca="false">G85*(1+Q85/100)</f>
        <v>48995.3513683537</v>
      </c>
      <c r="AA85" s="12" t="n">
        <f aca="false">I85*(1+Q85/100)*(1+S85/100)</f>
        <v>52146.1548081585</v>
      </c>
      <c r="AB85" s="12" t="n">
        <f aca="false">K85*(1+Q85/100)*(1+S85/100)*(1+U85/100)</f>
        <v>71294.1232055843</v>
      </c>
      <c r="AC85" s="12" t="n">
        <f aca="false">M85*(1+Q85/100)*(1+S85/100)*(1+U85/100)*(1+W85/100)</f>
        <v>77504.6366905856</v>
      </c>
      <c r="AD85" s="12" t="n">
        <f aca="false">O85*(1+Q85/100)*(1+S85/100)*(1+U85/100)*(1+W85/100)*(1+Y85/100)</f>
        <v>82401.7898940697</v>
      </c>
      <c r="AE85" s="12" t="n">
        <f aca="false">ABS(C85)/$B$7</f>
        <v>14038.6861431529</v>
      </c>
      <c r="AF85" s="12" t="n">
        <f aca="false">Z85-AE85</f>
        <v>34956.6652252008</v>
      </c>
      <c r="AG85" s="12" t="n">
        <f aca="false">AA85-AE85</f>
        <v>38107.4686650055</v>
      </c>
      <c r="AH85" s="12" t="n">
        <f aca="false">AB85-AE85</f>
        <v>57255.4370624314</v>
      </c>
      <c r="AI85" s="12" t="n">
        <f aca="false">AC85-AE85</f>
        <v>63465.9505474327</v>
      </c>
      <c r="AJ85" s="12" t="n">
        <f aca="false">AD85-AE85</f>
        <v>68363.1037509168</v>
      </c>
      <c r="AK85" s="12" t="n">
        <f aca="false">AF85*$B$4</f>
        <v>17478.3326126004</v>
      </c>
      <c r="AL85" s="12" t="n">
        <f aca="false">AG85*$B$4</f>
        <v>19053.7343325028</v>
      </c>
      <c r="AM85" s="12" t="n">
        <f aca="false">AH85*$B$4</f>
        <v>28627.7185312157</v>
      </c>
      <c r="AN85" s="12" t="n">
        <f aca="false">AI85*$B$4</f>
        <v>31732.9752737163</v>
      </c>
      <c r="AO85" s="12" t="n">
        <f aca="false">AJ85*$B$4</f>
        <v>34181.5518754584</v>
      </c>
      <c r="AP85" s="12" t="n">
        <f aca="false">AF85-AK85</f>
        <v>17478.3326126004</v>
      </c>
      <c r="AQ85" s="12" t="n">
        <f aca="false">AG85-AL85</f>
        <v>19053.7343325028</v>
      </c>
      <c r="AR85" s="12" t="n">
        <f aca="false">AH85-AM85</f>
        <v>28627.7185312157</v>
      </c>
      <c r="AS85" s="12" t="n">
        <f aca="false">AI85-AN85</f>
        <v>31732.9752737163</v>
      </c>
      <c r="AT85" s="12" t="n">
        <f aca="false">AJ85-AO85</f>
        <v>34181.5518754584</v>
      </c>
      <c r="AU85" s="12" t="n">
        <f aca="false">0.2*ABS(C85)+1*ABS(E85)</f>
        <v>43471.4083730756</v>
      </c>
      <c r="AV85" s="12" t="n">
        <f aca="false">C85+E85</f>
        <v>-99626.1529456874</v>
      </c>
      <c r="AW85" s="12" t="n">
        <f aca="false">AP85+AE85</f>
        <v>31517.0187557533</v>
      </c>
      <c r="AX85" s="12" t="n">
        <f aca="false">AQ85+AE85</f>
        <v>33092.4204756557</v>
      </c>
      <c r="AY85" s="12" t="n">
        <f aca="false">AR85+AE85</f>
        <v>42666.4046743686</v>
      </c>
      <c r="AZ85" s="12" t="n">
        <f aca="false">AS85+AE85</f>
        <v>45771.6614168693</v>
      </c>
      <c r="BA85" s="12" t="n">
        <f aca="false">AT85+AE85+AU85</f>
        <v>91691.646391687</v>
      </c>
      <c r="BB85" s="4" t="n">
        <f aca="false">IFERROR(IRR(AV85:BA85,0.15),"n/a")</f>
        <v>0.318874833032876</v>
      </c>
      <c r="BC85" s="12" t="n">
        <f aca="false">NPV($B$5,AW85:BA85)+AV85</f>
        <v>52613.4775297086</v>
      </c>
    </row>
    <row r="86" customFormat="false" ht="15" hidden="false" customHeight="false" outlineLevel="0" collapsed="false">
      <c r="A86" s="3" t="n">
        <v>62</v>
      </c>
      <c r="B86" s="15" t="n">
        <f aca="true">RAND()</f>
        <v>0.794303308176236</v>
      </c>
      <c r="C86" s="12" t="n">
        <f aca="false">IF(B86&lt;=($F$12-$E$12)/($G$12-$E$12),$E$12+SQRT(B86*($G$12-$E$12)*($F$12-$E$12)),$G$12-SQRT((1-B86)*($G$12-$E$12)*($G$12-$F$12)))</f>
        <v>-69070.7594351028</v>
      </c>
      <c r="D86" s="15" t="n">
        <f aca="true">RAND()</f>
        <v>0.00836701656212566</v>
      </c>
      <c r="E86" s="12" t="n">
        <f aca="false">IF(D86&lt;=($F$13-$E$13)/($G$13-$E$13),$E$13+SQRT(D86*($G$13-$E$13)*($F$13-$E$13)),$G$13-SQRT((1-D86)*($G$13-$E$13)*($G$13-$F$13)))</f>
        <v>-38879.7087502266</v>
      </c>
      <c r="F86" s="15" t="n">
        <f aca="true">RAND()</f>
        <v>0.974947037204456</v>
      </c>
      <c r="G86" s="12" t="n">
        <f aca="false">IF(F86&lt;=($F$14-$E$14)/($G$14-$E$14),$E$14+SQRT(F86*($G$14-$E$14)*($F$14-$E$14)),$G$14-SQRT((1-F86)*($G$14-$E$14)*($G$14-$F$14)))</f>
        <v>43629.2439277297</v>
      </c>
      <c r="H86" s="15" t="n">
        <f aca="true">RAND()</f>
        <v>0.643772300951088</v>
      </c>
      <c r="I86" s="12" t="n">
        <f aca="false">IF(H86&lt;=($F$14-$E$14)/($G$14-$E$14),$E$14+SQRT(H86*($G$14-$E$14)*($F$14-$E$14)),$G$14-SQRT((1-H86)*($G$14-$E$14)*($G$14-$F$14)))</f>
        <v>39826.792210211</v>
      </c>
      <c r="J86" s="15" t="n">
        <f aca="true">RAND()</f>
        <v>0.552179593657711</v>
      </c>
      <c r="K86" s="12" t="n">
        <f aca="false">IF(J86&lt;=($F$14-$E$14)/($G$14-$E$14),$E$14+SQRT(J86*($G$14-$E$14)*($F$14-$E$14)),$G$14-SQRT((1-J86)*($G$14-$E$14)*($G$14-$F$14)))</f>
        <v>39100.9306693688</v>
      </c>
      <c r="L86" s="15" t="n">
        <f aca="true">RAND()</f>
        <v>0.766575893627974</v>
      </c>
      <c r="M86" s="12" t="n">
        <f aca="false">IF(L86&lt;=($F$14-$E$14)/($G$14-$E$14),$E$14+SQRT(L86*($G$14-$E$14)*($F$14-$E$14)),$G$14-SQRT((1-L86)*($G$14-$E$14)*($G$14-$F$14)))</f>
        <v>40815.886237457</v>
      </c>
      <c r="N86" s="15" t="n">
        <f aca="true">RAND()</f>
        <v>0.723372889226512</v>
      </c>
      <c r="O86" s="12" t="n">
        <f aca="false">IF(N86&lt;=($F$14-$E$14)/($G$14-$E$14),$E$14+SQRT(N86*($G$14-$E$14)*($F$14-$E$14)),$G$14-SQRT((1-N86)*($G$14-$E$14)*($G$14-$F$14)))</f>
        <v>40445.1088588187</v>
      </c>
      <c r="P86" s="15" t="n">
        <f aca="true">RAND()</f>
        <v>0.0370325551031788</v>
      </c>
      <c r="Q86" s="16" t="n">
        <f aca="false">IF(P86&lt;=($F$15-$E$15)/($G$15-$E$15),$E$15+SQRT(P86*($G$15-$E$15)*($F$15-$E$15)),$G$15-SQRT((1-P86)*($G$15-$E$15)*($G$15-$F$15)))</f>
        <v>12.8164471764035</v>
      </c>
      <c r="R86" s="15" t="n">
        <f aca="true">RAND()</f>
        <v>0.939022465280006</v>
      </c>
      <c r="S86" s="16" t="n">
        <f aca="false">IF(R86&lt;=($F$16-$E$16)/($G$16-$E$16),$E$16+SQRT(R86*($G$16-$E$16)*($F$16-$E$16)),$G$16-SQRT((1-R86)*($G$16-$E$16)*($G$16-$F$16)))</f>
        <v>16.952338019703</v>
      </c>
      <c r="T86" s="15" t="n">
        <f aca="true">RAND()</f>
        <v>0.714011757748576</v>
      </c>
      <c r="U86" s="16" t="n">
        <f aca="false">IF(T86&lt;=($F$17-$E$17)/($G$17-$E$17),$E$17+SQRT(T86*($G$17-$E$17)*($F$17-$E$17)),$G$17-SQRT((1-T86)*($G$17-$E$17)*($G$17-$F$17)))</f>
        <v>19.1702171844751</v>
      </c>
      <c r="V86" s="15" t="n">
        <f aca="true">RAND()</f>
        <v>0.331970486481295</v>
      </c>
      <c r="W86" s="16" t="n">
        <f aca="false">IF(V86&lt;=($F$18-$E$18)/($G$18-$E$18),$E$18+SQRT(V86*($G$18-$E$18)*($F$18-$E$18)),$G$18-SQRT((1-V86)*($G$18-$E$18)*($G$18-$F$18)))</f>
        <v>20.1646062235683</v>
      </c>
      <c r="X86" s="15" t="n">
        <f aca="true">RAND()</f>
        <v>0.169280362626422</v>
      </c>
      <c r="Y86" s="16" t="n">
        <f aca="false">IF(X86&lt;=($F$19-$E$19)/($G$19-$E$19),$E$19+SQRT(X86*($G$19-$E$19)*($F$19-$E$19)),$G$19-SQRT((1-X86)*($G$19-$E$19)*($G$19-$F$19)))</f>
        <v>21.137889096963</v>
      </c>
      <c r="Z86" s="12" t="n">
        <f aca="false">G86*(1+Q86/100)</f>
        <v>49220.9629291914</v>
      </c>
      <c r="AA86" s="12" t="n">
        <f aca="false">I86*(1+Q86/100)*(1+S86/100)</f>
        <v>52548.0561488458</v>
      </c>
      <c r="AB86" s="12" t="n">
        <f aca="false">K86*(1+Q86/100)*(1+S86/100)*(1+U86/100)</f>
        <v>61480.3246841608</v>
      </c>
      <c r="AC86" s="12" t="n">
        <f aca="false">M86*(1+Q86/100)*(1+S86/100)*(1+U86/100)*(1+W86/100)</f>
        <v>77117.8399039429</v>
      </c>
      <c r="AD86" s="12" t="n">
        <f aca="false">O86*(1+Q86/100)*(1+S86/100)*(1+U86/100)*(1+W86/100)*(1+Y86/100)</f>
        <v>92570.2924461162</v>
      </c>
      <c r="AE86" s="12" t="n">
        <f aca="false">ABS(C86)/$B$7</f>
        <v>13814.1518870206</v>
      </c>
      <c r="AF86" s="12" t="n">
        <f aca="false">Z86-AE86</f>
        <v>35406.8110421709</v>
      </c>
      <c r="AG86" s="12" t="n">
        <f aca="false">AA86-AE86</f>
        <v>38733.9042618253</v>
      </c>
      <c r="AH86" s="12" t="n">
        <f aca="false">AB86-AE86</f>
        <v>47666.1727971403</v>
      </c>
      <c r="AI86" s="12" t="n">
        <f aca="false">AC86-AE86</f>
        <v>63303.6880169223</v>
      </c>
      <c r="AJ86" s="12" t="n">
        <f aca="false">AD86-AE86</f>
        <v>78756.1405590956</v>
      </c>
      <c r="AK86" s="12" t="n">
        <f aca="false">AF86*$B$4</f>
        <v>17703.4055210855</v>
      </c>
      <c r="AL86" s="12" t="n">
        <f aca="false">AG86*$B$4</f>
        <v>19366.9521309126</v>
      </c>
      <c r="AM86" s="12" t="n">
        <f aca="false">AH86*$B$4</f>
        <v>23833.0863985701</v>
      </c>
      <c r="AN86" s="12" t="n">
        <f aca="false">AI86*$B$4</f>
        <v>31651.8440084612</v>
      </c>
      <c r="AO86" s="12" t="n">
        <f aca="false">AJ86*$B$4</f>
        <v>39378.0702795478</v>
      </c>
      <c r="AP86" s="12" t="n">
        <f aca="false">AF86-AK86</f>
        <v>17703.4055210855</v>
      </c>
      <c r="AQ86" s="12" t="n">
        <f aca="false">AG86-AL86</f>
        <v>19366.9521309126</v>
      </c>
      <c r="AR86" s="12" t="n">
        <f aca="false">AH86-AM86</f>
        <v>23833.0863985701</v>
      </c>
      <c r="AS86" s="12" t="n">
        <f aca="false">AI86-AN86</f>
        <v>31651.8440084612</v>
      </c>
      <c r="AT86" s="12" t="n">
        <f aca="false">AJ86-AO86</f>
        <v>39378.0702795478</v>
      </c>
      <c r="AU86" s="12" t="n">
        <f aca="false">0.2*ABS(C86)+1*ABS(E86)</f>
        <v>52693.8606372472</v>
      </c>
      <c r="AV86" s="12" t="n">
        <f aca="false">C86+E86</f>
        <v>-107950.468185329</v>
      </c>
      <c r="AW86" s="12" t="n">
        <f aca="false">AP86+AE86</f>
        <v>31517.557408106</v>
      </c>
      <c r="AX86" s="12" t="n">
        <f aca="false">AQ86+AE86</f>
        <v>33181.1040179332</v>
      </c>
      <c r="AY86" s="12" t="n">
        <f aca="false">AR86+AE86</f>
        <v>37647.2382855907</v>
      </c>
      <c r="AZ86" s="12" t="n">
        <f aca="false">AS86+AE86</f>
        <v>45465.9958954817</v>
      </c>
      <c r="BA86" s="12" t="n">
        <f aca="false">AT86+AE86+AU86</f>
        <v>105886.082803816</v>
      </c>
      <c r="BB86" s="4" t="n">
        <f aca="false">IFERROR(IRR(AV86:BA86,0.15),"n/a")</f>
        <v>0.290068574795004</v>
      </c>
      <c r="BC86" s="12" t="n">
        <f aca="false">NPV($B$5,AW86:BA86)+AV86</f>
        <v>47938.8831092669</v>
      </c>
    </row>
    <row r="87" customFormat="false" ht="15" hidden="false" customHeight="false" outlineLevel="0" collapsed="false">
      <c r="A87" s="3" t="n">
        <v>63</v>
      </c>
      <c r="B87" s="15" t="n">
        <f aca="true">RAND()</f>
        <v>0.00656563184775838</v>
      </c>
      <c r="C87" s="12" t="n">
        <f aca="false">IF(B87&lt;=($F$12-$E$12)/($G$12-$E$12),$E$12+SQRT(B87*($G$12-$E$12)*($F$12-$E$12)),$G$12-SQRT((1-B87)*($G$12-$E$12)*($G$12-$F$12)))</f>
        <v>-97193.0874225744</v>
      </c>
      <c r="D87" s="15" t="n">
        <f aca="true">RAND()</f>
        <v>0.661841269721532</v>
      </c>
      <c r="E87" s="12" t="n">
        <f aca="false">IF(D87&lt;=($F$13-$E$13)/($G$13-$E$13),$E$13+SQRT(D87*($G$13-$E$13)*($F$13-$E$13)),$G$13-SQRT((1-D87)*($G$13-$E$13)*($G$13-$F$13)))</f>
        <v>-30036.2562027002</v>
      </c>
      <c r="F87" s="15" t="n">
        <f aca="true">RAND()</f>
        <v>0.900623997531089</v>
      </c>
      <c r="G87" s="12" t="n">
        <f aca="false">IF(F87&lt;=($F$14-$E$14)/($G$14-$E$14),$E$14+SQRT(F87*($G$14-$E$14)*($F$14-$E$14)),$G$14-SQRT((1-F87)*($G$14-$E$14)*($G$14-$F$14)))</f>
        <v>42269.945021585</v>
      </c>
      <c r="H87" s="15" t="n">
        <f aca="true">RAND()</f>
        <v>0.620099359618273</v>
      </c>
      <c r="I87" s="12" t="n">
        <f aca="false">IF(H87&lt;=($F$14-$E$14)/($G$14-$E$14),$E$14+SQRT(H87*($G$14-$E$14)*($F$14-$E$14)),$G$14-SQRT((1-H87)*($G$14-$E$14)*($G$14-$F$14)))</f>
        <v>39644.4234634705</v>
      </c>
      <c r="J87" s="15" t="n">
        <f aca="true">RAND()</f>
        <v>0.167652588874043</v>
      </c>
      <c r="K87" s="12" t="n">
        <f aca="false">IF(J87&lt;=($F$14-$E$14)/($G$14-$E$14),$E$14+SQRT(J87*($G$14-$E$14)*($F$14-$E$14)),$G$14-SQRT((1-J87)*($G$14-$E$14)*($G$14-$F$14)))</f>
        <v>35014.7670266032</v>
      </c>
      <c r="L87" s="15" t="n">
        <f aca="true">RAND()</f>
        <v>0.084572332016276</v>
      </c>
      <c r="M87" s="12" t="n">
        <f aca="false">IF(L87&lt;=($F$14-$E$14)/($G$14-$E$14),$E$14+SQRT(L87*($G$14-$E$14)*($F$14-$E$14)),$G$14-SQRT((1-L87)*($G$14-$E$14)*($G$14-$F$14)))</f>
        <v>33561.7200623353</v>
      </c>
      <c r="N87" s="15" t="n">
        <f aca="true">RAND()</f>
        <v>0.29351922323239</v>
      </c>
      <c r="O87" s="12" t="n">
        <f aca="false">IF(N87&lt;=($F$14-$E$14)/($G$14-$E$14),$E$14+SQRT(N87*($G$14-$E$14)*($F$14-$E$14)),$G$14-SQRT((1-N87)*($G$14-$E$14)*($G$14-$F$14)))</f>
        <v>36635.3510445837</v>
      </c>
      <c r="P87" s="15" t="n">
        <f aca="true">RAND()</f>
        <v>0.0503172490014439</v>
      </c>
      <c r="Q87" s="16" t="n">
        <f aca="false">IF(P87&lt;=($F$15-$E$15)/($G$15-$E$15),$E$15+SQRT(P87*($G$15-$E$15)*($F$15-$E$15)),$G$15-SQRT((1-P87)*($G$15-$E$15)*($G$15-$F$15)))</f>
        <v>12.9516882273234</v>
      </c>
      <c r="R87" s="15" t="n">
        <f aca="true">RAND()</f>
        <v>0.000722043922688049</v>
      </c>
      <c r="S87" s="16" t="n">
        <f aca="false">IF(R87&lt;=($F$16-$E$16)/($G$16-$E$16),$E$16+SQRT(R87*($G$16-$E$16)*($F$16-$E$16)),$G$16-SQRT((1-R87)*($G$16-$E$16)*($G$16-$F$16)))</f>
        <v>12.1140034675279</v>
      </c>
      <c r="T87" s="15" t="n">
        <f aca="true">RAND()</f>
        <v>0.0657038060287659</v>
      </c>
      <c r="U87" s="16" t="n">
        <f aca="false">IF(T87&lt;=($F$17-$E$17)/($G$17-$E$17),$E$17+SQRT(T87*($G$17-$E$17)*($F$17-$E$17)),$G$17-SQRT((1-T87)*($G$17-$E$17)*($G$17-$F$17)))</f>
        <v>16.1746403392546</v>
      </c>
      <c r="V87" s="15" t="n">
        <f aca="true">RAND()</f>
        <v>0.564719900468914</v>
      </c>
      <c r="W87" s="16" t="n">
        <f aca="false">IF(V87&lt;=($F$18-$E$18)/($G$18-$E$18),$E$18+SQRT(V87*($G$18-$E$18)*($F$18-$E$18)),$G$18-SQRT((1-V87)*($G$18-$E$18)*($G$18-$F$18)))</f>
        <v>21.0968213615582</v>
      </c>
      <c r="X87" s="15" t="n">
        <f aca="true">RAND()</f>
        <v>0.27726331218044</v>
      </c>
      <c r="Y87" s="16" t="n">
        <f aca="false">IF(X87&lt;=($F$19-$E$19)/($G$19-$E$19),$E$19+SQRT(X87*($G$19-$E$19)*($F$19-$E$19)),$G$19-SQRT((1-X87)*($G$19-$E$19)*($G$19-$F$19)))</f>
        <v>21.7360755524787</v>
      </c>
      <c r="Z87" s="12" t="n">
        <f aca="false">G87*(1+Q87/100)</f>
        <v>47744.6165146418</v>
      </c>
      <c r="AA87" s="12" t="n">
        <f aca="false">I87*(1+Q87/100)*(1+S87/100)</f>
        <v>50203.5807254751</v>
      </c>
      <c r="AB87" s="12" t="n">
        <f aca="false">K87*(1+Q87/100)*(1+S87/100)*(1+U87/100)</f>
        <v>51512.800999741</v>
      </c>
      <c r="AC87" s="12" t="n">
        <f aca="false">M87*(1+Q87/100)*(1+S87/100)*(1+U87/100)*(1+W87/100)</f>
        <v>59791.6968194726</v>
      </c>
      <c r="AD87" s="12" t="n">
        <f aca="false">O87*(1+Q87/100)*(1+S87/100)*(1+U87/100)*(1+W87/100)*(1+Y87/100)</f>
        <v>79454.1017572329</v>
      </c>
      <c r="AE87" s="12" t="n">
        <f aca="false">ABS(C87)/$B$7</f>
        <v>19438.6174845149</v>
      </c>
      <c r="AF87" s="12" t="n">
        <f aca="false">Z87-AE87</f>
        <v>28305.9990301269</v>
      </c>
      <c r="AG87" s="12" t="n">
        <f aca="false">AA87-AE87</f>
        <v>30764.9632409602</v>
      </c>
      <c r="AH87" s="12" t="n">
        <f aca="false">AB87-AE87</f>
        <v>32074.1835152261</v>
      </c>
      <c r="AI87" s="12" t="n">
        <f aca="false">AC87-AE87</f>
        <v>40353.0793349578</v>
      </c>
      <c r="AJ87" s="12" t="n">
        <f aca="false">AD87-AE87</f>
        <v>60015.4842727181</v>
      </c>
      <c r="AK87" s="12" t="n">
        <f aca="false">AF87*$B$4</f>
        <v>14152.9995150634</v>
      </c>
      <c r="AL87" s="12" t="n">
        <f aca="false">AG87*$B$4</f>
        <v>15382.4816204801</v>
      </c>
      <c r="AM87" s="12" t="n">
        <f aca="false">AH87*$B$4</f>
        <v>16037.091757613</v>
      </c>
      <c r="AN87" s="12" t="n">
        <f aca="false">AI87*$B$4</f>
        <v>20176.5396674789</v>
      </c>
      <c r="AO87" s="12" t="n">
        <f aca="false">AJ87*$B$4</f>
        <v>30007.742136359</v>
      </c>
      <c r="AP87" s="12" t="n">
        <f aca="false">AF87-AK87</f>
        <v>14152.9995150634</v>
      </c>
      <c r="AQ87" s="12" t="n">
        <f aca="false">AG87-AL87</f>
        <v>15382.4816204801</v>
      </c>
      <c r="AR87" s="12" t="n">
        <f aca="false">AH87-AM87</f>
        <v>16037.091757613</v>
      </c>
      <c r="AS87" s="12" t="n">
        <f aca="false">AI87-AN87</f>
        <v>20176.5396674789</v>
      </c>
      <c r="AT87" s="12" t="n">
        <f aca="false">AJ87-AO87</f>
        <v>30007.742136359</v>
      </c>
      <c r="AU87" s="12" t="n">
        <f aca="false">0.2*ABS(C87)+1*ABS(E87)</f>
        <v>49474.8736872151</v>
      </c>
      <c r="AV87" s="12" t="n">
        <f aca="false">C87+E87</f>
        <v>-127229.343625275</v>
      </c>
      <c r="AW87" s="12" t="n">
        <f aca="false">AP87+AE87</f>
        <v>33591.6169995783</v>
      </c>
      <c r="AX87" s="12" t="n">
        <f aca="false">AQ87+AE87</f>
        <v>34821.099104995</v>
      </c>
      <c r="AY87" s="12" t="n">
        <f aca="false">AR87+AE87</f>
        <v>35475.7092421279</v>
      </c>
      <c r="AZ87" s="12" t="n">
        <f aca="false">AS87+AE87</f>
        <v>39615.1571519938</v>
      </c>
      <c r="BA87" s="12" t="n">
        <f aca="false">AT87+AE87+AU87</f>
        <v>98921.233308089</v>
      </c>
      <c r="BB87" s="4" t="n">
        <f aca="false">IFERROR(IRR(AV87:BA87,0.15),"n/a")</f>
        <v>0.212920668384685</v>
      </c>
      <c r="BC87" s="12" t="n">
        <f aca="false">NPV($B$5,AW87:BA87)+AV87</f>
        <v>23467.7968779081</v>
      </c>
    </row>
    <row r="88" customFormat="false" ht="15" hidden="false" customHeight="false" outlineLevel="0" collapsed="false">
      <c r="A88" s="3" t="n">
        <v>64</v>
      </c>
      <c r="B88" s="15" t="n">
        <f aca="true">RAND()</f>
        <v>0.842818542671569</v>
      </c>
      <c r="C88" s="12" t="n">
        <f aca="false">IF(B88&lt;=($F$12-$E$12)/($G$12-$E$12),$E$12+SQRT(B88*($G$12-$E$12)*($F$12-$E$12)),$G$12-SQRT((1-B88)*($G$12-$E$12)*($G$12-$F$12)))</f>
        <v>-67929.2233498226</v>
      </c>
      <c r="D88" s="15" t="n">
        <f aca="true">RAND()</f>
        <v>0.476271361115297</v>
      </c>
      <c r="E88" s="12" t="n">
        <f aca="false">IF(D88&lt;=($F$13-$E$13)/($G$13-$E$13),$E$13+SQRT(D88*($G$13-$E$13)*($F$13-$E$13)),$G$13-SQRT((1-D88)*($G$13-$E$13)*($G$13-$F$13)))</f>
        <v>-31547.7397006898</v>
      </c>
      <c r="F88" s="15" t="n">
        <f aca="true">RAND()</f>
        <v>0.976522385182558</v>
      </c>
      <c r="G88" s="12" t="n">
        <f aca="false">IF(F88&lt;=($F$14-$E$14)/($G$14-$E$14),$E$14+SQRT(F88*($G$14-$E$14)*($F$14-$E$14)),$G$14-SQRT((1-F88)*($G$14-$E$14)*($G$14-$F$14)))</f>
        <v>43673.0406519761</v>
      </c>
      <c r="H88" s="15" t="n">
        <f aca="true">RAND()</f>
        <v>0.638345440796097</v>
      </c>
      <c r="I88" s="12" t="n">
        <f aca="false">IF(H88&lt;=($F$14-$E$14)/($G$14-$E$14),$E$14+SQRT(H88*($G$14-$E$14)*($F$14-$E$14)),$G$14-SQRT((1-H88)*($G$14-$E$14)*($G$14-$F$14)))</f>
        <v>39785.2856943175</v>
      </c>
      <c r="J88" s="15" t="n">
        <f aca="true">RAND()</f>
        <v>0.661243850270906</v>
      </c>
      <c r="K88" s="12" t="n">
        <f aca="false">IF(J88&lt;=($F$14-$E$14)/($G$14-$E$14),$E$14+SQRT(J88*($G$14-$E$14)*($F$14-$E$14)),$G$14-SQRT((1-J88)*($G$14-$E$14)*($G$14-$F$14)))</f>
        <v>39959.245831921</v>
      </c>
      <c r="L88" s="15" t="n">
        <f aca="true">RAND()</f>
        <v>0.720301101538329</v>
      </c>
      <c r="M88" s="12" t="n">
        <f aca="false">IF(L88&lt;=($F$14-$E$14)/($G$14-$E$14),$E$14+SQRT(L88*($G$14-$E$14)*($F$14-$E$14)),$G$14-SQRT((1-L88)*($G$14-$E$14)*($G$14-$F$14)))</f>
        <v>40419.8889331562</v>
      </c>
      <c r="N88" s="15" t="n">
        <f aca="true">RAND()</f>
        <v>0.0130467151187637</v>
      </c>
      <c r="O88" s="12" t="n">
        <f aca="false">IF(N88&lt;=($F$14-$E$14)/($G$14-$E$14),$E$14+SQRT(N88*($G$14-$E$14)*($F$14-$E$14)),$G$14-SQRT((1-N88)*($G$14-$E$14)*($G$14-$F$14)))</f>
        <v>31398.9307587635</v>
      </c>
      <c r="P88" s="15" t="n">
        <f aca="true">RAND()</f>
        <v>0.235589707217534</v>
      </c>
      <c r="Q88" s="16" t="n">
        <f aca="false">IF(P88&lt;=($F$15-$E$15)/($G$15-$E$15),$E$15+SQRT(P88*($G$15-$E$15)*($F$15-$E$15)),$G$15-SQRT((1-P88)*($G$15-$E$15)*($G$15-$F$15)))</f>
        <v>14.0592752924064</v>
      </c>
      <c r="R88" s="15" t="n">
        <f aca="true">RAND()</f>
        <v>0.918705245108572</v>
      </c>
      <c r="S88" s="16" t="n">
        <f aca="false">IF(R88&lt;=($F$16-$E$16)/($G$16-$E$16),$E$16+SQRT(R88*($G$16-$E$16)*($F$16-$E$16)),$G$16-SQRT((1-R88)*($G$16-$E$16)*($G$16-$F$16)))</f>
        <v>16.7903283139439</v>
      </c>
      <c r="T88" s="15" t="n">
        <f aca="true">RAND()</f>
        <v>0.389252036758841</v>
      </c>
      <c r="U88" s="16" t="n">
        <f aca="false">IF(T88&lt;=($F$17-$E$17)/($G$17-$E$17),$E$17+SQRT(T88*($G$17-$E$17)*($F$17-$E$17)),$G$17-SQRT((1-T88)*($G$17-$E$17)*($G$17-$F$17)))</f>
        <v>17.8590720123732</v>
      </c>
      <c r="V88" s="15" t="n">
        <f aca="true">RAND()</f>
        <v>0.259041165884604</v>
      </c>
      <c r="W88" s="16" t="n">
        <f aca="false">IF(V88&lt;=($F$18-$E$18)/($G$18-$E$18),$E$18+SQRT(V88*($G$18-$E$18)*($F$18-$E$18)),$G$18-SQRT((1-V88)*($G$18-$E$18)*($G$18-$F$18)))</f>
        <v>19.9043571940118</v>
      </c>
      <c r="X88" s="15" t="n">
        <f aca="true">RAND()</f>
        <v>0.970969293661329</v>
      </c>
      <c r="Y88" s="16" t="n">
        <f aca="false">IF(X88&lt;=($F$19-$E$19)/($G$19-$E$19),$E$19+SQRT(X88*($G$19-$E$19)*($F$19-$E$19)),$G$19-SQRT((1-X88)*($G$19-$E$19)*($G$19-$F$19)))</f>
        <v>26.7479384430915</v>
      </c>
      <c r="Z88" s="12" t="n">
        <f aca="false">G88*(1+Q88/100)</f>
        <v>49813.1536658019</v>
      </c>
      <c r="AA88" s="12" t="n">
        <f aca="false">I88*(1+Q88/100)*(1+S88/100)</f>
        <v>52998.0594740943</v>
      </c>
      <c r="AB88" s="12" t="n">
        <f aca="false">K88*(1+Q88/100)*(1+S88/100)*(1+U88/100)</f>
        <v>62736.1390325766</v>
      </c>
      <c r="AC88" s="12" t="n">
        <f aca="false">M88*(1+Q88/100)*(1+S88/100)*(1+U88/100)*(1+W88/100)</f>
        <v>76090.5258412663</v>
      </c>
      <c r="AD88" s="12" t="n">
        <f aca="false">O88*(1+Q88/100)*(1+S88/100)*(1+U88/100)*(1+W88/100)*(1+Y88/100)</f>
        <v>74918.872528717</v>
      </c>
      <c r="AE88" s="12" t="n">
        <f aca="false">ABS(C88)/$B$7</f>
        <v>13585.8446699645</v>
      </c>
      <c r="AF88" s="12" t="n">
        <f aca="false">Z88-AE88</f>
        <v>36227.3089958374</v>
      </c>
      <c r="AG88" s="12" t="n">
        <f aca="false">AA88-AE88</f>
        <v>39412.2148041298</v>
      </c>
      <c r="AH88" s="12" t="n">
        <f aca="false">AB88-AE88</f>
        <v>49150.2943626121</v>
      </c>
      <c r="AI88" s="12" t="n">
        <f aca="false">AC88-AE88</f>
        <v>62504.6811713018</v>
      </c>
      <c r="AJ88" s="12" t="n">
        <f aca="false">AD88-AE88</f>
        <v>61333.0278587525</v>
      </c>
      <c r="AK88" s="12" t="n">
        <f aca="false">AF88*$B$4</f>
        <v>18113.6544979187</v>
      </c>
      <c r="AL88" s="12" t="n">
        <f aca="false">AG88*$B$4</f>
        <v>19706.1074020649</v>
      </c>
      <c r="AM88" s="12" t="n">
        <f aca="false">AH88*$B$4</f>
        <v>24575.147181306</v>
      </c>
      <c r="AN88" s="12" t="n">
        <f aca="false">AI88*$B$4</f>
        <v>31252.3405856509</v>
      </c>
      <c r="AO88" s="12" t="n">
        <f aca="false">AJ88*$B$4</f>
        <v>30666.5139293762</v>
      </c>
      <c r="AP88" s="12" t="n">
        <f aca="false">AF88-AK88</f>
        <v>18113.6544979187</v>
      </c>
      <c r="AQ88" s="12" t="n">
        <f aca="false">AG88-AL88</f>
        <v>19706.1074020649</v>
      </c>
      <c r="AR88" s="12" t="n">
        <f aca="false">AH88-AM88</f>
        <v>24575.147181306</v>
      </c>
      <c r="AS88" s="12" t="n">
        <f aca="false">AI88-AN88</f>
        <v>31252.3405856509</v>
      </c>
      <c r="AT88" s="12" t="n">
        <f aca="false">AJ88-AO88</f>
        <v>30666.5139293762</v>
      </c>
      <c r="AU88" s="12" t="n">
        <f aca="false">0.2*ABS(C88)+1*ABS(E88)</f>
        <v>45133.5843706544</v>
      </c>
      <c r="AV88" s="12" t="n">
        <f aca="false">C88+E88</f>
        <v>-99476.9630505125</v>
      </c>
      <c r="AW88" s="12" t="n">
        <f aca="false">AP88+AE88</f>
        <v>31699.4991678832</v>
      </c>
      <c r="AX88" s="12" t="n">
        <f aca="false">AQ88+AE88</f>
        <v>33291.9520720294</v>
      </c>
      <c r="AY88" s="12" t="n">
        <f aca="false">AR88+AE88</f>
        <v>38160.9918512706</v>
      </c>
      <c r="AZ88" s="12" t="n">
        <f aca="false">AS88+AE88</f>
        <v>44838.1852556154</v>
      </c>
      <c r="BA88" s="12" t="n">
        <f aca="false">AT88+AE88+AU88</f>
        <v>89385.9429699951</v>
      </c>
      <c r="BB88" s="4" t="n">
        <f aca="false">IFERROR(IRR(AV88:BA88,0.15),"n/a")</f>
        <v>0.307711988583062</v>
      </c>
      <c r="BC88" s="12" t="n">
        <f aca="false">NPV($B$5,AW88:BA88)+AV88</f>
        <v>48429.7784075129</v>
      </c>
    </row>
    <row r="89" customFormat="false" ht="15" hidden="false" customHeight="false" outlineLevel="0" collapsed="false">
      <c r="A89" s="3" t="n">
        <v>65</v>
      </c>
      <c r="B89" s="15" t="n">
        <f aca="true">RAND()</f>
        <v>0.602654680454343</v>
      </c>
      <c r="C89" s="12" t="n">
        <f aca="false">IF(B89&lt;=($F$12-$E$12)/($G$12-$E$12),$E$12+SQRT(B89*($G$12-$E$12)*($F$12-$E$12)),$G$12-SQRT((1-B89)*($G$12-$E$12)*($G$12-$F$12)))</f>
        <v>-73107.8893252089</v>
      </c>
      <c r="D89" s="15" t="n">
        <f aca="true">RAND()</f>
        <v>0.658811157876497</v>
      </c>
      <c r="E89" s="12" t="n">
        <f aca="false">IF(D89&lt;=($F$13-$E$13)/($G$13-$E$13),$E$13+SQRT(D89*($G$13-$E$13)*($F$13-$E$13)),$G$13-SQRT((1-D89)*($G$13-$E$13)*($G$13-$F$13)))</f>
        <v>-30059.0909026652</v>
      </c>
      <c r="F89" s="15" t="n">
        <f aca="true">RAND()</f>
        <v>0.362892641285413</v>
      </c>
      <c r="G89" s="12" t="n">
        <f aca="false">IF(F89&lt;=($F$14-$E$14)/($G$14-$E$14),$E$14+SQRT(F89*($G$14-$E$14)*($F$14-$E$14)),$G$14-SQRT((1-F89)*($G$14-$E$14)*($G$14-$F$14)))</f>
        <v>37377.9330569484</v>
      </c>
      <c r="H89" s="15" t="n">
        <f aca="true">RAND()</f>
        <v>0.332414163284775</v>
      </c>
      <c r="I89" s="12" t="n">
        <f aca="false">IF(H89&lt;=($F$14-$E$14)/($G$14-$E$14),$E$14+SQRT(H89*($G$14-$E$14)*($F$14-$E$14)),$G$14-SQRT((1-H89)*($G$14-$E$14)*($G$14-$F$14)))</f>
        <v>37061.3118110388</v>
      </c>
      <c r="J89" s="15" t="n">
        <f aca="true">RAND()</f>
        <v>0.822953516249514</v>
      </c>
      <c r="K89" s="12" t="n">
        <f aca="false">IF(J89&lt;=($F$14-$E$14)/($G$14-$E$14),$E$14+SQRT(J89*($G$14-$E$14)*($F$14-$E$14)),$G$14-SQRT((1-J89)*($G$14-$E$14)*($G$14-$F$14)))</f>
        <v>41356.034264529</v>
      </c>
      <c r="L89" s="15" t="n">
        <f aca="true">RAND()</f>
        <v>0.454915380144325</v>
      </c>
      <c r="M89" s="12" t="n">
        <f aca="false">IF(L89&lt;=($F$14-$E$14)/($G$14-$E$14),$E$14+SQRT(L89*($G$14-$E$14)*($F$14-$E$14)),$G$14-SQRT((1-L89)*($G$14-$E$14)*($G$14-$F$14)))</f>
        <v>38260.5875712112</v>
      </c>
      <c r="N89" s="15" t="n">
        <f aca="true">RAND()</f>
        <v>0.37402882920101</v>
      </c>
      <c r="O89" s="12" t="n">
        <f aca="false">IF(N89&lt;=($F$14-$E$14)/($G$14-$E$14),$E$14+SQRT(N89*($G$14-$E$14)*($F$14-$E$14)),$G$14-SQRT((1-N89)*($G$14-$E$14)*($G$14-$F$14)))</f>
        <v>37490.2819960367</v>
      </c>
      <c r="P89" s="15" t="n">
        <f aca="true">RAND()</f>
        <v>0.0741386171393682</v>
      </c>
      <c r="Q89" s="16" t="n">
        <f aca="false">IF(P89&lt;=($F$15-$E$15)/($G$15-$E$15),$E$15+SQRT(P89*($G$15-$E$15)*($F$15-$E$15)),$G$15-SQRT((1-P89)*($G$15-$E$15)*($G$15-$F$15)))</f>
        <v>13.1552034922509</v>
      </c>
      <c r="R89" s="15" t="n">
        <f aca="true">RAND()</f>
        <v>0.593715213548745</v>
      </c>
      <c r="S89" s="16" t="n">
        <f aca="false">IF(R89&lt;=($F$16-$E$16)/($G$16-$E$16),$E$16+SQRT(R89*($G$16-$E$16)*($F$16-$E$16)),$G$16-SQRT((1-R89)*($G$16-$E$16)*($G$16-$F$16)))</f>
        <v>15.2957207695723</v>
      </c>
      <c r="T89" s="15" t="n">
        <f aca="true">RAND()</f>
        <v>0.932887818248359</v>
      </c>
      <c r="U89" s="16" t="n">
        <f aca="false">IF(T89&lt;=($F$17-$E$17)/($G$17-$E$17),$E$17+SQRT(T89*($G$17-$E$17)*($F$17-$E$17)),$G$17-SQRT((1-T89)*($G$17-$E$17)*($G$17-$F$17)))</f>
        <v>20.6291823282997</v>
      </c>
      <c r="V89" s="15" t="n">
        <f aca="true">RAND()</f>
        <v>0.280380627861999</v>
      </c>
      <c r="W89" s="16" t="n">
        <f aca="false">IF(V89&lt;=($F$18-$E$18)/($G$18-$E$18),$E$18+SQRT(V89*($G$18-$E$18)*($F$18-$E$18)),$G$18-SQRT((1-V89)*($G$18-$E$18)*($G$18-$F$18)))</f>
        <v>19.9812442530057</v>
      </c>
      <c r="X89" s="15" t="n">
        <f aca="true">RAND()</f>
        <v>0.581132516410382</v>
      </c>
      <c r="Y89" s="16" t="n">
        <f aca="false">IF(X89&lt;=($F$19-$E$19)/($G$19-$E$19),$E$19+SQRT(X89*($G$19-$E$19)*($F$19-$E$19)),$G$19-SQRT((1-X89)*($G$19-$E$19)*($G$19-$F$19)))</f>
        <v>23.2440727387985</v>
      </c>
      <c r="Z89" s="12" t="n">
        <f aca="false">G89*(1+Q89/100)</f>
        <v>42295.0762117873</v>
      </c>
      <c r="AA89" s="12" t="n">
        <f aca="false">I89*(1+Q89/100)*(1+S89/100)</f>
        <v>48351.3390521447</v>
      </c>
      <c r="AB89" s="12" t="n">
        <f aca="false">K89*(1+Q89/100)*(1+S89/100)*(1+U89/100)</f>
        <v>65084.7122509877</v>
      </c>
      <c r="AC89" s="12" t="n">
        <f aca="false">M89*(1+Q89/100)*(1+S89/100)*(1+U89/100)*(1+W89/100)</f>
        <v>72244.5515037802</v>
      </c>
      <c r="AD89" s="12" t="n">
        <f aca="false">O89*(1+Q89/100)*(1+S89/100)*(1+U89/100)*(1+W89/100)*(1+Y89/100)</f>
        <v>87244.5310940645</v>
      </c>
      <c r="AE89" s="12" t="n">
        <f aca="false">ABS(C89)/$B$7</f>
        <v>14621.5778650418</v>
      </c>
      <c r="AF89" s="12" t="n">
        <f aca="false">Z89-AE89</f>
        <v>27673.4983467455</v>
      </c>
      <c r="AG89" s="12" t="n">
        <f aca="false">AA89-AE89</f>
        <v>33729.7611871029</v>
      </c>
      <c r="AH89" s="12" t="n">
        <f aca="false">AB89-AE89</f>
        <v>50463.134385946</v>
      </c>
      <c r="AI89" s="12" t="n">
        <f aca="false">AC89-AE89</f>
        <v>57622.9736387384</v>
      </c>
      <c r="AJ89" s="12" t="n">
        <f aca="false">AD89-AE89</f>
        <v>72622.9532290227</v>
      </c>
      <c r="AK89" s="12" t="n">
        <f aca="false">AF89*$B$4</f>
        <v>13836.7491733727</v>
      </c>
      <c r="AL89" s="12" t="n">
        <f aca="false">AG89*$B$4</f>
        <v>16864.8805935515</v>
      </c>
      <c r="AM89" s="12" t="n">
        <f aca="false">AH89*$B$4</f>
        <v>25231.567192973</v>
      </c>
      <c r="AN89" s="12" t="n">
        <f aca="false">AI89*$B$4</f>
        <v>28811.4868193692</v>
      </c>
      <c r="AO89" s="12" t="n">
        <f aca="false">AJ89*$B$4</f>
        <v>36311.4766145113</v>
      </c>
      <c r="AP89" s="12" t="n">
        <f aca="false">AF89-AK89</f>
        <v>13836.7491733727</v>
      </c>
      <c r="AQ89" s="12" t="n">
        <f aca="false">AG89-AL89</f>
        <v>16864.8805935515</v>
      </c>
      <c r="AR89" s="12" t="n">
        <f aca="false">AH89-AM89</f>
        <v>25231.567192973</v>
      </c>
      <c r="AS89" s="12" t="n">
        <f aca="false">AI89-AN89</f>
        <v>28811.4868193692</v>
      </c>
      <c r="AT89" s="12" t="n">
        <f aca="false">AJ89-AO89</f>
        <v>36311.4766145113</v>
      </c>
      <c r="AU89" s="12" t="n">
        <f aca="false">0.2*ABS(C89)+1*ABS(E89)</f>
        <v>44680.668767707</v>
      </c>
      <c r="AV89" s="12" t="n">
        <f aca="false">C89+E89</f>
        <v>-103166.980227874</v>
      </c>
      <c r="AW89" s="12" t="n">
        <f aca="false">AP89+AE89</f>
        <v>28458.3270384145</v>
      </c>
      <c r="AX89" s="12" t="n">
        <f aca="false">AQ89+AE89</f>
        <v>31486.4584585933</v>
      </c>
      <c r="AY89" s="12" t="n">
        <f aca="false">AR89+AE89</f>
        <v>39853.1450580148</v>
      </c>
      <c r="AZ89" s="12" t="n">
        <f aca="false">AS89+AE89</f>
        <v>43433.064684411</v>
      </c>
      <c r="BA89" s="12" t="n">
        <f aca="false">AT89+AE89+AU89</f>
        <v>95613.7232472601</v>
      </c>
      <c r="BB89" s="4" t="n">
        <f aca="false">IFERROR(IRR(AV89:BA89,0.15),"n/a")</f>
        <v>0.285204489242786</v>
      </c>
      <c r="BC89" s="12" t="n">
        <f aca="false">NPV($B$5,AW89:BA89)+AV89</f>
        <v>43961.6815412088</v>
      </c>
    </row>
    <row r="90" customFormat="false" ht="15" hidden="false" customHeight="false" outlineLevel="0" collapsed="false">
      <c r="A90" s="3" t="n">
        <v>66</v>
      </c>
      <c r="B90" s="15" t="n">
        <f aca="true">RAND()</f>
        <v>0.728044136745084</v>
      </c>
      <c r="C90" s="12" t="n">
        <f aca="false">IF(B90&lt;=($F$12-$E$12)/($G$12-$E$12),$E$12+SQRT(B90*($G$12-$E$12)*($F$12-$E$12)),$G$12-SQRT((1-B90)*($G$12-$E$12)*($G$12-$F$12)))</f>
        <v>-70442.3789168665</v>
      </c>
      <c r="D90" s="15" t="n">
        <f aca="true">RAND()</f>
        <v>0.509365020053635</v>
      </c>
      <c r="E90" s="12" t="n">
        <f aca="false">IF(D90&lt;=($F$13-$E$13)/($G$13-$E$13),$E$13+SQRT(D90*($G$13-$E$13)*($F$13-$E$13)),$G$13-SQRT((1-D90)*($G$13-$E$13)*($G$13-$F$13)))</f>
        <v>-31259.0187617153</v>
      </c>
      <c r="F90" s="15" t="n">
        <f aca="true">RAND()</f>
        <v>0.0522786686084313</v>
      </c>
      <c r="G90" s="12" t="n">
        <f aca="false">IF(F90&lt;=($F$14-$E$14)/($G$14-$E$14),$E$14+SQRT(F90*($G$14-$E$14)*($F$14-$E$14)),$G$14-SQRT((1-F90)*($G$14-$E$14)*($G$14-$F$14)))</f>
        <v>32800.3214621298</v>
      </c>
      <c r="H90" s="15" t="n">
        <f aca="true">RAND()</f>
        <v>0.354797089196429</v>
      </c>
      <c r="I90" s="12" t="n">
        <f aca="false">IF(H90&lt;=($F$14-$E$14)/($G$14-$E$14),$E$14+SQRT(H90*($G$14-$E$14)*($F$14-$E$14)),$G$14-SQRT((1-H90)*($G$14-$E$14)*($G$14-$F$14)))</f>
        <v>37295.1739786975</v>
      </c>
      <c r="J90" s="15" t="n">
        <f aca="true">RAND()</f>
        <v>0.288274452300749</v>
      </c>
      <c r="K90" s="12" t="n">
        <f aca="false">IF(J90&lt;=($F$14-$E$14)/($G$14-$E$14),$E$14+SQRT(J90*($G$14-$E$14)*($F$14-$E$14)),$G$14-SQRT((1-J90)*($G$14-$E$14)*($G$14-$F$14)))</f>
        <v>36575.8016883961</v>
      </c>
      <c r="L90" s="15" t="n">
        <f aca="true">RAND()</f>
        <v>0.793146154175469</v>
      </c>
      <c r="M90" s="12" t="n">
        <f aca="false">IF(L90&lt;=($F$14-$E$14)/($G$14-$E$14),$E$14+SQRT(L90*($G$14-$E$14)*($F$14-$E$14)),$G$14-SQRT((1-L90)*($G$14-$E$14)*($G$14-$F$14)))</f>
        <v>41061.2135832417</v>
      </c>
      <c r="N90" s="15" t="n">
        <f aca="true">RAND()</f>
        <v>0.495232422792741</v>
      </c>
      <c r="O90" s="12" t="n">
        <f aca="false">IF(N90&lt;=($F$14-$E$14)/($G$14-$E$14),$E$14+SQRT(N90*($G$14-$E$14)*($F$14-$E$14)),$G$14-SQRT((1-N90)*($G$14-$E$14)*($G$14-$F$14)))</f>
        <v>38618.8667131422</v>
      </c>
      <c r="P90" s="15" t="n">
        <f aca="true">RAND()</f>
        <v>0.535442010308469</v>
      </c>
      <c r="Q90" s="16" t="n">
        <f aca="false">IF(P90&lt;=($F$15-$E$15)/($G$15-$E$15),$E$15+SQRT(P90*($G$15-$E$15)*($F$15-$E$15)),$G$15-SQRT((1-P90)*($G$15-$E$15)*($G$15-$F$15)))</f>
        <v>15.1082801286349</v>
      </c>
      <c r="R90" s="15" t="n">
        <f aca="true">RAND()</f>
        <v>0.768660589350749</v>
      </c>
      <c r="S90" s="16" t="n">
        <f aca="false">IF(R90&lt;=($F$16-$E$16)/($G$16-$E$16),$E$16+SQRT(R90*($G$16-$E$16)*($F$16-$E$16)),$G$16-SQRT((1-R90)*($G$16-$E$16)*($G$16-$F$16)))</f>
        <v>15.9593850457064</v>
      </c>
      <c r="T90" s="15" t="n">
        <f aca="true">RAND()</f>
        <v>0.817879089921817</v>
      </c>
      <c r="U90" s="16" t="n">
        <f aca="false">IF(T90&lt;=($F$17-$E$17)/($G$17-$E$17),$E$17+SQRT(T90*($G$17-$E$17)*($F$17-$E$17)),$G$17-SQRT((1-T90)*($G$17-$E$17)*($G$17-$F$17)))</f>
        <v>19.7418181025017</v>
      </c>
      <c r="V90" s="15" t="n">
        <f aca="true">RAND()</f>
        <v>0.348131050297801</v>
      </c>
      <c r="W90" s="16" t="n">
        <f aca="false">IF(V90&lt;=($F$18-$E$18)/($G$18-$E$18),$E$18+SQRT(V90*($G$18-$E$18)*($F$18-$E$18)),$G$18-SQRT((1-V90)*($G$18-$E$18)*($G$18-$F$18)))</f>
        <v>20.2234517442428</v>
      </c>
      <c r="X90" s="15" t="n">
        <f aca="true">RAND()</f>
        <v>0.867937658328921</v>
      </c>
      <c r="Y90" s="16" t="n">
        <f aca="false">IF(X90&lt;=($F$19-$E$19)/($G$19-$E$19),$E$19+SQRT(X90*($G$19-$E$19)*($F$19-$E$19)),$G$19-SQRT((1-X90)*($G$19-$E$19)*($G$19-$F$19)))</f>
        <v>25.3295381578764</v>
      </c>
      <c r="Z90" s="12" t="n">
        <f aca="false">G90*(1+Q90/100)</f>
        <v>37755.8859117211</v>
      </c>
      <c r="AA90" s="12" t="n">
        <f aca="false">I90*(1+Q90/100)*(1+S90/100)</f>
        <v>49781.1707397301</v>
      </c>
      <c r="AB90" s="12" t="n">
        <f aca="false">K90*(1+Q90/100)*(1+S90/100)*(1+U90/100)</f>
        <v>58459.1061396176</v>
      </c>
      <c r="AC90" s="12" t="n">
        <f aca="false">M90*(1+Q90/100)*(1+S90/100)*(1+U90/100)*(1+W90/100)</f>
        <v>78900.4155281125</v>
      </c>
      <c r="AD90" s="12" t="n">
        <f aca="false">O90*(1+Q90/100)*(1+S90/100)*(1+U90/100)*(1+W90/100)*(1+Y90/100)</f>
        <v>93003.7529363121</v>
      </c>
      <c r="AE90" s="12" t="n">
        <f aca="false">ABS(C90)/$B$7</f>
        <v>14088.4757833733</v>
      </c>
      <c r="AF90" s="12" t="n">
        <f aca="false">Z90-AE90</f>
        <v>23667.4101283478</v>
      </c>
      <c r="AG90" s="12" t="n">
        <f aca="false">AA90-AE90</f>
        <v>35692.6949563568</v>
      </c>
      <c r="AH90" s="12" t="n">
        <f aca="false">AB90-AE90</f>
        <v>44370.6303562443</v>
      </c>
      <c r="AI90" s="12" t="n">
        <f aca="false">AC90-AE90</f>
        <v>64811.9397447392</v>
      </c>
      <c r="AJ90" s="12" t="n">
        <f aca="false">AD90-AE90</f>
        <v>78915.2771529389</v>
      </c>
      <c r="AK90" s="12" t="n">
        <f aca="false">AF90*$B$4</f>
        <v>11833.7050641739</v>
      </c>
      <c r="AL90" s="12" t="n">
        <f aca="false">AG90*$B$4</f>
        <v>17846.3474781784</v>
      </c>
      <c r="AM90" s="12" t="n">
        <f aca="false">AH90*$B$4</f>
        <v>22185.3151781221</v>
      </c>
      <c r="AN90" s="12" t="n">
        <f aca="false">AI90*$B$4</f>
        <v>32405.9698723696</v>
      </c>
      <c r="AO90" s="12" t="n">
        <f aca="false">AJ90*$B$4</f>
        <v>39457.6385764694</v>
      </c>
      <c r="AP90" s="12" t="n">
        <f aca="false">AF90-AK90</f>
        <v>11833.7050641739</v>
      </c>
      <c r="AQ90" s="12" t="n">
        <f aca="false">AG90-AL90</f>
        <v>17846.3474781784</v>
      </c>
      <c r="AR90" s="12" t="n">
        <f aca="false">AH90-AM90</f>
        <v>22185.3151781221</v>
      </c>
      <c r="AS90" s="12" t="n">
        <f aca="false">AI90-AN90</f>
        <v>32405.9698723696</v>
      </c>
      <c r="AT90" s="12" t="n">
        <f aca="false">AJ90-AO90</f>
        <v>39457.6385764694</v>
      </c>
      <c r="AU90" s="12" t="n">
        <f aca="false">0.2*ABS(C90)+1*ABS(E90)</f>
        <v>45347.4945450886</v>
      </c>
      <c r="AV90" s="12" t="n">
        <f aca="false">C90+E90</f>
        <v>-101701.397678582</v>
      </c>
      <c r="AW90" s="12" t="n">
        <f aca="false">AP90+AE90</f>
        <v>25922.1808475472</v>
      </c>
      <c r="AX90" s="12" t="n">
        <f aca="false">AQ90+AE90</f>
        <v>31934.8232615517</v>
      </c>
      <c r="AY90" s="12" t="n">
        <f aca="false">AR90+AE90</f>
        <v>36273.7909614954</v>
      </c>
      <c r="AZ90" s="12" t="n">
        <f aca="false">AS90+AE90</f>
        <v>46494.4456557429</v>
      </c>
      <c r="BA90" s="12" t="n">
        <f aca="false">AT90+AE90+AU90</f>
        <v>98893.6089049313</v>
      </c>
      <c r="BB90" s="4" t="n">
        <f aca="false">IFERROR(IRR(AV90:BA90,0.15),"n/a")</f>
        <v>0.285748716602378</v>
      </c>
      <c r="BC90" s="12" t="n">
        <f aca="false">NPV($B$5,AW90:BA90)+AV90</f>
        <v>44588.5017128043</v>
      </c>
    </row>
    <row r="91" customFormat="false" ht="15" hidden="false" customHeight="false" outlineLevel="0" collapsed="false">
      <c r="A91" s="3" t="n">
        <v>67</v>
      </c>
      <c r="B91" s="15" t="n">
        <f aca="true">RAND()</f>
        <v>0.140174049886905</v>
      </c>
      <c r="C91" s="12" t="n">
        <f aca="false">IF(B91&lt;=($F$12-$E$12)/($G$12-$E$12),$E$12+SQRT(B91*($G$12-$E$12)*($F$12-$E$12)),$G$12-SQRT((1-B91)*($G$12-$E$12)*($G$12-$F$12)))</f>
        <v>-87030.4641615713</v>
      </c>
      <c r="D91" s="15" t="n">
        <f aca="true">RAND()</f>
        <v>0.271186927554117</v>
      </c>
      <c r="E91" s="12" t="n">
        <f aca="false">IF(D91&lt;=($F$13-$E$13)/($G$13-$E$13),$E$13+SQRT(D91*($G$13-$E$13)*($F$13-$E$13)),$G$13-SQRT((1-D91)*($G$13-$E$13)*($G$13-$F$13)))</f>
        <v>-33622.0662332447</v>
      </c>
      <c r="F91" s="15" t="n">
        <f aca="true">RAND()</f>
        <v>0.831460245447758</v>
      </c>
      <c r="G91" s="12" t="n">
        <f aca="false">IF(F91&lt;=($F$14-$E$14)/($G$14-$E$14),$E$14+SQRT(F91*($G$14-$E$14)*($F$14-$E$14)),$G$14-SQRT((1-F91)*($G$14-$E$14)*($G$14-$F$14)))</f>
        <v>41444.6545046342</v>
      </c>
      <c r="H91" s="15" t="n">
        <f aca="true">RAND()</f>
        <v>0.918720472547053</v>
      </c>
      <c r="I91" s="12" t="n">
        <f aca="false">IF(H91&lt;=($F$14-$E$14)/($G$14-$E$14),$E$14+SQRT(H91*($G$14-$E$14)*($F$14-$E$14)),$G$14-SQRT((1-H91)*($G$14-$E$14)*($G$14-$F$14)))</f>
        <v>42530.9992792688</v>
      </c>
      <c r="J91" s="15" t="n">
        <f aca="true">RAND()</f>
        <v>0.748614551484483</v>
      </c>
      <c r="K91" s="12" t="n">
        <f aca="false">IF(J91&lt;=($F$14-$E$14)/($G$14-$E$14),$E$14+SQRT(J91*($G$14-$E$14)*($F$14-$E$14)),$G$14-SQRT((1-J91)*($G$14-$E$14)*($G$14-$F$14)))</f>
        <v>40657.8912221521</v>
      </c>
      <c r="L91" s="15" t="n">
        <f aca="true">RAND()</f>
        <v>0.122058785961251</v>
      </c>
      <c r="M91" s="12" t="n">
        <f aca="false">IF(L91&lt;=($F$14-$E$14)/($G$14-$E$14),$E$14+SQRT(L91*($G$14-$E$14)*($F$14-$E$14)),$G$14-SQRT((1-L91)*($G$14-$E$14)*($G$14-$F$14)))</f>
        <v>34278.8804486907</v>
      </c>
      <c r="N91" s="15" t="n">
        <f aca="true">RAND()</f>
        <v>0.710154845627334</v>
      </c>
      <c r="O91" s="12" t="n">
        <f aca="false">IF(N91&lt;=($F$14-$E$14)/($G$14-$E$14),$E$14+SQRT(N91*($G$14-$E$14)*($F$14-$E$14)),$G$14-SQRT((1-N91)*($G$14-$E$14)*($G$14-$F$14)))</f>
        <v>40337.5557292392</v>
      </c>
      <c r="P91" s="15" t="n">
        <f aca="true">RAND()</f>
        <v>0.0927033582983834</v>
      </c>
      <c r="Q91" s="16" t="n">
        <f aca="false">IF(P91&lt;=($F$15-$E$15)/($G$15-$E$15),$E$15+SQRT(P91*($G$15-$E$15)*($F$15-$E$15)),$G$15-SQRT((1-P91)*($G$15-$E$15)*($G$15-$F$15)))</f>
        <v>13.2917664066583</v>
      </c>
      <c r="R91" s="15" t="n">
        <f aca="true">RAND()</f>
        <v>0.425966737617986</v>
      </c>
      <c r="S91" s="16" t="n">
        <f aca="false">IF(R91&lt;=($F$16-$E$16)/($G$16-$E$16),$E$16+SQRT(R91*($G$16-$E$16)*($F$16-$E$16)),$G$16-SQRT((1-R91)*($G$16-$E$16)*($G$16-$F$16)))</f>
        <v>14.769007272855</v>
      </c>
      <c r="T91" s="15" t="n">
        <f aca="true">RAND()</f>
        <v>0.92132655277281</v>
      </c>
      <c r="U91" s="16" t="n">
        <f aca="false">IF(T91&lt;=($F$17-$E$17)/($G$17-$E$17),$E$17+SQRT(T91*($G$17-$E$17)*($F$17-$E$17)),$G$17-SQRT((1-T91)*($G$17-$E$17)*($G$17-$F$17)))</f>
        <v>20.5157976814594</v>
      </c>
      <c r="V91" s="15" t="n">
        <f aca="true">RAND()</f>
        <v>0.729445905511247</v>
      </c>
      <c r="W91" s="16" t="n">
        <f aca="false">IF(V91&lt;=($F$18-$E$18)/($G$18-$E$18),$E$18+SQRT(V91*($G$18-$E$18)*($F$18-$E$18)),$G$18-SQRT((1-V91)*($G$18-$E$18)*($G$18-$F$18)))</f>
        <v>21.9227620652432</v>
      </c>
      <c r="X91" s="15" t="n">
        <f aca="true">RAND()</f>
        <v>0.602111139196736</v>
      </c>
      <c r="Y91" s="16" t="n">
        <f aca="false">IF(X91&lt;=($F$19-$E$19)/($G$19-$E$19),$E$19+SQRT(X91*($G$19-$E$19)*($F$19-$E$19)),$G$19-SQRT((1-X91)*($G$19-$E$19)*($G$19-$F$19)))</f>
        <v>23.3647008205105</v>
      </c>
      <c r="Z91" s="12" t="n">
        <f aca="false">G91*(1+Q91/100)</f>
        <v>46953.3811694367</v>
      </c>
      <c r="AA91" s="12" t="n">
        <f aca="false">I91*(1+Q91/100)*(1+S91/100)</f>
        <v>55300.4365933135</v>
      </c>
      <c r="AB91" s="12" t="n">
        <f aca="false">K91*(1+Q91/100)*(1+S91/100)*(1+U91/100)</f>
        <v>63710.6157670285</v>
      </c>
      <c r="AC91" s="12" t="n">
        <f aca="false">M91*(1+Q91/100)*(1+S91/100)*(1+U91/100)*(1+W91/100)</f>
        <v>65490.5103949147</v>
      </c>
      <c r="AD91" s="12" t="n">
        <f aca="false">O91*(1+Q91/100)*(1+S91/100)*(1+U91/100)*(1+W91/100)*(1+Y91/100)</f>
        <v>95071.9132752085</v>
      </c>
      <c r="AE91" s="12" t="n">
        <f aca="false">ABS(C91)/$B$7</f>
        <v>17406.0928323143</v>
      </c>
      <c r="AF91" s="12" t="n">
        <f aca="false">Z91-AE91</f>
        <v>29547.2883371225</v>
      </c>
      <c r="AG91" s="12" t="n">
        <f aca="false">AA91-AE91</f>
        <v>37894.3437609992</v>
      </c>
      <c r="AH91" s="12" t="n">
        <f aca="false">AB91-AE91</f>
        <v>46304.5229347143</v>
      </c>
      <c r="AI91" s="12" t="n">
        <f aca="false">AC91-AE91</f>
        <v>48084.4175626004</v>
      </c>
      <c r="AJ91" s="12" t="n">
        <f aca="false">AD91-AE91</f>
        <v>77665.8204428942</v>
      </c>
      <c r="AK91" s="12" t="n">
        <f aca="false">AF91*$B$4</f>
        <v>14773.6441685612</v>
      </c>
      <c r="AL91" s="12" t="n">
        <f aca="false">AG91*$B$4</f>
        <v>18947.1718804996</v>
      </c>
      <c r="AM91" s="12" t="n">
        <f aca="false">AH91*$B$4</f>
        <v>23152.2614673571</v>
      </c>
      <c r="AN91" s="12" t="n">
        <f aca="false">AI91*$B$4</f>
        <v>24042.2087813002</v>
      </c>
      <c r="AO91" s="12" t="n">
        <f aca="false">AJ91*$B$4</f>
        <v>38832.9102214471</v>
      </c>
      <c r="AP91" s="12" t="n">
        <f aca="false">AF91-AK91</f>
        <v>14773.6441685612</v>
      </c>
      <c r="AQ91" s="12" t="n">
        <f aca="false">AG91-AL91</f>
        <v>18947.1718804996</v>
      </c>
      <c r="AR91" s="12" t="n">
        <f aca="false">AH91-AM91</f>
        <v>23152.2614673571</v>
      </c>
      <c r="AS91" s="12" t="n">
        <f aca="false">AI91-AN91</f>
        <v>24042.2087813002</v>
      </c>
      <c r="AT91" s="12" t="n">
        <f aca="false">AJ91-AO91</f>
        <v>38832.9102214471</v>
      </c>
      <c r="AU91" s="12" t="n">
        <f aca="false">0.2*ABS(C91)+1*ABS(E91)</f>
        <v>51028.159065559</v>
      </c>
      <c r="AV91" s="12" t="n">
        <f aca="false">C91+E91</f>
        <v>-120652.530394816</v>
      </c>
      <c r="AW91" s="12" t="n">
        <f aca="false">AP91+AE91</f>
        <v>32179.7370008755</v>
      </c>
      <c r="AX91" s="12" t="n">
        <f aca="false">AQ91+AE91</f>
        <v>36353.2647128139</v>
      </c>
      <c r="AY91" s="12" t="n">
        <f aca="false">AR91+AE91</f>
        <v>40558.3542996714</v>
      </c>
      <c r="AZ91" s="12" t="n">
        <f aca="false">AS91+AE91</f>
        <v>41448.3016136145</v>
      </c>
      <c r="BA91" s="12" t="n">
        <f aca="false">AT91+AE91+AU91</f>
        <v>107267.16211932</v>
      </c>
      <c r="BB91" s="4" t="n">
        <f aca="false">IFERROR(IRR(AV91:BA91,0.15),"n/a")</f>
        <v>0.254163682237001</v>
      </c>
      <c r="BC91" s="12" t="n">
        <f aca="false">NPV($B$5,AW91:BA91)+AV91</f>
        <v>38514.855255964</v>
      </c>
    </row>
    <row r="92" customFormat="false" ht="15" hidden="false" customHeight="false" outlineLevel="0" collapsed="false">
      <c r="A92" s="3" t="n">
        <v>68</v>
      </c>
      <c r="B92" s="15" t="n">
        <f aca="true">RAND()</f>
        <v>0.850446013376329</v>
      </c>
      <c r="C92" s="12" t="n">
        <f aca="false">IF(B92&lt;=($F$12-$E$12)/($G$12-$E$12),$E$12+SQRT(B92*($G$12-$E$12)*($F$12-$E$12)),$G$12-SQRT((1-B92)*($G$12-$E$12)*($G$12-$F$12)))</f>
        <v>-67734.4421033109</v>
      </c>
      <c r="D92" s="15" t="n">
        <f aca="true">RAND()</f>
        <v>0.127937312695739</v>
      </c>
      <c r="E92" s="12" t="n">
        <f aca="false">IF(D92&lt;=($F$13-$E$13)/($G$13-$E$13),$E$13+SQRT(D92*($G$13-$E$13)*($F$13-$E$13)),$G$13-SQRT((1-D92)*($G$13-$E$13)*($G$13-$F$13)))</f>
        <v>-35619.2926479436</v>
      </c>
      <c r="F92" s="15" t="n">
        <f aca="true">RAND()</f>
        <v>0.0540066344828984</v>
      </c>
      <c r="G92" s="12" t="n">
        <f aca="false">IF(F92&lt;=($F$14-$E$14)/($G$14-$E$14),$E$14+SQRT(F92*($G$14-$E$14)*($F$14-$E$14)),$G$14-SQRT((1-F92)*($G$14-$E$14)*($G$14-$F$14)))</f>
        <v>32846.2247227573</v>
      </c>
      <c r="H92" s="15" t="n">
        <f aca="true">RAND()</f>
        <v>0.453436287201745</v>
      </c>
      <c r="I92" s="12" t="n">
        <f aca="false">IF(H92&lt;=($F$14-$E$14)/($G$14-$E$14),$E$14+SQRT(H92*($G$14-$E$14)*($F$14-$E$14)),$G$14-SQRT((1-H92)*($G$14-$E$14)*($G$14-$F$14)))</f>
        <v>38247.1475723587</v>
      </c>
      <c r="J92" s="15" t="n">
        <f aca="true">RAND()</f>
        <v>0.545350340774776</v>
      </c>
      <c r="K92" s="12" t="n">
        <f aca="false">IF(J92&lt;=($F$14-$E$14)/($G$14-$E$14),$E$14+SQRT(J92*($G$14-$E$14)*($F$14-$E$14)),$G$14-SQRT((1-J92)*($G$14-$E$14)*($G$14-$F$14)))</f>
        <v>39044.4762765025</v>
      </c>
      <c r="L92" s="15" t="n">
        <f aca="true">RAND()</f>
        <v>0.862589538437785</v>
      </c>
      <c r="M92" s="12" t="n">
        <f aca="false">IF(L92&lt;=($F$14-$E$14)/($G$14-$E$14),$E$14+SQRT(L92*($G$14-$E$14)*($F$14-$E$14)),$G$14-SQRT((1-L92)*($G$14-$E$14)*($G$14-$F$14)))</f>
        <v>41789.7376092964</v>
      </c>
      <c r="N92" s="15" t="n">
        <f aca="true">RAND()</f>
        <v>0.844301801954711</v>
      </c>
      <c r="O92" s="12" t="n">
        <f aca="false">IF(N92&lt;=($F$14-$E$14)/($G$14-$E$14),$E$14+SQRT(N92*($G$14-$E$14)*($F$14-$E$14)),$G$14-SQRT((1-N92)*($G$14-$E$14)*($G$14-$F$14)))</f>
        <v>41582.7840493471</v>
      </c>
      <c r="P92" s="15" t="n">
        <f aca="true">RAND()</f>
        <v>0.427669294814321</v>
      </c>
      <c r="Q92" s="16" t="n">
        <f aca="false">IF(P92&lt;=($F$15-$E$15)/($G$15-$E$15),$E$15+SQRT(P92*($G$15-$E$15)*($F$15-$E$15)),$G$15-SQRT((1-P92)*($G$15-$E$15)*($G$15-$F$15)))</f>
        <v>14.7745355118754</v>
      </c>
      <c r="R92" s="15" t="n">
        <f aca="true">RAND()</f>
        <v>0.831781294078537</v>
      </c>
      <c r="S92" s="16" t="n">
        <f aca="false">IF(R92&lt;=($F$16-$E$16)/($G$16-$E$16),$E$16+SQRT(R92*($G$16-$E$16)*($F$16-$E$16)),$G$16-SQRT((1-R92)*($G$16-$E$16)*($G$16-$F$16)))</f>
        <v>16.2599032479237</v>
      </c>
      <c r="T92" s="15" t="n">
        <f aca="true">RAND()</f>
        <v>0.0393827527755271</v>
      </c>
      <c r="U92" s="16" t="n">
        <f aca="false">IF(T92&lt;=($F$17-$E$17)/($G$17-$E$17),$E$17+SQRT(T92*($G$17-$E$17)*($F$17-$E$17)),$G$17-SQRT((1-T92)*($G$17-$E$17)*($G$17-$F$17)))</f>
        <v>15.9094161909083</v>
      </c>
      <c r="V92" s="15" t="n">
        <f aca="true">RAND()</f>
        <v>0.17133979458056</v>
      </c>
      <c r="W92" s="16" t="n">
        <f aca="false">IF(V92&lt;=($F$18-$E$18)/($G$18-$E$18),$E$18+SQRT(V92*($G$18-$E$18)*($F$18-$E$18)),$G$18-SQRT((1-V92)*($G$18-$E$18)*($G$18-$F$18)))</f>
        <v>19.548792150073</v>
      </c>
      <c r="X92" s="15" t="n">
        <f aca="true">RAND()</f>
        <v>0.81687298168183</v>
      </c>
      <c r="Y92" s="16" t="n">
        <f aca="false">IF(X92&lt;=($F$19-$E$19)/($G$19-$E$19),$E$19+SQRT(X92*($G$19-$E$19)*($F$19-$E$19)),$G$19-SQRT((1-X92)*($G$19-$E$19)*($G$19-$F$19)))</f>
        <v>24.8553443766954</v>
      </c>
      <c r="Z92" s="12" t="n">
        <f aca="false">G92*(1+Q92/100)</f>
        <v>37699.1018587315</v>
      </c>
      <c r="AA92" s="12" t="n">
        <f aca="false">I92*(1+Q92/100)*(1+S92/100)</f>
        <v>51035.756019667</v>
      </c>
      <c r="AB92" s="12" t="n">
        <f aca="false">K92*(1+Q92/100)*(1+S92/100)*(1+U92/100)</f>
        <v>60388.441463128</v>
      </c>
      <c r="AC92" s="12" t="n">
        <f aca="false">M92*(1+Q92/100)*(1+S92/100)*(1+U92/100)*(1+W92/100)</f>
        <v>77269.6698023589</v>
      </c>
      <c r="AD92" s="12" t="n">
        <f aca="false">O92*(1+Q92/100)*(1+S92/100)*(1+U92/100)*(1+W92/100)*(1+Y92/100)</f>
        <v>95997.5416988223</v>
      </c>
      <c r="AE92" s="12" t="n">
        <f aca="false">ABS(C92)/$B$7</f>
        <v>13546.8884206622</v>
      </c>
      <c r="AF92" s="12" t="n">
        <f aca="false">Z92-AE92</f>
        <v>24152.2134380693</v>
      </c>
      <c r="AG92" s="12" t="n">
        <f aca="false">AA92-AE92</f>
        <v>37488.8675990048</v>
      </c>
      <c r="AH92" s="12" t="n">
        <f aca="false">AB92-AE92</f>
        <v>46841.5530424658</v>
      </c>
      <c r="AI92" s="12" t="n">
        <f aca="false">AC92-AE92</f>
        <v>63722.7813816967</v>
      </c>
      <c r="AJ92" s="12" t="n">
        <f aca="false">AD92-AE92</f>
        <v>82450.6532781601</v>
      </c>
      <c r="AK92" s="12" t="n">
        <f aca="false">AF92*$B$4</f>
        <v>12076.1067190346</v>
      </c>
      <c r="AL92" s="12" t="n">
        <f aca="false">AG92*$B$4</f>
        <v>18744.4337995024</v>
      </c>
      <c r="AM92" s="12" t="n">
        <f aca="false">AH92*$B$4</f>
        <v>23420.7765212329</v>
      </c>
      <c r="AN92" s="12" t="n">
        <f aca="false">AI92*$B$4</f>
        <v>31861.3906908484</v>
      </c>
      <c r="AO92" s="12" t="n">
        <f aca="false">AJ92*$B$4</f>
        <v>41225.3266390801</v>
      </c>
      <c r="AP92" s="12" t="n">
        <f aca="false">AF92-AK92</f>
        <v>12076.1067190346</v>
      </c>
      <c r="AQ92" s="12" t="n">
        <f aca="false">AG92-AL92</f>
        <v>18744.4337995024</v>
      </c>
      <c r="AR92" s="12" t="n">
        <f aca="false">AH92-AM92</f>
        <v>23420.7765212329</v>
      </c>
      <c r="AS92" s="12" t="n">
        <f aca="false">AI92-AN92</f>
        <v>31861.3906908484</v>
      </c>
      <c r="AT92" s="12" t="n">
        <f aca="false">AJ92-AO92</f>
        <v>41225.3266390801</v>
      </c>
      <c r="AU92" s="12" t="n">
        <f aca="false">0.2*ABS(C92)+1*ABS(E92)</f>
        <v>49166.1810686058</v>
      </c>
      <c r="AV92" s="12" t="n">
        <f aca="false">C92+E92</f>
        <v>-103353.734751255</v>
      </c>
      <c r="AW92" s="12" t="n">
        <f aca="false">AP92+AE92</f>
        <v>25622.9951396968</v>
      </c>
      <c r="AX92" s="12" t="n">
        <f aca="false">AQ92+AE92</f>
        <v>32291.3222201646</v>
      </c>
      <c r="AY92" s="12" t="n">
        <f aca="false">AR92+AE92</f>
        <v>36967.6649418951</v>
      </c>
      <c r="AZ92" s="12" t="n">
        <f aca="false">AS92+AE92</f>
        <v>45408.2791115105</v>
      </c>
      <c r="BA92" s="12" t="n">
        <f aca="false">AT92+AE92+AU92</f>
        <v>103938.396128348</v>
      </c>
      <c r="BB92" s="4" t="n">
        <f aca="false">IFERROR(IRR(AV92:BA92,0.15),"n/a")</f>
        <v>0.284548059918206</v>
      </c>
      <c r="BC92" s="12" t="n">
        <f aca="false">NPV($B$5,AW92:BA92)+AV92</f>
        <v>45288.9325854657</v>
      </c>
    </row>
    <row r="93" customFormat="false" ht="15" hidden="false" customHeight="false" outlineLevel="0" collapsed="false">
      <c r="A93" s="3" t="n">
        <v>69</v>
      </c>
      <c r="B93" s="15" t="n">
        <f aca="true">RAND()</f>
        <v>0.828957919722199</v>
      </c>
      <c r="C93" s="12" t="n">
        <f aca="false">IF(B93&lt;=($F$12-$E$12)/($G$12-$E$12),$E$12+SQRT(B93*($G$12-$E$12)*($F$12-$E$12)),$G$12-SQRT((1-B93)*($G$12-$E$12)*($G$12-$F$12)))</f>
        <v>-68271.4467967291</v>
      </c>
      <c r="D93" s="15" t="n">
        <f aca="true">RAND()</f>
        <v>0.436109416507054</v>
      </c>
      <c r="E93" s="12" t="n">
        <f aca="false">IF(D93&lt;=($F$13-$E$13)/($G$13-$E$13),$E$13+SQRT(D93*($G$13-$E$13)*($F$13-$E$13)),$G$13-SQRT((1-D93)*($G$13-$E$13)*($G$13-$F$13)))</f>
        <v>-31911.9586749289</v>
      </c>
      <c r="F93" s="15" t="n">
        <f aca="true">RAND()</f>
        <v>0.642672542044114</v>
      </c>
      <c r="G93" s="12" t="n">
        <f aca="false">IF(F93&lt;=($F$14-$E$14)/($G$14-$E$14),$E$14+SQRT(F93*($G$14-$E$14)*($F$14-$E$14)),$G$14-SQRT((1-F93)*($G$14-$E$14)*($G$14-$F$14)))</f>
        <v>39818.3950473902</v>
      </c>
      <c r="H93" s="15" t="n">
        <f aca="true">RAND()</f>
        <v>0.993395465714526</v>
      </c>
      <c r="I93" s="12" t="n">
        <f aca="false">IF(H93&lt;=($F$14-$E$14)/($G$14-$E$14),$E$14+SQRT(H93*($G$14-$E$14)*($F$14-$E$14)),$G$14-SQRT((1-H93)*($G$14-$E$14)*($G$14-$F$14)))</f>
        <v>44296.1959992935</v>
      </c>
      <c r="J93" s="15" t="n">
        <f aca="true">RAND()</f>
        <v>0.391990590238381</v>
      </c>
      <c r="K93" s="12" t="n">
        <f aca="false">IF(J93&lt;=($F$14-$E$14)/($G$14-$E$14),$E$14+SQRT(J93*($G$14-$E$14)*($F$14-$E$14)),$G$14-SQRT((1-J93)*($G$14-$E$14)*($G$14-$F$14)))</f>
        <v>37668.0237699004</v>
      </c>
      <c r="L93" s="15" t="n">
        <f aca="true">RAND()</f>
        <v>0.270986714494338</v>
      </c>
      <c r="M93" s="12" t="n">
        <f aca="false">IF(L93&lt;=($F$14-$E$14)/($G$14-$E$14),$E$14+SQRT(L93*($G$14-$E$14)*($F$14-$E$14)),$G$14-SQRT((1-L93)*($G$14-$E$14)*($G$14-$F$14)))</f>
        <v>36375.5789677606</v>
      </c>
      <c r="N93" s="15" t="n">
        <f aca="true">RAND()</f>
        <v>0.191219517260652</v>
      </c>
      <c r="O93" s="12" t="n">
        <f aca="false">IF(N93&lt;=($F$14-$E$14)/($G$14-$E$14),$E$14+SQRT(N93*($G$14-$E$14)*($F$14-$E$14)),$G$14-SQRT((1-N93)*($G$14-$E$14)*($G$14-$F$14)))</f>
        <v>35355.6444606693</v>
      </c>
      <c r="P93" s="15" t="n">
        <f aca="true">RAND()</f>
        <v>0.126894792392653</v>
      </c>
      <c r="Q93" s="16" t="n">
        <f aca="false">IF(P93&lt;=($F$15-$E$15)/($G$15-$E$15),$E$15+SQRT(P93*($G$15-$E$15)*($F$15-$E$15)),$G$15-SQRT((1-P93)*($G$15-$E$15)*($G$15-$F$15)))</f>
        <v>13.5113259949686</v>
      </c>
      <c r="R93" s="15" t="n">
        <f aca="true">RAND()</f>
        <v>0.920173712896875</v>
      </c>
      <c r="S93" s="16" t="n">
        <f aca="false">IF(R93&lt;=($F$16-$E$16)/($G$16-$E$16),$E$16+SQRT(R93*($G$16-$E$16)*($F$16-$E$16)),$G$16-SQRT((1-R93)*($G$16-$E$16)*($G$16-$F$16)))</f>
        <v>16.8013035547495</v>
      </c>
      <c r="T93" s="15" t="n">
        <f aca="true">RAND()</f>
        <v>0.730881879765778</v>
      </c>
      <c r="U93" s="16" t="n">
        <f aca="false">IF(T93&lt;=($F$17-$E$17)/($G$17-$E$17),$E$17+SQRT(T93*($G$17-$E$17)*($F$17-$E$17)),$G$17-SQRT((1-T93)*($G$17-$E$17)*($G$17-$F$17)))</f>
        <v>19.2549485675933</v>
      </c>
      <c r="V93" s="15" t="n">
        <f aca="true">RAND()</f>
        <v>0.0417962538483616</v>
      </c>
      <c r="W93" s="16" t="n">
        <f aca="false">IF(V93&lt;=($F$18-$E$18)/($G$18-$E$18),$E$18+SQRT(V93*($G$18-$E$18)*($F$18-$E$18)),$G$18-SQRT((1-V93)*($G$18-$E$18)*($G$18-$F$18)))</f>
        <v>18.7649493799442</v>
      </c>
      <c r="X93" s="15" t="n">
        <f aca="true">RAND()</f>
        <v>0.50573797186295</v>
      </c>
      <c r="Y93" s="16" t="n">
        <f aca="false">IF(X93&lt;=($F$19-$E$19)/($G$19-$E$19),$E$19+SQRT(X93*($G$19-$E$19)*($F$19-$E$19)),$G$19-SQRT((1-X93)*($G$19-$E$19)*($G$19-$F$19)))</f>
        <v>22.8337489879604</v>
      </c>
      <c r="Z93" s="12" t="n">
        <f aca="false">G93*(1+Q93/100)</f>
        <v>45198.3882082076</v>
      </c>
      <c r="AA93" s="12" t="n">
        <f aca="false">I93*(1+Q93/100)*(1+S93/100)</f>
        <v>58729.0963937052</v>
      </c>
      <c r="AB93" s="12" t="n">
        <f aca="false">K93*(1+Q93/100)*(1+S93/100)*(1+U93/100)</f>
        <v>59557.4550902532</v>
      </c>
      <c r="AC93" s="12" t="n">
        <f aca="false">M93*(1+Q93/100)*(1+S93/100)*(1+U93/100)*(1+W93/100)</f>
        <v>68306.4159702968</v>
      </c>
      <c r="AD93" s="12" t="n">
        <f aca="false">O93*(1+Q93/100)*(1+S93/100)*(1+U93/100)*(1+W93/100)*(1+Y93/100)</f>
        <v>81550.7668336612</v>
      </c>
      <c r="AE93" s="12" t="n">
        <f aca="false">ABS(C93)/$B$7</f>
        <v>13654.2893593458</v>
      </c>
      <c r="AF93" s="12" t="n">
        <f aca="false">Z93-AE93</f>
        <v>31544.0988488617</v>
      </c>
      <c r="AG93" s="12" t="n">
        <f aca="false">AA93-AE93</f>
        <v>45074.8070343594</v>
      </c>
      <c r="AH93" s="12" t="n">
        <f aca="false">AB93-AE93</f>
        <v>45903.1657309074</v>
      </c>
      <c r="AI93" s="12" t="n">
        <f aca="false">AC93-AE93</f>
        <v>54652.126610951</v>
      </c>
      <c r="AJ93" s="12" t="n">
        <f aca="false">AD93-AE93</f>
        <v>67896.4774743154</v>
      </c>
      <c r="AK93" s="12" t="n">
        <f aca="false">AF93*$B$4</f>
        <v>15772.0494244309</v>
      </c>
      <c r="AL93" s="12" t="n">
        <f aca="false">AG93*$B$4</f>
        <v>22537.4035171797</v>
      </c>
      <c r="AM93" s="12" t="n">
        <f aca="false">AH93*$B$4</f>
        <v>22951.5828654537</v>
      </c>
      <c r="AN93" s="12" t="n">
        <f aca="false">AI93*$B$4</f>
        <v>27326.0633054755</v>
      </c>
      <c r="AO93" s="12" t="n">
        <f aca="false">AJ93*$B$4</f>
        <v>33948.2387371577</v>
      </c>
      <c r="AP93" s="12" t="n">
        <f aca="false">AF93-AK93</f>
        <v>15772.0494244309</v>
      </c>
      <c r="AQ93" s="12" t="n">
        <f aca="false">AG93-AL93</f>
        <v>22537.4035171797</v>
      </c>
      <c r="AR93" s="12" t="n">
        <f aca="false">AH93-AM93</f>
        <v>22951.5828654537</v>
      </c>
      <c r="AS93" s="12" t="n">
        <f aca="false">AI93-AN93</f>
        <v>27326.0633054755</v>
      </c>
      <c r="AT93" s="12" t="n">
        <f aca="false">AJ93-AO93</f>
        <v>33948.2387371577</v>
      </c>
      <c r="AU93" s="12" t="n">
        <f aca="false">0.2*ABS(C93)+1*ABS(E93)</f>
        <v>45566.2480342747</v>
      </c>
      <c r="AV93" s="12" t="n">
        <f aca="false">C93+E93</f>
        <v>-100183.405471658</v>
      </c>
      <c r="AW93" s="12" t="n">
        <f aca="false">AP93+AE93</f>
        <v>29426.3387837767</v>
      </c>
      <c r="AX93" s="12" t="n">
        <f aca="false">AQ93+AE93</f>
        <v>36191.6928765255</v>
      </c>
      <c r="AY93" s="12" t="n">
        <f aca="false">AR93+AE93</f>
        <v>36605.8722247995</v>
      </c>
      <c r="AZ93" s="12" t="n">
        <f aca="false">AS93+AE93</f>
        <v>40980.3526648213</v>
      </c>
      <c r="BA93" s="12" t="n">
        <f aca="false">AT93+AE93+AU93</f>
        <v>93168.7761307782</v>
      </c>
      <c r="BB93" s="4" t="n">
        <f aca="false">IFERROR(IRR(AV93:BA93,0.15),"n/a")</f>
        <v>0.299871981581374</v>
      </c>
      <c r="BC93" s="12" t="n">
        <f aca="false">NPV($B$5,AW93:BA93)+AV93</f>
        <v>46591.7873674551</v>
      </c>
    </row>
    <row r="94" customFormat="false" ht="15" hidden="false" customHeight="false" outlineLevel="0" collapsed="false">
      <c r="A94" s="3" t="n">
        <v>70</v>
      </c>
      <c r="B94" s="15" t="n">
        <f aca="true">RAND()</f>
        <v>0.887149068084815</v>
      </c>
      <c r="C94" s="12" t="n">
        <f aca="false">IF(B94&lt;=($F$12-$E$12)/($G$12-$E$12),$E$12+SQRT(B94*($G$12-$E$12)*($F$12-$E$12)),$G$12-SQRT((1-B94)*($G$12-$E$12)*($G$12-$F$12)))</f>
        <v>-66718.6585540623</v>
      </c>
      <c r="D94" s="15" t="n">
        <f aca="true">RAND()</f>
        <v>0.390803319932536</v>
      </c>
      <c r="E94" s="12" t="n">
        <f aca="false">IF(D94&lt;=($F$13-$E$13)/($G$13-$E$13),$E$13+SQRT(D94*($G$13-$E$13)*($F$13-$E$13)),$G$13-SQRT((1-D94)*($G$13-$E$13)*($G$13-$F$13)))</f>
        <v>-32343.5975817699</v>
      </c>
      <c r="F94" s="15" t="n">
        <f aca="true">RAND()</f>
        <v>0.463774320884402</v>
      </c>
      <c r="G94" s="12" t="n">
        <f aca="false">IF(F94&lt;=($F$14-$E$14)/($G$14-$E$14),$E$14+SQRT(F94*($G$14-$E$14)*($F$14-$E$14)),$G$14-SQRT((1-F94)*($G$14-$E$14)*($G$14-$F$14)))</f>
        <v>38340.6323580806</v>
      </c>
      <c r="H94" s="15" t="n">
        <f aca="true">RAND()</f>
        <v>0.973336157333596</v>
      </c>
      <c r="I94" s="12" t="n">
        <f aca="false">IF(H94&lt;=($F$14-$E$14)/($G$14-$E$14),$E$14+SQRT(H94*($G$14-$E$14)*($F$14-$E$14)),$G$14-SQRT((1-H94)*($G$14-$E$14)*($G$14-$F$14)))</f>
        <v>43585.8613222246</v>
      </c>
      <c r="J94" s="15" t="n">
        <f aca="true">RAND()</f>
        <v>0.00569663166847378</v>
      </c>
      <c r="K94" s="12" t="n">
        <f aca="false">IF(J94&lt;=($F$14-$E$14)/($G$14-$E$14),$E$14+SQRT(J94*($G$14-$E$14)*($F$14-$E$14)),$G$14-SQRT((1-J94)*($G$14-$E$14)*($G$14-$F$14)))</f>
        <v>30924.3888523079</v>
      </c>
      <c r="L94" s="15" t="n">
        <f aca="true">RAND()</f>
        <v>0.733531990841032</v>
      </c>
      <c r="M94" s="12" t="n">
        <f aca="false">IF(L94&lt;=($F$14-$E$14)/($G$14-$E$14),$E$14+SQRT(L94*($G$14-$E$14)*($F$14-$E$14)),$G$14-SQRT((1-L94)*($G$14-$E$14)*($G$14-$F$14)))</f>
        <v>40529.5301491988</v>
      </c>
      <c r="N94" s="15" t="n">
        <f aca="true">RAND()</f>
        <v>0.32418444829105</v>
      </c>
      <c r="O94" s="12" t="n">
        <f aca="false">IF(N94&lt;=($F$14-$E$14)/($G$14-$E$14),$E$14+SQRT(N94*($G$14-$E$14)*($F$14-$E$14)),$G$14-SQRT((1-N94)*($G$14-$E$14)*($G$14-$F$14)))</f>
        <v>36973.3540885041</v>
      </c>
      <c r="P94" s="15" t="n">
        <f aca="true">RAND()</f>
        <v>0.226557744781186</v>
      </c>
      <c r="Q94" s="16" t="n">
        <f aca="false">IF(P94&lt;=($F$15-$E$15)/($G$15-$E$15),$E$15+SQRT(P94*($G$15-$E$15)*($F$15-$E$15)),$G$15-SQRT((1-P94)*($G$15-$E$15)*($G$15-$F$15)))</f>
        <v>14.0194156100371</v>
      </c>
      <c r="R94" s="15" t="n">
        <f aca="true">RAND()</f>
        <v>0.0871446116628013</v>
      </c>
      <c r="S94" s="16" t="n">
        <f aca="false">IF(R94&lt;=($F$16-$E$16)/($G$16-$E$16),$E$16+SQRT(R94*($G$16-$E$16)*($F$16-$E$16)),$G$16-SQRT((1-R94)*($G$16-$E$16)*($G$16-$F$16)))</f>
        <v>13.2524388248256</v>
      </c>
      <c r="T94" s="15" t="n">
        <f aca="true">RAND()</f>
        <v>0.0260180571285351</v>
      </c>
      <c r="U94" s="16" t="n">
        <f aca="false">IF(T94&lt;=($F$17-$E$17)/($G$17-$E$17),$E$17+SQRT(T94*($G$17-$E$17)*($F$17-$E$17)),$G$17-SQRT((1-T94)*($G$17-$E$17)*($G$17-$F$17)))</f>
        <v>15.7391746746874</v>
      </c>
      <c r="V94" s="15" t="n">
        <f aca="true">RAND()</f>
        <v>0.698003615056073</v>
      </c>
      <c r="W94" s="16" t="n">
        <f aca="false">IF(V94&lt;=($F$18-$E$18)/($G$18-$E$18),$E$18+SQRT(V94*($G$18-$E$18)*($F$18-$E$18)),$G$18-SQRT((1-V94)*($G$18-$E$18)*($G$18-$F$18)))</f>
        <v>21.7488658174358</v>
      </c>
      <c r="X94" s="15" t="n">
        <f aca="true">RAND()</f>
        <v>0.797337451315422</v>
      </c>
      <c r="Y94" s="16" t="n">
        <f aca="false">IF(X94&lt;=($F$19-$E$19)/($G$19-$E$19),$E$19+SQRT(X94*($G$19-$E$19)*($F$19-$E$19)),$G$19-SQRT((1-X94)*($G$19-$E$19)*($G$19-$F$19)))</f>
        <v>24.6918619090239</v>
      </c>
      <c r="Z94" s="12" t="n">
        <f aca="false">G94*(1+Q94/100)</f>
        <v>43715.7649558762</v>
      </c>
      <c r="AA94" s="12" t="n">
        <f aca="false">I94*(1+Q94/100)*(1+S94/100)</f>
        <v>56282.3220037723</v>
      </c>
      <c r="AB94" s="12" t="n">
        <f aca="false">K94*(1+Q94/100)*(1+S94/100)*(1+U94/100)</f>
        <v>46217.6522478566</v>
      </c>
      <c r="AC94" s="12" t="n">
        <f aca="false">M94*(1+Q94/100)*(1+S94/100)*(1+U94/100)*(1+W94/100)</f>
        <v>73746.8115259492</v>
      </c>
      <c r="AD94" s="12" t="n">
        <f aca="false">O94*(1+Q94/100)*(1+S94/100)*(1+U94/100)*(1+W94/100)*(1+Y94/100)</f>
        <v>83887.7679367982</v>
      </c>
      <c r="AE94" s="12" t="n">
        <f aca="false">ABS(C94)/$B$7</f>
        <v>13343.7317108125</v>
      </c>
      <c r="AF94" s="12" t="n">
        <f aca="false">Z94-AE94</f>
        <v>30372.0332450638</v>
      </c>
      <c r="AG94" s="12" t="n">
        <f aca="false">AA94-AE94</f>
        <v>42938.5902929598</v>
      </c>
      <c r="AH94" s="12" t="n">
        <f aca="false">AB94-AE94</f>
        <v>32873.9205370441</v>
      </c>
      <c r="AI94" s="12" t="n">
        <f aca="false">AC94-AE94</f>
        <v>60403.0798151367</v>
      </c>
      <c r="AJ94" s="12" t="n">
        <f aca="false">AD94-AE94</f>
        <v>70544.0362259857</v>
      </c>
      <c r="AK94" s="12" t="n">
        <f aca="false">AF94*$B$4</f>
        <v>15186.0166225319</v>
      </c>
      <c r="AL94" s="12" t="n">
        <f aca="false">AG94*$B$4</f>
        <v>21469.2951464799</v>
      </c>
      <c r="AM94" s="12" t="n">
        <f aca="false">AH94*$B$4</f>
        <v>16436.9602685221</v>
      </c>
      <c r="AN94" s="12" t="n">
        <f aca="false">AI94*$B$4</f>
        <v>30201.5399075684</v>
      </c>
      <c r="AO94" s="12" t="n">
        <f aca="false">AJ94*$B$4</f>
        <v>35272.0181129928</v>
      </c>
      <c r="AP94" s="12" t="n">
        <f aca="false">AF94-AK94</f>
        <v>15186.0166225319</v>
      </c>
      <c r="AQ94" s="12" t="n">
        <f aca="false">AG94-AL94</f>
        <v>21469.2951464799</v>
      </c>
      <c r="AR94" s="12" t="n">
        <f aca="false">AH94-AM94</f>
        <v>16436.9602685221</v>
      </c>
      <c r="AS94" s="12" t="n">
        <f aca="false">AI94-AN94</f>
        <v>30201.5399075684</v>
      </c>
      <c r="AT94" s="12" t="n">
        <f aca="false">AJ94-AO94</f>
        <v>35272.0181129928</v>
      </c>
      <c r="AU94" s="12" t="n">
        <f aca="false">0.2*ABS(C94)+1*ABS(E94)</f>
        <v>45687.3292925823</v>
      </c>
      <c r="AV94" s="12" t="n">
        <f aca="false">C94+E94</f>
        <v>-99062.2561358321</v>
      </c>
      <c r="AW94" s="12" t="n">
        <f aca="false">AP94+AE94</f>
        <v>28529.7483333443</v>
      </c>
      <c r="AX94" s="12" t="n">
        <f aca="false">AQ94+AE94</f>
        <v>34813.0268572924</v>
      </c>
      <c r="AY94" s="12" t="n">
        <f aca="false">AR94+AE94</f>
        <v>29780.6919793345</v>
      </c>
      <c r="AZ94" s="12" t="n">
        <f aca="false">AS94+AE94</f>
        <v>43545.2716183808</v>
      </c>
      <c r="BA94" s="12" t="n">
        <f aca="false">AT94+AE94+AU94</f>
        <v>94303.0791163876</v>
      </c>
      <c r="BB94" s="4" t="n">
        <f aca="false">IFERROR(IRR(AV94:BA94,0.15),"n/a")</f>
        <v>0.289870307834088</v>
      </c>
      <c r="BC94" s="12" t="n">
        <f aca="false">NPV($B$5,AW94:BA94)+AV94</f>
        <v>43433.6062445171</v>
      </c>
    </row>
    <row r="95" customFormat="false" ht="15" hidden="false" customHeight="false" outlineLevel="0" collapsed="false">
      <c r="A95" s="3" t="n">
        <v>71</v>
      </c>
      <c r="B95" s="15" t="n">
        <f aca="true">RAND()</f>
        <v>0.0201877835534478</v>
      </c>
      <c r="C95" s="12" t="n">
        <f aca="false">IF(B95&lt;=($F$12-$E$12)/($G$12-$E$12),$E$12+SQRT(B95*($G$12-$E$12)*($F$12-$E$12)),$G$12-SQRT((1-B95)*($G$12-$E$12)*($G$12-$F$12)))</f>
        <v>-95078.0755527805</v>
      </c>
      <c r="D95" s="15" t="n">
        <f aca="true">RAND()</f>
        <v>0.862757854511173</v>
      </c>
      <c r="E95" s="12" t="n">
        <f aca="false">IF(D95&lt;=($F$13-$E$13)/($G$13-$E$13),$E$13+SQRT(D95*($G$13-$E$13)*($F$13-$E$13)),$G$13-SQRT((1-D95)*($G$13-$E$13)*($G$13-$F$13)))</f>
        <v>-28208.2956396913</v>
      </c>
      <c r="F95" s="15" t="n">
        <f aca="true">RAND()</f>
        <v>0.967979539507353</v>
      </c>
      <c r="G95" s="12" t="n">
        <f aca="false">IF(F95&lt;=($F$14-$E$14)/($G$14-$E$14),$E$14+SQRT(F95*($G$14-$E$14)*($F$14-$E$14)),$G$14-SQRT((1-F95)*($G$14-$E$14)*($G$14-$F$14)))</f>
        <v>43450.3114709889</v>
      </c>
      <c r="H95" s="15" t="n">
        <f aca="true">RAND()</f>
        <v>0.972636162516487</v>
      </c>
      <c r="I95" s="12" t="n">
        <f aca="false">IF(H95&lt;=($F$14-$E$14)/($G$14-$E$14),$E$14+SQRT(H95*($G$14-$E$14)*($F$14-$E$14)),$G$14-SQRT((1-H95)*($G$14-$E$14)*($G$14-$F$14)))</f>
        <v>43567.4191781043</v>
      </c>
      <c r="J95" s="15" t="n">
        <f aca="true">RAND()</f>
        <v>0.585889173761812</v>
      </c>
      <c r="K95" s="12" t="n">
        <f aca="false">IF(J95&lt;=($F$14-$E$14)/($G$14-$E$14),$E$14+SQRT(J95*($G$14-$E$14)*($F$14-$E$14)),$G$14-SQRT((1-J95)*($G$14-$E$14)*($G$14-$F$14)))</f>
        <v>39374.6133821226</v>
      </c>
      <c r="L95" s="15" t="n">
        <f aca="true">RAND()</f>
        <v>0.0195572138594333</v>
      </c>
      <c r="M95" s="12" t="n">
        <f aca="false">IF(L95&lt;=($F$14-$E$14)/($G$14-$E$14),$E$14+SQRT(L95*($G$14-$E$14)*($F$14-$E$14)),$G$14-SQRT((1-L95)*($G$14-$E$14)*($G$14-$F$14)))</f>
        <v>31712.7702936807</v>
      </c>
      <c r="N95" s="15" t="n">
        <f aca="true">RAND()</f>
        <v>0.842795769023304</v>
      </c>
      <c r="O95" s="12" t="n">
        <f aca="false">IF(N95&lt;=($F$14-$E$14)/($G$14-$E$14),$E$14+SQRT(N95*($G$14-$E$14)*($F$14-$E$14)),$G$14-SQRT((1-N95)*($G$14-$E$14)*($G$14-$F$14)))</f>
        <v>41566.2968498642</v>
      </c>
      <c r="P95" s="15" t="n">
        <f aca="true">RAND()</f>
        <v>0.159075049455718</v>
      </c>
      <c r="Q95" s="16" t="n">
        <f aca="false">IF(P95&lt;=($F$15-$E$15)/($G$15-$E$15),$E$15+SQRT(P95*($G$15-$E$15)*($F$15-$E$15)),$G$15-SQRT((1-P95)*($G$15-$E$15)*($G$15-$F$15)))</f>
        <v>13.6921438739667</v>
      </c>
      <c r="R95" s="15" t="n">
        <f aca="true">RAND()</f>
        <v>0.545796840082813</v>
      </c>
      <c r="S95" s="16" t="n">
        <f aca="false">IF(R95&lt;=($F$16-$E$16)/($G$16-$E$16),$E$16+SQRT(R95*($G$16-$E$16)*($F$16-$E$16)),$G$16-SQRT((1-R95)*($G$16-$E$16)*($G$16-$F$16)))</f>
        <v>15.1406894400032</v>
      </c>
      <c r="T95" s="15" t="n">
        <f aca="true">RAND()</f>
        <v>0.0941772436388555</v>
      </c>
      <c r="U95" s="16" t="n">
        <f aca="false">IF(T95&lt;=($F$17-$E$17)/($G$17-$E$17),$E$17+SQRT(T95*($G$17-$E$17)*($F$17-$E$17)),$G$17-SQRT((1-T95)*($G$17-$E$17)*($G$17-$F$17)))</f>
        <v>16.4063150843307</v>
      </c>
      <c r="V95" s="15" t="n">
        <f aca="true">RAND()</f>
        <v>0.112761591591107</v>
      </c>
      <c r="W95" s="16" t="n">
        <f aca="false">IF(V95&lt;=($F$18-$E$18)/($G$18-$E$18),$E$18+SQRT(V95*($G$18-$E$18)*($F$18-$E$18)),$G$18-SQRT((1-V95)*($G$18-$E$18)*($G$18-$F$18)))</f>
        <v>19.2564482807802</v>
      </c>
      <c r="X95" s="15" t="n">
        <f aca="true">RAND()</f>
        <v>0.424906191303078</v>
      </c>
      <c r="Y95" s="16" t="n">
        <f aca="false">IF(X95&lt;=($F$19-$E$19)/($G$19-$E$19),$E$19+SQRT(X95*($G$19-$E$19)*($F$19-$E$19)),$G$19-SQRT((1-X95)*($G$19-$E$19)*($G$19-$F$19)))</f>
        <v>22.4272927880936</v>
      </c>
      <c r="Z95" s="12" t="n">
        <f aca="false">G95*(1+Q95/100)</f>
        <v>49399.5906312834</v>
      </c>
      <c r="AA95" s="12" t="n">
        <f aca="false">I95*(1+Q95/100)*(1+S95/100)</f>
        <v>57032.3301527932</v>
      </c>
      <c r="AB95" s="12" t="n">
        <f aca="false">K95*(1+Q95/100)*(1+S95/100)*(1+U95/100)</f>
        <v>60000.1209238918</v>
      </c>
      <c r="AC95" s="12" t="n">
        <f aca="false">M95*(1+Q95/100)*(1+S95/100)*(1+U95/100)*(1+W95/100)</f>
        <v>57630.4321132816</v>
      </c>
      <c r="AD95" s="12" t="n">
        <f aca="false">O95*(1+Q95/100)*(1+S95/100)*(1+U95/100)*(1+W95/100)*(1+Y95/100)</f>
        <v>92477.754332291</v>
      </c>
      <c r="AE95" s="12" t="n">
        <f aca="false">ABS(C95)/$B$7</f>
        <v>19015.6151105561</v>
      </c>
      <c r="AF95" s="12" t="n">
        <f aca="false">Z95-AE95</f>
        <v>30383.9755207273</v>
      </c>
      <c r="AG95" s="12" t="n">
        <f aca="false">AA95-AE95</f>
        <v>38016.7150422371</v>
      </c>
      <c r="AH95" s="12" t="n">
        <f aca="false">AB95-AE95</f>
        <v>40984.5058133357</v>
      </c>
      <c r="AI95" s="12" t="n">
        <f aca="false">AC95-AE95</f>
        <v>38614.8170027255</v>
      </c>
      <c r="AJ95" s="12" t="n">
        <f aca="false">AD95-AE95</f>
        <v>73462.1392217349</v>
      </c>
      <c r="AK95" s="12" t="n">
        <f aca="false">AF95*$B$4</f>
        <v>15191.9877603636</v>
      </c>
      <c r="AL95" s="12" t="n">
        <f aca="false">AG95*$B$4</f>
        <v>19008.3575211185</v>
      </c>
      <c r="AM95" s="12" t="n">
        <f aca="false">AH95*$B$4</f>
        <v>20492.2529066679</v>
      </c>
      <c r="AN95" s="12" t="n">
        <f aca="false">AI95*$B$4</f>
        <v>19307.4085013627</v>
      </c>
      <c r="AO95" s="12" t="n">
        <f aca="false">AJ95*$B$4</f>
        <v>36731.0696108675</v>
      </c>
      <c r="AP95" s="12" t="n">
        <f aca="false">AF95-AK95</f>
        <v>15191.9877603636</v>
      </c>
      <c r="AQ95" s="12" t="n">
        <f aca="false">AG95-AL95</f>
        <v>19008.3575211185</v>
      </c>
      <c r="AR95" s="12" t="n">
        <f aca="false">AH95-AM95</f>
        <v>20492.2529066679</v>
      </c>
      <c r="AS95" s="12" t="n">
        <f aca="false">AI95-AN95</f>
        <v>19307.4085013627</v>
      </c>
      <c r="AT95" s="12" t="n">
        <f aca="false">AJ95-AO95</f>
        <v>36731.0696108675</v>
      </c>
      <c r="AU95" s="12" t="n">
        <f aca="false">0.2*ABS(C95)+1*ABS(E95)</f>
        <v>47223.9107502474</v>
      </c>
      <c r="AV95" s="12" t="n">
        <f aca="false">C95+E95</f>
        <v>-123286.371192472</v>
      </c>
      <c r="AW95" s="12" t="n">
        <f aca="false">AP95+AE95</f>
        <v>34207.6028709197</v>
      </c>
      <c r="AX95" s="12" t="n">
        <f aca="false">AQ95+AE95</f>
        <v>38023.9726316746</v>
      </c>
      <c r="AY95" s="12" t="n">
        <f aca="false">AR95+AE95</f>
        <v>39507.868017224</v>
      </c>
      <c r="AZ95" s="12" t="n">
        <f aca="false">AS95+AE95</f>
        <v>38323.0236119188</v>
      </c>
      <c r="BA95" s="12" t="n">
        <f aca="false">AT95+AE95+AU95</f>
        <v>102970.595471671</v>
      </c>
      <c r="BB95" s="4" t="n">
        <f aca="false">IFERROR(IRR(AV95:BA95,0.15),"n/a")</f>
        <v>0.243567899243941</v>
      </c>
      <c r="BC95" s="12" t="n">
        <f aca="false">NPV($B$5,AW95:BA95)+AV95</f>
        <v>34293.9186948067</v>
      </c>
    </row>
    <row r="96" customFormat="false" ht="15" hidden="false" customHeight="false" outlineLevel="0" collapsed="false">
      <c r="A96" s="3" t="n">
        <v>72</v>
      </c>
      <c r="B96" s="15" t="n">
        <f aca="true">RAND()</f>
        <v>0.721130815957586</v>
      </c>
      <c r="C96" s="12" t="n">
        <f aca="false">IF(B96&lt;=($F$12-$E$12)/($G$12-$E$12),$E$12+SQRT(B96*($G$12-$E$12)*($F$12-$E$12)),$G$12-SQRT((1-B96)*($G$12-$E$12)*($G$12-$F$12)))</f>
        <v>-70583.0494587032</v>
      </c>
      <c r="D96" s="15" t="n">
        <f aca="true">RAND()</f>
        <v>0.0381817065659177</v>
      </c>
      <c r="E96" s="12" t="n">
        <f aca="false">IF(D96&lt;=($F$13-$E$13)/($G$13-$E$13),$E$13+SQRT(D96*($G$13-$E$13)*($F$13-$E$13)),$G$13-SQRT((1-D96)*($G$13-$E$13)*($G$13-$F$13)))</f>
        <v>-37606.8313922986</v>
      </c>
      <c r="F96" s="15" t="n">
        <f aca="true">RAND()</f>
        <v>0.697060961956265</v>
      </c>
      <c r="G96" s="12" t="n">
        <f aca="false">IF(F96&lt;=($F$14-$E$14)/($G$14-$E$14),$E$14+SQRT(F96*($G$14-$E$14)*($F$14-$E$14)),$G$14-SQRT((1-F96)*($G$14-$E$14)*($G$14-$F$14)))</f>
        <v>40233.405004274</v>
      </c>
      <c r="H96" s="15" t="n">
        <f aca="true">RAND()</f>
        <v>0.13611709984954</v>
      </c>
      <c r="I96" s="12" t="n">
        <f aca="false">IF(H96&lt;=($F$14-$E$14)/($G$14-$E$14),$E$14+SQRT(H96*($G$14-$E$14)*($F$14-$E$14)),$G$14-SQRT((1-H96)*($G$14-$E$14)*($G$14-$F$14)))</f>
        <v>34518.5799735571</v>
      </c>
      <c r="J96" s="15" t="n">
        <f aca="true">RAND()</f>
        <v>0.0950540275542116</v>
      </c>
      <c r="K96" s="12" t="n">
        <f aca="false">IF(J96&lt;=($F$14-$E$14)/($G$14-$E$14),$E$14+SQRT(J96*($G$14-$E$14)*($F$14-$E$14)),$G$14-SQRT((1-J96)*($G$14-$E$14)*($G$14-$F$14)))</f>
        <v>33775.9904837184</v>
      </c>
      <c r="L96" s="15" t="n">
        <f aca="true">RAND()</f>
        <v>0.48575865684684</v>
      </c>
      <c r="M96" s="12" t="n">
        <f aca="false">IF(L96&lt;=($F$14-$E$14)/($G$14-$E$14),$E$14+SQRT(L96*($G$14-$E$14)*($F$14-$E$14)),$G$14-SQRT((1-L96)*($G$14-$E$14)*($G$14-$F$14)))</f>
        <v>38536.0294356935</v>
      </c>
      <c r="N96" s="15" t="n">
        <f aca="true">RAND()</f>
        <v>0.432342991666635</v>
      </c>
      <c r="O96" s="12" t="n">
        <f aca="false">IF(N96&lt;=($F$14-$E$14)/($G$14-$E$14),$E$14+SQRT(N96*($G$14-$E$14)*($F$14-$E$14)),$G$14-SQRT((1-N96)*($G$14-$E$14)*($G$14-$F$14)))</f>
        <v>38053.0397211237</v>
      </c>
      <c r="P96" s="15" t="n">
        <f aca="true">RAND()</f>
        <v>0.055298622414887</v>
      </c>
      <c r="Q96" s="16" t="n">
        <f aca="false">IF(P96&lt;=($F$15-$E$15)/($G$15-$E$15),$E$15+SQRT(P96*($G$15-$E$15)*($F$15-$E$15)),$G$15-SQRT((1-P96)*($G$15-$E$15)*($G$15-$F$15)))</f>
        <v>12.9976849219408</v>
      </c>
      <c r="R96" s="15" t="n">
        <f aca="true">RAND()</f>
        <v>0.00193756078684542</v>
      </c>
      <c r="S96" s="16" t="n">
        <f aca="false">IF(R96&lt;=($F$16-$E$16)/($G$16-$E$16),$E$16+SQRT(R96*($G$16-$E$16)*($F$16-$E$16)),$G$16-SQRT((1-R96)*($G$16-$E$16)*($G$16-$F$16)))</f>
        <v>12.186751423457</v>
      </c>
      <c r="T96" s="15" t="n">
        <f aca="true">RAND()</f>
        <v>0.150212077961534</v>
      </c>
      <c r="U96" s="16" t="n">
        <f aca="false">IF(T96&lt;=($F$17-$E$17)/($G$17-$E$17),$E$17+SQRT(T96*($G$17-$E$17)*($F$17-$E$17)),$G$17-SQRT((1-T96)*($G$17-$E$17)*($G$17-$F$17)))</f>
        <v>16.776078161904</v>
      </c>
      <c r="V96" s="15" t="n">
        <f aca="true">RAND()</f>
        <v>0.299752620390394</v>
      </c>
      <c r="W96" s="16" t="n">
        <f aca="false">IF(V96&lt;=($F$18-$E$18)/($G$18-$E$18),$E$18+SQRT(V96*($G$18-$E$18)*($F$18-$E$18)),$G$18-SQRT((1-V96)*($G$18-$E$18)*($G$18-$F$18)))</f>
        <v>20.0493779899556</v>
      </c>
      <c r="X96" s="15" t="n">
        <f aca="true">RAND()</f>
        <v>0.310739272849774</v>
      </c>
      <c r="Y96" s="16" t="n">
        <f aca="false">IF(X96&lt;=($F$19-$E$19)/($G$19-$E$19),$E$19+SQRT(X96*($G$19-$E$19)*($F$19-$E$19)),$G$19-SQRT((1-X96)*($G$19-$E$19)*($G$19-$F$19)))</f>
        <v>21.8965428301587</v>
      </c>
      <c r="Z96" s="12" t="n">
        <f aca="false">G96*(1+Q96/100)</f>
        <v>45462.8162200979</v>
      </c>
      <c r="AA96" s="12" t="n">
        <f aca="false">I96*(1+Q96/100)*(1+S96/100)</f>
        <v>43758.6625458107</v>
      </c>
      <c r="AB96" s="12" t="n">
        <f aca="false">K96*(1+Q96/100)*(1+S96/100)*(1+U96/100)</f>
        <v>50000.3561174885</v>
      </c>
      <c r="AC96" s="12" t="n">
        <f aca="false">M96*(1+Q96/100)*(1+S96/100)*(1+U96/100)*(1+W96/100)</f>
        <v>68484.4359455569</v>
      </c>
      <c r="AD96" s="12" t="n">
        <f aca="false">O96*(1+Q96/100)*(1+S96/100)*(1+U96/100)*(1+W96/100)*(1+Y96/100)</f>
        <v>82433.8647000954</v>
      </c>
      <c r="AE96" s="12" t="n">
        <f aca="false">ABS(C96)/$B$7</f>
        <v>14116.6098917406</v>
      </c>
      <c r="AF96" s="12" t="n">
        <f aca="false">Z96-AE96</f>
        <v>31346.2063283573</v>
      </c>
      <c r="AG96" s="12" t="n">
        <f aca="false">AA96-AE96</f>
        <v>29642.0526540701</v>
      </c>
      <c r="AH96" s="12" t="n">
        <f aca="false">AB96-AE96</f>
        <v>35883.7462257479</v>
      </c>
      <c r="AI96" s="12" t="n">
        <f aca="false">AC96-AE96</f>
        <v>54367.8260538163</v>
      </c>
      <c r="AJ96" s="12" t="n">
        <f aca="false">AD96-AE96</f>
        <v>68317.2548083547</v>
      </c>
      <c r="AK96" s="12" t="n">
        <f aca="false">AF96*$B$4</f>
        <v>15673.1031641786</v>
      </c>
      <c r="AL96" s="12" t="n">
        <f aca="false">AG96*$B$4</f>
        <v>14821.026327035</v>
      </c>
      <c r="AM96" s="12" t="n">
        <f aca="false">AH96*$B$4</f>
        <v>17941.8731128739</v>
      </c>
      <c r="AN96" s="12" t="n">
        <f aca="false">AI96*$B$4</f>
        <v>27183.9130269081</v>
      </c>
      <c r="AO96" s="12" t="n">
        <f aca="false">AJ96*$B$4</f>
        <v>34158.6274041774</v>
      </c>
      <c r="AP96" s="12" t="n">
        <f aca="false">AF96-AK96</f>
        <v>15673.1031641786</v>
      </c>
      <c r="AQ96" s="12" t="n">
        <f aca="false">AG96-AL96</f>
        <v>14821.026327035</v>
      </c>
      <c r="AR96" s="12" t="n">
        <f aca="false">AH96-AM96</f>
        <v>17941.8731128739</v>
      </c>
      <c r="AS96" s="12" t="n">
        <f aca="false">AI96-AN96</f>
        <v>27183.9130269081</v>
      </c>
      <c r="AT96" s="12" t="n">
        <f aca="false">AJ96-AO96</f>
        <v>34158.6274041774</v>
      </c>
      <c r="AU96" s="12" t="n">
        <f aca="false">0.2*ABS(C96)+1*ABS(E96)</f>
        <v>51723.4412840392</v>
      </c>
      <c r="AV96" s="12" t="n">
        <f aca="false">C96+E96</f>
        <v>-108189.880851002</v>
      </c>
      <c r="AW96" s="12" t="n">
        <f aca="false">AP96+AE96</f>
        <v>29789.7130559193</v>
      </c>
      <c r="AX96" s="12" t="n">
        <f aca="false">AQ96+AE96</f>
        <v>28937.6362187757</v>
      </c>
      <c r="AY96" s="12" t="n">
        <f aca="false">AR96+AE96</f>
        <v>32058.4830046146</v>
      </c>
      <c r="AZ96" s="12" t="n">
        <f aca="false">AS96+AE96</f>
        <v>41300.5229186488</v>
      </c>
      <c r="BA96" s="12" t="n">
        <f aca="false">AT96+AE96+AU96</f>
        <v>99998.6785799572</v>
      </c>
      <c r="BB96" s="4" t="n">
        <f aca="false">IFERROR(IRR(AV96:BA96,0.15),"n/a")</f>
        <v>0.25095380080992</v>
      </c>
      <c r="BC96" s="12" t="n">
        <f aca="false">NPV($B$5,AW96:BA96)+AV96</f>
        <v>34004.9253684907</v>
      </c>
    </row>
    <row r="97" customFormat="false" ht="15" hidden="false" customHeight="false" outlineLevel="0" collapsed="false">
      <c r="A97" s="3" t="n">
        <v>73</v>
      </c>
      <c r="B97" s="15" t="n">
        <f aca="true">RAND()</f>
        <v>0.226193651970143</v>
      </c>
      <c r="C97" s="12" t="n">
        <f aca="false">IF(B97&lt;=($F$12-$E$12)/($G$12-$E$12),$E$12+SQRT(B97*($G$12-$E$12)*($F$12-$E$12)),$G$12-SQRT((1-B97)*($G$12-$E$12)*($G$12-$F$12)))</f>
        <v>-83524.7949219389</v>
      </c>
      <c r="D97" s="15" t="n">
        <f aca="true">RAND()</f>
        <v>0.994077058515454</v>
      </c>
      <c r="E97" s="12" t="n">
        <f aca="false">IF(D97&lt;=($F$13-$E$13)/($G$13-$E$13),$E$13+SQRT(D97*($G$13-$E$13)*($F$13-$E$13)),$G$13-SQRT((1-D97)*($G$13-$E$13)*($G$13-$F$13)))</f>
        <v>-25666.4987706973</v>
      </c>
      <c r="F97" s="15" t="n">
        <f aca="true">RAND()</f>
        <v>0.329988891191908</v>
      </c>
      <c r="G97" s="12" t="n">
        <f aca="false">IF(F97&lt;=($F$14-$E$14)/($G$14-$E$14),$E$14+SQRT(F97*($G$14-$E$14)*($F$14-$E$14)),$G$14-SQRT((1-F97)*($G$14-$E$14)*($G$14-$F$14)))</f>
        <v>37035.5052184464</v>
      </c>
      <c r="H97" s="15" t="n">
        <f aca="true">RAND()</f>
        <v>0.537642289262733</v>
      </c>
      <c r="I97" s="12" t="n">
        <f aca="false">IF(H97&lt;=($F$14-$E$14)/($G$14-$E$14),$E$14+SQRT(H97*($G$14-$E$14)*($F$14-$E$14)),$G$14-SQRT((1-H97)*($G$14-$E$14)*($G$14-$F$14)))</f>
        <v>38980.3309175893</v>
      </c>
      <c r="J97" s="15" t="n">
        <f aca="true">RAND()</f>
        <v>0.111405689618988</v>
      </c>
      <c r="K97" s="12" t="n">
        <f aca="false">IF(J97&lt;=($F$14-$E$14)/($G$14-$E$14),$E$14+SQRT(J97*($G$14-$E$14)*($F$14-$E$14)),$G$14-SQRT((1-J97)*($G$14-$E$14)*($G$14-$F$14)))</f>
        <v>34087.8910752182</v>
      </c>
      <c r="L97" s="15" t="n">
        <f aca="true">RAND()</f>
        <v>0.145857163645826</v>
      </c>
      <c r="M97" s="12" t="n">
        <f aca="false">IF(L97&lt;=($F$14-$E$14)/($G$14-$E$14),$E$14+SQRT(L97*($G$14-$E$14)*($F$14-$E$14)),$G$14-SQRT((1-L97)*($G$14-$E$14)*($G$14-$F$14)))</f>
        <v>34677.4538529925</v>
      </c>
      <c r="N97" s="15" t="n">
        <f aca="true">RAND()</f>
        <v>0.234559933443647</v>
      </c>
      <c r="O97" s="12" t="n">
        <f aca="false">IF(N97&lt;=($F$14-$E$14)/($G$14-$E$14),$E$14+SQRT(N97*($G$14-$E$14)*($F$14-$E$14)),$G$14-SQRT((1-N97)*($G$14-$E$14)*($G$14-$F$14)))</f>
        <v>35931.6093951429</v>
      </c>
      <c r="P97" s="15" t="n">
        <f aca="true">RAND()</f>
        <v>0.722664719825137</v>
      </c>
      <c r="Q97" s="16" t="n">
        <f aca="false">IF(P97&lt;=($F$15-$E$15)/($G$15-$E$15),$E$15+SQRT(P97*($G$15-$E$15)*($F$15-$E$15)),$G$15-SQRT((1-P97)*($G$15-$E$15)*($G$15-$F$15)))</f>
        <v>15.7657137508485</v>
      </c>
      <c r="R97" s="15" t="n">
        <f aca="true">RAND()</f>
        <v>0.265992910517691</v>
      </c>
      <c r="S97" s="16" t="n">
        <f aca="false">IF(R97&lt;=($F$16-$E$16)/($G$16-$E$16),$E$16+SQRT(R97*($G$16-$E$16)*($F$16-$E$16)),$G$16-SQRT((1-R97)*($G$16-$E$16)*($G$16-$F$16)))</f>
        <v>14.1881207437704</v>
      </c>
      <c r="T97" s="15" t="n">
        <f aca="true">RAND()</f>
        <v>0.748191240060867</v>
      </c>
      <c r="U97" s="16" t="n">
        <f aca="false">IF(T97&lt;=($F$17-$E$17)/($G$17-$E$17),$E$17+SQRT(T97*($G$17-$E$17)*($F$17-$E$17)),$G$17-SQRT((1-T97)*($G$17-$E$17)*($G$17-$F$17)))</f>
        <v>19.3446948803771</v>
      </c>
      <c r="V97" s="15" t="n">
        <f aca="true">RAND()</f>
        <v>0.965048574965742</v>
      </c>
      <c r="W97" s="16" t="n">
        <f aca="false">IF(V97&lt;=($F$18-$E$18)/($G$18-$E$18),$E$18+SQRT(V97*($G$18-$E$18)*($F$18-$E$18)),$G$18-SQRT((1-V97)*($G$18-$E$18)*($G$18-$F$18)))</f>
        <v>23.8939711232526</v>
      </c>
      <c r="X97" s="15" t="n">
        <f aca="true">RAND()</f>
        <v>0.141537955642029</v>
      </c>
      <c r="Y97" s="16" t="n">
        <f aca="false">IF(X97&lt;=($F$19-$E$19)/($G$19-$E$19),$E$19+SQRT(X97*($G$19-$E$19)*($F$19-$E$19)),$G$19-SQRT((1-X97)*($G$19-$E$19)*($G$19-$F$19)))</f>
        <v>20.9548720680226</v>
      </c>
      <c r="Z97" s="12" t="n">
        <f aca="false">G97*(1+Q97/100)</f>
        <v>42874.4169573672</v>
      </c>
      <c r="AA97" s="12" t="n">
        <f aca="false">I97*(1+Q97/100)*(1+S97/100)</f>
        <v>51528.3695727605</v>
      </c>
      <c r="AB97" s="12" t="n">
        <f aca="false">K97*(1+Q97/100)*(1+S97/100)*(1+U97/100)</f>
        <v>53777.9361614123</v>
      </c>
      <c r="AC97" s="12" t="n">
        <f aca="false">M97*(1+Q97/100)*(1+S97/100)*(1+U97/100)*(1+W97/100)</f>
        <v>67779.970224872</v>
      </c>
      <c r="AD97" s="12" t="n">
        <f aca="false">O97*(1+Q97/100)*(1+S97/100)*(1+U97/100)*(1+W97/100)*(1+Y97/100)</f>
        <v>84948.2052318821</v>
      </c>
      <c r="AE97" s="12" t="n">
        <f aca="false">ABS(C97)/$B$7</f>
        <v>16704.9589843878</v>
      </c>
      <c r="AF97" s="12" t="n">
        <f aca="false">Z97-AE97</f>
        <v>26169.4579729794</v>
      </c>
      <c r="AG97" s="12" t="n">
        <f aca="false">AA97-AE97</f>
        <v>34823.4105883728</v>
      </c>
      <c r="AH97" s="12" t="n">
        <f aca="false">AB97-AE97</f>
        <v>37072.9771770245</v>
      </c>
      <c r="AI97" s="12" t="n">
        <f aca="false">AC97-AE97</f>
        <v>51075.0112404843</v>
      </c>
      <c r="AJ97" s="12" t="n">
        <f aca="false">AD97-AE97</f>
        <v>68243.2462474943</v>
      </c>
      <c r="AK97" s="12" t="n">
        <f aca="false">AF97*$B$4</f>
        <v>13084.7289864897</v>
      </c>
      <c r="AL97" s="12" t="n">
        <f aca="false">AG97*$B$4</f>
        <v>17411.7052941864</v>
      </c>
      <c r="AM97" s="12" t="n">
        <f aca="false">AH97*$B$4</f>
        <v>18536.4885885123</v>
      </c>
      <c r="AN97" s="12" t="n">
        <f aca="false">AI97*$B$4</f>
        <v>25537.5056202421</v>
      </c>
      <c r="AO97" s="12" t="n">
        <f aca="false">AJ97*$B$4</f>
        <v>34121.6231237472</v>
      </c>
      <c r="AP97" s="12" t="n">
        <f aca="false">AF97-AK97</f>
        <v>13084.7289864897</v>
      </c>
      <c r="AQ97" s="12" t="n">
        <f aca="false">AG97-AL97</f>
        <v>17411.7052941864</v>
      </c>
      <c r="AR97" s="12" t="n">
        <f aca="false">AH97-AM97</f>
        <v>18536.4885885123</v>
      </c>
      <c r="AS97" s="12" t="n">
        <f aca="false">AI97-AN97</f>
        <v>25537.5056202421</v>
      </c>
      <c r="AT97" s="12" t="n">
        <f aca="false">AJ97-AO97</f>
        <v>34121.6231237472</v>
      </c>
      <c r="AU97" s="12" t="n">
        <f aca="false">0.2*ABS(C97)+1*ABS(E97)</f>
        <v>42371.457755085</v>
      </c>
      <c r="AV97" s="12" t="n">
        <f aca="false">C97+E97</f>
        <v>-109191.293692636</v>
      </c>
      <c r="AW97" s="12" t="n">
        <f aca="false">AP97+AE97</f>
        <v>29789.6879708775</v>
      </c>
      <c r="AX97" s="12" t="n">
        <f aca="false">AQ97+AE97</f>
        <v>34116.6642785741</v>
      </c>
      <c r="AY97" s="12" t="n">
        <f aca="false">AR97+AE97</f>
        <v>35241.4475729</v>
      </c>
      <c r="AZ97" s="12" t="n">
        <f aca="false">AS97+AE97</f>
        <v>42242.4646046299</v>
      </c>
      <c r="BA97" s="12" t="n">
        <f aca="false">AT97+AE97+AU97</f>
        <v>93198.03986322</v>
      </c>
      <c r="BB97" s="4" t="n">
        <f aca="false">IFERROR(IRR(AV97:BA97,0.15),"n/a")</f>
        <v>0.258733651873082</v>
      </c>
      <c r="BC97" s="12" t="n">
        <f aca="false">NPV($B$5,AW97:BA97)+AV97</f>
        <v>36169.8697158376</v>
      </c>
    </row>
    <row r="98" customFormat="false" ht="15" hidden="false" customHeight="false" outlineLevel="0" collapsed="false">
      <c r="A98" s="3" t="n">
        <v>74</v>
      </c>
      <c r="B98" s="15" t="n">
        <f aca="true">RAND()</f>
        <v>0.798815478372513</v>
      </c>
      <c r="C98" s="12" t="n">
        <f aca="false">IF(B98&lt;=($F$12-$E$12)/($G$12-$E$12),$E$12+SQRT(B98*($G$12-$E$12)*($F$12-$E$12)),$G$12-SQRT((1-B98)*($G$12-$E$12)*($G$12-$F$12)))</f>
        <v>-68970.7195169058</v>
      </c>
      <c r="D98" s="15" t="n">
        <f aca="true">RAND()</f>
        <v>0.635336467419297</v>
      </c>
      <c r="E98" s="12" t="n">
        <f aca="false">IF(D98&lt;=($F$13-$E$13)/($G$13-$E$13),$E$13+SQRT(D98*($G$13-$E$13)*($F$13-$E$13)),$G$13-SQRT((1-D98)*($G$13-$E$13)*($G$13-$F$13)))</f>
        <v>-30237.8040322428</v>
      </c>
      <c r="F98" s="15" t="n">
        <f aca="true">RAND()</f>
        <v>0.542229595429736</v>
      </c>
      <c r="G98" s="12" t="n">
        <f aca="false">IF(F98&lt;=($F$14-$E$14)/($G$14-$E$14),$E$14+SQRT(F98*($G$14-$E$14)*($F$14-$E$14)),$G$14-SQRT((1-F98)*($G$14-$E$14)*($G$14-$F$14)))</f>
        <v>39018.5608227954</v>
      </c>
      <c r="H98" s="15" t="n">
        <f aca="true">RAND()</f>
        <v>0.595514987129405</v>
      </c>
      <c r="I98" s="12" t="n">
        <f aca="false">IF(H98&lt;=($F$14-$E$14)/($G$14-$E$14),$E$14+SQRT(H98*($G$14-$E$14)*($F$14-$E$14)),$G$14-SQRT((1-H98)*($G$14-$E$14)*($G$14-$F$14)))</f>
        <v>39451.3093309557</v>
      </c>
      <c r="J98" s="15" t="n">
        <f aca="true">RAND()</f>
        <v>0.641519169686021</v>
      </c>
      <c r="K98" s="12" t="n">
        <f aca="false">IF(J98&lt;=($F$14-$E$14)/($G$14-$E$14),$E$14+SQRT(J98*($G$14-$E$14)*($F$14-$E$14)),$G$14-SQRT((1-J98)*($G$14-$E$14)*($G$14-$F$14)))</f>
        <v>39809.5807990405</v>
      </c>
      <c r="L98" s="15" t="n">
        <f aca="true">RAND()</f>
        <v>0.353082960332182</v>
      </c>
      <c r="M98" s="12" t="n">
        <f aca="false">IF(L98&lt;=($F$14-$E$14)/($G$14-$E$14),$E$14+SQRT(L98*($G$14-$E$14)*($F$14-$E$14)),$G$14-SQRT((1-L98)*($G$14-$E$14)*($G$14-$F$14)))</f>
        <v>37277.5300789366</v>
      </c>
      <c r="N98" s="15" t="n">
        <f aca="true">RAND()</f>
        <v>0.0265221673278657</v>
      </c>
      <c r="O98" s="12" t="n">
        <f aca="false">IF(N98&lt;=($F$14-$E$14)/($G$14-$E$14),$E$14+SQRT(N98*($G$14-$E$14)*($F$14-$E$14)),$G$14-SQRT((1-N98)*($G$14-$E$14)*($G$14-$F$14)))</f>
        <v>31994.5739141932</v>
      </c>
      <c r="P98" s="15" t="n">
        <f aca="true">RAND()</f>
        <v>0.872105950347428</v>
      </c>
      <c r="Q98" s="16" t="n">
        <f aca="false">IF(P98&lt;=($F$15-$E$15)/($G$15-$E$15),$E$15+SQRT(P98*($G$15-$E$15)*($F$15-$E$15)),$G$15-SQRT((1-P98)*($G$15-$E$15)*($G$15-$F$15)))</f>
        <v>16.4827350614523</v>
      </c>
      <c r="R98" s="15" t="n">
        <f aca="true">RAND()</f>
        <v>0.290189845186802</v>
      </c>
      <c r="S98" s="16" t="n">
        <f aca="false">IF(R98&lt;=($F$16-$E$16)/($G$16-$E$16),$E$16+SQRT(R98*($G$16-$E$16)*($F$16-$E$16)),$G$16-SQRT((1-R98)*($G$16-$E$16)*($G$16-$F$16)))</f>
        <v>14.2854796462367</v>
      </c>
      <c r="T98" s="15" t="n">
        <f aca="true">RAND()</f>
        <v>0.693044272557786</v>
      </c>
      <c r="U98" s="16" t="n">
        <f aca="false">IF(T98&lt;=($F$17-$E$17)/($G$17-$E$17),$E$17+SQRT(T98*($G$17-$E$17)*($F$17-$E$17)),$G$17-SQRT((1-T98)*($G$17-$E$17)*($G$17-$F$17)))</f>
        <v>19.068317826165</v>
      </c>
      <c r="V98" s="15" t="n">
        <f aca="true">RAND()</f>
        <v>0.107081486183593</v>
      </c>
      <c r="W98" s="16" t="n">
        <f aca="false">IF(V98&lt;=($F$18-$E$18)/($G$18-$E$18),$E$18+SQRT(V98*($G$18-$E$18)*($F$18-$E$18)),$G$18-SQRT((1-V98)*($G$18-$E$18)*($G$18-$F$18)))</f>
        <v>19.2243940568993</v>
      </c>
      <c r="X98" s="15" t="n">
        <f aca="true">RAND()</f>
        <v>0.539278058580406</v>
      </c>
      <c r="Y98" s="16" t="n">
        <f aca="false">IF(X98&lt;=($F$19-$E$19)/($G$19-$E$19),$E$19+SQRT(X98*($G$19-$E$19)*($F$19-$E$19)),$G$19-SQRT((1-X98)*($G$19-$E$19)*($G$19-$F$19)))</f>
        <v>23.0121161965561</v>
      </c>
      <c r="Z98" s="12" t="n">
        <f aca="false">G98*(1+Q98/100)</f>
        <v>45449.8868280084</v>
      </c>
      <c r="AA98" s="12" t="n">
        <f aca="false">I98*(1+Q98/100)*(1+S98/100)</f>
        <v>52518.7083181457</v>
      </c>
      <c r="AB98" s="12" t="n">
        <f aca="false">K98*(1+Q98/100)*(1+S98/100)*(1+U98/100)</f>
        <v>63101.0283998065</v>
      </c>
      <c r="AC98" s="12" t="n">
        <f aca="false">M98*(1+Q98/100)*(1+S98/100)*(1+U98/100)*(1+W98/100)</f>
        <v>70446.7701036024</v>
      </c>
      <c r="AD98" s="12" t="n">
        <f aca="false">O98*(1+Q98/100)*(1+S98/100)*(1+U98/100)*(1+W98/100)*(1+Y98/100)</f>
        <v>74376.9178466209</v>
      </c>
      <c r="AE98" s="12" t="n">
        <f aca="false">ABS(C98)/$B$7</f>
        <v>13794.1439033812</v>
      </c>
      <c r="AF98" s="12" t="n">
        <f aca="false">Z98-AE98</f>
        <v>31655.7429246272</v>
      </c>
      <c r="AG98" s="12" t="n">
        <f aca="false">AA98-AE98</f>
        <v>38724.5644147645</v>
      </c>
      <c r="AH98" s="12" t="n">
        <f aca="false">AB98-AE98</f>
        <v>49306.8844964254</v>
      </c>
      <c r="AI98" s="12" t="n">
        <f aca="false">AC98-AE98</f>
        <v>56652.6262002213</v>
      </c>
      <c r="AJ98" s="12" t="n">
        <f aca="false">AD98-AE98</f>
        <v>60582.7739432397</v>
      </c>
      <c r="AK98" s="12" t="n">
        <f aca="false">AF98*$B$4</f>
        <v>15827.8714623136</v>
      </c>
      <c r="AL98" s="12" t="n">
        <f aca="false">AG98*$B$4</f>
        <v>19362.2822073823</v>
      </c>
      <c r="AM98" s="12" t="n">
        <f aca="false">AH98*$B$4</f>
        <v>24653.4422482127</v>
      </c>
      <c r="AN98" s="12" t="n">
        <f aca="false">AI98*$B$4</f>
        <v>28326.3131001106</v>
      </c>
      <c r="AO98" s="12" t="n">
        <f aca="false">AJ98*$B$4</f>
        <v>30291.3869716199</v>
      </c>
      <c r="AP98" s="12" t="n">
        <f aca="false">AF98-AK98</f>
        <v>15827.8714623136</v>
      </c>
      <c r="AQ98" s="12" t="n">
        <f aca="false">AG98-AL98</f>
        <v>19362.2822073823</v>
      </c>
      <c r="AR98" s="12" t="n">
        <f aca="false">AH98-AM98</f>
        <v>24653.4422482127</v>
      </c>
      <c r="AS98" s="12" t="n">
        <f aca="false">AI98-AN98</f>
        <v>28326.3131001106</v>
      </c>
      <c r="AT98" s="12" t="n">
        <f aca="false">AJ98-AO98</f>
        <v>30291.3869716199</v>
      </c>
      <c r="AU98" s="12" t="n">
        <f aca="false">0.2*ABS(C98)+1*ABS(E98)</f>
        <v>44031.947935624</v>
      </c>
      <c r="AV98" s="12" t="n">
        <f aca="false">C98+E98</f>
        <v>-99208.5235491486</v>
      </c>
      <c r="AW98" s="12" t="n">
        <f aca="false">AP98+AE98</f>
        <v>29622.0153656948</v>
      </c>
      <c r="AX98" s="12" t="n">
        <f aca="false">AQ98+AE98</f>
        <v>33156.4261107634</v>
      </c>
      <c r="AY98" s="12" t="n">
        <f aca="false">AR98+AE98</f>
        <v>38447.5861515938</v>
      </c>
      <c r="AZ98" s="12" t="n">
        <f aca="false">AS98+AE98</f>
        <v>42120.4570034918</v>
      </c>
      <c r="BA98" s="12" t="n">
        <f aca="false">AT98+AE98+AU98</f>
        <v>88117.478810625</v>
      </c>
      <c r="BB98" s="4" t="n">
        <f aca="false">IFERROR(IRR(AV98:BA98,0.15),"n/a")</f>
        <v>0.296362412612206</v>
      </c>
      <c r="BC98" s="12" t="n">
        <f aca="false">NPV($B$5,AW98:BA98)+AV98</f>
        <v>44793.1527436292</v>
      </c>
    </row>
    <row r="99" customFormat="false" ht="15" hidden="false" customHeight="false" outlineLevel="0" collapsed="false">
      <c r="A99" s="3" t="n">
        <v>75</v>
      </c>
      <c r="B99" s="15" t="n">
        <f aca="true">RAND()</f>
        <v>0.0740046756788401</v>
      </c>
      <c r="C99" s="12" t="n">
        <f aca="false">IF(B99&lt;=($F$12-$E$12)/($G$12-$E$12),$E$12+SQRT(B99*($G$12-$E$12)*($F$12-$E$12)),$G$12-SQRT((1-B99)*($G$12-$E$12)*($G$12-$F$12)))</f>
        <v>-90576.3271059205</v>
      </c>
      <c r="D99" s="15" t="n">
        <f aca="true">RAND()</f>
        <v>0.133829113676832</v>
      </c>
      <c r="E99" s="12" t="n">
        <f aca="false">IF(D99&lt;=($F$13-$E$13)/($G$13-$E$13),$E$13+SQRT(D99*($G$13-$E$13)*($F$13-$E$13)),$G$13-SQRT((1-D99)*($G$13-$E$13)*($G$13-$F$13)))</f>
        <v>-35519.5572705898</v>
      </c>
      <c r="F99" s="15" t="n">
        <f aca="true">RAND()</f>
        <v>0.0788119673874894</v>
      </c>
      <c r="G99" s="12" t="n">
        <f aca="false">IF(F99&lt;=($F$14-$E$14)/($G$14-$E$14),$E$14+SQRT(F99*($G$14-$E$14)*($F$14-$E$14)),$G$14-SQRT((1-F99)*($G$14-$E$14)*($G$14-$F$14)))</f>
        <v>33438.2837445626</v>
      </c>
      <c r="H99" s="15" t="n">
        <f aca="true">RAND()</f>
        <v>0.532484634206712</v>
      </c>
      <c r="I99" s="12" t="n">
        <f aca="false">IF(H99&lt;=($F$14-$E$14)/($G$14-$E$14),$E$14+SQRT(H99*($G$14-$E$14)*($F$14-$E$14)),$G$14-SQRT((1-H99)*($G$14-$E$14)*($G$14-$F$14)))</f>
        <v>38937.1525180567</v>
      </c>
      <c r="J99" s="15" t="n">
        <f aca="true">RAND()</f>
        <v>0.350426656779029</v>
      </c>
      <c r="K99" s="12" t="n">
        <f aca="false">IF(J99&lt;=($F$14-$E$14)/($G$14-$E$14),$E$14+SQRT(J99*($G$14-$E$14)*($F$14-$E$14)),$G$14-SQRT((1-J99)*($G$14-$E$14)*($G$14-$F$14)))</f>
        <v>37250.1033452534</v>
      </c>
      <c r="L99" s="15" t="n">
        <f aca="true">RAND()</f>
        <v>0.1875317460764</v>
      </c>
      <c r="M99" s="12" t="n">
        <f aca="false">IF(L99&lt;=($F$14-$E$14)/($G$14-$E$14),$E$14+SQRT(L99*($G$14-$E$14)*($F$14-$E$14)),$G$14-SQRT((1-L99)*($G$14-$E$14)*($G$14-$F$14)))</f>
        <v>35303.7497972152</v>
      </c>
      <c r="N99" s="15" t="n">
        <f aca="true">RAND()</f>
        <v>0.543720417171992</v>
      </c>
      <c r="O99" s="12" t="n">
        <f aca="false">IF(N99&lt;=($F$14-$E$14)/($G$14-$E$14),$E$14+SQRT(N99*($G$14-$E$14)*($F$14-$E$14)),$G$14-SQRT((1-N99)*($G$14-$E$14)*($G$14-$F$14)))</f>
        <v>39030.9502587379</v>
      </c>
      <c r="P99" s="15" t="n">
        <f aca="true">RAND()</f>
        <v>0.631419287755382</v>
      </c>
      <c r="Q99" s="16" t="n">
        <f aca="false">IF(P99&lt;=($F$15-$E$15)/($G$15-$E$15),$E$15+SQRT(P99*($G$15-$E$15)*($F$15-$E$15)),$G$15-SQRT((1-P99)*($G$15-$E$15)*($G$15-$F$15)))</f>
        <v>15.4242568411421</v>
      </c>
      <c r="R99" s="15" t="n">
        <f aca="true">RAND()</f>
        <v>0.0822248574428655</v>
      </c>
      <c r="S99" s="16" t="n">
        <f aca="false">IF(R99&lt;=($F$16-$E$16)/($G$16-$E$16),$E$16+SQRT(R99*($G$16-$E$16)*($F$16-$E$16)),$G$16-SQRT((1-R99)*($G$16-$E$16)*($G$16-$F$16)))</f>
        <v>13.2165720011457</v>
      </c>
      <c r="T99" s="15" t="n">
        <f aca="true">RAND()</f>
        <v>0.661298447338176</v>
      </c>
      <c r="U99" s="16" t="n">
        <f aca="false">IF(T99&lt;=($F$17-$E$17)/($G$17-$E$17),$E$17+SQRT(T99*($G$17-$E$17)*($F$17-$E$17)),$G$17-SQRT((1-T99)*($G$17-$E$17)*($G$17-$F$17)))</f>
        <v>18.9204475204129</v>
      </c>
      <c r="V99" s="15" t="n">
        <f aca="true">RAND()</f>
        <v>0.137661565212442</v>
      </c>
      <c r="W99" s="16" t="n">
        <f aca="false">IF(V99&lt;=($F$18-$E$18)/($G$18-$E$18),$E$18+SQRT(V99*($G$18-$E$18)*($F$18-$E$18)),$G$18-SQRT((1-V99)*($G$18-$E$18)*($G$18-$F$18)))</f>
        <v>19.3882585900956</v>
      </c>
      <c r="X99" s="15" t="n">
        <f aca="true">RAND()</f>
        <v>0.244586601415887</v>
      </c>
      <c r="Y99" s="16" t="n">
        <f aca="false">IF(X99&lt;=($F$19-$E$19)/($G$19-$E$19),$E$19+SQRT(X99*($G$19-$E$19)*($F$19-$E$19)),$G$19-SQRT((1-X99)*($G$19-$E$19)*($G$19-$F$19)))</f>
        <v>21.5697934232597</v>
      </c>
      <c r="Z99" s="12" t="n">
        <f aca="false">G99*(1+Q99/100)</f>
        <v>38595.8905125938</v>
      </c>
      <c r="AA99" s="12" t="n">
        <f aca="false">I99*(1+Q99/100)*(1+S99/100)</f>
        <v>50882.8321687459</v>
      </c>
      <c r="AB99" s="12" t="n">
        <f aca="false">K99*(1+Q99/100)*(1+S99/100)*(1+U99/100)</f>
        <v>57888.3411976249</v>
      </c>
      <c r="AC99" s="12" t="n">
        <f aca="false">M99*(1+Q99/100)*(1+S99/100)*(1+U99/100)*(1+W99/100)</f>
        <v>65500.720482939</v>
      </c>
      <c r="AD99" s="12" t="n">
        <f aca="false">O99*(1+Q99/100)*(1+S99/100)*(1+U99/100)*(1+W99/100)*(1+Y99/100)</f>
        <v>88035.9477817882</v>
      </c>
      <c r="AE99" s="12" t="n">
        <f aca="false">ABS(C99)/$B$7</f>
        <v>18115.2654211841</v>
      </c>
      <c r="AF99" s="12" t="n">
        <f aca="false">Z99-AE99</f>
        <v>20480.6250914097</v>
      </c>
      <c r="AG99" s="12" t="n">
        <f aca="false">AA99-AE99</f>
        <v>32767.5667475618</v>
      </c>
      <c r="AH99" s="12" t="n">
        <f aca="false">AB99-AE99</f>
        <v>39773.0757764408</v>
      </c>
      <c r="AI99" s="12" t="n">
        <f aca="false">AC99-AE99</f>
        <v>47385.4550617549</v>
      </c>
      <c r="AJ99" s="12" t="n">
        <f aca="false">AD99-AE99</f>
        <v>69920.6823606041</v>
      </c>
      <c r="AK99" s="12" t="n">
        <f aca="false">AF99*$B$4</f>
        <v>10240.3125457049</v>
      </c>
      <c r="AL99" s="12" t="n">
        <f aca="false">AG99*$B$4</f>
        <v>16383.7833737809</v>
      </c>
      <c r="AM99" s="12" t="n">
        <f aca="false">AH99*$B$4</f>
        <v>19886.5378882204</v>
      </c>
      <c r="AN99" s="12" t="n">
        <f aca="false">AI99*$B$4</f>
        <v>23692.7275308775</v>
      </c>
      <c r="AO99" s="12" t="n">
        <f aca="false">AJ99*$B$4</f>
        <v>34960.341180302</v>
      </c>
      <c r="AP99" s="12" t="n">
        <f aca="false">AF99-AK99</f>
        <v>10240.3125457049</v>
      </c>
      <c r="AQ99" s="12" t="n">
        <f aca="false">AG99-AL99</f>
        <v>16383.7833737809</v>
      </c>
      <c r="AR99" s="12" t="n">
        <f aca="false">AH99-AM99</f>
        <v>19886.5378882204</v>
      </c>
      <c r="AS99" s="12" t="n">
        <f aca="false">AI99-AN99</f>
        <v>23692.7275308775</v>
      </c>
      <c r="AT99" s="12" t="n">
        <f aca="false">AJ99-AO99</f>
        <v>34960.341180302</v>
      </c>
      <c r="AU99" s="12" t="n">
        <f aca="false">0.2*ABS(C99)+1*ABS(E99)</f>
        <v>53634.8226917739</v>
      </c>
      <c r="AV99" s="12" t="n">
        <f aca="false">C99+E99</f>
        <v>-126095.88437651</v>
      </c>
      <c r="AW99" s="12" t="n">
        <f aca="false">AP99+AE99</f>
        <v>28355.577966889</v>
      </c>
      <c r="AX99" s="12" t="n">
        <f aca="false">AQ99+AE99</f>
        <v>34499.048794965</v>
      </c>
      <c r="AY99" s="12" t="n">
        <f aca="false">AR99+AE99</f>
        <v>38001.8033094045</v>
      </c>
      <c r="AZ99" s="12" t="n">
        <f aca="false">AS99+AE99</f>
        <v>41807.9929520616</v>
      </c>
      <c r="BA99" s="12" t="n">
        <f aca="false">AT99+AE99+AU99</f>
        <v>106710.42929326</v>
      </c>
      <c r="BB99" s="4" t="n">
        <f aca="false">IFERROR(IRR(AV99:BA99,0.15),"n/a")</f>
        <v>0.218821990035096</v>
      </c>
      <c r="BC99" s="12" t="n">
        <f aca="false">NPV($B$5,AW99:BA99)+AV99</f>
        <v>26591.9782745942</v>
      </c>
    </row>
    <row r="100" customFormat="false" ht="15" hidden="false" customHeight="false" outlineLevel="0" collapsed="false">
      <c r="A100" s="3" t="n">
        <v>76</v>
      </c>
      <c r="B100" s="15" t="n">
        <f aca="true">RAND()</f>
        <v>0.276495094979102</v>
      </c>
      <c r="C100" s="12" t="n">
        <f aca="false">IF(B100&lt;=($F$12-$E$12)/($G$12-$E$12),$E$12+SQRT(B100*($G$12-$E$12)*($F$12-$E$12)),$G$12-SQRT((1-B100)*($G$12-$E$12)*($G$12-$F$12)))</f>
        <v>-81784.7834496836</v>
      </c>
      <c r="D100" s="15" t="n">
        <f aca="true">RAND()</f>
        <v>0.358000046674961</v>
      </c>
      <c r="E100" s="12" t="n">
        <f aca="false">IF(D100&lt;=($F$13-$E$13)/($G$13-$E$13),$E$13+SQRT(D100*($G$13-$E$13)*($F$13-$E$13)),$G$13-SQRT((1-D100)*($G$13-$E$13)*($G$13-$F$13)))</f>
        <v>-32671.9711380724</v>
      </c>
      <c r="F100" s="15" t="n">
        <f aca="true">RAND()</f>
        <v>0.753739096281859</v>
      </c>
      <c r="G100" s="12" t="n">
        <f aca="false">IF(F100&lt;=($F$14-$E$14)/($G$14-$E$14),$E$14+SQRT(F100*($G$14-$E$14)*($F$14-$E$14)),$G$14-SQRT((1-F100)*($G$14-$E$14)*($G$14-$F$14)))</f>
        <v>40702.3764963808</v>
      </c>
      <c r="H100" s="15" t="n">
        <f aca="true">RAND()</f>
        <v>0.993163771124695</v>
      </c>
      <c r="I100" s="12" t="n">
        <f aca="false">IF(H100&lt;=($F$14-$E$14)/($G$14-$E$14),$E$14+SQRT(H100*($G$14-$E$14)*($F$14-$E$14)),$G$14-SQRT((1-H100)*($G$14-$E$14)*($G$14-$F$14)))</f>
        <v>44283.9572878327</v>
      </c>
      <c r="J100" s="15" t="n">
        <f aca="true">RAND()</f>
        <v>0.283661913777221</v>
      </c>
      <c r="K100" s="12" t="n">
        <f aca="false">IF(J100&lt;=($F$14-$E$14)/($G$14-$E$14),$E$14+SQRT(J100*($G$14-$E$14)*($F$14-$E$14)),$G$14-SQRT((1-J100)*($G$14-$E$14)*($G$14-$F$14)))</f>
        <v>36522.9814553303</v>
      </c>
      <c r="L100" s="15" t="n">
        <f aca="true">RAND()</f>
        <v>0.501730941488718</v>
      </c>
      <c r="M100" s="12" t="n">
        <f aca="false">IF(L100&lt;=($F$14-$E$14)/($G$14-$E$14),$E$14+SQRT(L100*($G$14-$E$14)*($F$14-$E$14)),$G$14-SQRT((1-L100)*($G$14-$E$14)*($G$14-$F$14)))</f>
        <v>38675.2314795231</v>
      </c>
      <c r="N100" s="15" t="n">
        <f aca="true">RAND()</f>
        <v>0.116041112338301</v>
      </c>
      <c r="O100" s="12" t="n">
        <f aca="false">IF(N100&lt;=($F$14-$E$14)/($G$14-$E$14),$E$14+SQRT(N100*($G$14-$E$14)*($F$14-$E$14)),$G$14-SQRT((1-N100)*($G$14-$E$14)*($G$14-$F$14)))</f>
        <v>34172.0698520932</v>
      </c>
      <c r="P100" s="15" t="n">
        <f aca="true">RAND()</f>
        <v>0.406427369528508</v>
      </c>
      <c r="Q100" s="16" t="n">
        <f aca="false">IF(P100&lt;=($F$15-$E$15)/($G$15-$E$15),$E$15+SQRT(P100*($G$15-$E$15)*($F$15-$E$15)),$G$15-SQRT((1-P100)*($G$15-$E$15)*($G$15-$F$15)))</f>
        <v>14.7047537136518</v>
      </c>
      <c r="R100" s="15" t="n">
        <f aca="true">RAND()</f>
        <v>0.00156794988637211</v>
      </c>
      <c r="S100" s="16" t="n">
        <f aca="false">IF(R100&lt;=($F$16-$E$16)/($G$16-$E$16),$E$16+SQRT(R100*($G$16-$E$16)*($F$16-$E$16)),$G$16-SQRT((1-R100)*($G$16-$E$16)*($G$16-$F$16)))</f>
        <v>12.1679973153199</v>
      </c>
      <c r="T100" s="15" t="n">
        <f aca="true">RAND()</f>
        <v>0.132846550137256</v>
      </c>
      <c r="U100" s="16" t="n">
        <f aca="false">IF(T100&lt;=($F$17-$E$17)/($G$17-$E$17),$E$17+SQRT(T100*($G$17-$E$17)*($F$17-$E$17)),$G$17-SQRT((1-T100)*($G$17-$E$17)*($G$17-$F$17)))</f>
        <v>16.6702627197188</v>
      </c>
      <c r="V100" s="15" t="n">
        <f aca="true">RAND()</f>
        <v>0.229904873889554</v>
      </c>
      <c r="W100" s="16" t="n">
        <f aca="false">IF(V100&lt;=($F$18-$E$18)/($G$18-$E$18),$E$18+SQRT(V100*($G$18-$E$18)*($F$18-$E$18)),$G$18-SQRT((1-V100)*($G$18-$E$18)*($G$18-$F$18)))</f>
        <v>19.794064724154</v>
      </c>
      <c r="X100" s="15" t="n">
        <f aca="true">RAND()</f>
        <v>0.566802305797769</v>
      </c>
      <c r="Y100" s="16" t="n">
        <f aca="false">IF(X100&lt;=($F$19-$E$19)/($G$19-$E$19),$E$19+SQRT(X100*($G$19-$E$19)*($F$19-$E$19)),$G$19-SQRT((1-X100)*($G$19-$E$19)*($G$19-$F$19)))</f>
        <v>23.1634024886372</v>
      </c>
      <c r="Z100" s="12" t="n">
        <f aca="false">G100*(1+Q100/100)</f>
        <v>46687.5607157768</v>
      </c>
      <c r="AA100" s="12" t="n">
        <f aca="false">I100*(1+Q100/100)*(1+S100/100)</f>
        <v>56976.6362259205</v>
      </c>
      <c r="AB100" s="12" t="n">
        <f aca="false">K100*(1+Q100/100)*(1+S100/100)*(1+U100/100)</f>
        <v>54824.7653095103</v>
      </c>
      <c r="AC100" s="12" t="n">
        <f aca="false">M100*(1+Q100/100)*(1+S100/100)*(1+U100/100)*(1+W100/100)</f>
        <v>69547.0609339869</v>
      </c>
      <c r="AD100" s="12" t="n">
        <f aca="false">O100*(1+Q100/100)*(1+S100/100)*(1+U100/100)*(1+W100/100)*(1+Y100/100)</f>
        <v>75683.0844317403</v>
      </c>
      <c r="AE100" s="12" t="n">
        <f aca="false">ABS(C100)/$B$7</f>
        <v>16356.9566899367</v>
      </c>
      <c r="AF100" s="12" t="n">
        <f aca="false">Z100-AE100</f>
        <v>30330.6040258401</v>
      </c>
      <c r="AG100" s="12" t="n">
        <f aca="false">AA100-AE100</f>
        <v>40619.6795359838</v>
      </c>
      <c r="AH100" s="12" t="n">
        <f aca="false">AB100-AE100</f>
        <v>38467.8086195736</v>
      </c>
      <c r="AI100" s="12" t="n">
        <f aca="false">AC100-AE100</f>
        <v>53190.1042440502</v>
      </c>
      <c r="AJ100" s="12" t="n">
        <f aca="false">AD100-AE100</f>
        <v>59326.1277418036</v>
      </c>
      <c r="AK100" s="12" t="n">
        <f aca="false">AF100*$B$4</f>
        <v>15165.3020129201</v>
      </c>
      <c r="AL100" s="12" t="n">
        <f aca="false">AG100*$B$4</f>
        <v>20309.8397679919</v>
      </c>
      <c r="AM100" s="12" t="n">
        <f aca="false">AH100*$B$4</f>
        <v>19233.9043097868</v>
      </c>
      <c r="AN100" s="12" t="n">
        <f aca="false">AI100*$B$4</f>
        <v>26595.0521220251</v>
      </c>
      <c r="AO100" s="12" t="n">
        <f aca="false">AJ100*$B$4</f>
        <v>29663.0638709018</v>
      </c>
      <c r="AP100" s="12" t="n">
        <f aca="false">AF100-AK100</f>
        <v>15165.3020129201</v>
      </c>
      <c r="AQ100" s="12" t="n">
        <f aca="false">AG100-AL100</f>
        <v>20309.8397679919</v>
      </c>
      <c r="AR100" s="12" t="n">
        <f aca="false">AH100-AM100</f>
        <v>19233.9043097868</v>
      </c>
      <c r="AS100" s="12" t="n">
        <f aca="false">AI100-AN100</f>
        <v>26595.0521220251</v>
      </c>
      <c r="AT100" s="12" t="n">
        <f aca="false">AJ100-AO100</f>
        <v>29663.0638709018</v>
      </c>
      <c r="AU100" s="12" t="n">
        <f aca="false">0.2*ABS(C100)+1*ABS(E100)</f>
        <v>49028.9278280091</v>
      </c>
      <c r="AV100" s="12" t="n">
        <f aca="false">C100+E100</f>
        <v>-114456.754587756</v>
      </c>
      <c r="AW100" s="12" t="n">
        <f aca="false">AP100+AE100</f>
        <v>31522.2587028568</v>
      </c>
      <c r="AX100" s="12" t="n">
        <f aca="false">AQ100+AE100</f>
        <v>36666.7964579286</v>
      </c>
      <c r="AY100" s="12" t="n">
        <f aca="false">AR100+AE100</f>
        <v>35590.8609997235</v>
      </c>
      <c r="AZ100" s="12" t="n">
        <f aca="false">AS100+AE100</f>
        <v>42952.0088119618</v>
      </c>
      <c r="BA100" s="12" t="n">
        <f aca="false">AT100+AE100+AU100</f>
        <v>95048.9483888476</v>
      </c>
      <c r="BB100" s="4" t="n">
        <f aca="false">IFERROR(IRR(AV100:BA100,0.15),"n/a")</f>
        <v>0.254246090248905</v>
      </c>
      <c r="BC100" s="12" t="n">
        <f aca="false">NPV($B$5,AW100:BA100)+AV100</f>
        <v>35894.916225613</v>
      </c>
    </row>
    <row r="101" customFormat="false" ht="15" hidden="false" customHeight="false" outlineLevel="0" collapsed="false">
      <c r="A101" s="3" t="n">
        <v>77</v>
      </c>
      <c r="B101" s="15" t="n">
        <f aca="true">RAND()</f>
        <v>0.0668259241233937</v>
      </c>
      <c r="C101" s="12" t="n">
        <f aca="false">IF(B101&lt;=($F$12-$E$12)/($G$12-$E$12),$E$12+SQRT(B101*($G$12-$E$12)*($F$12-$E$12)),$G$12-SQRT((1-B101)*($G$12-$E$12)*($G$12-$F$12)))</f>
        <v>-91045.0511476574</v>
      </c>
      <c r="D101" s="15" t="n">
        <f aca="true">RAND()</f>
        <v>0.192295933548424</v>
      </c>
      <c r="E101" s="12" t="n">
        <f aca="false">IF(D101&lt;=($F$13-$E$13)/($G$13-$E$13),$E$13+SQRT(D101*($G$13-$E$13)*($F$13-$E$13)),$G$13-SQRT((1-D101)*($G$13-$E$13)*($G$13-$F$13)))</f>
        <v>-34629.3026493514</v>
      </c>
      <c r="F101" s="15" t="n">
        <f aca="true">RAND()</f>
        <v>0.18871011792276</v>
      </c>
      <c r="G101" s="12" t="n">
        <f aca="false">IF(F101&lt;=($F$14-$E$14)/($G$14-$E$14),$E$14+SQRT(F101*($G$14-$E$14)*($F$14-$E$14)),$G$14-SQRT((1-F101)*($G$14-$E$14)*($G$14-$F$14)))</f>
        <v>35320.3869867157</v>
      </c>
      <c r="H101" s="15" t="n">
        <f aca="true">RAND()</f>
        <v>0.794671823399282</v>
      </c>
      <c r="I101" s="12" t="n">
        <f aca="false">IF(H101&lt;=($F$14-$E$14)/($G$14-$E$14),$E$14+SQRT(H101*($G$14-$E$14)*($F$14-$E$14)),$G$14-SQRT((1-H101)*($G$14-$E$14)*($G$14-$F$14)))</f>
        <v>41075.7659033827</v>
      </c>
      <c r="J101" s="15" t="n">
        <f aca="true">RAND()</f>
        <v>0.502266118829452</v>
      </c>
      <c r="K101" s="12" t="n">
        <f aca="false">IF(J101&lt;=($F$14-$E$14)/($G$14-$E$14),$E$14+SQRT(J101*($G$14-$E$14)*($F$14-$E$14)),$G$14-SQRT((1-J101)*($G$14-$E$14)*($G$14-$F$14)))</f>
        <v>38679.8570163579</v>
      </c>
      <c r="L101" s="15" t="n">
        <f aca="true">RAND()</f>
        <v>0.203487213130465</v>
      </c>
      <c r="M101" s="12" t="n">
        <f aca="false">IF(L101&lt;=($F$14-$E$14)/($G$14-$E$14),$E$14+SQRT(L101*($G$14-$E$14)*($F$14-$E$14)),$G$14-SQRT((1-L101)*($G$14-$E$14)*($G$14-$F$14)))</f>
        <v>35524.7698567062</v>
      </c>
      <c r="N101" s="15" t="n">
        <f aca="true">RAND()</f>
        <v>0.755268425395007</v>
      </c>
      <c r="O101" s="12" t="n">
        <f aca="false">IF(N101&lt;=($F$14-$E$14)/($G$14-$E$14),$E$14+SQRT(N101*($G$14-$E$14)*($F$14-$E$14)),$G$14-SQRT((1-N101)*($G$14-$E$14)*($G$14-$F$14)))</f>
        <v>40715.7418267132</v>
      </c>
      <c r="P101" s="15" t="n">
        <f aca="true">RAND()</f>
        <v>0.181603731197194</v>
      </c>
      <c r="Q101" s="16" t="n">
        <f aca="false">IF(P101&lt;=($F$15-$E$15)/($G$15-$E$15),$E$15+SQRT(P101*($G$15-$E$15)*($F$15-$E$15)),$G$15-SQRT((1-P101)*($G$15-$E$15)*($G$15-$F$15)))</f>
        <v>13.8080008743221</v>
      </c>
      <c r="R101" s="15" t="n">
        <f aca="true">RAND()</f>
        <v>0.637873071986044</v>
      </c>
      <c r="S101" s="16" t="n">
        <f aca="false">IF(R101&lt;=($F$16-$E$16)/($G$16-$E$16),$E$16+SQRT(R101*($G$16-$E$16)*($F$16-$E$16)),$G$16-SQRT((1-R101)*($G$16-$E$16)*($G$16-$F$16)))</f>
        <v>15.4469068359632</v>
      </c>
      <c r="T101" s="15" t="n">
        <f aca="true">RAND()</f>
        <v>0.20907774526188</v>
      </c>
      <c r="U101" s="16" t="n">
        <f aca="false">IF(T101&lt;=($F$17-$E$17)/($G$17-$E$17),$E$17+SQRT(T101*($G$17-$E$17)*($F$17-$E$17)),$G$17-SQRT((1-T101)*($G$17-$E$17)*($G$17-$F$17)))</f>
        <v>17.0953836523414</v>
      </c>
      <c r="V101" s="15" t="n">
        <f aca="true">RAND()</f>
        <v>0.160646498105732</v>
      </c>
      <c r="W101" s="16" t="n">
        <f aca="false">IF(V101&lt;=($F$18-$E$18)/($G$18-$E$18),$E$18+SQRT(V101*($G$18-$E$18)*($F$18-$E$18)),$G$18-SQRT((1-V101)*($G$18-$E$18)*($G$18-$F$18)))</f>
        <v>19.4996836244623</v>
      </c>
      <c r="X101" s="15" t="n">
        <f aca="true">RAND()</f>
        <v>0.246928536042556</v>
      </c>
      <c r="Y101" s="16" t="n">
        <f aca="false">IF(X101&lt;=($F$19-$E$19)/($G$19-$E$19),$E$19+SQRT(X101*($G$19-$E$19)*($F$19-$E$19)),$G$19-SQRT((1-X101)*($G$19-$E$19)*($G$19-$F$19)))</f>
        <v>21.5820670930766</v>
      </c>
      <c r="Z101" s="12" t="n">
        <f aca="false">G101*(1+Q101/100)</f>
        <v>40197.4263306554</v>
      </c>
      <c r="AA101" s="12" t="n">
        <f aca="false">I101*(1+Q101/100)*(1+S101/100)</f>
        <v>53968.5520302017</v>
      </c>
      <c r="AB101" s="12" t="n">
        <f aca="false">K101*(1+Q101/100)*(1+S101/100)*(1+U101/100)</f>
        <v>59508.5995565104</v>
      </c>
      <c r="AC101" s="12" t="n">
        <f aca="false">M101*(1+Q101/100)*(1+S101/100)*(1+U101/100)*(1+W101/100)</f>
        <v>65311.9872865419</v>
      </c>
      <c r="AD101" s="12" t="n">
        <f aca="false">O101*(1+Q101/100)*(1+S101/100)*(1+U101/100)*(1+W101/100)*(1+Y101/100)</f>
        <v>91010.9190791231</v>
      </c>
      <c r="AE101" s="12" t="n">
        <f aca="false">ABS(C101)/$B$7</f>
        <v>18209.0102295315</v>
      </c>
      <c r="AF101" s="12" t="n">
        <f aca="false">Z101-AE101</f>
        <v>21988.4161011239</v>
      </c>
      <c r="AG101" s="12" t="n">
        <f aca="false">AA101-AE101</f>
        <v>35759.5418006702</v>
      </c>
      <c r="AH101" s="12" t="n">
        <f aca="false">AB101-AE101</f>
        <v>41299.5893269789</v>
      </c>
      <c r="AI101" s="12" t="n">
        <f aca="false">AC101-AE101</f>
        <v>47102.9770570104</v>
      </c>
      <c r="AJ101" s="12" t="n">
        <f aca="false">AD101-AE101</f>
        <v>72801.9088495916</v>
      </c>
      <c r="AK101" s="12" t="n">
        <f aca="false">AF101*$B$4</f>
        <v>10994.208050562</v>
      </c>
      <c r="AL101" s="12" t="n">
        <f aca="false">AG101*$B$4</f>
        <v>17879.7709003351</v>
      </c>
      <c r="AM101" s="12" t="n">
        <f aca="false">AH101*$B$4</f>
        <v>20649.7946634894</v>
      </c>
      <c r="AN101" s="12" t="n">
        <f aca="false">AI101*$B$4</f>
        <v>23551.4885285052</v>
      </c>
      <c r="AO101" s="12" t="n">
        <f aca="false">AJ101*$B$4</f>
        <v>36400.9544247958</v>
      </c>
      <c r="AP101" s="12" t="n">
        <f aca="false">AF101-AK101</f>
        <v>10994.208050562</v>
      </c>
      <c r="AQ101" s="12" t="n">
        <f aca="false">AG101-AL101</f>
        <v>17879.7709003351</v>
      </c>
      <c r="AR101" s="12" t="n">
        <f aca="false">AH101-AM101</f>
        <v>20649.7946634894</v>
      </c>
      <c r="AS101" s="12" t="n">
        <f aca="false">AI101-AN101</f>
        <v>23551.4885285052</v>
      </c>
      <c r="AT101" s="12" t="n">
        <f aca="false">AJ101-AO101</f>
        <v>36400.9544247958</v>
      </c>
      <c r="AU101" s="12" t="n">
        <f aca="false">0.2*ABS(C101)+1*ABS(E101)</f>
        <v>52838.3128788829</v>
      </c>
      <c r="AV101" s="12" t="n">
        <f aca="false">C101+E101</f>
        <v>-125674.353797009</v>
      </c>
      <c r="AW101" s="12" t="n">
        <f aca="false">AP101+AE101</f>
        <v>29203.2182800934</v>
      </c>
      <c r="AX101" s="12" t="n">
        <f aca="false">AQ101+AE101</f>
        <v>36088.7811298666</v>
      </c>
      <c r="AY101" s="12" t="n">
        <f aca="false">AR101+AE101</f>
        <v>38858.8048930209</v>
      </c>
      <c r="AZ101" s="12" t="n">
        <f aca="false">AS101+AE101</f>
        <v>41760.4987580367</v>
      </c>
      <c r="BA101" s="12" t="n">
        <f aca="false">AT101+AE101+AU101</f>
        <v>107448.27753321</v>
      </c>
      <c r="BB101" s="4" t="n">
        <f aca="false">IFERROR(IRR(AV101:BA101,0.15),"n/a")</f>
        <v>0.227585262886131</v>
      </c>
      <c r="BC101" s="12" t="n">
        <f aca="false">NPV($B$5,AW101:BA101)+AV101</f>
        <v>29855.8318970009</v>
      </c>
    </row>
    <row r="102" customFormat="false" ht="15" hidden="false" customHeight="false" outlineLevel="0" collapsed="false">
      <c r="A102" s="3" t="n">
        <v>78</v>
      </c>
      <c r="B102" s="15" t="n">
        <f aca="true">RAND()</f>
        <v>0.311536260913379</v>
      </c>
      <c r="C102" s="12" t="n">
        <f aca="false">IF(B102&lt;=($F$12-$E$12)/($G$12-$E$12),$E$12+SQRT(B102*($G$12-$E$12)*($F$12-$E$12)),$G$12-SQRT((1-B102)*($G$12-$E$12)*($G$12-$F$12)))</f>
        <v>-80664.9666900713</v>
      </c>
      <c r="D102" s="15" t="n">
        <f aca="true">RAND()</f>
        <v>0.841263793106849</v>
      </c>
      <c r="E102" s="12" t="n">
        <f aca="false">IF(D102&lt;=($F$13-$E$13)/($G$13-$E$13),$E$13+SQRT(D102*($G$13-$E$13)*($F$13-$E$13)),$G$13-SQRT((1-D102)*($G$13-$E$13)*($G$13-$F$13)))</f>
        <v>-28450.393530742</v>
      </c>
      <c r="F102" s="15" t="n">
        <f aca="true">RAND()</f>
        <v>0.105017225806086</v>
      </c>
      <c r="G102" s="12" t="n">
        <f aca="false">IF(F102&lt;=($F$14-$E$14)/($G$14-$E$14),$E$14+SQRT(F102*($G$14-$E$14)*($F$14-$E$14)),$G$14-SQRT((1-F102)*($G$14-$E$14)*($G$14-$F$14)))</f>
        <v>33968.9524903824</v>
      </c>
      <c r="H102" s="15" t="n">
        <f aca="true">RAND()</f>
        <v>0.606759760976538</v>
      </c>
      <c r="I102" s="12" t="n">
        <f aca="false">IF(H102&lt;=($F$14-$E$14)/($G$14-$E$14),$E$14+SQRT(H102*($G$14-$E$14)*($F$14-$E$14)),$G$14-SQRT((1-H102)*($G$14-$E$14)*($G$14-$F$14)))</f>
        <v>39540.1239062436</v>
      </c>
      <c r="J102" s="15" t="n">
        <f aca="true">RAND()</f>
        <v>0.432854724072754</v>
      </c>
      <c r="K102" s="12" t="n">
        <f aca="false">IF(J102&lt;=($F$14-$E$14)/($G$14-$E$14),$E$14+SQRT(J102*($G$14-$E$14)*($F$14-$E$14)),$G$14-SQRT((1-J102)*($G$14-$E$14)*($G$14-$F$14)))</f>
        <v>38057.8042052977</v>
      </c>
      <c r="L102" s="15" t="n">
        <f aca="true">RAND()</f>
        <v>0.77598460501175</v>
      </c>
      <c r="M102" s="12" t="n">
        <f aca="false">IF(L102&lt;=($F$14-$E$14)/($G$14-$E$14),$E$14+SQRT(L102*($G$14-$E$14)*($F$14-$E$14)),$G$14-SQRT((1-L102)*($G$14-$E$14)*($G$14-$F$14)))</f>
        <v>40901.0788463159</v>
      </c>
      <c r="N102" s="15" t="n">
        <f aca="true">RAND()</f>
        <v>0.392640674632849</v>
      </c>
      <c r="O102" s="12" t="n">
        <f aca="false">IF(N102&lt;=($F$14-$E$14)/($G$14-$E$14),$E$14+SQRT(N102*($G$14-$E$14)*($F$14-$E$14)),$G$14-SQRT((1-N102)*($G$14-$E$14)*($G$14-$F$14)))</f>
        <v>37674.3795315926</v>
      </c>
      <c r="P102" s="15" t="n">
        <f aca="true">RAND()</f>
        <v>0.696089528258851</v>
      </c>
      <c r="Q102" s="16" t="n">
        <f aca="false">IF(P102&lt;=($F$15-$E$15)/($G$15-$E$15),$E$15+SQRT(P102*($G$15-$E$15)*($F$15-$E$15)),$G$15-SQRT((1-P102)*($G$15-$E$15)*($G$15-$F$15)))</f>
        <v>15.661113835318</v>
      </c>
      <c r="R102" s="15" t="n">
        <f aca="true">RAND()</f>
        <v>0.283804388273739</v>
      </c>
      <c r="S102" s="16" t="n">
        <f aca="false">IF(R102&lt;=($F$16-$E$16)/($G$16-$E$16),$E$16+SQRT(R102*($G$16-$E$16)*($F$16-$E$16)),$G$16-SQRT((1-R102)*($G$16-$E$16)*($G$16-$F$16)))</f>
        <v>14.2601944582109</v>
      </c>
      <c r="T102" s="15" t="n">
        <f aca="true">RAND()</f>
        <v>0.722201535882647</v>
      </c>
      <c r="U102" s="16" t="n">
        <f aca="false">IF(T102&lt;=($F$17-$E$17)/($G$17-$E$17),$E$17+SQRT(T102*($G$17-$E$17)*($F$17-$E$17)),$G$17-SQRT((1-T102)*($G$17-$E$17)*($G$17-$F$17)))</f>
        <v>19.2110294022192</v>
      </c>
      <c r="V102" s="15" t="n">
        <f aca="true">RAND()</f>
        <v>0.700516219608712</v>
      </c>
      <c r="W102" s="16" t="n">
        <f aca="false">IF(V102&lt;=($F$18-$E$18)/($G$18-$E$18),$E$18+SQRT(V102*($G$18-$E$18)*($F$18-$E$18)),$G$18-SQRT((1-V102)*($G$18-$E$18)*($G$18-$F$18)))</f>
        <v>21.7624187556611</v>
      </c>
      <c r="X102" s="15" t="n">
        <f aca="true">RAND()</f>
        <v>0.702019825762326</v>
      </c>
      <c r="Y102" s="16" t="n">
        <f aca="false">IF(X102&lt;=($F$19-$E$19)/($G$19-$E$19),$E$19+SQRT(X102*($G$19-$E$19)*($F$19-$E$19)),$G$19-SQRT((1-X102)*($G$19-$E$19)*($G$19-$F$19)))</f>
        <v>23.9886499269156</v>
      </c>
      <c r="Z102" s="12" t="n">
        <f aca="false">G102*(1+Q102/100)</f>
        <v>39288.8688085663</v>
      </c>
      <c r="AA102" s="12" t="n">
        <f aca="false">I102*(1+Q102/100)*(1+S102/100)</f>
        <v>52254.0979576527</v>
      </c>
      <c r="AB102" s="12" t="n">
        <f aca="false">K102*(1+Q102/100)*(1+S102/100)*(1+U102/100)</f>
        <v>59957.3590028624</v>
      </c>
      <c r="AC102" s="12" t="n">
        <f aca="false">M102*(1+Q102/100)*(1+S102/100)*(1+U102/100)*(1+W102/100)</f>
        <v>78459.7278625324</v>
      </c>
      <c r="AD102" s="12" t="n">
        <f aca="false">O102*(1+Q102/100)*(1+S102/100)*(1+U102/100)*(1+W102/100)*(1+Y102/100)</f>
        <v>89606.6154063289</v>
      </c>
      <c r="AE102" s="12" t="n">
        <f aca="false">ABS(C102)/$B$7</f>
        <v>16132.9933380143</v>
      </c>
      <c r="AF102" s="12" t="n">
        <f aca="false">Z102-AE102</f>
        <v>23155.8754705521</v>
      </c>
      <c r="AG102" s="12" t="n">
        <f aca="false">AA102-AE102</f>
        <v>36121.1046196385</v>
      </c>
      <c r="AH102" s="12" t="n">
        <f aca="false">AB102-AE102</f>
        <v>43824.3656648482</v>
      </c>
      <c r="AI102" s="12" t="n">
        <f aca="false">AC102-AE102</f>
        <v>62326.7345245181</v>
      </c>
      <c r="AJ102" s="12" t="n">
        <f aca="false">AD102-AE102</f>
        <v>73473.6220683146</v>
      </c>
      <c r="AK102" s="12" t="n">
        <f aca="false">AF102*$B$4</f>
        <v>11577.937735276</v>
      </c>
      <c r="AL102" s="12" t="n">
        <f aca="false">AG102*$B$4</f>
        <v>18060.5523098192</v>
      </c>
      <c r="AM102" s="12" t="n">
        <f aca="false">AH102*$B$4</f>
        <v>21912.1828324241</v>
      </c>
      <c r="AN102" s="12" t="n">
        <f aca="false">AI102*$B$4</f>
        <v>31163.3672622591</v>
      </c>
      <c r="AO102" s="12" t="n">
        <f aca="false">AJ102*$B$4</f>
        <v>36736.8110341573</v>
      </c>
      <c r="AP102" s="12" t="n">
        <f aca="false">AF102-AK102</f>
        <v>11577.937735276</v>
      </c>
      <c r="AQ102" s="12" t="n">
        <f aca="false">AG102-AL102</f>
        <v>18060.5523098192</v>
      </c>
      <c r="AR102" s="12" t="n">
        <f aca="false">AH102-AM102</f>
        <v>21912.1828324241</v>
      </c>
      <c r="AS102" s="12" t="n">
        <f aca="false">AI102-AN102</f>
        <v>31163.3672622591</v>
      </c>
      <c r="AT102" s="12" t="n">
        <f aca="false">AJ102-AO102</f>
        <v>36736.8110341573</v>
      </c>
      <c r="AU102" s="12" t="n">
        <f aca="false">0.2*ABS(C102)+1*ABS(E102)</f>
        <v>44583.3868687563</v>
      </c>
      <c r="AV102" s="12" t="n">
        <f aca="false">C102+E102</f>
        <v>-109115.360220813</v>
      </c>
      <c r="AW102" s="12" t="n">
        <f aca="false">AP102+AE102</f>
        <v>27710.9310732903</v>
      </c>
      <c r="AX102" s="12" t="n">
        <f aca="false">AQ102+AE102</f>
        <v>34193.5456478335</v>
      </c>
      <c r="AY102" s="12" t="n">
        <f aca="false">AR102+AE102</f>
        <v>38045.1761704383</v>
      </c>
      <c r="AZ102" s="12" t="n">
        <f aca="false">AS102+AE102</f>
        <v>47296.3606002733</v>
      </c>
      <c r="BA102" s="12" t="n">
        <f aca="false">AT102+AE102+AU102</f>
        <v>97453.1912409278</v>
      </c>
      <c r="BB102" s="4" t="n">
        <f aca="false">IFERROR(IRR(AV102:BA102,0.15),"n/a")</f>
        <v>0.270580671759322</v>
      </c>
      <c r="BC102" s="12" t="n">
        <f aca="false">NPV($B$5,AW102:BA102)+AV102</f>
        <v>41344.9626273878</v>
      </c>
    </row>
    <row r="103" customFormat="false" ht="15" hidden="false" customHeight="false" outlineLevel="0" collapsed="false">
      <c r="A103" s="3" t="n">
        <v>79</v>
      </c>
      <c r="B103" s="15" t="n">
        <f aca="true">RAND()</f>
        <v>0.0116680820687117</v>
      </c>
      <c r="C103" s="12" t="n">
        <f aca="false">IF(B103&lt;=($F$12-$E$12)/($G$12-$E$12),$E$12+SQRT(B103*($G$12-$E$12)*($F$12-$E$12)),$G$12-SQRT((1-B103)*($G$12-$E$12)*($G$12-$F$12)))</f>
        <v>-96258.1156508446</v>
      </c>
      <c r="D103" s="15" t="n">
        <f aca="true">RAND()</f>
        <v>0.649913932376964</v>
      </c>
      <c r="E103" s="12" t="n">
        <f aca="false">IF(D103&lt;=($F$13-$E$13)/($G$13-$E$13),$E$13+SQRT(D103*($G$13-$E$13)*($F$13-$E$13)),$G$13-SQRT((1-D103)*($G$13-$E$13)*($G$13-$F$13)))</f>
        <v>-30126.4449231017</v>
      </c>
      <c r="F103" s="15" t="n">
        <f aca="true">RAND()</f>
        <v>0.190760369299479</v>
      </c>
      <c r="G103" s="12" t="n">
        <f aca="false">IF(F103&lt;=($F$14-$E$14)/($G$14-$E$14),$E$14+SQRT(F103*($G$14-$E$14)*($F$14-$E$14)),$G$14-SQRT((1-F103)*($G$14-$E$14)*($G$14-$F$14)))</f>
        <v>35349.2107263523</v>
      </c>
      <c r="H103" s="15" t="n">
        <f aca="true">RAND()</f>
        <v>0.0729115937035742</v>
      </c>
      <c r="I103" s="12" t="n">
        <f aca="false">IF(H103&lt;=($F$14-$E$14)/($G$14-$E$14),$E$14+SQRT(H103*($G$14-$E$14)*($F$14-$E$14)),$G$14-SQRT((1-H103)*($G$14-$E$14)*($G$14-$F$14)))</f>
        <v>33307.0740928404</v>
      </c>
      <c r="J103" s="15" t="n">
        <f aca="true">RAND()</f>
        <v>0.406568574432102</v>
      </c>
      <c r="K103" s="12" t="n">
        <f aca="false">IF(J103&lt;=($F$14-$E$14)/($G$14-$E$14),$E$14+SQRT(J103*($G$14-$E$14)*($F$14-$E$14)),$G$14-SQRT((1-J103)*($G$14-$E$14)*($G$14-$F$14)))</f>
        <v>37809.3076623229</v>
      </c>
      <c r="L103" s="15" t="n">
        <f aca="true">RAND()</f>
        <v>0.19568354790314</v>
      </c>
      <c r="M103" s="12" t="n">
        <f aca="false">IF(L103&lt;=($F$14-$E$14)/($G$14-$E$14),$E$14+SQRT(L103*($G$14-$E$14)*($F$14-$E$14)),$G$14-SQRT((1-L103)*($G$14-$E$14)*($G$14-$F$14)))</f>
        <v>35417.7977246729</v>
      </c>
      <c r="N103" s="15" t="n">
        <f aca="true">RAND()</f>
        <v>0.824188137309623</v>
      </c>
      <c r="O103" s="12" t="n">
        <f aca="false">IF(N103&lt;=($F$14-$E$14)/($G$14-$E$14),$E$14+SQRT(N103*($G$14-$E$14)*($F$14-$E$14)),$G$14-SQRT((1-N103)*($G$14-$E$14)*($G$14-$F$14)))</f>
        <v>41368.7619601879</v>
      </c>
      <c r="P103" s="15" t="n">
        <f aca="true">RAND()</f>
        <v>0.302234948921264</v>
      </c>
      <c r="Q103" s="16" t="n">
        <f aca="false">IF(P103&lt;=($F$15-$E$15)/($G$15-$E$15),$E$15+SQRT(P103*($G$15-$E$15)*($F$15-$E$15)),$G$15-SQRT((1-P103)*($G$15-$E$15)*($G$15-$F$15)))</f>
        <v>14.3324298661659</v>
      </c>
      <c r="R103" s="15" t="n">
        <f aca="true">RAND()</f>
        <v>0.566499853258543</v>
      </c>
      <c r="S103" s="16" t="n">
        <f aca="false">IF(R103&lt;=($F$16-$E$16)/($G$16-$E$16),$E$16+SQRT(R103*($G$16-$E$16)*($F$16-$E$16)),$G$16-SQRT((1-R103)*($G$16-$E$16)*($G$16-$F$16)))</f>
        <v>15.2066144839378</v>
      </c>
      <c r="T103" s="15" t="n">
        <f aca="true">RAND()</f>
        <v>0.83147908886286</v>
      </c>
      <c r="U103" s="16" t="n">
        <f aca="false">IF(T103&lt;=($F$17-$E$17)/($G$17-$E$17),$E$17+SQRT(T103*($G$17-$E$17)*($F$17-$E$17)),$G$17-SQRT((1-T103)*($G$17-$E$17)*($G$17-$F$17)))</f>
        <v>19.8277694616271</v>
      </c>
      <c r="V103" s="15" t="n">
        <f aca="true">RAND()</f>
        <v>0.347228106195416</v>
      </c>
      <c r="W103" s="16" t="n">
        <f aca="false">IF(V103&lt;=($F$18-$E$18)/($G$18-$E$18),$E$18+SQRT(V103*($G$18-$E$18)*($F$18-$E$18)),$G$18-SQRT((1-V103)*($G$18-$E$18)*($G$18-$F$18)))</f>
        <v>20.2201447424466</v>
      </c>
      <c r="X103" s="15" t="n">
        <f aca="true">RAND()</f>
        <v>0.600159331303831</v>
      </c>
      <c r="Y103" s="16" t="n">
        <f aca="false">IF(X103&lt;=($F$19-$E$19)/($G$19-$E$19),$E$19+SQRT(X103*($G$19-$E$19)*($F$19-$E$19)),$G$19-SQRT((1-X103)*($G$19-$E$19)*($G$19-$F$19)))</f>
        <v>23.3533457079751</v>
      </c>
      <c r="Z103" s="12" t="n">
        <f aca="false">G103*(1+Q103/100)</f>
        <v>40415.6115619499</v>
      </c>
      <c r="AA103" s="12" t="n">
        <f aca="false">I103*(1+Q103/100)*(1+S103/100)</f>
        <v>43871.5856186222</v>
      </c>
      <c r="AB103" s="12" t="n">
        <f aca="false">K103*(1+Q103/100)*(1+S103/100)*(1+U103/100)</f>
        <v>59676.4593305899</v>
      </c>
      <c r="AC103" s="12" t="n">
        <f aca="false">M103*(1+Q103/100)*(1+S103/100)*(1+U103/100)*(1+W103/100)</f>
        <v>67205.2379234606</v>
      </c>
      <c r="AD103" s="12" t="n">
        <f aca="false">O103*(1+Q103/100)*(1+S103/100)*(1+U103/100)*(1+W103/100)*(1+Y103/100)</f>
        <v>96828.9064167221</v>
      </c>
      <c r="AE103" s="12" t="n">
        <f aca="false">ABS(C103)/$B$7</f>
        <v>19251.6231301689</v>
      </c>
      <c r="AF103" s="12" t="n">
        <f aca="false">Z103-AE103</f>
        <v>21163.988431781</v>
      </c>
      <c r="AG103" s="12" t="n">
        <f aca="false">AA103-AE103</f>
        <v>24619.9624884533</v>
      </c>
      <c r="AH103" s="12" t="n">
        <f aca="false">AB103-AE103</f>
        <v>40424.836200421</v>
      </c>
      <c r="AI103" s="12" t="n">
        <f aca="false">AC103-AE103</f>
        <v>47953.6147932917</v>
      </c>
      <c r="AJ103" s="12" t="n">
        <f aca="false">AD103-AE103</f>
        <v>77577.2832865532</v>
      </c>
      <c r="AK103" s="12" t="n">
        <f aca="false">AF103*$B$4</f>
        <v>10581.9942158905</v>
      </c>
      <c r="AL103" s="12" t="n">
        <f aca="false">AG103*$B$4</f>
        <v>12309.9812442267</v>
      </c>
      <c r="AM103" s="12" t="n">
        <f aca="false">AH103*$B$4</f>
        <v>20212.4181002105</v>
      </c>
      <c r="AN103" s="12" t="n">
        <f aca="false">AI103*$B$4</f>
        <v>23976.8073966459</v>
      </c>
      <c r="AO103" s="12" t="n">
        <f aca="false">AJ103*$B$4</f>
        <v>38788.6416432766</v>
      </c>
      <c r="AP103" s="12" t="n">
        <f aca="false">AF103-AK103</f>
        <v>10581.9942158905</v>
      </c>
      <c r="AQ103" s="12" t="n">
        <f aca="false">AG103-AL103</f>
        <v>12309.9812442267</v>
      </c>
      <c r="AR103" s="12" t="n">
        <f aca="false">AH103-AM103</f>
        <v>20212.4181002105</v>
      </c>
      <c r="AS103" s="12" t="n">
        <f aca="false">AI103-AN103</f>
        <v>23976.8073966459</v>
      </c>
      <c r="AT103" s="12" t="n">
        <f aca="false">AJ103-AO103</f>
        <v>38788.6416432766</v>
      </c>
      <c r="AU103" s="12" t="n">
        <f aca="false">0.2*ABS(C103)+1*ABS(E103)</f>
        <v>49378.0680532706</v>
      </c>
      <c r="AV103" s="12" t="n">
        <f aca="false">C103+E103</f>
        <v>-126384.560573946</v>
      </c>
      <c r="AW103" s="12" t="n">
        <f aca="false">AP103+AE103</f>
        <v>29833.6173460594</v>
      </c>
      <c r="AX103" s="12" t="n">
        <f aca="false">AQ103+AE103</f>
        <v>31561.6043743956</v>
      </c>
      <c r="AY103" s="12" t="n">
        <f aca="false">AR103+AE103</f>
        <v>39464.0412303794</v>
      </c>
      <c r="AZ103" s="12" t="n">
        <f aca="false">AS103+AE103</f>
        <v>43228.4305268148</v>
      </c>
      <c r="BA103" s="12" t="n">
        <f aca="false">AT103+AE103+AU103</f>
        <v>107418.332826716</v>
      </c>
      <c r="BB103" s="4" t="n">
        <f aca="false">IFERROR(IRR(AV103:BA103,0.15),"n/a")</f>
        <v>0.220793167312203</v>
      </c>
      <c r="BC103" s="12" t="n">
        <f aca="false">NPV($B$5,AW103:BA103)+AV103</f>
        <v>27492.9618444855</v>
      </c>
    </row>
    <row r="104" customFormat="false" ht="15" hidden="false" customHeight="false" outlineLevel="0" collapsed="false">
      <c r="A104" s="3" t="n">
        <v>80</v>
      </c>
      <c r="B104" s="15" t="n">
        <f aca="true">RAND()</f>
        <v>0.0368333937914111</v>
      </c>
      <c r="C104" s="12" t="n">
        <f aca="false">IF(B104&lt;=($F$12-$E$12)/($G$12-$E$12),$E$12+SQRT(B104*($G$12-$E$12)*($F$12-$E$12)),$G$12-SQRT((1-B104)*($G$12-$E$12)*($G$12-$F$12)))</f>
        <v>-93351.686488312</v>
      </c>
      <c r="D104" s="15" t="n">
        <f aca="true">RAND()</f>
        <v>0.0306873355389023</v>
      </c>
      <c r="E104" s="12" t="n">
        <f aca="false">IF(D104&lt;=($F$13-$E$13)/($G$13-$E$13),$E$13+SQRT(D104*($G$13-$E$13)*($F$13-$E$13)),$G$13-SQRT((1-D104)*($G$13-$E$13)*($G$13-$F$13)))</f>
        <v>-37854.5162944372</v>
      </c>
      <c r="F104" s="15" t="n">
        <f aca="true">RAND()</f>
        <v>0.497908215583124</v>
      </c>
      <c r="G104" s="12" t="n">
        <f aca="false">IF(F104&lt;=($F$14-$E$14)/($G$14-$E$14),$E$14+SQRT(F104*($G$14-$E$14)*($F$14-$E$14)),$G$14-SQRT((1-F104)*($G$14-$E$14)*($G$14-$F$14)))</f>
        <v>38642.119666926</v>
      </c>
      <c r="H104" s="15" t="n">
        <f aca="true">RAND()</f>
        <v>0.481497021329466</v>
      </c>
      <c r="I104" s="12" t="n">
        <f aca="false">IF(H104&lt;=($F$14-$E$14)/($G$14-$E$14),$E$14+SQRT(H104*($G$14-$E$14)*($F$14-$E$14)),$G$14-SQRT((1-H104)*($G$14-$E$14)*($G$14-$F$14)))</f>
        <v>38498.5029975532</v>
      </c>
      <c r="J104" s="15" t="n">
        <f aca="true">RAND()</f>
        <v>0.384454618160561</v>
      </c>
      <c r="K104" s="12" t="n">
        <f aca="false">IF(J104&lt;=($F$14-$E$14)/($G$14-$E$14),$E$14+SQRT(J104*($G$14-$E$14)*($F$14-$E$14)),$G$14-SQRT((1-J104)*($G$14-$E$14)*($G$14-$F$14)))</f>
        <v>37593.9576456604</v>
      </c>
      <c r="L104" s="15" t="n">
        <f aca="true">RAND()</f>
        <v>0.218877948868786</v>
      </c>
      <c r="M104" s="12" t="n">
        <f aca="false">IF(L104&lt;=($F$14-$E$14)/($G$14-$E$14),$E$14+SQRT(L104*($G$14-$E$14)*($F$14-$E$14)),$G$14-SQRT((1-L104)*($G$14-$E$14)*($G$14-$F$14)))</f>
        <v>35729.8946177323</v>
      </c>
      <c r="N104" s="15" t="n">
        <f aca="true">RAND()</f>
        <v>0.432249585994212</v>
      </c>
      <c r="O104" s="12" t="n">
        <f aca="false">IF(N104&lt;=($F$14-$E$14)/($G$14-$E$14),$E$14+SQRT(N104*($G$14-$E$14)*($F$14-$E$14)),$G$14-SQRT((1-N104)*($G$14-$E$14)*($G$14-$F$14)))</f>
        <v>38052.1697634322</v>
      </c>
      <c r="P104" s="15" t="n">
        <f aca="true">RAND()</f>
        <v>0.422291720341913</v>
      </c>
      <c r="Q104" s="16" t="n">
        <f aca="false">IF(P104&lt;=($F$15-$E$15)/($G$15-$E$15),$E$15+SQRT(P104*($G$15-$E$15)*($F$15-$E$15)),$G$15-SQRT((1-P104)*($G$15-$E$15)*($G$15-$F$15)))</f>
        <v>14.7570366276411</v>
      </c>
      <c r="R104" s="15" t="n">
        <f aca="true">RAND()</f>
        <v>0.00253647618752484</v>
      </c>
      <c r="S104" s="16" t="n">
        <f aca="false">IF(R104&lt;=($F$16-$E$16)/($G$16-$E$16),$E$16+SQRT(R104*($G$16-$E$16)*($F$16-$E$16)),$G$16-SQRT((1-R104)*($G$16-$E$16)*($G$16-$F$16)))</f>
        <v>12.2136739838526</v>
      </c>
      <c r="T104" s="15" t="n">
        <f aca="true">RAND()</f>
        <v>0.549252004393208</v>
      </c>
      <c r="U104" s="16" t="n">
        <f aca="false">IF(T104&lt;=($F$17-$E$17)/($G$17-$E$17),$E$17+SQRT(T104*($G$17-$E$17)*($F$17-$E$17)),$G$17-SQRT((1-T104)*($G$17-$E$17)*($G$17-$F$17)))</f>
        <v>18.4474032206018</v>
      </c>
      <c r="V104" s="15" t="n">
        <f aca="true">RAND()</f>
        <v>0.437802590286434</v>
      </c>
      <c r="W104" s="16" t="n">
        <f aca="false">IF(V104&lt;=($F$18-$E$18)/($G$18-$E$18),$E$18+SQRT(V104*($G$18-$E$18)*($F$18-$E$18)),$G$18-SQRT((1-V104)*($G$18-$E$18)*($G$18-$F$18)))</f>
        <v>20.5641337554008</v>
      </c>
      <c r="X104" s="15" t="n">
        <f aca="true">RAND()</f>
        <v>0.822645774534869</v>
      </c>
      <c r="Y104" s="16" t="n">
        <f aca="false">IF(X104&lt;=($F$19-$E$19)/($G$19-$E$19),$E$19+SQRT(X104*($G$19-$E$19)*($F$19-$E$19)),$G$19-SQRT((1-X104)*($G$19-$E$19)*($G$19-$F$19)))</f>
        <v>24.9053064489166</v>
      </c>
      <c r="Z104" s="12" t="n">
        <f aca="false">G104*(1+Q104/100)</f>
        <v>44344.5514198711</v>
      </c>
      <c r="AA104" s="12" t="n">
        <f aca="false">I104*(1+Q104/100)*(1+S104/100)</f>
        <v>49575.7107413629</v>
      </c>
      <c r="AB104" s="12" t="n">
        <f aca="false">K104*(1+Q104/100)*(1+S104/100)*(1+U104/100)</f>
        <v>57341.4536519002</v>
      </c>
      <c r="AC104" s="12" t="n">
        <f aca="false">M104*(1+Q104/100)*(1+S104/100)*(1+U104/100)*(1+W104/100)</f>
        <v>65705.3171741779</v>
      </c>
      <c r="AD104" s="12" t="n">
        <f aca="false">O104*(1+Q104/100)*(1+S104/100)*(1+U104/100)*(1+W104/100)*(1+Y104/100)</f>
        <v>87403.5546785014</v>
      </c>
      <c r="AE104" s="12" t="n">
        <f aca="false">ABS(C104)/$B$7</f>
        <v>18670.3372976624</v>
      </c>
      <c r="AF104" s="12" t="n">
        <f aca="false">Z104-AE104</f>
        <v>25674.2141222087</v>
      </c>
      <c r="AG104" s="12" t="n">
        <f aca="false">AA104-AE104</f>
        <v>30905.3734437005</v>
      </c>
      <c r="AH104" s="12" t="n">
        <f aca="false">AB104-AE104</f>
        <v>38671.1163542378</v>
      </c>
      <c r="AI104" s="12" t="n">
        <f aca="false">AC104-AE104</f>
        <v>47034.9798765155</v>
      </c>
      <c r="AJ104" s="12" t="n">
        <f aca="false">AD104-AE104</f>
        <v>68733.217380839</v>
      </c>
      <c r="AK104" s="12" t="n">
        <f aca="false">AF104*$B$4</f>
        <v>12837.1070611044</v>
      </c>
      <c r="AL104" s="12" t="n">
        <f aca="false">AG104*$B$4</f>
        <v>15452.6867218503</v>
      </c>
      <c r="AM104" s="12" t="n">
        <f aca="false">AH104*$B$4</f>
        <v>19335.5581771189</v>
      </c>
      <c r="AN104" s="12" t="n">
        <f aca="false">AI104*$B$4</f>
        <v>23517.4899382577</v>
      </c>
      <c r="AO104" s="12" t="n">
        <f aca="false">AJ104*$B$4</f>
        <v>34366.6086904195</v>
      </c>
      <c r="AP104" s="12" t="n">
        <f aca="false">AF104-AK104</f>
        <v>12837.1070611044</v>
      </c>
      <c r="AQ104" s="12" t="n">
        <f aca="false">AG104-AL104</f>
        <v>15452.6867218503</v>
      </c>
      <c r="AR104" s="12" t="n">
        <f aca="false">AH104-AM104</f>
        <v>19335.5581771189</v>
      </c>
      <c r="AS104" s="12" t="n">
        <f aca="false">AI104-AN104</f>
        <v>23517.4899382577</v>
      </c>
      <c r="AT104" s="12" t="n">
        <f aca="false">AJ104-AO104</f>
        <v>34366.6086904195</v>
      </c>
      <c r="AU104" s="12" t="n">
        <f aca="false">0.2*ABS(C104)+1*ABS(E104)</f>
        <v>56524.8535920996</v>
      </c>
      <c r="AV104" s="12" t="n">
        <f aca="false">C104+E104</f>
        <v>-131206.202782749</v>
      </c>
      <c r="AW104" s="12" t="n">
        <f aca="false">AP104+AE104</f>
        <v>31507.4443587668</v>
      </c>
      <c r="AX104" s="12" t="n">
        <f aca="false">AQ104+AE104</f>
        <v>34123.0240195127</v>
      </c>
      <c r="AY104" s="12" t="n">
        <f aca="false">AR104+AE104</f>
        <v>38005.8954747813</v>
      </c>
      <c r="AZ104" s="12" t="n">
        <f aca="false">AS104+AE104</f>
        <v>42187.8272359201</v>
      </c>
      <c r="BA104" s="12" t="n">
        <f aca="false">AT104+AE104+AU104</f>
        <v>109561.799580182</v>
      </c>
      <c r="BB104" s="4" t="n">
        <f aca="false">IFERROR(IRR(AV104:BA104,0.15),"n/a")</f>
        <v>0.214330517381733</v>
      </c>
      <c r="BC104" s="12" t="n">
        <f aca="false">NPV($B$5,AW104:BA104)+AV104</f>
        <v>25575.5816200147</v>
      </c>
    </row>
    <row r="105" customFormat="false" ht="15" hidden="false" customHeight="false" outlineLevel="0" collapsed="false">
      <c r="A105" s="3" t="n">
        <v>81</v>
      </c>
      <c r="B105" s="15" t="n">
        <f aca="true">RAND()</f>
        <v>0.500489722534497</v>
      </c>
      <c r="C105" s="12" t="n">
        <f aca="false">IF(B105&lt;=($F$12-$E$12)/($G$12-$E$12),$E$12+SQRT(B105*($G$12-$E$12)*($F$12-$E$12)),$G$12-SQRT((1-B105)*($G$12-$E$12)*($G$12-$F$12)))</f>
        <v>-75493.1098047631</v>
      </c>
      <c r="D105" s="15" t="n">
        <f aca="true">RAND()</f>
        <v>0.925461251698305</v>
      </c>
      <c r="E105" s="12" t="n">
        <f aca="false">IF(D105&lt;=($F$13-$E$13)/($G$13-$E$13),$E$13+SQRT(D105*($G$13-$E$13)*($F$13-$E$13)),$G$13-SQRT((1-D105)*($G$13-$E$13)*($G$13-$F$13)))</f>
        <v>-27364.4039677321</v>
      </c>
      <c r="F105" s="15" t="n">
        <f aca="true">RAND()</f>
        <v>0.799918055407322</v>
      </c>
      <c r="G105" s="12" t="n">
        <f aca="false">IF(F105&lt;=($F$14-$E$14)/($G$14-$E$14),$E$14+SQRT(F105*($G$14-$E$14)*($F$14-$E$14)),$G$14-SQRT((1-F105)*($G$14-$E$14)*($G$14-$F$14)))</f>
        <v>41126.2233099402</v>
      </c>
      <c r="H105" s="15" t="n">
        <f aca="true">RAND()</f>
        <v>0.47337390160981</v>
      </c>
      <c r="I105" s="12" t="n">
        <f aca="false">IF(H105&lt;=($F$14-$E$14)/($G$14-$E$14),$E$14+SQRT(H105*($G$14-$E$14)*($F$14-$E$14)),$G$14-SQRT((1-H105)*($G$14-$E$14)*($G$14-$F$14)))</f>
        <v>38426.5108580878</v>
      </c>
      <c r="J105" s="15" t="n">
        <f aca="true">RAND()</f>
        <v>0.74916267396819</v>
      </c>
      <c r="K105" s="12" t="n">
        <f aca="false">IF(J105&lt;=($F$14-$E$14)/($G$14-$E$14),$E$14+SQRT(J105*($G$14-$E$14)*($F$14-$E$14)),$G$14-SQRT((1-J105)*($G$14-$E$14)*($G$14-$F$14)))</f>
        <v>40662.6275866159</v>
      </c>
      <c r="L105" s="15" t="n">
        <f aca="true">RAND()</f>
        <v>0.598041023089088</v>
      </c>
      <c r="M105" s="12" t="n">
        <f aca="false">IF(L105&lt;=($F$14-$E$14)/($G$14-$E$14),$E$14+SQRT(L105*($G$14-$E$14)*($F$14-$E$14)),$G$14-SQRT((1-L105)*($G$14-$E$14)*($G$14-$F$14)))</f>
        <v>39471.3332463473</v>
      </c>
      <c r="N105" s="15" t="n">
        <f aca="true">RAND()</f>
        <v>0.508689402571379</v>
      </c>
      <c r="O105" s="12" t="n">
        <f aca="false">IF(N105&lt;=($F$14-$E$14)/($G$14-$E$14),$E$14+SQRT(N105*($G$14-$E$14)*($F$14-$E$14)),$G$14-SQRT((1-N105)*($G$14-$E$14)*($G$14-$F$14)))</f>
        <v>38735.182332711</v>
      </c>
      <c r="P105" s="15" t="n">
        <f aca="true">RAND()</f>
        <v>0.605451113833485</v>
      </c>
      <c r="Q105" s="16" t="n">
        <f aca="false">IF(P105&lt;=($F$15-$E$15)/($G$15-$E$15),$E$15+SQRT(P105*($G$15-$E$15)*($F$15-$E$15)),$G$15-SQRT((1-P105)*($G$15-$E$15)*($G$15-$F$15)))</f>
        <v>15.335064737935</v>
      </c>
      <c r="R105" s="15" t="n">
        <f aca="true">RAND()</f>
        <v>0.184102716723499</v>
      </c>
      <c r="S105" s="16" t="n">
        <f aca="false">IF(R105&lt;=($F$16-$E$16)/($G$16-$E$16),$E$16+SQRT(R105*($G$16-$E$16)*($F$16-$E$16)),$G$16-SQRT((1-R105)*($G$16-$E$16)*($G$16-$F$16)))</f>
        <v>13.8203980062126</v>
      </c>
      <c r="T105" s="15" t="n">
        <f aca="true">RAND()</f>
        <v>0.417355975744276</v>
      </c>
      <c r="U105" s="16" t="n">
        <f aca="false">IF(T105&lt;=($F$17-$E$17)/($G$17-$E$17),$E$17+SQRT(T105*($G$17-$E$17)*($F$17-$E$17)),$G$17-SQRT((1-T105)*($G$17-$E$17)*($G$17-$F$17)))</f>
        <v>17.9604856849223</v>
      </c>
      <c r="V105" s="15" t="n">
        <f aca="true">RAND()</f>
        <v>0.869025879752797</v>
      </c>
      <c r="W105" s="16" t="n">
        <f aca="false">IF(V105&lt;=($F$18-$E$18)/($G$18-$E$18),$E$18+SQRT(V105*($G$18-$E$18)*($F$18-$E$18)),$G$18-SQRT((1-V105)*($G$18-$E$18)*($G$18-$F$18)))</f>
        <v>22.8589502087406</v>
      </c>
      <c r="X105" s="15" t="n">
        <f aca="true">RAND()</f>
        <v>0.93846731246498</v>
      </c>
      <c r="Y105" s="16" t="n">
        <f aca="false">IF(X105&lt;=($F$19-$E$19)/($G$19-$E$19),$E$19+SQRT(X105*($G$19-$E$19)*($F$19-$E$19)),$G$19-SQRT((1-X105)*($G$19-$E$19)*($G$19-$F$19)))</f>
        <v>26.1771546618292</v>
      </c>
      <c r="Z105" s="12" t="n">
        <f aca="false">G105*(1+Q105/100)</f>
        <v>47432.9562787872</v>
      </c>
      <c r="AA105" s="12" t="n">
        <f aca="false">I105*(1+Q105/100)*(1+S105/100)</f>
        <v>50444.3366983827</v>
      </c>
      <c r="AB105" s="12" t="n">
        <f aca="false">K105*(1+Q105/100)*(1+S105/100)*(1+U105/100)</f>
        <v>62967.0655885056</v>
      </c>
      <c r="AC105" s="12" t="n">
        <f aca="false">M105*(1+Q105/100)*(1+S105/100)*(1+U105/100)*(1+W105/100)</f>
        <v>75094.2374924761</v>
      </c>
      <c r="AD105" s="12" t="n">
        <f aca="false">O105*(1+Q105/100)*(1+S105/100)*(1+U105/100)*(1+W105/100)*(1+Y105/100)</f>
        <v>92984.6263096715</v>
      </c>
      <c r="AE105" s="12" t="n">
        <f aca="false">ABS(C105)/$B$7</f>
        <v>15098.6219609526</v>
      </c>
      <c r="AF105" s="12" t="n">
        <f aca="false">Z105-AE105</f>
        <v>32334.3343178346</v>
      </c>
      <c r="AG105" s="12" t="n">
        <f aca="false">AA105-AE105</f>
        <v>35345.7147374301</v>
      </c>
      <c r="AH105" s="12" t="n">
        <f aca="false">AB105-AE105</f>
        <v>47868.443627553</v>
      </c>
      <c r="AI105" s="12" t="n">
        <f aca="false">AC105-AE105</f>
        <v>59995.6155315235</v>
      </c>
      <c r="AJ105" s="12" t="n">
        <f aca="false">AD105-AE105</f>
        <v>77886.0043487188</v>
      </c>
      <c r="AK105" s="12" t="n">
        <f aca="false">AF105*$B$4</f>
        <v>16167.1671589173</v>
      </c>
      <c r="AL105" s="12" t="n">
        <f aca="false">AG105*$B$4</f>
        <v>17672.857368715</v>
      </c>
      <c r="AM105" s="12" t="n">
        <f aca="false">AH105*$B$4</f>
        <v>23934.2218137765</v>
      </c>
      <c r="AN105" s="12" t="n">
        <f aca="false">AI105*$B$4</f>
        <v>29997.8077657617</v>
      </c>
      <c r="AO105" s="12" t="n">
        <f aca="false">AJ105*$B$4</f>
        <v>38943.0021743594</v>
      </c>
      <c r="AP105" s="12" t="n">
        <f aca="false">AF105-AK105</f>
        <v>16167.1671589173</v>
      </c>
      <c r="AQ105" s="12" t="n">
        <f aca="false">AG105-AL105</f>
        <v>17672.857368715</v>
      </c>
      <c r="AR105" s="12" t="n">
        <f aca="false">AH105-AM105</f>
        <v>23934.2218137765</v>
      </c>
      <c r="AS105" s="12" t="n">
        <f aca="false">AI105-AN105</f>
        <v>29997.8077657617</v>
      </c>
      <c r="AT105" s="12" t="n">
        <f aca="false">AJ105-AO105</f>
        <v>38943.0021743594</v>
      </c>
      <c r="AU105" s="12" t="n">
        <f aca="false">0.2*ABS(C105)+1*ABS(E105)</f>
        <v>42463.0259286847</v>
      </c>
      <c r="AV105" s="12" t="n">
        <f aca="false">C105+E105</f>
        <v>-102857.513772495</v>
      </c>
      <c r="AW105" s="12" t="n">
        <f aca="false">AP105+AE105</f>
        <v>31265.7891198699</v>
      </c>
      <c r="AX105" s="12" t="n">
        <f aca="false">AQ105+AE105</f>
        <v>32771.4793296677</v>
      </c>
      <c r="AY105" s="12" t="n">
        <f aca="false">AR105+AE105</f>
        <v>39032.8437747291</v>
      </c>
      <c r="AZ105" s="12" t="n">
        <f aca="false">AS105+AE105</f>
        <v>45096.4297267144</v>
      </c>
      <c r="BA105" s="12" t="n">
        <f aca="false">AT105+AE105+AU105</f>
        <v>96504.6500639967</v>
      </c>
      <c r="BB105" s="4" t="n">
        <f aca="false">IFERROR(IRR(AV105:BA105,0.15),"n/a")</f>
        <v>0.300555254177573</v>
      </c>
      <c r="BC105" s="12" t="n">
        <f aca="false">NPV($B$5,AW105:BA105)+AV105</f>
        <v>48538.7008042061</v>
      </c>
    </row>
    <row r="106" customFormat="false" ht="15" hidden="false" customHeight="false" outlineLevel="0" collapsed="false">
      <c r="A106" s="3" t="n">
        <v>82</v>
      </c>
      <c r="B106" s="15" t="n">
        <f aca="true">RAND()</f>
        <v>0.323632382776462</v>
      </c>
      <c r="C106" s="12" t="n">
        <f aca="false">IF(B106&lt;=($F$12-$E$12)/($G$12-$E$12),$E$12+SQRT(B106*($G$12-$E$12)*($F$12-$E$12)),$G$12-SQRT((1-B106)*($G$12-$E$12)*($G$12-$F$12)))</f>
        <v>-80293.1773405312</v>
      </c>
      <c r="D106" s="15" t="n">
        <f aca="true">RAND()</f>
        <v>0.124759957755327</v>
      </c>
      <c r="E106" s="12" t="n">
        <f aca="false">IF(D106&lt;=($F$13-$E$13)/($G$13-$E$13),$E$13+SQRT(D106*($G$13-$E$13)*($F$13-$E$13)),$G$13-SQRT((1-D106)*($G$13-$E$13)*($G$13-$F$13)))</f>
        <v>-35674.032632659</v>
      </c>
      <c r="F106" s="15" t="n">
        <f aca="true">RAND()</f>
        <v>0.0513420522888332</v>
      </c>
      <c r="G106" s="12" t="n">
        <f aca="false">IF(F106&lt;=($F$14-$E$14)/($G$14-$E$14),$E$14+SQRT(F106*($G$14-$E$14)*($F$14-$E$14)),$G$14-SQRT((1-F106)*($G$14-$E$14)*($G$14-$F$14)))</f>
        <v>32775.123032106</v>
      </c>
      <c r="H106" s="15" t="n">
        <f aca="true">RAND()</f>
        <v>0.85050472539159</v>
      </c>
      <c r="I106" s="12" t="n">
        <f aca="false">IF(H106&lt;=($F$14-$E$14)/($G$14-$E$14),$E$14+SQRT(H106*($G$14-$E$14)*($F$14-$E$14)),$G$14-SQRT((1-H106)*($G$14-$E$14)*($G$14-$F$14)))</f>
        <v>41651.5457901248</v>
      </c>
      <c r="J106" s="15" t="n">
        <f aca="true">RAND()</f>
        <v>0.311188882648798</v>
      </c>
      <c r="K106" s="12" t="n">
        <f aca="false">IF(J106&lt;=($F$14-$E$14)/($G$14-$E$14),$E$14+SQRT(J106*($G$14-$E$14)*($F$14-$E$14)),$G$14-SQRT((1-J106)*($G$14-$E$14)*($G$14-$F$14)))</f>
        <v>36832.1543013401</v>
      </c>
      <c r="L106" s="15" t="n">
        <f aca="true">RAND()</f>
        <v>0.747003631362851</v>
      </c>
      <c r="M106" s="12" t="n">
        <f aca="false">IF(L106&lt;=($F$14-$E$14)/($G$14-$E$14),$E$14+SQRT(L106*($G$14-$E$14)*($F$14-$E$14)),$G$14-SQRT((1-L106)*($G$14-$E$14)*($G$14-$F$14)))</f>
        <v>40644.0009587023</v>
      </c>
      <c r="N106" s="15" t="n">
        <f aca="true">RAND()</f>
        <v>0.666152064381293</v>
      </c>
      <c r="O106" s="12" t="n">
        <f aca="false">IF(N106&lt;=($F$14-$E$14)/($G$14-$E$14),$E$14+SQRT(N106*($G$14-$E$14)*($F$14-$E$14)),$G$14-SQRT((1-N106)*($G$14-$E$14)*($G$14-$F$14)))</f>
        <v>39996.1397377785</v>
      </c>
      <c r="P106" s="15" t="n">
        <f aca="true">RAND()</f>
        <v>0.440779529532447</v>
      </c>
      <c r="Q106" s="16" t="n">
        <f aca="false">IF(P106&lt;=($F$15-$E$15)/($G$15-$E$15),$E$15+SQRT(P106*($G$15-$E$15)*($F$15-$E$15)),$G$15-SQRT((1-P106)*($G$15-$E$15)*($G$15-$F$15)))</f>
        <v>14.8167412965312</v>
      </c>
      <c r="R106" s="15" t="n">
        <f aca="true">RAND()</f>
        <v>0.173486708451769</v>
      </c>
      <c r="S106" s="16" t="n">
        <f aca="false">IF(R106&lt;=($F$16-$E$16)/($G$16-$E$16),$E$16+SQRT(R106*($G$16-$E$16)*($F$16-$E$16)),$G$16-SQRT((1-R106)*($G$16-$E$16)*($G$16-$F$16)))</f>
        <v>13.7671334845257</v>
      </c>
      <c r="T106" s="15" t="n">
        <f aca="true">RAND()</f>
        <v>0.288164765890729</v>
      </c>
      <c r="U106" s="16" t="n">
        <f aca="false">IF(T106&lt;=($F$17-$E$17)/($G$17-$E$17),$E$17+SQRT(T106*($G$17-$E$17)*($F$17-$E$17)),$G$17-SQRT((1-T106)*($G$17-$E$17)*($G$17-$F$17)))</f>
        <v>17.4599715615643</v>
      </c>
      <c r="V106" s="15" t="n">
        <f aca="true">RAND()</f>
        <v>0.569550197649283</v>
      </c>
      <c r="W106" s="16" t="n">
        <f aca="false">IF(V106&lt;=($F$18-$E$18)/($G$18-$E$18),$E$18+SQRT(V106*($G$18-$E$18)*($F$18-$E$18)),$G$18-SQRT((1-V106)*($G$18-$E$18)*($G$18-$F$18)))</f>
        <v>21.1185385378346</v>
      </c>
      <c r="X106" s="15" t="n">
        <f aca="true">RAND()</f>
        <v>0.0364084879052467</v>
      </c>
      <c r="Y106" s="16" t="n">
        <f aca="false">IF(X106&lt;=($F$19-$E$19)/($G$19-$E$19),$E$19+SQRT(X106*($G$19-$E$19)*($F$19-$E$19)),$G$19-SQRT((1-X106)*($G$19-$E$19)*($G$19-$F$19)))</f>
        <v>19.991478276838</v>
      </c>
      <c r="Z106" s="12" t="n">
        <f aca="false">G106*(1+Q106/100)</f>
        <v>37631.3282213929</v>
      </c>
      <c r="AA106" s="12" t="n">
        <f aca="false">I106*(1+Q106/100)*(1+S106/100)</f>
        <v>54406.7966048564</v>
      </c>
      <c r="AB106" s="12" t="n">
        <f aca="false">K106*(1+Q106/100)*(1+S106/100)*(1+U106/100)</f>
        <v>56511.7875597285</v>
      </c>
      <c r="AC106" s="12" t="n">
        <f aca="false">M106*(1+Q106/100)*(1+S106/100)*(1+U106/100)*(1+W106/100)</f>
        <v>75529.9154208102</v>
      </c>
      <c r="AD106" s="12" t="n">
        <f aca="false">O106*(1+Q106/100)*(1+S106/100)*(1+U106/100)*(1+W106/100)*(1+Y106/100)</f>
        <v>89184.8376930613</v>
      </c>
      <c r="AE106" s="12" t="n">
        <f aca="false">ABS(C106)/$B$7</f>
        <v>16058.6354681062</v>
      </c>
      <c r="AF106" s="12" t="n">
        <f aca="false">Z106-AE106</f>
        <v>21572.6927532867</v>
      </c>
      <c r="AG106" s="12" t="n">
        <f aca="false">AA106-AE106</f>
        <v>38348.1611367502</v>
      </c>
      <c r="AH106" s="12" t="n">
        <f aca="false">AB106-AE106</f>
        <v>40453.1520916223</v>
      </c>
      <c r="AI106" s="12" t="n">
        <f aca="false">AC106-AE106</f>
        <v>59471.2799527039</v>
      </c>
      <c r="AJ106" s="12" t="n">
        <f aca="false">AD106-AE106</f>
        <v>73126.202224955</v>
      </c>
      <c r="AK106" s="12" t="n">
        <f aca="false">AF106*$B$4</f>
        <v>10786.3463766433</v>
      </c>
      <c r="AL106" s="12" t="n">
        <f aca="false">AG106*$B$4</f>
        <v>19174.0805683751</v>
      </c>
      <c r="AM106" s="12" t="n">
        <f aca="false">AH106*$B$4</f>
        <v>20226.5760458111</v>
      </c>
      <c r="AN106" s="12" t="n">
        <f aca="false">AI106*$B$4</f>
        <v>29735.639976352</v>
      </c>
      <c r="AO106" s="12" t="n">
        <f aca="false">AJ106*$B$4</f>
        <v>36563.1011124775</v>
      </c>
      <c r="AP106" s="12" t="n">
        <f aca="false">AF106-AK106</f>
        <v>10786.3463766433</v>
      </c>
      <c r="AQ106" s="12" t="n">
        <f aca="false">AG106-AL106</f>
        <v>19174.0805683751</v>
      </c>
      <c r="AR106" s="12" t="n">
        <f aca="false">AH106-AM106</f>
        <v>20226.5760458111</v>
      </c>
      <c r="AS106" s="12" t="n">
        <f aca="false">AI106-AN106</f>
        <v>29735.639976352</v>
      </c>
      <c r="AT106" s="12" t="n">
        <f aca="false">AJ106-AO106</f>
        <v>36563.1011124775</v>
      </c>
      <c r="AU106" s="12" t="n">
        <f aca="false">0.2*ABS(C106)+1*ABS(E106)</f>
        <v>51732.6681007653</v>
      </c>
      <c r="AV106" s="12" t="n">
        <f aca="false">C106+E106</f>
        <v>-115967.20997319</v>
      </c>
      <c r="AW106" s="12" t="n">
        <f aca="false">AP106+AE106</f>
        <v>26844.9818447496</v>
      </c>
      <c r="AX106" s="12" t="n">
        <f aca="false">AQ106+AE106</f>
        <v>35232.7160364813</v>
      </c>
      <c r="AY106" s="12" t="n">
        <f aca="false">AR106+AE106</f>
        <v>36285.2115139174</v>
      </c>
      <c r="AZ106" s="12" t="n">
        <f aca="false">AS106+AE106</f>
        <v>45794.2754444582</v>
      </c>
      <c r="BA106" s="12" t="n">
        <f aca="false">AT106+AE106+AU106</f>
        <v>104354.404681349</v>
      </c>
      <c r="BB106" s="4" t="n">
        <f aca="false">IFERROR(IRR(AV106:BA106,0.15),"n/a")</f>
        <v>0.248605300950665</v>
      </c>
      <c r="BC106" s="12" t="n">
        <f aca="false">NPV($B$5,AW106:BA106)+AV106</f>
        <v>35940.9710292051</v>
      </c>
    </row>
    <row r="107" customFormat="false" ht="15" hidden="false" customHeight="false" outlineLevel="0" collapsed="false">
      <c r="A107" s="3" t="n">
        <v>83</v>
      </c>
      <c r="B107" s="15" t="n">
        <f aca="true">RAND()</f>
        <v>0.0838638440038756</v>
      </c>
      <c r="C107" s="12" t="n">
        <f aca="false">IF(B107&lt;=($F$12-$E$12)/($G$12-$E$12),$E$12+SQRT(B107*($G$12-$E$12)*($F$12-$E$12)),$G$12-SQRT((1-B107)*($G$12-$E$12)*($G$12-$F$12)))</f>
        <v>-89968.2198586367</v>
      </c>
      <c r="D107" s="15" t="n">
        <f aca="true">RAND()</f>
        <v>0.34649802712397</v>
      </c>
      <c r="E107" s="12" t="n">
        <f aca="false">IF(D107&lt;=($F$13-$E$13)/($G$13-$E$13),$E$13+SQRT(D107*($G$13-$E$13)*($F$13-$E$13)),$G$13-SQRT((1-D107)*($G$13-$E$13)*($G$13-$F$13)))</f>
        <v>-32790.6516196958</v>
      </c>
      <c r="F107" s="15" t="n">
        <f aca="true">RAND()</f>
        <v>0.318140571041367</v>
      </c>
      <c r="G107" s="12" t="n">
        <f aca="false">IF(F107&lt;=($F$14-$E$14)/($G$14-$E$14),$E$14+SQRT(F107*($G$14-$E$14)*($F$14-$E$14)),$G$14-SQRT((1-F107)*($G$14-$E$14)*($G$14-$F$14)))</f>
        <v>36908.044995236</v>
      </c>
      <c r="H107" s="15" t="n">
        <f aca="true">RAND()</f>
        <v>0.211112263957922</v>
      </c>
      <c r="I107" s="12" t="n">
        <f aca="false">IF(H107&lt;=($F$14-$E$14)/($G$14-$E$14),$E$14+SQRT(H107*($G$14-$E$14)*($F$14-$E$14)),$G$14-SQRT((1-H107)*($G$14-$E$14)*($G$14-$F$14)))</f>
        <v>35627.3297036595</v>
      </c>
      <c r="J107" s="15" t="n">
        <f aca="true">RAND()</f>
        <v>0.995417265438352</v>
      </c>
      <c r="K107" s="12" t="n">
        <f aca="false">IF(J107&lt;=($F$14-$E$14)/($G$14-$E$14),$E$14+SQRT(J107*($G$14-$E$14)*($F$14-$E$14)),$G$14-SQRT((1-J107)*($G$14-$E$14)*($G$14-$F$14)))</f>
        <v>44413.7363288387</v>
      </c>
      <c r="L107" s="15" t="n">
        <f aca="true">RAND()</f>
        <v>0.355825042146504</v>
      </c>
      <c r="M107" s="12" t="n">
        <f aca="false">IF(L107&lt;=($F$14-$E$14)/($G$14-$E$14),$E$14+SQRT(L107*($G$14-$E$14)*($F$14-$E$14)),$G$14-SQRT((1-L107)*($G$14-$E$14)*($G$14-$F$14)))</f>
        <v>37305.7344820337</v>
      </c>
      <c r="N107" s="15" t="n">
        <f aca="true">RAND()</f>
        <v>0.927323979717447</v>
      </c>
      <c r="O107" s="12" t="n">
        <f aca="false">IF(N107&lt;=($F$14-$E$14)/($G$14-$E$14),$E$14+SQRT(N107*($G$14-$E$14)*($F$14-$E$14)),$G$14-SQRT((1-N107)*($G$14-$E$14)*($G$14-$F$14)))</f>
        <v>42665.3262495176</v>
      </c>
      <c r="P107" s="15" t="n">
        <f aca="true">RAND()</f>
        <v>0.0224020744522714</v>
      </c>
      <c r="Q107" s="16" t="n">
        <f aca="false">IF(P107&lt;=($F$15-$E$15)/($G$15-$E$15),$E$15+SQRT(P107*($G$15-$E$15)*($F$15-$E$15)),$G$15-SQRT((1-P107)*($G$15-$E$15)*($G$15-$F$15)))</f>
        <v>12.635009716572</v>
      </c>
      <c r="R107" s="15" t="n">
        <f aca="true">RAND()</f>
        <v>0.177857988494186</v>
      </c>
      <c r="S107" s="16" t="n">
        <f aca="false">IF(R107&lt;=($F$16-$E$16)/($G$16-$E$16),$E$16+SQRT(R107*($G$16-$E$16)*($F$16-$E$16)),$G$16-SQRT((1-R107)*($G$16-$E$16)*($G$16-$F$16)))</f>
        <v>13.7892578888733</v>
      </c>
      <c r="T107" s="15" t="n">
        <f aca="true">RAND()</f>
        <v>0.714590735467723</v>
      </c>
      <c r="U107" s="16" t="n">
        <f aca="false">IF(T107&lt;=($F$17-$E$17)/($G$17-$E$17),$E$17+SQRT(T107*($G$17-$E$17)*($F$17-$E$17)),$G$17-SQRT((1-T107)*($G$17-$E$17)*($G$17-$F$17)))</f>
        <v>19.1730830562424</v>
      </c>
      <c r="V107" s="15" t="n">
        <f aca="true">RAND()</f>
        <v>0.448503814913642</v>
      </c>
      <c r="W107" s="16" t="n">
        <f aca="false">IF(V107&lt;=($F$18-$E$18)/($G$18-$E$18),$E$18+SQRT(V107*($G$18-$E$18)*($F$18-$E$18)),$G$18-SQRT((1-V107)*($G$18-$E$18)*($G$18-$F$18)))</f>
        <v>20.606554145318</v>
      </c>
      <c r="X107" s="15" t="n">
        <f aca="true">RAND()</f>
        <v>0.966763890299944</v>
      </c>
      <c r="Y107" s="16" t="n">
        <f aca="false">IF(X107&lt;=($F$19-$E$19)/($G$19-$E$19),$E$19+SQRT(X107*($G$19-$E$19)*($F$19-$E$19)),$G$19-SQRT((1-X107)*($G$19-$E$19)*($G$19-$F$19)))</f>
        <v>26.6603172301612</v>
      </c>
      <c r="Z107" s="12" t="n">
        <f aca="false">G107*(1+Q107/100)</f>
        <v>41571.3800665808</v>
      </c>
      <c r="AA107" s="12" t="n">
        <f aca="false">I107*(1+Q107/100)*(1+S107/100)</f>
        <v>45662.3163739506</v>
      </c>
      <c r="AB107" s="12" t="n">
        <f aca="false">K107*(1+Q107/100)*(1+S107/100)*(1+U107/100)</f>
        <v>67837.5493810408</v>
      </c>
      <c r="AC107" s="12" t="n">
        <f aca="false">M107*(1+Q107/100)*(1+S107/100)*(1+U107/100)*(1+W107/100)</f>
        <v>68722.5625169916</v>
      </c>
      <c r="AD107" s="12" t="n">
        <f aca="false">O107*(1+Q107/100)*(1+S107/100)*(1+U107/100)*(1+W107/100)*(1+Y107/100)</f>
        <v>99549.5709232507</v>
      </c>
      <c r="AE107" s="12" t="n">
        <f aca="false">ABS(C107)/$B$7</f>
        <v>17993.6439717273</v>
      </c>
      <c r="AF107" s="12" t="n">
        <f aca="false">Z107-AE107</f>
        <v>23577.7360948535</v>
      </c>
      <c r="AG107" s="12" t="n">
        <f aca="false">AA107-AE107</f>
        <v>27668.6724022233</v>
      </c>
      <c r="AH107" s="12" t="n">
        <f aca="false">AB107-AE107</f>
        <v>49843.9054093134</v>
      </c>
      <c r="AI107" s="12" t="n">
        <f aca="false">AC107-AE107</f>
        <v>50728.9185452643</v>
      </c>
      <c r="AJ107" s="12" t="n">
        <f aca="false">AD107-AE107</f>
        <v>81555.9269515234</v>
      </c>
      <c r="AK107" s="12" t="n">
        <f aca="false">AF107*$B$4</f>
        <v>11788.8680474267</v>
      </c>
      <c r="AL107" s="12" t="n">
        <f aca="false">AG107*$B$4</f>
        <v>13834.3362011116</v>
      </c>
      <c r="AM107" s="12" t="n">
        <f aca="false">AH107*$B$4</f>
        <v>24921.9527046567</v>
      </c>
      <c r="AN107" s="12" t="n">
        <f aca="false">AI107*$B$4</f>
        <v>25364.4592726321</v>
      </c>
      <c r="AO107" s="12" t="n">
        <f aca="false">AJ107*$B$4</f>
        <v>40777.9634757617</v>
      </c>
      <c r="AP107" s="12" t="n">
        <f aca="false">AF107-AK107</f>
        <v>11788.8680474267</v>
      </c>
      <c r="AQ107" s="12" t="n">
        <f aca="false">AG107-AL107</f>
        <v>13834.3362011116</v>
      </c>
      <c r="AR107" s="12" t="n">
        <f aca="false">AH107-AM107</f>
        <v>24921.9527046567</v>
      </c>
      <c r="AS107" s="12" t="n">
        <f aca="false">AI107-AN107</f>
        <v>25364.4592726321</v>
      </c>
      <c r="AT107" s="12" t="n">
        <f aca="false">AJ107-AO107</f>
        <v>40777.9634757617</v>
      </c>
      <c r="AU107" s="12" t="n">
        <f aca="false">0.2*ABS(C107)+1*ABS(E107)</f>
        <v>50784.2955914231</v>
      </c>
      <c r="AV107" s="12" t="n">
        <f aca="false">C107+E107</f>
        <v>-122758.871478332</v>
      </c>
      <c r="AW107" s="12" t="n">
        <f aca="false">AP107+AE107</f>
        <v>29782.5120191541</v>
      </c>
      <c r="AX107" s="12" t="n">
        <f aca="false">AQ107+AE107</f>
        <v>31827.980172839</v>
      </c>
      <c r="AY107" s="12" t="n">
        <f aca="false">AR107+AE107</f>
        <v>42915.5966763841</v>
      </c>
      <c r="AZ107" s="12" t="n">
        <f aca="false">AS107+AE107</f>
        <v>43358.1032443595</v>
      </c>
      <c r="BA107" s="12" t="n">
        <f aca="false">AT107+AE107+AU107</f>
        <v>109555.903038912</v>
      </c>
      <c r="BB107" s="4" t="n">
        <f aca="false">IFERROR(IRR(AV107:BA107,0.15),"n/a")</f>
        <v>0.240560282207381</v>
      </c>
      <c r="BC107" s="12" t="n">
        <f aca="false">NPV($B$5,AW107:BA107)+AV107</f>
        <v>34681.9746080918</v>
      </c>
    </row>
    <row r="108" customFormat="false" ht="15" hidden="false" customHeight="false" outlineLevel="0" collapsed="false">
      <c r="A108" s="3" t="n">
        <v>84</v>
      </c>
      <c r="B108" s="15" t="n">
        <f aca="true">RAND()</f>
        <v>0.993664131419454</v>
      </c>
      <c r="C108" s="12" t="n">
        <f aca="false">IF(B108&lt;=($F$12-$E$12)/($G$12-$E$12),$E$12+SQRT(B108*($G$12-$E$12)*($F$12-$E$12)),$G$12-SQRT((1-B108)*($G$12-$E$12)*($G$12-$F$12)))</f>
        <v>-61591.9633890949</v>
      </c>
      <c r="D108" s="15" t="n">
        <f aca="true">RAND()</f>
        <v>0.333960774918779</v>
      </c>
      <c r="E108" s="12" t="n">
        <f aca="false">IF(D108&lt;=($F$13-$E$13)/($G$13-$E$13),$E$13+SQRT(D108*($G$13-$E$13)*($F$13-$E$13)),$G$13-SQRT((1-D108)*($G$13-$E$13)*($G$13-$F$13)))</f>
        <v>-32922.2802939212</v>
      </c>
      <c r="F108" s="15" t="n">
        <f aca="true">RAND()</f>
        <v>0.590504272289499</v>
      </c>
      <c r="G108" s="12" t="n">
        <f aca="false">IF(F108&lt;=($F$14-$E$14)/($G$14-$E$14),$E$14+SQRT(F108*($G$14-$E$14)*($F$14-$E$14)),$G$14-SQRT((1-F108)*($G$14-$E$14)*($G$14-$F$14)))</f>
        <v>39411.4632679209</v>
      </c>
      <c r="H108" s="15" t="n">
        <f aca="true">RAND()</f>
        <v>0.8534875232788</v>
      </c>
      <c r="I108" s="12" t="n">
        <f aca="false">IF(H108&lt;=($F$14-$E$14)/($G$14-$E$14),$E$14+SQRT(H108*($G$14-$E$14)*($F$14-$E$14)),$G$14-SQRT((1-H108)*($G$14-$E$14)*($G$14-$F$14)))</f>
        <v>41685.1190437529</v>
      </c>
      <c r="J108" s="15" t="n">
        <f aca="true">RAND()</f>
        <v>0.393683742287299</v>
      </c>
      <c r="K108" s="12" t="n">
        <f aca="false">IF(J108&lt;=($F$14-$E$14)/($G$14-$E$14),$E$14+SQRT(J108*($G$14-$E$14)*($F$14-$E$14)),$G$14-SQRT((1-J108)*($G$14-$E$14)*($G$14-$F$14)))</f>
        <v>37684.566438199</v>
      </c>
      <c r="L108" s="15" t="n">
        <f aca="true">RAND()</f>
        <v>0.173781697551409</v>
      </c>
      <c r="M108" s="12" t="n">
        <f aca="false">IF(L108&lt;=($F$14-$E$14)/($G$14-$E$14),$E$14+SQRT(L108*($G$14-$E$14)*($F$14-$E$14)),$G$14-SQRT((1-L108)*($G$14-$E$14)*($G$14-$F$14)))</f>
        <v>35105.6101136604</v>
      </c>
      <c r="N108" s="15" t="n">
        <f aca="true">RAND()</f>
        <v>0.985207926076457</v>
      </c>
      <c r="O108" s="12" t="n">
        <f aca="false">IF(N108&lt;=($F$14-$E$14)/($G$14-$E$14),$E$14+SQRT(N108*($G$14-$E$14)*($F$14-$E$14)),$G$14-SQRT((1-N108)*($G$14-$E$14)*($G$14-$F$14)))</f>
        <v>43946.716778703</v>
      </c>
      <c r="P108" s="15" t="n">
        <f aca="true">RAND()</f>
        <v>0.167819251297376</v>
      </c>
      <c r="Q108" s="16" t="n">
        <f aca="false">IF(P108&lt;=($F$15-$E$15)/($G$15-$E$15),$E$15+SQRT(P108*($G$15-$E$15)*($F$15-$E$15)),$G$15-SQRT((1-P108)*($G$15-$E$15)*($G$15-$F$15)))</f>
        <v>13.7380294943852</v>
      </c>
      <c r="R108" s="15" t="n">
        <f aca="true">RAND()</f>
        <v>0.787721167328448</v>
      </c>
      <c r="S108" s="16" t="n">
        <f aca="false">IF(R108&lt;=($F$16-$E$16)/($G$16-$E$16),$E$16+SQRT(R108*($G$16-$E$16)*($F$16-$E$16)),$G$16-SQRT((1-R108)*($G$16-$E$16)*($G$16-$F$16)))</f>
        <v>16.0452573089821</v>
      </c>
      <c r="T108" s="15" t="n">
        <f aca="true">RAND()</f>
        <v>0.312276420325678</v>
      </c>
      <c r="U108" s="16" t="n">
        <f aca="false">IF(T108&lt;=($F$17-$E$17)/($G$17-$E$17),$E$17+SQRT(T108*($G$17-$E$17)*($F$17-$E$17)),$G$17-SQRT((1-T108)*($G$17-$E$17)*($G$17-$F$17)))</f>
        <v>17.5608211235538</v>
      </c>
      <c r="V108" s="15" t="n">
        <f aca="true">RAND()</f>
        <v>0.899346557366227</v>
      </c>
      <c r="W108" s="16" t="n">
        <f aca="false">IF(V108&lt;=($F$18-$E$18)/($G$18-$E$18),$E$18+SQRT(V108*($G$18-$E$18)*($F$18-$E$18)),$G$18-SQRT((1-V108)*($G$18-$E$18)*($G$18-$F$18)))</f>
        <v>23.1230688632286</v>
      </c>
      <c r="X108" s="15" t="n">
        <f aca="true">RAND()</f>
        <v>0.673360852759782</v>
      </c>
      <c r="Y108" s="16" t="n">
        <f aca="false">IF(X108&lt;=($F$19-$E$19)/($G$19-$E$19),$E$19+SQRT(X108*($G$19-$E$19)*($F$19-$E$19)),$G$19-SQRT((1-X108)*($G$19-$E$19)*($G$19-$F$19)))</f>
        <v>23.8001769143246</v>
      </c>
      <c r="Z108" s="12" t="n">
        <f aca="false">G108*(1+Q108/100)</f>
        <v>44825.8217158367</v>
      </c>
      <c r="AA108" s="12" t="n">
        <f aca="false">I108*(1+Q108/100)*(1+S108/100)</f>
        <v>55019.1835913453</v>
      </c>
      <c r="AB108" s="12" t="n">
        <f aca="false">K108*(1+Q108/100)*(1+S108/100)*(1+U108/100)</f>
        <v>58473.5188155474</v>
      </c>
      <c r="AC108" s="12" t="n">
        <f aca="false">M108*(1+Q108/100)*(1+S108/100)*(1+U108/100)*(1+W108/100)</f>
        <v>67067.4298263408</v>
      </c>
      <c r="AD108" s="12" t="n">
        <f aca="false">O108*(1+Q108/100)*(1+S108/100)*(1+U108/100)*(1+W108/100)*(1+Y108/100)</f>
        <v>103940.030154454</v>
      </c>
      <c r="AE108" s="12" t="n">
        <f aca="false">ABS(C108)/$B$7</f>
        <v>12318.392677819</v>
      </c>
      <c r="AF108" s="12" t="n">
        <f aca="false">Z108-AE108</f>
        <v>32507.4290380177</v>
      </c>
      <c r="AG108" s="12" t="n">
        <f aca="false">AA108-AE108</f>
        <v>42700.7909135263</v>
      </c>
      <c r="AH108" s="12" t="n">
        <f aca="false">AB108-AE108</f>
        <v>46155.1261377284</v>
      </c>
      <c r="AI108" s="12" t="n">
        <f aca="false">AC108-AE108</f>
        <v>54749.0371485219</v>
      </c>
      <c r="AJ108" s="12" t="n">
        <f aca="false">AD108-AE108</f>
        <v>91621.6374766348</v>
      </c>
      <c r="AK108" s="12" t="n">
        <f aca="false">AF108*$B$4</f>
        <v>16253.7145190089</v>
      </c>
      <c r="AL108" s="12" t="n">
        <f aca="false">AG108*$B$4</f>
        <v>21350.3954567632</v>
      </c>
      <c r="AM108" s="12" t="n">
        <f aca="false">AH108*$B$4</f>
        <v>23077.5630688642</v>
      </c>
      <c r="AN108" s="12" t="n">
        <f aca="false">AI108*$B$4</f>
        <v>27374.5185742609</v>
      </c>
      <c r="AO108" s="12" t="n">
        <f aca="false">AJ108*$B$4</f>
        <v>45810.8187383174</v>
      </c>
      <c r="AP108" s="12" t="n">
        <f aca="false">AF108-AK108</f>
        <v>16253.7145190089</v>
      </c>
      <c r="AQ108" s="12" t="n">
        <f aca="false">AG108-AL108</f>
        <v>21350.3954567632</v>
      </c>
      <c r="AR108" s="12" t="n">
        <f aca="false">AH108-AM108</f>
        <v>23077.5630688642</v>
      </c>
      <c r="AS108" s="12" t="n">
        <f aca="false">AI108-AN108</f>
        <v>27374.5185742609</v>
      </c>
      <c r="AT108" s="12" t="n">
        <f aca="false">AJ108-AO108</f>
        <v>45810.8187383174</v>
      </c>
      <c r="AU108" s="12" t="n">
        <f aca="false">0.2*ABS(C108)+1*ABS(E108)</f>
        <v>45240.6729717401</v>
      </c>
      <c r="AV108" s="12" t="n">
        <f aca="false">C108+E108</f>
        <v>-94514.243683016</v>
      </c>
      <c r="AW108" s="12" t="n">
        <f aca="false">AP108+AE108</f>
        <v>28572.1071968278</v>
      </c>
      <c r="AX108" s="12" t="n">
        <f aca="false">AQ108+AE108</f>
        <v>33668.7881345821</v>
      </c>
      <c r="AY108" s="12" t="n">
        <f aca="false">AR108+AE108</f>
        <v>35395.9557466832</v>
      </c>
      <c r="AZ108" s="12" t="n">
        <f aca="false">AS108+AE108</f>
        <v>39692.9112520799</v>
      </c>
      <c r="BA108" s="12" t="n">
        <f aca="false">AT108+AE108+AU108</f>
        <v>103369.884387877</v>
      </c>
      <c r="BB108" s="4" t="n">
        <f aca="false">IFERROR(IRR(AV108:BA108,0.15),"n/a")</f>
        <v>0.323289977819873</v>
      </c>
      <c r="BC108" s="12" t="n">
        <f aca="false">NPV($B$5,AW108:BA108)+AV108</f>
        <v>53150.5758058702</v>
      </c>
    </row>
    <row r="109" customFormat="false" ht="15" hidden="false" customHeight="false" outlineLevel="0" collapsed="false">
      <c r="A109" s="3" t="n">
        <v>85</v>
      </c>
      <c r="B109" s="15" t="n">
        <f aca="true">RAND()</f>
        <v>0.268437634029509</v>
      </c>
      <c r="C109" s="12" t="n">
        <f aca="false">IF(B109&lt;=($F$12-$E$12)/($G$12-$E$12),$E$12+SQRT(B109*($G$12-$E$12)*($F$12-$E$12)),$G$12-SQRT((1-B109)*($G$12-$E$12)*($G$12-$F$12)))</f>
        <v>-82052.1544235691</v>
      </c>
      <c r="D109" s="15" t="n">
        <f aca="true">RAND()</f>
        <v>0.274583822080388</v>
      </c>
      <c r="E109" s="12" t="n">
        <f aca="false">IF(D109&lt;=($F$13-$E$13)/($G$13-$E$13),$E$13+SQRT(D109*($G$13-$E$13)*($F$13-$E$13)),$G$13-SQRT((1-D109)*($G$13-$E$13)*($G$13-$F$13)))</f>
        <v>-33582.2454618412</v>
      </c>
      <c r="F109" s="15" t="n">
        <f aca="true">RAND()</f>
        <v>0.487781833070116</v>
      </c>
      <c r="G109" s="12" t="n">
        <f aca="false">IF(F109&lt;=($F$14-$E$14)/($G$14-$E$14),$E$14+SQRT(F109*($G$14-$E$14)*($F$14-$E$14)),$G$14-SQRT((1-F109)*($G$14-$E$14)*($G$14-$F$14)))</f>
        <v>38553.7871706349</v>
      </c>
      <c r="H109" s="15" t="n">
        <f aca="true">RAND()</f>
        <v>0.0456044110893388</v>
      </c>
      <c r="I109" s="12" t="n">
        <f aca="false">IF(H109&lt;=($F$14-$E$14)/($G$14-$E$14),$E$14+SQRT(H109*($G$14-$E$14)*($F$14-$E$14)),$G$14-SQRT((1-H109)*($G$14-$E$14)*($G$14-$F$14)))</f>
        <v>32615.4658597276</v>
      </c>
      <c r="J109" s="15" t="n">
        <f aca="true">RAND()</f>
        <v>0.4464806774519</v>
      </c>
      <c r="K109" s="12" t="n">
        <f aca="false">IF(J109&lt;=($F$14-$E$14)/($G$14-$E$14),$E$14+SQRT(J109*($G$14-$E$14)*($F$14-$E$14)),$G$14-SQRT((1-J109)*($G$14-$E$14)*($G$14-$F$14)))</f>
        <v>38183.6484295078</v>
      </c>
      <c r="L109" s="15" t="n">
        <f aca="true">RAND()</f>
        <v>0.648366759552761</v>
      </c>
      <c r="M109" s="12" t="n">
        <f aca="false">IF(L109&lt;=($F$14-$E$14)/($G$14-$E$14),$E$14+SQRT(L109*($G$14-$E$14)*($F$14-$E$14)),$G$14-SQRT((1-L109)*($G$14-$E$14)*($G$14-$F$14)))</f>
        <v>39861.7956748715</v>
      </c>
      <c r="N109" s="15" t="n">
        <f aca="true">RAND()</f>
        <v>0.363740490855183</v>
      </c>
      <c r="O109" s="12" t="n">
        <f aca="false">IF(N109&lt;=($F$14-$E$14)/($G$14-$E$14),$E$14+SQRT(N109*($G$14-$E$14)*($F$14-$E$14)),$G$14-SQRT((1-N109)*($G$14-$E$14)*($G$14-$F$14)))</f>
        <v>37386.5467999788</v>
      </c>
      <c r="P109" s="15" t="n">
        <f aca="true">RAND()</f>
        <v>0.755094381019303</v>
      </c>
      <c r="Q109" s="16" t="n">
        <f aca="false">IF(P109&lt;=($F$15-$E$15)/($G$15-$E$15),$E$15+SQRT(P109*($G$15-$E$15)*($F$15-$E$15)),$G$15-SQRT((1-P109)*($G$15-$E$15)*($G$15-$F$15)))</f>
        <v>15.9004045290455</v>
      </c>
      <c r="R109" s="15" t="n">
        <f aca="true">RAND()</f>
        <v>0.408428254630195</v>
      </c>
      <c r="S109" s="16" t="n">
        <f aca="false">IF(R109&lt;=($F$16-$E$16)/($G$16-$E$16),$E$16+SQRT(R109*($G$16-$E$16)*($F$16-$E$16)),$G$16-SQRT((1-R109)*($G$16-$E$16)*($G$16-$F$16)))</f>
        <v>14.7114034342649</v>
      </c>
      <c r="T109" s="15" t="n">
        <f aca="true">RAND()</f>
        <v>0.691939387192122</v>
      </c>
      <c r="U109" s="16" t="n">
        <f aca="false">IF(T109&lt;=($F$17-$E$17)/($G$17-$E$17),$E$17+SQRT(T109*($G$17-$E$17)*($F$17-$E$17)),$G$17-SQRT((1-T109)*($G$17-$E$17)*($G$17-$F$17)))</f>
        <v>19.0630462791149</v>
      </c>
      <c r="V109" s="15" t="n">
        <f aca="true">RAND()</f>
        <v>0.637190986234729</v>
      </c>
      <c r="W109" s="16" t="n">
        <f aca="false">IF(V109&lt;=($F$18-$E$18)/($G$18-$E$18),$E$18+SQRT(V109*($G$18-$E$18)*($F$18-$E$18)),$G$18-SQRT((1-V109)*($G$18-$E$18)*($G$18-$F$18)))</f>
        <v>21.4365304152014</v>
      </c>
      <c r="X109" s="15" t="n">
        <f aca="true">RAND()</f>
        <v>0.543428115081323</v>
      </c>
      <c r="Y109" s="16" t="n">
        <f aca="false">IF(X109&lt;=($F$19-$E$19)/($G$19-$E$19),$E$19+SQRT(X109*($G$19-$E$19)*($F$19-$E$19)),$G$19-SQRT((1-X109)*($G$19-$E$19)*($G$19-$F$19)))</f>
        <v>23.0346317573005</v>
      </c>
      <c r="Z109" s="12" t="n">
        <f aca="false">G109*(1+Q109/100)</f>
        <v>44683.9952920331</v>
      </c>
      <c r="AA109" s="12" t="n">
        <f aca="false">I109*(1+Q109/100)*(1+S109/100)</f>
        <v>43362.5816946997</v>
      </c>
      <c r="AB109" s="12" t="n">
        <f aca="false">K109*(1+Q109/100)*(1+S109/100)*(1+U109/100)</f>
        <v>60442.9924594706</v>
      </c>
      <c r="AC109" s="12" t="n">
        <f aca="false">M109*(1+Q109/100)*(1+S109/100)*(1+U109/100)*(1+W109/100)</f>
        <v>76625.7510037561</v>
      </c>
      <c r="AD109" s="12" t="n">
        <f aca="false">O109*(1+Q109/100)*(1+S109/100)*(1+U109/100)*(1+W109/100)*(1+Y109/100)</f>
        <v>88422.0567401217</v>
      </c>
      <c r="AE109" s="12" t="n">
        <f aca="false">ABS(C109)/$B$7</f>
        <v>16410.4308847138</v>
      </c>
      <c r="AF109" s="12" t="n">
        <f aca="false">Z109-AE109</f>
        <v>28273.5644073192</v>
      </c>
      <c r="AG109" s="12" t="n">
        <f aca="false">AA109-AE109</f>
        <v>26952.1508099858</v>
      </c>
      <c r="AH109" s="12" t="n">
        <f aca="false">AB109-AE109</f>
        <v>44032.5615747568</v>
      </c>
      <c r="AI109" s="12" t="n">
        <f aca="false">AC109-AE109</f>
        <v>60215.3201190423</v>
      </c>
      <c r="AJ109" s="12" t="n">
        <f aca="false">AD109-AE109</f>
        <v>72011.6258554078</v>
      </c>
      <c r="AK109" s="12" t="n">
        <f aca="false">AF109*$B$4</f>
        <v>14136.7822036596</v>
      </c>
      <c r="AL109" s="12" t="n">
        <f aca="false">AG109*$B$4</f>
        <v>13476.0754049929</v>
      </c>
      <c r="AM109" s="12" t="n">
        <f aca="false">AH109*$B$4</f>
        <v>22016.2807873784</v>
      </c>
      <c r="AN109" s="12" t="n">
        <f aca="false">AI109*$B$4</f>
        <v>30107.6600595212</v>
      </c>
      <c r="AO109" s="12" t="n">
        <f aca="false">AJ109*$B$4</f>
        <v>36005.8129277039</v>
      </c>
      <c r="AP109" s="12" t="n">
        <f aca="false">AF109-AK109</f>
        <v>14136.7822036596</v>
      </c>
      <c r="AQ109" s="12" t="n">
        <f aca="false">AG109-AL109</f>
        <v>13476.0754049929</v>
      </c>
      <c r="AR109" s="12" t="n">
        <f aca="false">AH109-AM109</f>
        <v>22016.2807873784</v>
      </c>
      <c r="AS109" s="12" t="n">
        <f aca="false">AI109-AN109</f>
        <v>30107.6600595212</v>
      </c>
      <c r="AT109" s="12" t="n">
        <f aca="false">AJ109-AO109</f>
        <v>36005.8129277039</v>
      </c>
      <c r="AU109" s="12" t="n">
        <f aca="false">0.2*ABS(C109)+1*ABS(E109)</f>
        <v>49992.676346555</v>
      </c>
      <c r="AV109" s="12" t="n">
        <f aca="false">C109+E109</f>
        <v>-115634.39988541</v>
      </c>
      <c r="AW109" s="12" t="n">
        <f aca="false">AP109+AE109</f>
        <v>30547.2130883734</v>
      </c>
      <c r="AX109" s="12" t="n">
        <f aca="false">AQ109+AE109</f>
        <v>29886.5062897067</v>
      </c>
      <c r="AY109" s="12" t="n">
        <f aca="false">AR109+AE109</f>
        <v>38426.7116720922</v>
      </c>
      <c r="AZ109" s="12" t="n">
        <f aca="false">AS109+AE109</f>
        <v>46518.090944235</v>
      </c>
      <c r="BA109" s="12" t="n">
        <f aca="false">AT109+AE109+AU109</f>
        <v>102408.920158973</v>
      </c>
      <c r="BB109" s="4" t="n">
        <f aca="false">IFERROR(IRR(AV109:BA109,0.15),"n/a")</f>
        <v>0.25074063011101</v>
      </c>
      <c r="BC109" s="12" t="n">
        <f aca="false">NPV($B$5,AW109:BA109)+AV109</f>
        <v>36305.2753226709</v>
      </c>
    </row>
    <row r="110" customFormat="false" ht="15" hidden="false" customHeight="false" outlineLevel="0" collapsed="false">
      <c r="A110" s="3" t="n">
        <v>86</v>
      </c>
      <c r="B110" s="15" t="n">
        <f aca="true">RAND()</f>
        <v>0.939833721250319</v>
      </c>
      <c r="C110" s="12" t="n">
        <f aca="false">IF(B110&lt;=($F$12-$E$12)/($G$12-$E$12),$E$12+SQRT(B110*($G$12-$E$12)*($F$12-$E$12)),$G$12-SQRT((1-B110)*($G$12-$E$12)*($G$12-$F$12)))</f>
        <v>-64905.7630904756</v>
      </c>
      <c r="D110" s="15" t="n">
        <f aca="true">RAND()</f>
        <v>0.0582920045495643</v>
      </c>
      <c r="E110" s="12" t="n">
        <f aca="false">IF(D110&lt;=($F$13-$E$13)/($G$13-$E$13),$E$13+SQRT(D110*($G$13-$E$13)*($F$13-$E$13)),$G$13-SQRT((1-D110)*($G$13-$E$13)*($G$13-$F$13)))</f>
        <v>-37043.0081700426</v>
      </c>
      <c r="F110" s="15" t="n">
        <f aca="true">RAND()</f>
        <v>0.963074045843101</v>
      </c>
      <c r="G110" s="12" t="n">
        <f aca="false">IF(F110&lt;=($F$14-$E$14)/($G$14-$E$14),$E$14+SQRT(F110*($G$14-$E$14)*($F$14-$E$14)),$G$14-SQRT((1-F110)*($G$14-$E$14)*($G$14-$F$14)))</f>
        <v>43335.8345749994</v>
      </c>
      <c r="H110" s="15" t="n">
        <f aca="true">RAND()</f>
        <v>0.880828817348696</v>
      </c>
      <c r="I110" s="12" t="n">
        <f aca="false">IF(H110&lt;=($F$14-$E$14)/($G$14-$E$14),$E$14+SQRT(H110*($G$14-$E$14)*($F$14-$E$14)),$G$14-SQRT((1-H110)*($G$14-$E$14)*($G$14-$F$14)))</f>
        <v>42010.3781679203</v>
      </c>
      <c r="J110" s="15" t="n">
        <f aca="true">RAND()</f>
        <v>0.564726059052184</v>
      </c>
      <c r="K110" s="12" t="n">
        <f aca="false">IF(J110&lt;=($F$14-$E$14)/($G$14-$E$14),$E$14+SQRT(J110*($G$14-$E$14)*($F$14-$E$14)),$G$14-SQRT((1-J110)*($G$14-$E$14)*($G$14-$F$14)))</f>
        <v>39203.7442846826</v>
      </c>
      <c r="L110" s="15" t="n">
        <f aca="true">RAND()</f>
        <v>0.704359380935587</v>
      </c>
      <c r="M110" s="12" t="n">
        <f aca="false">IF(L110&lt;=($F$14-$E$14)/($G$14-$E$14),$E$14+SQRT(L110*($G$14-$E$14)*($F$14-$E$14)),$G$14-SQRT((1-L110)*($G$14-$E$14)*($G$14-$F$14)))</f>
        <v>40291.1735612967</v>
      </c>
      <c r="N110" s="15" t="n">
        <f aca="true">RAND()</f>
        <v>0.255649379129778</v>
      </c>
      <c r="O110" s="12" t="n">
        <f aca="false">IF(N110&lt;=($F$14-$E$14)/($G$14-$E$14),$E$14+SQRT(N110*($G$14-$E$14)*($F$14-$E$14)),$G$14-SQRT((1-N110)*($G$14-$E$14)*($G$14-$F$14)))</f>
        <v>36192.5283099447</v>
      </c>
      <c r="P110" s="15" t="n">
        <f aca="true">RAND()</f>
        <v>0.887246154610855</v>
      </c>
      <c r="Q110" s="16" t="n">
        <f aca="false">IF(P110&lt;=($F$15-$E$15)/($G$15-$E$15),$E$15+SQRT(P110*($G$15-$E$15)*($F$15-$E$15)),$G$15-SQRT((1-P110)*($G$15-$E$15)*($G$15-$F$15)))</f>
        <v>16.5753704983384</v>
      </c>
      <c r="R110" s="15" t="n">
        <f aca="true">RAND()</f>
        <v>0.045582115915216</v>
      </c>
      <c r="S110" s="16" t="n">
        <f aca="false">IF(R110&lt;=($F$16-$E$16)/($G$16-$E$16),$E$16+SQRT(R110*($G$16-$E$16)*($F$16-$E$16)),$G$16-SQRT((1-R110)*($G$16-$E$16)*($G$16-$F$16)))</f>
        <v>12.9058024544424</v>
      </c>
      <c r="T110" s="15" t="n">
        <f aca="true">RAND()</f>
        <v>0.183028508784186</v>
      </c>
      <c r="U110" s="16" t="n">
        <f aca="false">IF(T110&lt;=($F$17-$E$17)/($G$17-$E$17),$E$17+SQRT(T110*($G$17-$E$17)*($F$17-$E$17)),$G$17-SQRT((1-T110)*($G$17-$E$17)*($G$17-$F$17)))</f>
        <v>16.9605098021861</v>
      </c>
      <c r="V110" s="15" t="n">
        <f aca="true">RAND()</f>
        <v>0.219274542982873</v>
      </c>
      <c r="W110" s="16" t="n">
        <f aca="false">IF(V110&lt;=($F$18-$E$18)/($G$18-$E$18),$E$18+SQRT(V110*($G$18-$E$18)*($F$18-$E$18)),$G$18-SQRT((1-V110)*($G$18-$E$18)*($G$18-$F$18)))</f>
        <v>19.75209691563</v>
      </c>
      <c r="X110" s="15" t="n">
        <f aca="true">RAND()</f>
        <v>0.943414883852284</v>
      </c>
      <c r="Y110" s="16" t="n">
        <f aca="false">IF(X110&lt;=($F$19-$E$19)/($G$19-$E$19),$E$19+SQRT(X110*($G$19-$E$19)*($F$19-$E$19)),$G$19-SQRT((1-X110)*($G$19-$E$19)*($G$19-$F$19)))</f>
        <v>26.2519736066133</v>
      </c>
      <c r="Z110" s="12" t="n">
        <f aca="false">G110*(1+Q110/100)</f>
        <v>50518.9097143526</v>
      </c>
      <c r="AA110" s="12" t="n">
        <f aca="false">I110*(1+Q110/100)*(1+S110/100)</f>
        <v>55294.2099423843</v>
      </c>
      <c r="AB110" s="12" t="n">
        <f aca="false">K110*(1+Q110/100)*(1+S110/100)*(1+U110/100)</f>
        <v>60351.749832405</v>
      </c>
      <c r="AC110" s="12" t="n">
        <f aca="false">M110*(1+Q110/100)*(1+S110/100)*(1+U110/100)*(1+W110/100)</f>
        <v>74277.1724546384</v>
      </c>
      <c r="AD110" s="12" t="n">
        <f aca="false">O110*(1+Q110/100)*(1+S110/100)*(1+U110/100)*(1+W110/100)*(1+Y110/100)</f>
        <v>84236.9326318238</v>
      </c>
      <c r="AE110" s="12" t="n">
        <f aca="false">ABS(C110)/$B$7</f>
        <v>12981.1526180951</v>
      </c>
      <c r="AF110" s="12" t="n">
        <f aca="false">Z110-AE110</f>
        <v>37537.7570962575</v>
      </c>
      <c r="AG110" s="12" t="n">
        <f aca="false">AA110-AE110</f>
        <v>42313.0573242892</v>
      </c>
      <c r="AH110" s="12" t="n">
        <f aca="false">AB110-AE110</f>
        <v>47370.5972143099</v>
      </c>
      <c r="AI110" s="12" t="n">
        <f aca="false">AC110-AE110</f>
        <v>61296.0198365433</v>
      </c>
      <c r="AJ110" s="12" t="n">
        <f aca="false">AD110-AE110</f>
        <v>71255.7800137287</v>
      </c>
      <c r="AK110" s="12" t="n">
        <f aca="false">AF110*$B$4</f>
        <v>18768.8785481287</v>
      </c>
      <c r="AL110" s="12" t="n">
        <f aca="false">AG110*$B$4</f>
        <v>21156.5286621446</v>
      </c>
      <c r="AM110" s="12" t="n">
        <f aca="false">AH110*$B$4</f>
        <v>23685.2986071549</v>
      </c>
      <c r="AN110" s="12" t="n">
        <f aca="false">AI110*$B$4</f>
        <v>30648.0099182717</v>
      </c>
      <c r="AO110" s="12" t="n">
        <f aca="false">AJ110*$B$4</f>
        <v>35627.8900068644</v>
      </c>
      <c r="AP110" s="12" t="n">
        <f aca="false">AF110-AK110</f>
        <v>18768.8785481287</v>
      </c>
      <c r="AQ110" s="12" t="n">
        <f aca="false">AG110-AL110</f>
        <v>21156.5286621446</v>
      </c>
      <c r="AR110" s="12" t="n">
        <f aca="false">AH110-AM110</f>
        <v>23685.2986071549</v>
      </c>
      <c r="AS110" s="12" t="n">
        <f aca="false">AI110-AN110</f>
        <v>30648.0099182717</v>
      </c>
      <c r="AT110" s="12" t="n">
        <f aca="false">AJ110-AO110</f>
        <v>35627.8900068644</v>
      </c>
      <c r="AU110" s="12" t="n">
        <f aca="false">0.2*ABS(C110)+1*ABS(E110)</f>
        <v>50024.1607881377</v>
      </c>
      <c r="AV110" s="12" t="n">
        <f aca="false">C110+E110</f>
        <v>-101948.771260518</v>
      </c>
      <c r="AW110" s="12" t="n">
        <f aca="false">AP110+AE110</f>
        <v>31750.0311662239</v>
      </c>
      <c r="AX110" s="12" t="n">
        <f aca="false">AQ110+AE110</f>
        <v>34137.6812802397</v>
      </c>
      <c r="AY110" s="12" t="n">
        <f aca="false">AR110+AE110</f>
        <v>36666.4512252501</v>
      </c>
      <c r="AZ110" s="12" t="n">
        <f aca="false">AS110+AE110</f>
        <v>43629.1625363668</v>
      </c>
      <c r="BA110" s="12" t="n">
        <f aca="false">AT110+AE110+AU110</f>
        <v>98633.2034130972</v>
      </c>
      <c r="BB110" s="4" t="n">
        <f aca="false">IFERROR(IRR(AV110:BA110,0.15),"n/a")</f>
        <v>0.305116156764808</v>
      </c>
      <c r="BC110" s="12" t="n">
        <f aca="false">NPV($B$5,AW110:BA110)+AV110</f>
        <v>49564.9792228564</v>
      </c>
    </row>
    <row r="111" customFormat="false" ht="15" hidden="false" customHeight="false" outlineLevel="0" collapsed="false">
      <c r="A111" s="3" t="n">
        <v>87</v>
      </c>
      <c r="B111" s="15" t="n">
        <f aca="true">RAND()</f>
        <v>0.993137762554006</v>
      </c>
      <c r="C111" s="12" t="n">
        <f aca="false">IF(B111&lt;=($F$12-$E$12)/($G$12-$E$12),$E$12+SQRT(B111*($G$12-$E$12)*($F$12-$E$12)),$G$12-SQRT((1-B111)*($G$12-$E$12)*($G$12-$F$12)))</f>
        <v>-61656.7724582446</v>
      </c>
      <c r="D111" s="15" t="n">
        <f aca="true">RAND()</f>
        <v>0.498358218983438</v>
      </c>
      <c r="E111" s="12" t="n">
        <f aca="false">IF(D111&lt;=($F$13-$E$13)/($G$13-$E$13),$E$13+SQRT(D111*($G$13-$E$13)*($F$13-$E$13)),$G$13-SQRT((1-D111)*($G$13-$E$13)*($G$13-$F$13)))</f>
        <v>-31353.975893654</v>
      </c>
      <c r="F111" s="15" t="n">
        <f aca="true">RAND()</f>
        <v>0.404169808533305</v>
      </c>
      <c r="G111" s="12" t="n">
        <f aca="false">IF(F111&lt;=($F$14-$E$14)/($G$14-$E$14),$E$14+SQRT(F111*($G$14-$E$14)*($F$14-$E$14)),$G$14-SQRT((1-F111)*($G$14-$E$14)*($G$14-$F$14)))</f>
        <v>37786.2360149173</v>
      </c>
      <c r="H111" s="15" t="n">
        <f aca="true">RAND()</f>
        <v>0.745031100256792</v>
      </c>
      <c r="I111" s="12" t="n">
        <f aca="false">IF(H111&lt;=($F$14-$E$14)/($G$14-$E$14),$E$14+SQRT(H111*($G$14-$E$14)*($F$14-$E$14)),$G$14-SQRT((1-H111)*($G$14-$E$14)*($G$14-$F$14)))</f>
        <v>40627.0527694997</v>
      </c>
      <c r="J111" s="15" t="n">
        <f aca="true">RAND()</f>
        <v>0.675064536994268</v>
      </c>
      <c r="K111" s="12" t="n">
        <f aca="false">IF(J111&lt;=($F$14-$E$14)/($G$14-$E$14),$E$14+SQRT(J111*($G$14-$E$14)*($F$14-$E$14)),$G$14-SQRT((1-J111)*($G$14-$E$14)*($G$14-$F$14)))</f>
        <v>40063.3858034651</v>
      </c>
      <c r="L111" s="15" t="n">
        <f aca="true">RAND()</f>
        <v>0.599780706921043</v>
      </c>
      <c r="M111" s="12" t="n">
        <f aca="false">IF(L111&lt;=($F$14-$E$14)/($G$14-$E$14),$E$14+SQRT(L111*($G$14-$E$14)*($F$14-$E$14)),$G$14-SQRT((1-L111)*($G$14-$E$14)*($G$14-$F$14)))</f>
        <v>39485.0991580561</v>
      </c>
      <c r="N111" s="15" t="n">
        <f aca="true">RAND()</f>
        <v>0.81380516266958</v>
      </c>
      <c r="O111" s="12" t="n">
        <f aca="false">IF(N111&lt;=($F$14-$E$14)/($G$14-$E$14),$E$14+SQRT(N111*($G$14-$E$14)*($F$14-$E$14)),$G$14-SQRT((1-N111)*($G$14-$E$14)*($G$14-$F$14)))</f>
        <v>41263.0744187526</v>
      </c>
      <c r="P111" s="15" t="n">
        <f aca="true">RAND()</f>
        <v>0.207938088201646</v>
      </c>
      <c r="Q111" s="16" t="n">
        <f aca="false">IF(P111&lt;=($F$15-$E$15)/($G$15-$E$15),$E$15+SQRT(P111*($G$15-$E$15)*($F$15-$E$15)),$G$15-SQRT((1-P111)*($G$15-$E$15)*($G$15-$F$15)))</f>
        <v>13.9346538676543</v>
      </c>
      <c r="R111" s="15" t="n">
        <f aca="true">RAND()</f>
        <v>0.681919793605704</v>
      </c>
      <c r="S111" s="16" t="n">
        <f aca="false">IF(R111&lt;=($F$16-$E$16)/($G$16-$E$16),$E$16+SQRT(R111*($G$16-$E$16)*($F$16-$E$16)),$G$16-SQRT((1-R111)*($G$16-$E$16)*($G$16-$F$16)))</f>
        <v>15.6072100562111</v>
      </c>
      <c r="T111" s="15" t="n">
        <f aca="true">RAND()</f>
        <v>0.710404230442871</v>
      </c>
      <c r="U111" s="16" t="n">
        <f aca="false">IF(T111&lt;=($F$17-$E$17)/($G$17-$E$17),$E$17+SQRT(T111*($G$17-$E$17)*($F$17-$E$17)),$G$17-SQRT((1-T111)*($G$17-$E$17)*($G$17-$F$17)))</f>
        <v>19.1524253218573</v>
      </c>
      <c r="V111" s="15" t="n">
        <f aca="true">RAND()</f>
        <v>0.347066778379223</v>
      </c>
      <c r="W111" s="16" t="n">
        <f aca="false">IF(V111&lt;=($F$18-$E$18)/($G$18-$E$18),$E$18+SQRT(V111*($G$18-$E$18)*($F$18-$E$18)),$G$18-SQRT((1-V111)*($G$18-$E$18)*($G$18-$F$18)))</f>
        <v>20.2195541257402</v>
      </c>
      <c r="X111" s="15" t="n">
        <f aca="true">RAND()</f>
        <v>0.709404092411537</v>
      </c>
      <c r="Y111" s="16" t="n">
        <f aca="false">IF(X111&lt;=($F$19-$E$19)/($G$19-$E$19),$E$19+SQRT(X111*($G$19-$E$19)*($F$19-$E$19)),$G$19-SQRT((1-X111)*($G$19-$E$19)*($G$19-$F$19)))</f>
        <v>24.0386644916421</v>
      </c>
      <c r="Z111" s="12" t="n">
        <f aca="false">G111*(1+Q111/100)</f>
        <v>43051.617213211</v>
      </c>
      <c r="AA111" s="12" t="n">
        <f aca="false">I111*(1+Q111/100)*(1+S111/100)</f>
        <v>53512.6029055586</v>
      </c>
      <c r="AB111" s="12" t="n">
        <f aca="false">K111*(1+Q111/100)*(1+S111/100)*(1+U111/100)</f>
        <v>62876.9249166118</v>
      </c>
      <c r="AC111" s="12" t="n">
        <f aca="false">M111*(1+Q111/100)*(1+S111/100)*(1+U111/100)*(1+W111/100)</f>
        <v>74499.2654033467</v>
      </c>
      <c r="AD111" s="12" t="n">
        <f aca="false">O111*(1+Q111/100)*(1+S111/100)*(1+U111/100)*(1+W111/100)*(1+Y111/100)</f>
        <v>96568.9306252188</v>
      </c>
      <c r="AE111" s="12" t="n">
        <f aca="false">ABS(C111)/$B$7</f>
        <v>12331.3544916489</v>
      </c>
      <c r="AF111" s="12" t="n">
        <f aca="false">Z111-AE111</f>
        <v>30720.2627215621</v>
      </c>
      <c r="AG111" s="12" t="n">
        <f aca="false">AA111-AE111</f>
        <v>41181.2484139096</v>
      </c>
      <c r="AH111" s="12" t="n">
        <f aca="false">AB111-AE111</f>
        <v>50545.5704249629</v>
      </c>
      <c r="AI111" s="12" t="n">
        <f aca="false">AC111-AE111</f>
        <v>62167.9109116978</v>
      </c>
      <c r="AJ111" s="12" t="n">
        <f aca="false">AD111-AE111</f>
        <v>84237.5761335698</v>
      </c>
      <c r="AK111" s="12" t="n">
        <f aca="false">AF111*$B$4</f>
        <v>15360.131360781</v>
      </c>
      <c r="AL111" s="12" t="n">
        <f aca="false">AG111*$B$4</f>
        <v>20590.6242069548</v>
      </c>
      <c r="AM111" s="12" t="n">
        <f aca="false">AH111*$B$4</f>
        <v>25272.7852124814</v>
      </c>
      <c r="AN111" s="12" t="n">
        <f aca="false">AI111*$B$4</f>
        <v>31083.9554558489</v>
      </c>
      <c r="AO111" s="12" t="n">
        <f aca="false">AJ111*$B$4</f>
        <v>42118.7880667849</v>
      </c>
      <c r="AP111" s="12" t="n">
        <f aca="false">AF111-AK111</f>
        <v>15360.131360781</v>
      </c>
      <c r="AQ111" s="12" t="n">
        <f aca="false">AG111-AL111</f>
        <v>20590.6242069548</v>
      </c>
      <c r="AR111" s="12" t="n">
        <f aca="false">AH111-AM111</f>
        <v>25272.7852124814</v>
      </c>
      <c r="AS111" s="12" t="n">
        <f aca="false">AI111-AN111</f>
        <v>31083.9554558489</v>
      </c>
      <c r="AT111" s="12" t="n">
        <f aca="false">AJ111-AO111</f>
        <v>42118.7880667849</v>
      </c>
      <c r="AU111" s="12" t="n">
        <f aca="false">0.2*ABS(C111)+1*ABS(E111)</f>
        <v>43685.3303853029</v>
      </c>
      <c r="AV111" s="12" t="n">
        <f aca="false">C111+E111</f>
        <v>-93010.7483518986</v>
      </c>
      <c r="AW111" s="12" t="n">
        <f aca="false">AP111+AE111</f>
        <v>27691.48585243</v>
      </c>
      <c r="AX111" s="12" t="n">
        <f aca="false">AQ111+AE111</f>
        <v>32921.9786986037</v>
      </c>
      <c r="AY111" s="12" t="n">
        <f aca="false">AR111+AE111</f>
        <v>37604.1397041304</v>
      </c>
      <c r="AZ111" s="12" t="n">
        <f aca="false">AS111+AE111</f>
        <v>43415.3099474978</v>
      </c>
      <c r="BA111" s="12" t="n">
        <f aca="false">AT111+AE111+AU111</f>
        <v>98135.4729437368</v>
      </c>
      <c r="BB111" s="4" t="n">
        <f aca="false">IFERROR(IRR(AV111:BA111,0.15),"n/a")</f>
        <v>0.329342485705983</v>
      </c>
      <c r="BC111" s="12" t="n">
        <f aca="false">NPV($B$5,AW111:BA111)+AV111</f>
        <v>54301.4009592228</v>
      </c>
    </row>
    <row r="112" customFormat="false" ht="15" hidden="false" customHeight="false" outlineLevel="0" collapsed="false">
      <c r="A112" s="3" t="n">
        <v>88</v>
      </c>
      <c r="B112" s="15" t="n">
        <f aca="true">RAND()</f>
        <v>0.285658631287301</v>
      </c>
      <c r="C112" s="12" t="n">
        <f aca="false">IF(B112&lt;=($F$12-$E$12)/($G$12-$E$12),$E$12+SQRT(B112*($G$12-$E$12)*($F$12-$E$12)),$G$12-SQRT((1-B112)*($G$12-$E$12)*($G$12-$F$12)))</f>
        <v>-81485.4015019293</v>
      </c>
      <c r="D112" s="15" t="n">
        <f aca="true">RAND()</f>
        <v>0.483345439228266</v>
      </c>
      <c r="E112" s="12" t="n">
        <f aca="false">IF(D112&lt;=($F$13-$E$13)/($G$13-$E$13),$E$13+SQRT(D112*($G$13-$E$13)*($F$13-$E$13)),$G$13-SQRT((1-D112)*($G$13-$E$13)*($G$13-$F$13)))</f>
        <v>-31485.2001853103</v>
      </c>
      <c r="F112" s="15" t="n">
        <f aca="true">RAND()</f>
        <v>0.457357399796414</v>
      </c>
      <c r="G112" s="12" t="n">
        <f aca="false">IF(F112&lt;=($F$14-$E$14)/($G$14-$E$14),$E$14+SQRT(F112*($G$14-$E$14)*($F$14-$E$14)),$G$14-SQRT((1-F112)*($G$14-$E$14)*($G$14-$F$14)))</f>
        <v>38282.7296206904</v>
      </c>
      <c r="H112" s="15" t="n">
        <f aca="true">RAND()</f>
        <v>0.128510474280157</v>
      </c>
      <c r="I112" s="12" t="n">
        <f aca="false">IF(H112&lt;=($F$14-$E$14)/($G$14-$E$14),$E$14+SQRT(H112*($G$14-$E$14)*($F$14-$E$14)),$G$14-SQRT((1-H112)*($G$14-$E$14)*($G$14-$F$14)))</f>
        <v>34390.5092121556</v>
      </c>
      <c r="J112" s="15" t="n">
        <f aca="true">RAND()</f>
        <v>0.186022736319335</v>
      </c>
      <c r="K112" s="12" t="n">
        <f aca="false">IF(J112&lt;=($F$14-$E$14)/($G$14-$E$14),$E$14+SQRT(J112*($G$14-$E$14)*($F$14-$E$14)),$G$14-SQRT((1-J112)*($G$14-$E$14)*($G$14-$F$14)))</f>
        <v>35282.3678826735</v>
      </c>
      <c r="L112" s="15" t="n">
        <f aca="true">RAND()</f>
        <v>0.0600776358644954</v>
      </c>
      <c r="M112" s="12" t="n">
        <f aca="false">IF(L112&lt;=($F$14-$E$14)/($G$14-$E$14),$E$14+SQRT(L112*($G$14-$E$14)*($F$14-$E$14)),$G$14-SQRT((1-L112)*($G$14-$E$14)*($G$14-$F$14)))</f>
        <v>33001.9402691716</v>
      </c>
      <c r="N112" s="15" t="n">
        <f aca="true">RAND()</f>
        <v>0.165797408519627</v>
      </c>
      <c r="O112" s="12" t="n">
        <f aca="false">IF(N112&lt;=($F$14-$E$14)/($G$14-$E$14),$E$14+SQRT(N112*($G$14-$E$14)*($F$14-$E$14)),$G$14-SQRT((1-N112)*($G$14-$E$14)*($G$14-$F$14)))</f>
        <v>34986.9440820952</v>
      </c>
      <c r="P112" s="15" t="n">
        <f aca="true">RAND()</f>
        <v>0.470880655556459</v>
      </c>
      <c r="Q112" s="16" t="n">
        <f aca="false">IF(P112&lt;=($F$15-$E$15)/($G$15-$E$15),$E$15+SQRT(P112*($G$15-$E$15)*($F$15-$E$15)),$G$15-SQRT((1-P112)*($G$15-$E$15)*($G$15-$F$15)))</f>
        <v>14.911331619726</v>
      </c>
      <c r="R112" s="15" t="n">
        <f aca="true">RAND()</f>
        <v>0.408723248940224</v>
      </c>
      <c r="S112" s="16" t="n">
        <f aca="false">IF(R112&lt;=($F$16-$E$16)/($G$16-$E$16),$E$16+SQRT(R112*($G$16-$E$16)*($F$16-$E$16)),$G$16-SQRT((1-R112)*($G$16-$E$16)*($G$16-$F$16)))</f>
        <v>14.7123824363323</v>
      </c>
      <c r="T112" s="15" t="n">
        <f aca="true">RAND()</f>
        <v>0.459731681058821</v>
      </c>
      <c r="U112" s="16" t="n">
        <f aca="false">IF(T112&lt;=($F$17-$E$17)/($G$17-$E$17),$E$17+SQRT(T112*($G$17-$E$17)*($F$17-$E$17)),$G$17-SQRT((1-T112)*($G$17-$E$17)*($G$17-$F$17)))</f>
        <v>18.1105896423297</v>
      </c>
      <c r="V112" s="15" t="n">
        <f aca="true">RAND()</f>
        <v>0.696060070559672</v>
      </c>
      <c r="W112" s="16" t="n">
        <f aca="false">IF(V112&lt;=($F$18-$E$18)/($G$18-$E$18),$E$18+SQRT(V112*($G$18-$E$18)*($F$18-$E$18)),$G$18-SQRT((1-V112)*($G$18-$E$18)*($G$18-$F$18)))</f>
        <v>21.7384210065658</v>
      </c>
      <c r="X112" s="15" t="n">
        <f aca="true">RAND()</f>
        <v>0.060019869562148</v>
      </c>
      <c r="Y112" s="16" t="n">
        <f aca="false">IF(X112&lt;=($F$19-$E$19)/($G$19-$E$19),$E$19+SQRT(X112*($G$19-$E$19)*($F$19-$E$19)),$G$19-SQRT((1-X112)*($G$19-$E$19)*($G$19-$F$19)))</f>
        <v>20.2730029372229</v>
      </c>
      <c r="Z112" s="12" t="n">
        <f aca="false">G112*(1+Q112/100)</f>
        <v>43991.1943875146</v>
      </c>
      <c r="AA112" s="12" t="n">
        <f aca="false">I112*(1+Q112/100)*(1+S112/100)</f>
        <v>45332.7184877115</v>
      </c>
      <c r="AB112" s="12" t="n">
        <f aca="false">K112*(1+Q112/100)*(1+S112/100)*(1+U112/100)</f>
        <v>54931.2799505391</v>
      </c>
      <c r="AC112" s="12" t="n">
        <f aca="false">M112*(1+Q112/100)*(1+S112/100)*(1+U112/100)*(1+W112/100)</f>
        <v>62550.2619892812</v>
      </c>
      <c r="AD112" s="12" t="n">
        <f aca="false">O112*(1+Q112/100)*(1+S112/100)*(1+U112/100)*(1+W112/100)*(1+Y112/100)</f>
        <v>79756.0844342554</v>
      </c>
      <c r="AE112" s="12" t="n">
        <f aca="false">ABS(C112)/$B$7</f>
        <v>16297.0803003859</v>
      </c>
      <c r="AF112" s="12" t="n">
        <f aca="false">Z112-AE112</f>
        <v>27694.1140871287</v>
      </c>
      <c r="AG112" s="12" t="n">
        <f aca="false">AA112-AE112</f>
        <v>29035.6381873257</v>
      </c>
      <c r="AH112" s="12" t="n">
        <f aca="false">AB112-AE112</f>
        <v>38634.1996501532</v>
      </c>
      <c r="AI112" s="12" t="n">
        <f aca="false">AC112-AE112</f>
        <v>46253.1816888953</v>
      </c>
      <c r="AJ112" s="12" t="n">
        <f aca="false">AD112-AE112</f>
        <v>63459.0041338695</v>
      </c>
      <c r="AK112" s="12" t="n">
        <f aca="false">AF112*$B$4</f>
        <v>13847.0570435644</v>
      </c>
      <c r="AL112" s="12" t="n">
        <f aca="false">AG112*$B$4</f>
        <v>14517.8190936628</v>
      </c>
      <c r="AM112" s="12" t="n">
        <f aca="false">AH112*$B$4</f>
        <v>19317.0998250766</v>
      </c>
      <c r="AN112" s="12" t="n">
        <f aca="false">AI112*$B$4</f>
        <v>23126.5908444477</v>
      </c>
      <c r="AO112" s="12" t="n">
        <f aca="false">AJ112*$B$4</f>
        <v>31729.5020669348</v>
      </c>
      <c r="AP112" s="12" t="n">
        <f aca="false">AF112-AK112</f>
        <v>13847.0570435644</v>
      </c>
      <c r="AQ112" s="12" t="n">
        <f aca="false">AG112-AL112</f>
        <v>14517.8190936628</v>
      </c>
      <c r="AR112" s="12" t="n">
        <f aca="false">AH112-AM112</f>
        <v>19317.0998250766</v>
      </c>
      <c r="AS112" s="12" t="n">
        <f aca="false">AI112-AN112</f>
        <v>23126.5908444477</v>
      </c>
      <c r="AT112" s="12" t="n">
        <f aca="false">AJ112-AO112</f>
        <v>31729.5020669348</v>
      </c>
      <c r="AU112" s="12" t="n">
        <f aca="false">0.2*ABS(C112)+1*ABS(E112)</f>
        <v>47782.2804856962</v>
      </c>
      <c r="AV112" s="12" t="n">
        <f aca="false">C112+E112</f>
        <v>-112970.60168724</v>
      </c>
      <c r="AW112" s="12" t="n">
        <f aca="false">AP112+AE112</f>
        <v>30144.1373439502</v>
      </c>
      <c r="AX112" s="12" t="n">
        <f aca="false">AQ112+AE112</f>
        <v>30814.8993940487</v>
      </c>
      <c r="AY112" s="12" t="n">
        <f aca="false">AR112+AE112</f>
        <v>35614.1801254625</v>
      </c>
      <c r="AZ112" s="12" t="n">
        <f aca="false">AS112+AE112</f>
        <v>39423.6711448335</v>
      </c>
      <c r="BA112" s="12" t="n">
        <f aca="false">AT112+AE112+AU112</f>
        <v>95808.8628530168</v>
      </c>
      <c r="BB112" s="4" t="n">
        <f aca="false">IFERROR(IRR(AV112:BA112,0.15),"n/a")</f>
        <v>0.237941050902886</v>
      </c>
      <c r="BC112" s="12" t="n">
        <f aca="false">NPV($B$5,AW112:BA112)+AV112</f>
        <v>30133.6338039271</v>
      </c>
    </row>
    <row r="113" customFormat="false" ht="15" hidden="false" customHeight="false" outlineLevel="0" collapsed="false">
      <c r="A113" s="3" t="n">
        <v>89</v>
      </c>
      <c r="B113" s="15" t="n">
        <f aca="true">RAND()</f>
        <v>0.814353483945171</v>
      </c>
      <c r="C113" s="12" t="n">
        <f aca="false">IF(B113&lt;=($F$12-$E$12)/($G$12-$E$12),$E$12+SQRT(B113*($G$12-$E$12)*($F$12-$E$12)),$G$12-SQRT((1-B113)*($G$12-$E$12)*($G$12-$F$12)))</f>
        <v>-68617.3433505885</v>
      </c>
      <c r="D113" s="15" t="n">
        <f aca="true">RAND()</f>
        <v>0.542147838238612</v>
      </c>
      <c r="E113" s="12" t="n">
        <f aca="false">IF(D113&lt;=($F$13-$E$13)/($G$13-$E$13),$E$13+SQRT(D113*($G$13-$E$13)*($F$13-$E$13)),$G$13-SQRT((1-D113)*($G$13-$E$13)*($G$13-$F$13)))</f>
        <v>-30982.1191105786</v>
      </c>
      <c r="F113" s="15" t="n">
        <f aca="true">RAND()</f>
        <v>0.390470906647718</v>
      </c>
      <c r="G113" s="12" t="n">
        <f aca="false">IF(F113&lt;=($F$14-$E$14)/($G$14-$E$14),$E$14+SQRT(F113*($G$14-$E$14)*($F$14-$E$14)),$G$14-SQRT((1-F113)*($G$14-$E$14)*($G$14-$F$14)))</f>
        <v>37653.1454969286</v>
      </c>
      <c r="H113" s="15" t="n">
        <f aca="true">RAND()</f>
        <v>0.961856626266312</v>
      </c>
      <c r="I113" s="12" t="n">
        <f aca="false">IF(H113&lt;=($F$14-$E$14)/($G$14-$E$14),$E$14+SQRT(H113*($G$14-$E$14)*($F$14-$E$14)),$G$14-SQRT((1-H113)*($G$14-$E$14)*($G$14-$F$14)))</f>
        <v>43308.6239241297</v>
      </c>
      <c r="J113" s="15" t="n">
        <f aca="true">RAND()</f>
        <v>0.158225611310997</v>
      </c>
      <c r="K113" s="12" t="n">
        <f aca="false">IF(J113&lt;=($F$14-$E$14)/($G$14-$E$14),$E$14+SQRT(J113*($G$14-$E$14)*($F$14-$E$14)),$G$14-SQRT((1-J113)*($G$14-$E$14)*($G$14-$F$14)))</f>
        <v>34871.739083392</v>
      </c>
      <c r="L113" s="15" t="n">
        <f aca="true">RAND()</f>
        <v>0.502142183227748</v>
      </c>
      <c r="M113" s="12" t="n">
        <f aca="false">IF(L113&lt;=($F$14-$E$14)/($G$14-$E$14),$E$14+SQRT(L113*($G$14-$E$14)*($F$14-$E$14)),$G$14-SQRT((1-L113)*($G$14-$E$14)*($G$14-$F$14)))</f>
        <v>38678.7860605134</v>
      </c>
      <c r="N113" s="15" t="n">
        <f aca="true">RAND()</f>
        <v>0.391572641450658</v>
      </c>
      <c r="O113" s="12" t="n">
        <f aca="false">IF(N113&lt;=($F$14-$E$14)/($G$14-$E$14),$E$14+SQRT(N113*($G$14-$E$14)*($F$14-$E$14)),$G$14-SQRT((1-N113)*($G$14-$E$14)*($G$14-$F$14)))</f>
        <v>37663.9347738351</v>
      </c>
      <c r="P113" s="15" t="n">
        <f aca="true">RAND()</f>
        <v>0.501960227742664</v>
      </c>
      <c r="Q113" s="16" t="n">
        <f aca="false">IF(P113&lt;=($F$15-$E$15)/($G$15-$E$15),$E$15+SQRT(P113*($G$15-$E$15)*($F$15-$E$15)),$G$15-SQRT((1-P113)*($G$15-$E$15)*($G$15-$F$15)))</f>
        <v>15.0058864582932</v>
      </c>
      <c r="R113" s="15" t="n">
        <f aca="true">RAND()</f>
        <v>0.0824709932063964</v>
      </c>
      <c r="S113" s="16" t="n">
        <f aca="false">IF(R113&lt;=($F$16-$E$16)/($G$16-$E$16),$E$16+SQRT(R113*($G$16-$E$16)*($F$16-$E$16)),$G$16-SQRT((1-R113)*($G$16-$E$16)*($G$16-$F$16)))</f>
        <v>13.2183915124931</v>
      </c>
      <c r="T113" s="15" t="n">
        <f aca="true">RAND()</f>
        <v>0.413965017329884</v>
      </c>
      <c r="U113" s="16" t="n">
        <f aca="false">IF(T113&lt;=($F$17-$E$17)/($G$17-$E$17),$E$17+SQRT(T113*($G$17-$E$17)*($F$17-$E$17)),$G$17-SQRT((1-T113)*($G$17-$E$17)*($G$17-$F$17)))</f>
        <v>17.9484343919999</v>
      </c>
      <c r="V113" s="15" t="n">
        <f aca="true">RAND()</f>
        <v>0.259859222596243</v>
      </c>
      <c r="W113" s="16" t="n">
        <f aca="false">IF(V113&lt;=($F$18-$E$18)/($G$18-$E$18),$E$18+SQRT(V113*($G$18-$E$18)*($F$18-$E$18)),$G$18-SQRT((1-V113)*($G$18-$E$18)*($G$18-$F$18)))</f>
        <v>19.9073618210364</v>
      </c>
      <c r="X113" s="15" t="n">
        <f aca="true">RAND()</f>
        <v>0.914185873555364</v>
      </c>
      <c r="Y113" s="16" t="n">
        <f aca="false">IF(X113&lt;=($F$19-$E$19)/($G$19-$E$19),$E$19+SQRT(X113*($G$19-$E$19)*($F$19-$E$19)),$G$19-SQRT((1-X113)*($G$19-$E$19)*($G$19-$F$19)))</f>
        <v>25.8473358766379</v>
      </c>
      <c r="Z113" s="12" t="n">
        <f aca="false">G113*(1+Q113/100)</f>
        <v>43303.3337581736</v>
      </c>
      <c r="AA113" s="12" t="n">
        <f aca="false">I113*(1+Q113/100)*(1+S113/100)</f>
        <v>56391.2128284253</v>
      </c>
      <c r="AB113" s="12" t="n">
        <f aca="false">K113*(1+Q113/100)*(1+S113/100)*(1+U113/100)</f>
        <v>53555.3469995953</v>
      </c>
      <c r="AC113" s="12" t="n">
        <f aca="false">M113*(1+Q113/100)*(1+S113/100)*(1+U113/100)*(1+W113/100)</f>
        <v>71227.5348789858</v>
      </c>
      <c r="AD113" s="12" t="n">
        <f aca="false">O113*(1+Q113/100)*(1+S113/100)*(1+U113/100)*(1+W113/100)*(1+Y113/100)</f>
        <v>87286.0406528759</v>
      </c>
      <c r="AE113" s="12" t="n">
        <f aca="false">ABS(C113)/$B$7</f>
        <v>13723.4686701177</v>
      </c>
      <c r="AF113" s="12" t="n">
        <f aca="false">Z113-AE113</f>
        <v>29579.8650880559</v>
      </c>
      <c r="AG113" s="12" t="n">
        <f aca="false">AA113-AE113</f>
        <v>42667.7441583076</v>
      </c>
      <c r="AH113" s="12" t="n">
        <f aca="false">AB113-AE113</f>
        <v>39831.8783294776</v>
      </c>
      <c r="AI113" s="12" t="n">
        <f aca="false">AC113-AE113</f>
        <v>57504.0662088681</v>
      </c>
      <c r="AJ113" s="12" t="n">
        <f aca="false">AD113-AE113</f>
        <v>73562.5719827582</v>
      </c>
      <c r="AK113" s="12" t="n">
        <f aca="false">AF113*$B$4</f>
        <v>14789.9325440279</v>
      </c>
      <c r="AL113" s="12" t="n">
        <f aca="false">AG113*$B$4</f>
        <v>21333.8720791538</v>
      </c>
      <c r="AM113" s="12" t="n">
        <f aca="false">AH113*$B$4</f>
        <v>19915.9391647388</v>
      </c>
      <c r="AN113" s="12" t="n">
        <f aca="false">AI113*$B$4</f>
        <v>28752.0331044341</v>
      </c>
      <c r="AO113" s="12" t="n">
        <f aca="false">AJ113*$B$4</f>
        <v>36781.2859913791</v>
      </c>
      <c r="AP113" s="12" t="n">
        <f aca="false">AF113-AK113</f>
        <v>14789.9325440279</v>
      </c>
      <c r="AQ113" s="12" t="n">
        <f aca="false">AG113-AL113</f>
        <v>21333.8720791538</v>
      </c>
      <c r="AR113" s="12" t="n">
        <f aca="false">AH113-AM113</f>
        <v>19915.9391647388</v>
      </c>
      <c r="AS113" s="12" t="n">
        <f aca="false">AI113-AN113</f>
        <v>28752.0331044341</v>
      </c>
      <c r="AT113" s="12" t="n">
        <f aca="false">AJ113-AO113</f>
        <v>36781.2859913791</v>
      </c>
      <c r="AU113" s="12" t="n">
        <f aca="false">0.2*ABS(C113)+1*ABS(E113)</f>
        <v>44705.5877806963</v>
      </c>
      <c r="AV113" s="12" t="n">
        <f aca="false">C113+E113</f>
        <v>-99599.4624611671</v>
      </c>
      <c r="AW113" s="12" t="n">
        <f aca="false">AP113+AE113</f>
        <v>28513.4012141456</v>
      </c>
      <c r="AX113" s="12" t="n">
        <f aca="false">AQ113+AE113</f>
        <v>35057.3407492715</v>
      </c>
      <c r="AY113" s="12" t="n">
        <f aca="false">AR113+AE113</f>
        <v>33639.4078348565</v>
      </c>
      <c r="AZ113" s="12" t="n">
        <f aca="false">AS113+AE113</f>
        <v>42475.5017745518</v>
      </c>
      <c r="BA113" s="12" t="n">
        <f aca="false">AT113+AE113+AU113</f>
        <v>95210.3424421931</v>
      </c>
      <c r="BB113" s="4" t="n">
        <f aca="false">IFERROR(IRR(AV113:BA113,0.15),"n/a")</f>
        <v>0.295246320255706</v>
      </c>
      <c r="BC113" s="12" t="n">
        <f aca="false">NPV($B$5,AW113:BA113)+AV113</f>
        <v>45443.5155846565</v>
      </c>
    </row>
    <row r="114" customFormat="false" ht="15" hidden="false" customHeight="false" outlineLevel="0" collapsed="false">
      <c r="A114" s="3" t="n">
        <v>90</v>
      </c>
      <c r="B114" s="15" t="n">
        <f aca="true">RAND()</f>
        <v>0.488802715712561</v>
      </c>
      <c r="C114" s="12" t="n">
        <f aca="false">IF(B114&lt;=($F$12-$E$12)/($G$12-$E$12),$E$12+SQRT(B114*($G$12-$E$12)*($F$12-$E$12)),$G$12-SQRT((1-B114)*($G$12-$E$12)*($G$12-$F$12)))</f>
        <v>-75780.9319160486</v>
      </c>
      <c r="D114" s="15" t="n">
        <f aca="true">RAND()</f>
        <v>0.147886920736332</v>
      </c>
      <c r="E114" s="12" t="n">
        <f aca="false">IF(D114&lt;=($F$13-$E$13)/($G$13-$E$13),$E$13+SQRT(D114*($G$13-$E$13)*($F$13-$E$13)),$G$13-SQRT((1-D114)*($G$13-$E$13)*($G$13-$F$13)))</f>
        <v>-35290.1127284775</v>
      </c>
      <c r="F114" s="15" t="n">
        <f aca="true">RAND()</f>
        <v>0.822129240629787</v>
      </c>
      <c r="G114" s="12" t="n">
        <f aca="false">IF(F114&lt;=($F$14-$E$14)/($G$14-$E$14),$E$14+SQRT(F114*($G$14-$E$14)*($F$14-$E$14)),$G$14-SQRT((1-F114)*($G$14-$E$14)*($G$14-$F$14)))</f>
        <v>41347.5615059572</v>
      </c>
      <c r="H114" s="15" t="n">
        <f aca="true">RAND()</f>
        <v>0.265129331947877</v>
      </c>
      <c r="I114" s="12" t="n">
        <f aca="false">IF(H114&lt;=($F$14-$E$14)/($G$14-$E$14),$E$14+SQRT(H114*($G$14-$E$14)*($F$14-$E$14)),$G$14-SQRT((1-H114)*($G$14-$E$14)*($G$14-$F$14)))</f>
        <v>36306.2984223855</v>
      </c>
      <c r="J114" s="15" t="n">
        <f aca="true">RAND()</f>
        <v>0.513513019696493</v>
      </c>
      <c r="K114" s="12" t="n">
        <f aca="false">IF(J114&lt;=($F$14-$E$14)/($G$14-$E$14),$E$14+SQRT(J114*($G$14-$E$14)*($F$14-$E$14)),$G$14-SQRT((1-J114)*($G$14-$E$14)*($G$14-$F$14)))</f>
        <v>38776.5000401341</v>
      </c>
      <c r="L114" s="15" t="n">
        <f aca="true">RAND()</f>
        <v>0.123282373862521</v>
      </c>
      <c r="M114" s="12" t="n">
        <f aca="false">IF(L114&lt;=($F$14-$E$14)/($G$14-$E$14),$E$14+SQRT(L114*($G$14-$E$14)*($F$14-$E$14)),$G$14-SQRT((1-L114)*($G$14-$E$14)*($G$14-$F$14)))</f>
        <v>34300.2739539916</v>
      </c>
      <c r="N114" s="15" t="n">
        <f aca="true">RAND()</f>
        <v>0.140412268335912</v>
      </c>
      <c r="O114" s="12" t="n">
        <f aca="false">IF(N114&lt;=($F$14-$E$14)/($G$14-$E$14),$E$14+SQRT(N114*($G$14-$E$14)*($F$14-$E$14)),$G$14-SQRT((1-N114)*($G$14-$E$14)*($G$14-$F$14)))</f>
        <v>34589.3180594056</v>
      </c>
      <c r="P114" s="15" t="n">
        <f aca="true">RAND()</f>
        <v>0.676040669006439</v>
      </c>
      <c r="Q114" s="16" t="n">
        <f aca="false">IF(P114&lt;=($F$15-$E$15)/($G$15-$E$15),$E$15+SQRT(P114*($G$15-$E$15)*($F$15-$E$15)),$G$15-SQRT((1-P114)*($G$15-$E$15)*($G$15-$F$15)))</f>
        <v>15.585198153495</v>
      </c>
      <c r="R114" s="15" t="n">
        <f aca="true">RAND()</f>
        <v>0.619305760480587</v>
      </c>
      <c r="S114" s="16" t="n">
        <f aca="false">IF(R114&lt;=($F$16-$E$16)/($G$16-$E$16),$E$16+SQRT(R114*($G$16-$E$16)*($F$16-$E$16)),$G$16-SQRT((1-R114)*($G$16-$E$16)*($G$16-$F$16)))</f>
        <v>15.3822726820103</v>
      </c>
      <c r="T114" s="15" t="n">
        <f aca="true">RAND()</f>
        <v>0.380889263233804</v>
      </c>
      <c r="U114" s="16" t="n">
        <f aca="false">IF(T114&lt;=($F$17-$E$17)/($G$17-$E$17),$E$17+SQRT(T114*($G$17-$E$17)*($F$17-$E$17)),$G$17-SQRT((1-T114)*($G$17-$E$17)*($G$17-$F$17)))</f>
        <v>17.8281928024641</v>
      </c>
      <c r="V114" s="15" t="n">
        <f aca="true">RAND()</f>
        <v>0.484027286692364</v>
      </c>
      <c r="W114" s="16" t="n">
        <f aca="false">IF(V114&lt;=($F$18-$E$18)/($G$18-$E$18),$E$18+SQRT(V114*($G$18-$E$18)*($F$18-$E$18)),$G$18-SQRT((1-V114)*($G$18-$E$18)*($G$18-$F$18)))</f>
        <v>20.7504064940553</v>
      </c>
      <c r="X114" s="15" t="n">
        <f aca="true">RAND()</f>
        <v>0.4004141739707</v>
      </c>
      <c r="Y114" s="16" t="n">
        <f aca="false">IF(X114&lt;=($F$19-$E$19)/($G$19-$E$19),$E$19+SQRT(X114*($G$19-$E$19)*($F$19-$E$19)),$G$19-SQRT((1-X114)*($G$19-$E$19)*($G$19-$F$19)))</f>
        <v>22.3098651504923</v>
      </c>
      <c r="Z114" s="12" t="n">
        <f aca="false">G114*(1+Q114/100)</f>
        <v>47791.6608982988</v>
      </c>
      <c r="AA114" s="12" t="n">
        <f aca="false">I114*(1+Q114/100)*(1+S114/100)</f>
        <v>48419.8326306167</v>
      </c>
      <c r="AB114" s="12" t="n">
        <f aca="false">K114*(1+Q114/100)*(1+S114/100)*(1+U114/100)</f>
        <v>60933.9223431281</v>
      </c>
      <c r="AC114" s="12" t="n">
        <f aca="false">M114*(1+Q114/100)*(1+S114/100)*(1+U114/100)*(1+W114/100)</f>
        <v>65084.3718590238</v>
      </c>
      <c r="AD114" s="12" t="n">
        <f aca="false">O114*(1+Q114/100)*(1+S114/100)*(1+U114/100)*(1+W114/100)*(1+Y114/100)</f>
        <v>80275.4254949143</v>
      </c>
      <c r="AE114" s="12" t="n">
        <f aca="false">ABS(C114)/$B$7</f>
        <v>15156.1863832097</v>
      </c>
      <c r="AF114" s="12" t="n">
        <f aca="false">Z114-AE114</f>
        <v>32635.4745150891</v>
      </c>
      <c r="AG114" s="12" t="n">
        <f aca="false">AA114-AE114</f>
        <v>33263.646247407</v>
      </c>
      <c r="AH114" s="12" t="n">
        <f aca="false">AB114-AE114</f>
        <v>45777.7359599184</v>
      </c>
      <c r="AI114" s="12" t="n">
        <f aca="false">AC114-AE114</f>
        <v>49928.1854758141</v>
      </c>
      <c r="AJ114" s="12" t="n">
        <f aca="false">AD114-AE114</f>
        <v>65119.2391117045</v>
      </c>
      <c r="AK114" s="12" t="n">
        <f aca="false">AF114*$B$4</f>
        <v>16317.7372575445</v>
      </c>
      <c r="AL114" s="12" t="n">
        <f aca="false">AG114*$B$4</f>
        <v>16631.8231237035</v>
      </c>
      <c r="AM114" s="12" t="n">
        <f aca="false">AH114*$B$4</f>
        <v>22888.8679799592</v>
      </c>
      <c r="AN114" s="12" t="n">
        <f aca="false">AI114*$B$4</f>
        <v>24964.092737907</v>
      </c>
      <c r="AO114" s="12" t="n">
        <f aca="false">AJ114*$B$4</f>
        <v>32559.6195558523</v>
      </c>
      <c r="AP114" s="12" t="n">
        <f aca="false">AF114-AK114</f>
        <v>16317.7372575445</v>
      </c>
      <c r="AQ114" s="12" t="n">
        <f aca="false">AG114-AL114</f>
        <v>16631.8231237035</v>
      </c>
      <c r="AR114" s="12" t="n">
        <f aca="false">AH114-AM114</f>
        <v>22888.8679799592</v>
      </c>
      <c r="AS114" s="12" t="n">
        <f aca="false">AI114-AN114</f>
        <v>24964.092737907</v>
      </c>
      <c r="AT114" s="12" t="n">
        <f aca="false">AJ114-AO114</f>
        <v>32559.6195558523</v>
      </c>
      <c r="AU114" s="12" t="n">
        <f aca="false">0.2*ABS(C114)+1*ABS(E114)</f>
        <v>50446.2991116872</v>
      </c>
      <c r="AV114" s="12" t="n">
        <f aca="false">C114+E114</f>
        <v>-111071.044644526</v>
      </c>
      <c r="AW114" s="12" t="n">
        <f aca="false">AP114+AE114</f>
        <v>31473.9236407543</v>
      </c>
      <c r="AX114" s="12" t="n">
        <f aca="false">AQ114+AE114</f>
        <v>31788.0095069132</v>
      </c>
      <c r="AY114" s="12" t="n">
        <f aca="false">AR114+AE114</f>
        <v>38045.0543631689</v>
      </c>
      <c r="AZ114" s="12" t="n">
        <f aca="false">AS114+AE114</f>
        <v>40120.2791211168</v>
      </c>
      <c r="BA114" s="12" t="n">
        <f aca="false">AT114+AE114+AU114</f>
        <v>98162.1050507492</v>
      </c>
      <c r="BB114" s="4" t="n">
        <f aca="false">IFERROR(IRR(AV114:BA114,0.15),"n/a")</f>
        <v>0.259175939502744</v>
      </c>
      <c r="BC114" s="12" t="n">
        <f aca="false">NPV($B$5,AW114:BA114)+AV114</f>
        <v>37091.9422212034</v>
      </c>
    </row>
    <row r="115" customFormat="false" ht="15" hidden="false" customHeight="false" outlineLevel="0" collapsed="false">
      <c r="A115" s="3" t="n">
        <v>91</v>
      </c>
      <c r="B115" s="15" t="n">
        <f aca="true">RAND()</f>
        <v>0.40893256448569</v>
      </c>
      <c r="C115" s="12" t="n">
        <f aca="false">IF(B115&lt;=($F$12-$E$12)/($G$12-$E$12),$E$12+SQRT(B115*($G$12-$E$12)*($F$12-$E$12)),$G$12-SQRT((1-B115)*($G$12-$E$12)*($G$12-$F$12)))</f>
        <v>-77847.8200309128</v>
      </c>
      <c r="D115" s="15" t="n">
        <f aca="true">RAND()</f>
        <v>0.706841335134528</v>
      </c>
      <c r="E115" s="12" t="n">
        <f aca="false">IF(D115&lt;=($F$13-$E$13)/($G$13-$E$13),$E$13+SQRT(D115*($G$13-$E$13)*($F$13-$E$13)),$G$13-SQRT((1-D115)*($G$13-$E$13)*($G$13-$F$13)))</f>
        <v>-29689.0190727817</v>
      </c>
      <c r="F115" s="15" t="n">
        <f aca="true">RAND()</f>
        <v>0.933735917721455</v>
      </c>
      <c r="G115" s="12" t="n">
        <f aca="false">IF(F115&lt;=($F$14-$E$14)/($G$14-$E$14),$E$14+SQRT(F115*($G$14-$E$14)*($F$14-$E$14)),$G$14-SQRT((1-F115)*($G$14-$E$14)*($G$14-$F$14)))</f>
        <v>42770.693791582</v>
      </c>
      <c r="H115" s="15" t="n">
        <f aca="true">RAND()</f>
        <v>0.63508014554526</v>
      </c>
      <c r="I115" s="12" t="n">
        <f aca="false">IF(H115&lt;=($F$14-$E$14)/($G$14-$E$14),$E$14+SQRT(H115*($G$14-$E$14)*($F$14-$E$14)),$G$14-SQRT((1-H115)*($G$14-$E$14)*($G$14-$F$14)))</f>
        <v>39760.2265256391</v>
      </c>
      <c r="J115" s="15" t="n">
        <f aca="true">RAND()</f>
        <v>0.928531463029017</v>
      </c>
      <c r="K115" s="12" t="n">
        <f aca="false">IF(J115&lt;=($F$14-$E$14)/($G$14-$E$14),$E$14+SQRT(J115*($G$14-$E$14)*($F$14-$E$14)),$G$14-SQRT((1-J115)*($G$14-$E$14)*($G$14-$F$14)))</f>
        <v>42684.8023253243</v>
      </c>
      <c r="L115" s="15" t="n">
        <f aca="true">RAND()</f>
        <v>0.783844441031454</v>
      </c>
      <c r="M115" s="12" t="n">
        <f aca="false">IF(L115&lt;=($F$14-$E$14)/($G$14-$E$14),$E$14+SQRT(L115*($G$14-$E$14)*($F$14-$E$14)),$G$14-SQRT((1-L115)*($G$14-$E$14)*($G$14-$F$14)))</f>
        <v>40973.6285662347</v>
      </c>
      <c r="N115" s="15" t="n">
        <f aca="true">RAND()</f>
        <v>0.894140266815894</v>
      </c>
      <c r="O115" s="12" t="n">
        <f aca="false">IF(N115&lt;=($F$14-$E$14)/($G$14-$E$14),$E$14+SQRT(N115*($G$14-$E$14)*($F$14-$E$14)),$G$14-SQRT((1-N115)*($G$14-$E$14)*($G$14-$F$14)))</f>
        <v>42182.2917133231</v>
      </c>
      <c r="P115" s="15" t="n">
        <f aca="true">RAND()</f>
        <v>0.256591141836733</v>
      </c>
      <c r="Q115" s="16" t="n">
        <f aca="false">IF(P115&lt;=($F$15-$E$15)/($G$15-$E$15),$E$15+SQRT(P115*($G$15-$E$15)*($F$15-$E$15)),$G$15-SQRT((1-P115)*($G$15-$E$15)*($G$15-$F$15)))</f>
        <v>14.1491022667759</v>
      </c>
      <c r="R115" s="15" t="n">
        <f aca="true">RAND()</f>
        <v>0.732057876418908</v>
      </c>
      <c r="S115" s="16" t="n">
        <f aca="false">IF(R115&lt;=($F$16-$E$16)/($G$16-$E$16),$E$16+SQRT(R115*($G$16-$E$16)*($F$16-$E$16)),$G$16-SQRT((1-R115)*($G$16-$E$16)*($G$16-$F$16)))</f>
        <v>15.8038765461706</v>
      </c>
      <c r="T115" s="15" t="n">
        <f aca="true">RAND()</f>
        <v>0.137183334432252</v>
      </c>
      <c r="U115" s="16" t="n">
        <f aca="false">IF(T115&lt;=($F$17-$E$17)/($G$17-$E$17),$E$17+SQRT(T115*($G$17-$E$17)*($F$17-$E$17)),$G$17-SQRT((1-T115)*($G$17-$E$17)*($G$17-$F$17)))</f>
        <v>16.6973066968221</v>
      </c>
      <c r="V115" s="15" t="n">
        <f aca="true">RAND()</f>
        <v>0.0469548639951569</v>
      </c>
      <c r="W115" s="16" t="n">
        <f aca="false">IF(V115&lt;=($F$18-$E$18)/($G$18-$E$18),$E$18+SQRT(V115*($G$18-$E$18)*($F$18-$E$18)),$G$18-SQRT((1-V115)*($G$18-$E$18)*($G$18-$F$18)))</f>
        <v>18.8107823973991</v>
      </c>
      <c r="X115" s="15" t="n">
        <f aca="true">RAND()</f>
        <v>0.556226629583623</v>
      </c>
      <c r="Y115" s="16" t="n">
        <f aca="false">IF(X115&lt;=($F$19-$E$19)/($G$19-$E$19),$E$19+SQRT(X115*($G$19-$E$19)*($F$19-$E$19)),$G$19-SQRT((1-X115)*($G$19-$E$19)*($G$19-$F$19)))</f>
        <v>23.1047204367386</v>
      </c>
      <c r="Z115" s="12" t="n">
        <f aca="false">G115*(1+Q115/100)</f>
        <v>48822.3629963625</v>
      </c>
      <c r="AA115" s="12" t="n">
        <f aca="false">I115*(1+Q115/100)*(1+S115/100)</f>
        <v>52558.6798240801</v>
      </c>
      <c r="AB115" s="12" t="n">
        <f aca="false">K115*(1+Q115/100)*(1+S115/100)*(1+U115/100)</f>
        <v>65846.0466617941</v>
      </c>
      <c r="AC115" s="12" t="n">
        <f aca="false">M115*(1+Q115/100)*(1+S115/100)*(1+U115/100)*(1+W115/100)</f>
        <v>75095.9840949013</v>
      </c>
      <c r="AD115" s="12" t="n">
        <f aca="false">O115*(1+Q115/100)*(1+S115/100)*(1+U115/100)*(1+W115/100)*(1+Y115/100)</f>
        <v>95173.7460838202</v>
      </c>
      <c r="AE115" s="12" t="n">
        <f aca="false">ABS(C115)/$B$7</f>
        <v>15569.5640061826</v>
      </c>
      <c r="AF115" s="12" t="n">
        <f aca="false">Z115-AE115</f>
        <v>33252.79899018</v>
      </c>
      <c r="AG115" s="12" t="n">
        <f aca="false">AA115-AE115</f>
        <v>36989.1158178976</v>
      </c>
      <c r="AH115" s="12" t="n">
        <f aca="false">AB115-AE115</f>
        <v>50276.4826556116</v>
      </c>
      <c r="AI115" s="12" t="n">
        <f aca="false">AC115-AE115</f>
        <v>59526.4200887187</v>
      </c>
      <c r="AJ115" s="12" t="n">
        <f aca="false">AD115-AE115</f>
        <v>79604.1820776376</v>
      </c>
      <c r="AK115" s="12" t="n">
        <f aca="false">AF115*$B$4</f>
        <v>16626.39949509</v>
      </c>
      <c r="AL115" s="12" t="n">
        <f aca="false">AG115*$B$4</f>
        <v>18494.5579089488</v>
      </c>
      <c r="AM115" s="12" t="n">
        <f aca="false">AH115*$B$4</f>
        <v>25138.2413278058</v>
      </c>
      <c r="AN115" s="12" t="n">
        <f aca="false">AI115*$B$4</f>
        <v>29763.2100443594</v>
      </c>
      <c r="AO115" s="12" t="n">
        <f aca="false">AJ115*$B$4</f>
        <v>39802.0910388188</v>
      </c>
      <c r="AP115" s="12" t="n">
        <f aca="false">AF115-AK115</f>
        <v>16626.39949509</v>
      </c>
      <c r="AQ115" s="12" t="n">
        <f aca="false">AG115-AL115</f>
        <v>18494.5579089488</v>
      </c>
      <c r="AR115" s="12" t="n">
        <f aca="false">AH115-AM115</f>
        <v>25138.2413278058</v>
      </c>
      <c r="AS115" s="12" t="n">
        <f aca="false">AI115-AN115</f>
        <v>29763.2100443594</v>
      </c>
      <c r="AT115" s="12" t="n">
        <f aca="false">AJ115-AO115</f>
        <v>39802.0910388188</v>
      </c>
      <c r="AU115" s="12" t="n">
        <f aca="false">0.2*ABS(C115)+1*ABS(E115)</f>
        <v>45258.5830789643</v>
      </c>
      <c r="AV115" s="12" t="n">
        <f aca="false">C115+E115</f>
        <v>-107536.839103695</v>
      </c>
      <c r="AW115" s="12" t="n">
        <f aca="false">AP115+AE115</f>
        <v>32195.9635012726</v>
      </c>
      <c r="AX115" s="12" t="n">
        <f aca="false">AQ115+AE115</f>
        <v>34064.1219151314</v>
      </c>
      <c r="AY115" s="12" t="n">
        <f aca="false">AR115+AE115</f>
        <v>40707.8053339884</v>
      </c>
      <c r="AZ115" s="12" t="n">
        <f aca="false">AS115+AE115</f>
        <v>45332.7740505419</v>
      </c>
      <c r="BA115" s="12" t="n">
        <f aca="false">AT115+AE115+AU115</f>
        <v>100630.238123966</v>
      </c>
      <c r="BB115" s="4" t="n">
        <f aca="false">IFERROR(IRR(AV115:BA115,0.15),"n/a")</f>
        <v>0.295520129298245</v>
      </c>
      <c r="BC115" s="12" t="n">
        <f aca="false">NPV($B$5,AW115:BA115)+AV115</f>
        <v>48933.2377172388</v>
      </c>
    </row>
    <row r="116" customFormat="false" ht="15" hidden="false" customHeight="false" outlineLevel="0" collapsed="false">
      <c r="A116" s="3" t="n">
        <v>92</v>
      </c>
      <c r="B116" s="15" t="n">
        <f aca="true">RAND()</f>
        <v>0.13733804864698</v>
      </c>
      <c r="C116" s="12" t="n">
        <f aca="false">IF(B116&lt;=($F$12-$E$12)/($G$12-$E$12),$E$12+SQRT(B116*($G$12-$E$12)*($F$12-$E$12)),$G$12-SQRT((1-B116)*($G$12-$E$12)*($G$12-$F$12)))</f>
        <v>-87162.3343875775</v>
      </c>
      <c r="D116" s="15" t="n">
        <f aca="true">RAND()</f>
        <v>0.462189012894816</v>
      </c>
      <c r="E116" s="12" t="n">
        <f aca="false">IF(D116&lt;=($F$13-$E$13)/($G$13-$E$13),$E$13+SQRT(D116*($G$13-$E$13)*($F$13-$E$13)),$G$13-SQRT((1-D116)*($G$13-$E$13)*($G$13-$F$13)))</f>
        <v>-31673.6351308496</v>
      </c>
      <c r="F116" s="15" t="n">
        <f aca="true">RAND()</f>
        <v>0.387510203947766</v>
      </c>
      <c r="G116" s="12" t="n">
        <f aca="false">IF(F116&lt;=($F$14-$E$14)/($G$14-$E$14),$E$14+SQRT(F116*($G$14-$E$14)*($F$14-$E$14)),$G$14-SQRT((1-F116)*($G$14-$E$14)*($G$14-$F$14)))</f>
        <v>37624.0757205162</v>
      </c>
      <c r="H116" s="15" t="n">
        <f aca="true">RAND()</f>
        <v>0.654664890292636</v>
      </c>
      <c r="I116" s="12" t="n">
        <f aca="false">IF(H116&lt;=($F$14-$E$14)/($G$14-$E$14),$E$14+SQRT(H116*($G$14-$E$14)*($F$14-$E$14)),$G$14-SQRT((1-H116)*($G$14-$E$14)*($G$14-$F$14)))</f>
        <v>39909.577869107</v>
      </c>
      <c r="J116" s="15" t="n">
        <f aca="true">RAND()</f>
        <v>0.612477184812986</v>
      </c>
      <c r="K116" s="12" t="n">
        <f aca="false">IF(J116&lt;=($F$14-$E$14)/($G$14-$E$14),$E$14+SQRT(J116*($G$14-$E$14)*($F$14-$E$14)),$G$14-SQRT((1-J116)*($G$14-$E$14)*($G$14-$F$14)))</f>
        <v>39584.9662347839</v>
      </c>
      <c r="L116" s="15" t="n">
        <f aca="true">RAND()</f>
        <v>0.647454917433887</v>
      </c>
      <c r="M116" s="12" t="n">
        <f aca="false">IF(L116&lt;=($F$14-$E$14)/($G$14-$E$14),$E$14+SQRT(L116*($G$14-$E$14)*($F$14-$E$14)),$G$14-SQRT((1-L116)*($G$14-$E$14)*($G$14-$F$14)))</f>
        <v>39854.8585791519</v>
      </c>
      <c r="N116" s="15" t="n">
        <f aca="true">RAND()</f>
        <v>0.253548354310623</v>
      </c>
      <c r="O116" s="12" t="n">
        <f aca="false">IF(N116&lt;=($F$14-$E$14)/($G$14-$E$14),$E$14+SQRT(N116*($G$14-$E$14)*($F$14-$E$14)),$G$14-SQRT((1-N116)*($G$14-$E$14)*($G$14-$F$14)))</f>
        <v>36167.0295237329</v>
      </c>
      <c r="P116" s="15" t="n">
        <f aca="true">RAND()</f>
        <v>0.76310451359299</v>
      </c>
      <c r="Q116" s="16" t="n">
        <f aca="false">IF(P116&lt;=($F$15-$E$15)/($G$15-$E$15),$E$15+SQRT(P116*($G$15-$E$15)*($F$15-$E$15)),$G$15-SQRT((1-P116)*($G$15-$E$15)*($G$15-$F$15)))</f>
        <v>15.9350257252629</v>
      </c>
      <c r="R116" s="15" t="n">
        <f aca="true">RAND()</f>
        <v>0.9255484848659</v>
      </c>
      <c r="S116" s="16" t="n">
        <f aca="false">IF(R116&lt;=($F$16-$E$16)/($G$16-$E$16),$E$16+SQRT(R116*($G$16-$E$16)*($F$16-$E$16)),$G$16-SQRT((1-R116)*($G$16-$E$16)*($G$16-$F$16)))</f>
        <v>16.8423613377164</v>
      </c>
      <c r="T116" s="15" t="n">
        <f aca="true">RAND()</f>
        <v>0.711152424660227</v>
      </c>
      <c r="U116" s="16" t="n">
        <f aca="false">IF(T116&lt;=($F$17-$E$17)/($G$17-$E$17),$E$17+SQRT(T116*($G$17-$E$17)*($F$17-$E$17)),$G$17-SQRT((1-T116)*($G$17-$E$17)*($G$17-$F$17)))</f>
        <v>19.1561061711953</v>
      </c>
      <c r="V116" s="15" t="n">
        <f aca="true">RAND()</f>
        <v>0.724734965431902</v>
      </c>
      <c r="W116" s="16" t="n">
        <f aca="false">IF(V116&lt;=($F$18-$E$18)/($G$18-$E$18),$E$18+SQRT(V116*($G$18-$E$18)*($F$18-$E$18)),$G$18-SQRT((1-V116)*($G$18-$E$18)*($G$18-$F$18)))</f>
        <v>21.8960869519454</v>
      </c>
      <c r="X116" s="15" t="n">
        <f aca="true">RAND()</f>
        <v>0.969372323899311</v>
      </c>
      <c r="Y116" s="16" t="n">
        <f aca="false">IF(X116&lt;=($F$19-$E$19)/($G$19-$E$19),$E$19+SQRT(X116*($G$19-$E$19)*($F$19-$E$19)),$G$19-SQRT((1-X116)*($G$19-$E$19)*($G$19-$F$19)))</f>
        <v>26.713961699856</v>
      </c>
      <c r="Z116" s="12" t="n">
        <f aca="false">G116*(1+Q116/100)</f>
        <v>43619.4818654729</v>
      </c>
      <c r="AA116" s="12" t="n">
        <f aca="false">I116*(1+Q116/100)*(1+S116/100)</f>
        <v>54062.0017467823</v>
      </c>
      <c r="AB116" s="12" t="n">
        <f aca="false">K116*(1+Q116/100)*(1+S116/100)*(1+U116/100)</f>
        <v>63894.219531301</v>
      </c>
      <c r="AC116" s="12" t="n">
        <f aca="false">M116*(1+Q116/100)*(1+S116/100)*(1+U116/100)*(1+W116/100)</f>
        <v>78415.5743049713</v>
      </c>
      <c r="AD116" s="12" t="n">
        <f aca="false">O116*(1+Q116/100)*(1+S116/100)*(1+U116/100)*(1+W116/100)*(1+Y116/100)</f>
        <v>90169.2308412244</v>
      </c>
      <c r="AE116" s="12" t="n">
        <f aca="false">ABS(C116)/$B$7</f>
        <v>17432.4668775155</v>
      </c>
      <c r="AF116" s="12" t="n">
        <f aca="false">Z116-AE116</f>
        <v>26187.0149879574</v>
      </c>
      <c r="AG116" s="12" t="n">
        <f aca="false">AA116-AE116</f>
        <v>36629.5348692668</v>
      </c>
      <c r="AH116" s="12" t="n">
        <f aca="false">AB116-AE116</f>
        <v>46461.7526537855</v>
      </c>
      <c r="AI116" s="12" t="n">
        <f aca="false">AC116-AE116</f>
        <v>60983.1074274558</v>
      </c>
      <c r="AJ116" s="12" t="n">
        <f aca="false">AD116-AE116</f>
        <v>72736.7639637089</v>
      </c>
      <c r="AK116" s="12" t="n">
        <f aca="false">AF116*$B$4</f>
        <v>13093.5074939787</v>
      </c>
      <c r="AL116" s="12" t="n">
        <f aca="false">AG116*$B$4</f>
        <v>18314.7674346334</v>
      </c>
      <c r="AM116" s="12" t="n">
        <f aca="false">AH116*$B$4</f>
        <v>23230.8763268927</v>
      </c>
      <c r="AN116" s="12" t="n">
        <f aca="false">AI116*$B$4</f>
        <v>30491.5537137279</v>
      </c>
      <c r="AO116" s="12" t="n">
        <f aca="false">AJ116*$B$4</f>
        <v>36368.3819818544</v>
      </c>
      <c r="AP116" s="12" t="n">
        <f aca="false">AF116-AK116</f>
        <v>13093.5074939787</v>
      </c>
      <c r="AQ116" s="12" t="n">
        <f aca="false">AG116-AL116</f>
        <v>18314.7674346334</v>
      </c>
      <c r="AR116" s="12" t="n">
        <f aca="false">AH116-AM116</f>
        <v>23230.8763268927</v>
      </c>
      <c r="AS116" s="12" t="n">
        <f aca="false">AI116-AN116</f>
        <v>30491.5537137279</v>
      </c>
      <c r="AT116" s="12" t="n">
        <f aca="false">AJ116-AO116</f>
        <v>36368.3819818544</v>
      </c>
      <c r="AU116" s="12" t="n">
        <f aca="false">0.2*ABS(C116)+1*ABS(E116)</f>
        <v>49106.1020083651</v>
      </c>
      <c r="AV116" s="12" t="n">
        <f aca="false">C116+E116</f>
        <v>-118835.969518427</v>
      </c>
      <c r="AW116" s="12" t="n">
        <f aca="false">AP116+AE116</f>
        <v>30525.9743714942</v>
      </c>
      <c r="AX116" s="12" t="n">
        <f aca="false">AQ116+AE116</f>
        <v>35747.2343121489</v>
      </c>
      <c r="AY116" s="12" t="n">
        <f aca="false">AR116+AE116</f>
        <v>40663.3432044082</v>
      </c>
      <c r="AZ116" s="12" t="n">
        <f aca="false">AS116+AE116</f>
        <v>47924.0205912434</v>
      </c>
      <c r="BA116" s="12" t="n">
        <f aca="false">AT116+AE116+AU116</f>
        <v>102906.950867735</v>
      </c>
      <c r="BB116" s="4" t="n">
        <f aca="false">IFERROR(IRR(AV116:BA116,0.15),"n/a")</f>
        <v>0.258814826331307</v>
      </c>
      <c r="BC116" s="12" t="n">
        <f aca="false">NPV($B$5,AW116:BA116)+AV116</f>
        <v>40038.8652791926</v>
      </c>
    </row>
    <row r="117" customFormat="false" ht="15" hidden="false" customHeight="false" outlineLevel="0" collapsed="false">
      <c r="A117" s="3" t="n">
        <v>93</v>
      </c>
      <c r="B117" s="15" t="n">
        <f aca="true">RAND()</f>
        <v>0.813579723260933</v>
      </c>
      <c r="C117" s="12" t="n">
        <f aca="false">IF(B117&lt;=($F$12-$E$12)/($G$12-$E$12),$E$12+SQRT(B117*($G$12-$E$12)*($F$12-$E$12)),$G$12-SQRT((1-B117)*($G$12-$E$12)*($G$12-$F$12)))</f>
        <v>-68635.2828960971</v>
      </c>
      <c r="D117" s="15" t="n">
        <f aca="true">RAND()</f>
        <v>0.399517865374805</v>
      </c>
      <c r="E117" s="12" t="n">
        <f aca="false">IF(D117&lt;=($F$13-$E$13)/($G$13-$E$13),$E$13+SQRT(D117*($G$13-$E$13)*($F$13-$E$13)),$G$13-SQRT((1-D117)*($G$13-$E$13)*($G$13-$F$13)))</f>
        <v>-32258.7029635712</v>
      </c>
      <c r="F117" s="15" t="n">
        <f aca="true">RAND()</f>
        <v>0.422295468760606</v>
      </c>
      <c r="G117" s="12" t="n">
        <f aca="false">IF(F117&lt;=($F$14-$E$14)/($G$14-$E$14),$E$14+SQRT(F117*($G$14-$E$14)*($F$14-$E$14)),$G$14-SQRT((1-F117)*($G$14-$E$14)*($G$14-$F$14)))</f>
        <v>37958.9145185817</v>
      </c>
      <c r="H117" s="15" t="n">
        <f aca="true">RAND()</f>
        <v>0.927418792791417</v>
      </c>
      <c r="I117" s="12" t="n">
        <f aca="false">IF(H117&lt;=($F$14-$E$14)/($G$14-$E$14),$E$14+SQRT(H117*($G$14-$E$14)*($F$14-$E$14)),$G$14-SQRT((1-H117)*($G$14-$E$14)*($G$14-$F$14)))</f>
        <v>42666.8496532277</v>
      </c>
      <c r="J117" s="15" t="n">
        <f aca="true">RAND()</f>
        <v>0.431207712748102</v>
      </c>
      <c r="K117" s="12" t="n">
        <f aca="false">IF(J117&lt;=($F$14-$E$14)/($G$14-$E$14),$E$14+SQRT(J117*($G$14-$E$14)*($F$14-$E$14)),$G$14-SQRT((1-J117)*($G$14-$E$14)*($G$14-$F$14)))</f>
        <v>38042.4596307483</v>
      </c>
      <c r="L117" s="15" t="n">
        <f aca="true">RAND()</f>
        <v>0.677013916969697</v>
      </c>
      <c r="M117" s="12" t="n">
        <f aca="false">IF(L117&lt;=($F$14-$E$14)/($G$14-$E$14),$E$14+SQRT(L117*($G$14-$E$14)*($F$14-$E$14)),$G$14-SQRT((1-L117)*($G$14-$E$14)*($G$14-$F$14)))</f>
        <v>40078.2161539465</v>
      </c>
      <c r="N117" s="15" t="n">
        <f aca="true">RAND()</f>
        <v>0.201904234440741</v>
      </c>
      <c r="O117" s="12" t="n">
        <f aca="false">IF(N117&lt;=($F$14-$E$14)/($G$14-$E$14),$E$14+SQRT(N117*($G$14-$E$14)*($F$14-$E$14)),$G$14-SQRT((1-N117)*($G$14-$E$14)*($G$14-$F$14)))</f>
        <v>35503.2386070487</v>
      </c>
      <c r="P117" s="15" t="n">
        <f aca="true">RAND()</f>
        <v>0.0809754562064117</v>
      </c>
      <c r="Q117" s="16" t="n">
        <f aca="false">IF(P117&lt;=($F$15-$E$15)/($G$15-$E$15),$E$15+SQRT(P117*($G$15-$E$15)*($F$15-$E$15)),$G$15-SQRT((1-P117)*($G$15-$E$15)*($G$15-$F$15)))</f>
        <v>13.2072937553534</v>
      </c>
      <c r="R117" s="15" t="n">
        <f aca="true">RAND()</f>
        <v>0.905567929387933</v>
      </c>
      <c r="S117" s="16" t="n">
        <f aca="false">IF(R117&lt;=($F$16-$E$16)/($G$16-$E$16),$E$16+SQRT(R117*($G$16-$E$16)*($F$16-$E$16)),$G$16-SQRT((1-R117)*($G$16-$E$16)*($G$16-$F$16)))</f>
        <v>16.6962449344232</v>
      </c>
      <c r="T117" s="15" t="n">
        <f aca="true">RAND()</f>
        <v>0.873090173424988</v>
      </c>
      <c r="U117" s="16" t="n">
        <f aca="false">IF(T117&lt;=($F$17-$E$17)/($G$17-$E$17),$E$17+SQRT(T117*($G$17-$E$17)*($F$17-$E$17)),$G$17-SQRT((1-T117)*($G$17-$E$17)*($G$17-$F$17)))</f>
        <v>20.1149336499475</v>
      </c>
      <c r="V117" s="15" t="n">
        <f aca="true">RAND()</f>
        <v>0.831351406554435</v>
      </c>
      <c r="W117" s="16" t="n">
        <f aca="false">IF(V117&lt;=($F$18-$E$18)/($G$18-$E$18),$E$18+SQRT(V117*($G$18-$E$18)*($F$18-$E$18)),$G$18-SQRT((1-V117)*($G$18-$E$18)*($G$18-$F$18)))</f>
        <v>22.5704525584803</v>
      </c>
      <c r="X117" s="15" t="n">
        <f aca="true">RAND()</f>
        <v>0.917898355510336</v>
      </c>
      <c r="Y117" s="16" t="n">
        <f aca="false">IF(X117&lt;=($F$19-$E$19)/($G$19-$E$19),$E$19+SQRT(X117*($G$19-$E$19)*($F$19-$E$19)),$G$19-SQRT((1-X117)*($G$19-$E$19)*($G$19-$F$19)))</f>
        <v>25.8944148550957</v>
      </c>
      <c r="Z117" s="12" t="n">
        <f aca="false">G117*(1+Q117/100)</f>
        <v>42972.2598653943</v>
      </c>
      <c r="AA117" s="12" t="n">
        <f aca="false">I117*(1+Q117/100)*(1+S117/100)</f>
        <v>56366.603684297</v>
      </c>
      <c r="AB117" s="12" t="n">
        <f aca="false">K117*(1+Q117/100)*(1+S117/100)*(1+U117/100)</f>
        <v>60366.6233920216</v>
      </c>
      <c r="AC117" s="12" t="n">
        <f aca="false">M117*(1+Q117/100)*(1+S117/100)*(1+U117/100)*(1+W117/100)</f>
        <v>77951.139594974</v>
      </c>
      <c r="AD117" s="12" t="n">
        <f aca="false">O117*(1+Q117/100)*(1+S117/100)*(1+U117/100)*(1+W117/100)*(1+Y117/100)</f>
        <v>86933.7712992172</v>
      </c>
      <c r="AE117" s="12" t="n">
        <f aca="false">ABS(C117)/$B$7</f>
        <v>13727.0565792194</v>
      </c>
      <c r="AF117" s="12" t="n">
        <f aca="false">Z117-AE117</f>
        <v>29245.2032861749</v>
      </c>
      <c r="AG117" s="12" t="n">
        <f aca="false">AA117-AE117</f>
        <v>42639.5471050776</v>
      </c>
      <c r="AH117" s="12" t="n">
        <f aca="false">AB117-AE117</f>
        <v>46639.5668128022</v>
      </c>
      <c r="AI117" s="12" t="n">
        <f aca="false">AC117-AE117</f>
        <v>64224.0830157546</v>
      </c>
      <c r="AJ117" s="12" t="n">
        <f aca="false">AD117-AE117</f>
        <v>73206.7147199978</v>
      </c>
      <c r="AK117" s="12" t="n">
        <f aca="false">AF117*$B$4</f>
        <v>14622.6016430874</v>
      </c>
      <c r="AL117" s="12" t="n">
        <f aca="false">AG117*$B$4</f>
        <v>21319.7735525388</v>
      </c>
      <c r="AM117" s="12" t="n">
        <f aca="false">AH117*$B$4</f>
        <v>23319.7834064011</v>
      </c>
      <c r="AN117" s="12" t="n">
        <f aca="false">AI117*$B$4</f>
        <v>32112.0415078773</v>
      </c>
      <c r="AO117" s="12" t="n">
        <f aca="false">AJ117*$B$4</f>
        <v>36603.3573599989</v>
      </c>
      <c r="AP117" s="12" t="n">
        <f aca="false">AF117-AK117</f>
        <v>14622.6016430874</v>
      </c>
      <c r="AQ117" s="12" t="n">
        <f aca="false">AG117-AL117</f>
        <v>21319.7735525388</v>
      </c>
      <c r="AR117" s="12" t="n">
        <f aca="false">AH117-AM117</f>
        <v>23319.7834064011</v>
      </c>
      <c r="AS117" s="12" t="n">
        <f aca="false">AI117-AN117</f>
        <v>32112.0415078773</v>
      </c>
      <c r="AT117" s="12" t="n">
        <f aca="false">AJ117-AO117</f>
        <v>36603.3573599989</v>
      </c>
      <c r="AU117" s="12" t="n">
        <f aca="false">0.2*ABS(C117)+1*ABS(E117)</f>
        <v>45985.7595427907</v>
      </c>
      <c r="AV117" s="12" t="n">
        <f aca="false">C117+E117</f>
        <v>-100893.985859668</v>
      </c>
      <c r="AW117" s="12" t="n">
        <f aca="false">AP117+AE117</f>
        <v>28349.6582223069</v>
      </c>
      <c r="AX117" s="12" t="n">
        <f aca="false">AQ117+AE117</f>
        <v>35046.8301317582</v>
      </c>
      <c r="AY117" s="12" t="n">
        <f aca="false">AR117+AE117</f>
        <v>37046.8399856205</v>
      </c>
      <c r="AZ117" s="12" t="n">
        <f aca="false">AS117+AE117</f>
        <v>45839.0980870967</v>
      </c>
      <c r="BA117" s="12" t="n">
        <f aca="false">AT117+AE117+AU117</f>
        <v>96316.173482009</v>
      </c>
      <c r="BB117" s="4" t="n">
        <f aca="false">IFERROR(IRR(AV117:BA117,0.15),"n/a")</f>
        <v>0.302137071515263</v>
      </c>
      <c r="BC117" s="12" t="n">
        <f aca="false">NPV($B$5,AW117:BA117)+AV117</f>
        <v>48712.0419637561</v>
      </c>
    </row>
    <row r="118" customFormat="false" ht="15" hidden="false" customHeight="false" outlineLevel="0" collapsed="false">
      <c r="A118" s="3" t="n">
        <v>94</v>
      </c>
      <c r="B118" s="15" t="n">
        <f aca="true">RAND()</f>
        <v>0.0537084759595169</v>
      </c>
      <c r="C118" s="12" t="n">
        <f aca="false">IF(B118&lt;=($F$12-$E$12)/($G$12-$E$12),$E$12+SQRT(B118*($G$12-$E$12)*($F$12-$E$12)),$G$12-SQRT((1-B118)*($G$12-$E$12)*($G$12-$F$12)))</f>
        <v>-91971.9136058822</v>
      </c>
      <c r="D118" s="15" t="n">
        <f aca="true">RAND()</f>
        <v>0.818381240803664</v>
      </c>
      <c r="E118" s="12" t="n">
        <f aca="false">IF(D118&lt;=($F$13-$E$13)/($G$13-$E$13),$E$13+SQRT(D118*($G$13-$E$13)*($F$13-$E$13)),$G$13-SQRT((1-D118)*($G$13-$E$13)*($G$13-$F$13)))</f>
        <v>-28690.7190274695</v>
      </c>
      <c r="F118" s="15" t="n">
        <f aca="true">RAND()</f>
        <v>0.874860314645168</v>
      </c>
      <c r="G118" s="12" t="n">
        <f aca="false">IF(F118&lt;=($F$14-$E$14)/($G$14-$E$14),$E$14+SQRT(F118*($G$14-$E$14)*($F$14-$E$14)),$G$14-SQRT((1-F118)*($G$14-$E$14)*($G$14-$F$14)))</f>
        <v>41936.4275099792</v>
      </c>
      <c r="H118" s="15" t="n">
        <f aca="true">RAND()</f>
        <v>0.338623287241177</v>
      </c>
      <c r="I118" s="12" t="n">
        <f aca="false">IF(H118&lt;=($F$14-$E$14)/($G$14-$E$14),$E$14+SQRT(H118*($G$14-$E$14)*($F$14-$E$14)),$G$14-SQRT((1-H118)*($G$14-$E$14)*($G$14-$F$14)))</f>
        <v>37126.9553868519</v>
      </c>
      <c r="J118" s="15" t="n">
        <f aca="true">RAND()</f>
        <v>0.201304369819101</v>
      </c>
      <c r="K118" s="12" t="n">
        <f aca="false">IF(J118&lt;=($F$14-$E$14)/($G$14-$E$14),$E$14+SQRT(J118*($G$14-$E$14)*($F$14-$E$14)),$G$14-SQRT((1-J118)*($G$14-$E$14)*($G$14-$F$14)))</f>
        <v>35495.0573675682</v>
      </c>
      <c r="L118" s="15" t="n">
        <f aca="true">RAND()</f>
        <v>0.416006950989248</v>
      </c>
      <c r="M118" s="12" t="n">
        <f aca="false">IF(L118&lt;=($F$14-$E$14)/($G$14-$E$14),$E$14+SQRT(L118*($G$14-$E$14)*($F$14-$E$14)),$G$14-SQRT((1-L118)*($G$14-$E$14)*($G$14-$F$14)))</f>
        <v>37899.4330586687</v>
      </c>
      <c r="N118" s="15" t="n">
        <f aca="true">RAND()</f>
        <v>0.276261689338376</v>
      </c>
      <c r="O118" s="12" t="n">
        <f aca="false">IF(N118&lt;=($F$14-$E$14)/($G$14-$E$14),$E$14+SQRT(N118*($G$14-$E$14)*($F$14-$E$14)),$G$14-SQRT((1-N118)*($G$14-$E$14)*($G$14-$F$14)))</f>
        <v>36437.3327862366</v>
      </c>
      <c r="P118" s="15" t="n">
        <f aca="true">RAND()</f>
        <v>0.979571229274932</v>
      </c>
      <c r="Q118" s="16" t="n">
        <f aca="false">IF(P118&lt;=($F$15-$E$15)/($G$15-$E$15),$E$15+SQRT(P118*($G$15-$E$15)*($F$15-$E$15)),$G$15-SQRT((1-P118)*($G$15-$E$15)*($G$15-$F$15)))</f>
        <v>17.3936025453127</v>
      </c>
      <c r="R118" s="15" t="n">
        <f aca="true">RAND()</f>
        <v>0.775480993354481</v>
      </c>
      <c r="S118" s="16" t="n">
        <f aca="false">IF(R118&lt;=($F$16-$E$16)/($G$16-$E$16),$E$16+SQRT(R118*($G$16-$E$16)*($F$16-$E$16)),$G$16-SQRT((1-R118)*($G$16-$E$16)*($G$16-$F$16)))</f>
        <v>15.9896910387656</v>
      </c>
      <c r="T118" s="15" t="n">
        <f aca="true">RAND()</f>
        <v>0.468724695891988</v>
      </c>
      <c r="U118" s="16" t="n">
        <f aca="false">IF(T118&lt;=($F$17-$E$17)/($G$17-$E$17),$E$17+SQRT(T118*($G$17-$E$17)*($F$17-$E$17)),$G$17-SQRT((1-T118)*($G$17-$E$17)*($G$17-$F$17)))</f>
        <v>18.143095993543</v>
      </c>
      <c r="V118" s="15" t="n">
        <f aca="true">RAND()</f>
        <v>0.159300069342661</v>
      </c>
      <c r="W118" s="16" t="n">
        <f aca="false">IF(V118&lt;=($F$18-$E$18)/($G$18-$E$18),$E$18+SQRT(V118*($G$18-$E$18)*($F$18-$E$18)),$G$18-SQRT((1-V118)*($G$18-$E$18)*($G$18-$F$18)))</f>
        <v>19.4933857407908</v>
      </c>
      <c r="X118" s="15" t="n">
        <f aca="true">RAND()</f>
        <v>0.0893836659390439</v>
      </c>
      <c r="Y118" s="16" t="n">
        <f aca="false">IF(X118&lt;=($F$19-$E$19)/($G$19-$E$19),$E$19+SQRT(X118*($G$19-$E$19)*($F$19-$E$19)),$G$19-SQRT((1-X118)*($G$19-$E$19)*($G$19-$F$19)))</f>
        <v>20.5534989476515</v>
      </c>
      <c r="Z118" s="12" t="n">
        <f aca="false">G118*(1+Q118/100)</f>
        <v>49230.6830327681</v>
      </c>
      <c r="AA118" s="12" t="n">
        <f aca="false">I118*(1+Q118/100)*(1+S118/100)</f>
        <v>50553.7245882788</v>
      </c>
      <c r="AB118" s="12" t="n">
        <f aca="false">K118*(1+Q118/100)*(1+S118/100)*(1+U118/100)</f>
        <v>57100.5185084715</v>
      </c>
      <c r="AC118" s="12" t="n">
        <f aca="false">M118*(1+Q118/100)*(1+S118/100)*(1+U118/100)*(1+W118/100)</f>
        <v>72853.219639544</v>
      </c>
      <c r="AD118" s="12" t="n">
        <f aca="false">O118*(1+Q118/100)*(1+S118/100)*(1+U118/100)*(1+W118/100)*(1+Y118/100)</f>
        <v>84438.8743525227</v>
      </c>
      <c r="AE118" s="12" t="n">
        <f aca="false">ABS(C118)/$B$7</f>
        <v>18394.3827211764</v>
      </c>
      <c r="AF118" s="12" t="n">
        <f aca="false">Z118-AE118</f>
        <v>30836.3003115917</v>
      </c>
      <c r="AG118" s="12" t="n">
        <f aca="false">AA118-AE118</f>
        <v>32159.3418671024</v>
      </c>
      <c r="AH118" s="12" t="n">
        <f aca="false">AB118-AE118</f>
        <v>38706.135787295</v>
      </c>
      <c r="AI118" s="12" t="n">
        <f aca="false">AC118-AE118</f>
        <v>54458.8369183676</v>
      </c>
      <c r="AJ118" s="12" t="n">
        <f aca="false">AD118-AE118</f>
        <v>66044.4916313463</v>
      </c>
      <c r="AK118" s="12" t="n">
        <f aca="false">AF118*$B$4</f>
        <v>15418.1501557958</v>
      </c>
      <c r="AL118" s="12" t="n">
        <f aca="false">AG118*$B$4</f>
        <v>16079.6709335512</v>
      </c>
      <c r="AM118" s="12" t="n">
        <f aca="false">AH118*$B$4</f>
        <v>19353.0678936475</v>
      </c>
      <c r="AN118" s="12" t="n">
        <f aca="false">AI118*$B$4</f>
        <v>27229.4184591838</v>
      </c>
      <c r="AO118" s="12" t="n">
        <f aca="false">AJ118*$B$4</f>
        <v>33022.2458156732</v>
      </c>
      <c r="AP118" s="12" t="n">
        <f aca="false">AF118-AK118</f>
        <v>15418.1501557958</v>
      </c>
      <c r="AQ118" s="12" t="n">
        <f aca="false">AG118-AL118</f>
        <v>16079.6709335512</v>
      </c>
      <c r="AR118" s="12" t="n">
        <f aca="false">AH118-AM118</f>
        <v>19353.0678936475</v>
      </c>
      <c r="AS118" s="12" t="n">
        <f aca="false">AI118-AN118</f>
        <v>27229.4184591838</v>
      </c>
      <c r="AT118" s="12" t="n">
        <f aca="false">AJ118-AO118</f>
        <v>33022.2458156732</v>
      </c>
      <c r="AU118" s="12" t="n">
        <f aca="false">0.2*ABS(C118)+1*ABS(E118)</f>
        <v>47085.1017486459</v>
      </c>
      <c r="AV118" s="12" t="n">
        <f aca="false">C118+E118</f>
        <v>-120662.632633352</v>
      </c>
      <c r="AW118" s="12" t="n">
        <f aca="false">AP118+AE118</f>
        <v>33812.5328769723</v>
      </c>
      <c r="AX118" s="12" t="n">
        <f aca="false">AQ118+AE118</f>
        <v>34474.0536547276</v>
      </c>
      <c r="AY118" s="12" t="n">
        <f aca="false">AR118+AE118</f>
        <v>37747.4506148239</v>
      </c>
      <c r="AZ118" s="12" t="n">
        <f aca="false">AS118+AE118</f>
        <v>45623.8011803602</v>
      </c>
      <c r="BA118" s="12" t="n">
        <f aca="false">AT118+AE118+AU118</f>
        <v>98501.7302854955</v>
      </c>
      <c r="BB118" s="4" t="n">
        <f aca="false">IFERROR(IRR(AV118:BA118,0.15),"n/a")</f>
        <v>0.245730743437382</v>
      </c>
      <c r="BC118" s="12" t="n">
        <f aca="false">NPV($B$5,AW118:BA118)+AV118</f>
        <v>34684.7938233445</v>
      </c>
    </row>
    <row r="119" customFormat="false" ht="15" hidden="false" customHeight="false" outlineLevel="0" collapsed="false">
      <c r="A119" s="3" t="n">
        <v>95</v>
      </c>
      <c r="B119" s="15" t="n">
        <f aca="true">RAND()</f>
        <v>0.112208585800878</v>
      </c>
      <c r="C119" s="12" t="n">
        <f aca="false">IF(B119&lt;=($F$12-$E$12)/($G$12-$E$12),$E$12+SQRT(B119*($G$12-$E$12)*($F$12-$E$12)),$G$12-SQRT((1-B119)*($G$12-$E$12)*($G$12-$F$12)))</f>
        <v>-88396.1082838104</v>
      </c>
      <c r="D119" s="15" t="n">
        <f aca="true">RAND()</f>
        <v>0.788407899916108</v>
      </c>
      <c r="E119" s="12" t="n">
        <f aca="false">IF(D119&lt;=($F$13-$E$13)/($G$13-$E$13),$E$13+SQRT(D119*($G$13-$E$13)*($F$13-$E$13)),$G$13-SQRT((1-D119)*($G$13-$E$13)*($G$13-$F$13)))</f>
        <v>-28983.6424922791</v>
      </c>
      <c r="F119" s="15" t="n">
        <f aca="true">RAND()</f>
        <v>0.507901522670134</v>
      </c>
      <c r="G119" s="12" t="n">
        <f aca="false">IF(F119&lt;=($F$14-$E$14)/($G$14-$E$14),$E$14+SQRT(F119*($G$14-$E$14)*($F$14-$E$14)),$G$14-SQRT((1-F119)*($G$14-$E$14)*($G$14-$F$14)))</f>
        <v>38728.4149993295</v>
      </c>
      <c r="H119" s="15" t="n">
        <f aca="true">RAND()</f>
        <v>0.176291810586641</v>
      </c>
      <c r="I119" s="12" t="n">
        <f aca="false">IF(H119&lt;=($F$14-$E$14)/($G$14-$E$14),$E$14+SQRT(H119*($G$14-$E$14)*($F$14-$E$14)),$G$14-SQRT((1-H119)*($G$14-$E$14)*($G$14-$F$14)))</f>
        <v>35142.3507842227</v>
      </c>
      <c r="J119" s="15" t="n">
        <f aca="true">RAND()</f>
        <v>0.0980905141734207</v>
      </c>
      <c r="K119" s="12" t="n">
        <f aca="false">IF(J119&lt;=($F$14-$E$14)/($G$14-$E$14),$E$14+SQRT(J119*($G$14-$E$14)*($F$14-$E$14)),$G$14-SQRT((1-J119)*($G$14-$E$14)*($G$14-$F$14)))</f>
        <v>33835.8280886939</v>
      </c>
      <c r="L119" s="15" t="n">
        <f aca="true">RAND()</f>
        <v>0.917639506378809</v>
      </c>
      <c r="M119" s="12" t="n">
        <f aca="false">IF(L119&lt;=($F$14-$E$14)/($G$14-$E$14),$E$14+SQRT(L119*($G$14-$E$14)*($F$14-$E$14)),$G$14-SQRT((1-L119)*($G$14-$E$14)*($G$14-$F$14)))</f>
        <v>42514.6354348729</v>
      </c>
      <c r="N119" s="15" t="n">
        <f aca="true">RAND()</f>
        <v>0.307718803855496</v>
      </c>
      <c r="O119" s="12" t="n">
        <f aca="false">IF(N119&lt;=($F$14-$E$14)/($G$14-$E$14),$E$14+SQRT(N119*($G$14-$E$14)*($F$14-$E$14)),$G$14-SQRT((1-N119)*($G$14-$E$14)*($G$14-$F$14)))</f>
        <v>36793.9547082921</v>
      </c>
      <c r="P119" s="15" t="n">
        <f aca="true">RAND()</f>
        <v>0.342931530018794</v>
      </c>
      <c r="Q119" s="16" t="n">
        <f aca="false">IF(P119&lt;=($F$15-$E$15)/($G$15-$E$15),$E$15+SQRT(P119*($G$15-$E$15)*($F$15-$E$15)),$G$15-SQRT((1-P119)*($G$15-$E$15)*($G$15-$F$15)))</f>
        <v>14.4845054921127</v>
      </c>
      <c r="R119" s="15" t="n">
        <f aca="true">RAND()</f>
        <v>0.135331914940566</v>
      </c>
      <c r="S119" s="16" t="n">
        <f aca="false">IF(R119&lt;=($F$16-$E$16)/($G$16-$E$16),$E$16+SQRT(R119*($G$16-$E$16)*($F$16-$E$16)),$G$16-SQRT((1-R119)*($G$16-$E$16)*($G$16-$F$16)))</f>
        <v>13.5607608621856</v>
      </c>
      <c r="T119" s="15" t="n">
        <f aca="true">RAND()</f>
        <v>0.361636700956061</v>
      </c>
      <c r="U119" s="16" t="n">
        <f aca="false">IF(T119&lt;=($F$17-$E$17)/($G$17-$E$17),$E$17+SQRT(T119*($G$17-$E$17)*($F$17-$E$17)),$G$17-SQRT((1-T119)*($G$17-$E$17)*($G$17-$F$17)))</f>
        <v>17.7557885840676</v>
      </c>
      <c r="V119" s="15" t="n">
        <f aca="true">RAND()</f>
        <v>0.509781994557358</v>
      </c>
      <c r="W119" s="16" t="n">
        <f aca="false">IF(V119&lt;=($F$18-$E$18)/($G$18-$E$18),$E$18+SQRT(V119*($G$18-$E$18)*($F$18-$E$18)),$G$18-SQRT((1-V119)*($G$18-$E$18)*($G$18-$F$18)))</f>
        <v>20.8578230131376</v>
      </c>
      <c r="X119" s="15" t="n">
        <f aca="true">RAND()</f>
        <v>0.260774504347756</v>
      </c>
      <c r="Y119" s="16" t="n">
        <f aca="false">IF(X119&lt;=($F$19-$E$19)/($G$19-$E$19),$E$19+SQRT(X119*($G$19-$E$19)*($F$19-$E$19)),$G$19-SQRT((1-X119)*($G$19-$E$19)*($G$19-$F$19)))</f>
        <v>21.6534716160889</v>
      </c>
      <c r="Z119" s="12" t="n">
        <f aca="false">G119*(1+Q119/100)</f>
        <v>44338.0343969156</v>
      </c>
      <c r="AA119" s="12" t="n">
        <f aca="false">I119*(1+Q119/100)*(1+S119/100)</f>
        <v>45688.3859351007</v>
      </c>
      <c r="AB119" s="12" t="n">
        <f aca="false">K119*(1+Q119/100)*(1+S119/100)*(1+U119/100)</f>
        <v>51800.5154338749</v>
      </c>
      <c r="AC119" s="12" t="n">
        <f aca="false">M119*(1+Q119/100)*(1+S119/100)*(1+U119/100)*(1+W119/100)</f>
        <v>78662.9986633484</v>
      </c>
      <c r="AD119" s="12" t="n">
        <f aca="false">O119*(1+Q119/100)*(1+S119/100)*(1+U119/100)*(1+W119/100)*(1+Y119/100)</f>
        <v>82819.5782974778</v>
      </c>
      <c r="AE119" s="12" t="n">
        <f aca="false">ABS(C119)/$B$7</f>
        <v>17679.2216567621</v>
      </c>
      <c r="AF119" s="12" t="n">
        <f aca="false">Z119-AE119</f>
        <v>26658.8127401535</v>
      </c>
      <c r="AG119" s="12" t="n">
        <f aca="false">AA119-AE119</f>
        <v>28009.1642783386</v>
      </c>
      <c r="AH119" s="12" t="n">
        <f aca="false">AB119-AE119</f>
        <v>34121.2937771128</v>
      </c>
      <c r="AI119" s="12" t="n">
        <f aca="false">AC119-AE119</f>
        <v>60983.7770065863</v>
      </c>
      <c r="AJ119" s="12" t="n">
        <f aca="false">AD119-AE119</f>
        <v>65140.3566407157</v>
      </c>
      <c r="AK119" s="12" t="n">
        <f aca="false">AF119*$B$4</f>
        <v>13329.4063700768</v>
      </c>
      <c r="AL119" s="12" t="n">
        <f aca="false">AG119*$B$4</f>
        <v>14004.5821391693</v>
      </c>
      <c r="AM119" s="12" t="n">
        <f aca="false">AH119*$B$4</f>
        <v>17060.6468885564</v>
      </c>
      <c r="AN119" s="12" t="n">
        <f aca="false">AI119*$B$4</f>
        <v>30491.8885032932</v>
      </c>
      <c r="AO119" s="12" t="n">
        <f aca="false">AJ119*$B$4</f>
        <v>32570.1783203579</v>
      </c>
      <c r="AP119" s="12" t="n">
        <f aca="false">AF119-AK119</f>
        <v>13329.4063700768</v>
      </c>
      <c r="AQ119" s="12" t="n">
        <f aca="false">AG119-AL119</f>
        <v>14004.5821391693</v>
      </c>
      <c r="AR119" s="12" t="n">
        <f aca="false">AH119-AM119</f>
        <v>17060.6468885564</v>
      </c>
      <c r="AS119" s="12" t="n">
        <f aca="false">AI119-AN119</f>
        <v>30491.8885032932</v>
      </c>
      <c r="AT119" s="12" t="n">
        <f aca="false">AJ119-AO119</f>
        <v>32570.1783203579</v>
      </c>
      <c r="AU119" s="12" t="n">
        <f aca="false">0.2*ABS(C119)+1*ABS(E119)</f>
        <v>46662.8641490412</v>
      </c>
      <c r="AV119" s="12" t="n">
        <f aca="false">C119+E119</f>
        <v>-117379.75077609</v>
      </c>
      <c r="AW119" s="12" t="n">
        <f aca="false">AP119+AE119</f>
        <v>31008.6280268388</v>
      </c>
      <c r="AX119" s="12" t="n">
        <f aca="false">AQ119+AE119</f>
        <v>31683.8037959314</v>
      </c>
      <c r="AY119" s="12" t="n">
        <f aca="false">AR119+AE119</f>
        <v>34739.8685453185</v>
      </c>
      <c r="AZ119" s="12" t="n">
        <f aca="false">AS119+AE119</f>
        <v>48171.1101600553</v>
      </c>
      <c r="BA119" s="12" t="n">
        <f aca="false">AT119+AE119+AU119</f>
        <v>96912.2641261611</v>
      </c>
      <c r="BB119" s="4" t="n">
        <f aca="false">IFERROR(IRR(AV119:BA119,0.15),"n/a")</f>
        <v>0.239617392627704</v>
      </c>
      <c r="BC119" s="12" t="n">
        <f aca="false">NPV($B$5,AW119:BA119)+AV119</f>
        <v>32108.3203387839</v>
      </c>
    </row>
    <row r="120" customFormat="false" ht="15" hidden="false" customHeight="false" outlineLevel="0" collapsed="false">
      <c r="A120" s="3" t="n">
        <v>96</v>
      </c>
      <c r="B120" s="15" t="n">
        <f aca="true">RAND()</f>
        <v>0.952321336313753</v>
      </c>
      <c r="C120" s="12" t="n">
        <f aca="false">IF(B120&lt;=($F$12-$E$12)/($G$12-$E$12),$E$12+SQRT(B120*($G$12-$E$12)*($F$12-$E$12)),$G$12-SQRT((1-B120)*($G$12-$E$12)*($G$12-$F$12)))</f>
        <v>-64367.0889016024</v>
      </c>
      <c r="D120" s="15" t="n">
        <f aca="true">RAND()</f>
        <v>0.571405012553241</v>
      </c>
      <c r="E120" s="12" t="n">
        <f aca="false">IF(D120&lt;=($F$13-$E$13)/($G$13-$E$13),$E$13+SQRT(D120*($G$13-$E$13)*($F$13-$E$13)),$G$13-SQRT((1-D120)*($G$13-$E$13)*($G$13-$F$13)))</f>
        <v>-30741.9898529443</v>
      </c>
      <c r="F120" s="15" t="n">
        <f aca="true">RAND()</f>
        <v>0.178088916461908</v>
      </c>
      <c r="G120" s="12" t="n">
        <f aca="false">IF(F120&lt;=($F$14-$E$14)/($G$14-$E$14),$E$14+SQRT(F120*($G$14-$E$14)*($F$14-$E$14)),$G$14-SQRT((1-F120)*($G$14-$E$14)*($G$14-$F$14)))</f>
        <v>35168.4947005183</v>
      </c>
      <c r="H120" s="15" t="n">
        <f aca="true">RAND()</f>
        <v>0.625408851204021</v>
      </c>
      <c r="I120" s="12" t="n">
        <f aca="false">IF(H120&lt;=($F$14-$E$14)/($G$14-$E$14),$E$14+SQRT(H120*($G$14-$E$14)*($F$14-$E$14)),$G$14-SQRT((1-H120)*($G$14-$E$14)*($G$14-$F$14)))</f>
        <v>39685.6247955722</v>
      </c>
      <c r="J120" s="15" t="n">
        <f aca="true">RAND()</f>
        <v>0.978890462622779</v>
      </c>
      <c r="K120" s="12" t="n">
        <f aca="false">IF(J120&lt;=($F$14-$E$14)/($G$14-$E$14),$E$14+SQRT(J120*($G$14-$E$14)*($F$14-$E$14)),$G$14-SQRT((1-J120)*($G$14-$E$14)*($G$14-$F$14)))</f>
        <v>43741.7411620451</v>
      </c>
      <c r="L120" s="15" t="n">
        <f aca="true">RAND()</f>
        <v>0.13811076969991</v>
      </c>
      <c r="M120" s="12" t="n">
        <f aca="false">IF(L120&lt;=($F$14-$E$14)/($G$14-$E$14),$E$14+SQRT(L120*($G$14-$E$14)*($F$14-$E$14)),$G$14-SQRT((1-L120)*($G$14-$E$14)*($G$14-$F$14)))</f>
        <v>34551.5508845872</v>
      </c>
      <c r="N120" s="15" t="n">
        <f aca="true">RAND()</f>
        <v>0.459408862070969</v>
      </c>
      <c r="O120" s="12" t="n">
        <f aca="false">IF(N120&lt;=($F$14-$E$14)/($G$14-$E$14),$E$14+SQRT(N120*($G$14-$E$14)*($F$14-$E$14)),$G$14-SQRT((1-N120)*($G$14-$E$14)*($G$14-$F$14)))</f>
        <v>38301.2847987914</v>
      </c>
      <c r="P120" s="15" t="n">
        <f aca="true">RAND()</f>
        <v>0.169920024901684</v>
      </c>
      <c r="Q120" s="16" t="n">
        <f aca="false">IF(P120&lt;=($F$15-$E$15)/($G$15-$E$15),$E$15+SQRT(P120*($G$15-$E$15)*($F$15-$E$15)),$G$15-SQRT((1-P120)*($G$15-$E$15)*($G$15-$F$15)))</f>
        <v>13.748874051563</v>
      </c>
      <c r="R120" s="15" t="n">
        <f aca="true">RAND()</f>
        <v>0.859346211895987</v>
      </c>
      <c r="S120" s="16" t="n">
        <f aca="false">IF(R120&lt;=($F$16-$E$16)/($G$16-$E$16),$E$16+SQRT(R120*($G$16-$E$16)*($F$16-$E$16)),$G$16-SQRT((1-R120)*($G$16-$E$16)*($G$16-$F$16)))</f>
        <v>16.4088469005554</v>
      </c>
      <c r="T120" s="15" t="n">
        <f aca="true">RAND()</f>
        <v>0.319183492627335</v>
      </c>
      <c r="U120" s="16" t="n">
        <f aca="false">IF(T120&lt;=($F$17-$E$17)/($G$17-$E$17),$E$17+SQRT(T120*($G$17-$E$17)*($F$17-$E$17)),$G$17-SQRT((1-T120)*($G$17-$E$17)*($G$17-$F$17)))</f>
        <v>17.5889869341451</v>
      </c>
      <c r="V120" s="15" t="n">
        <f aca="true">RAND()</f>
        <v>0.482975460253179</v>
      </c>
      <c r="W120" s="16" t="n">
        <f aca="false">IF(V120&lt;=($F$18-$E$18)/($G$18-$E$18),$E$18+SQRT(V120*($G$18-$E$18)*($F$18-$E$18)),$G$18-SQRT((1-V120)*($G$18-$E$18)*($G$18-$F$18)))</f>
        <v>20.7460772349349</v>
      </c>
      <c r="X120" s="15" t="n">
        <f aca="true">RAND()</f>
        <v>0.89128558442579</v>
      </c>
      <c r="Y120" s="16" t="n">
        <f aca="false">IF(X120&lt;=($F$19-$E$19)/($G$19-$E$19),$E$19+SQRT(X120*($G$19-$E$19)*($F$19-$E$19)),$G$19-SQRT((1-X120)*($G$19-$E$19)*($G$19-$F$19)))</f>
        <v>25.5770723409463</v>
      </c>
      <c r="Z120" s="12" t="n">
        <f aca="false">G120*(1+Q120/100)</f>
        <v>40003.7667427232</v>
      </c>
      <c r="AA120" s="12" t="n">
        <f aca="false">I120*(1+Q120/100)*(1+S120/100)</f>
        <v>52549.2250527451</v>
      </c>
      <c r="AB120" s="12" t="n">
        <f aca="false">K120*(1+Q120/100)*(1+S120/100)*(1+U120/100)</f>
        <v>68107.6364149821</v>
      </c>
      <c r="AC120" s="12" t="n">
        <f aca="false">M120*(1+Q120/100)*(1+S120/100)*(1+U120/100)*(1+W120/100)</f>
        <v>64959.1478254394</v>
      </c>
      <c r="AD120" s="12" t="n">
        <f aca="false">O120*(1+Q120/100)*(1+S120/100)*(1+U120/100)*(1+W120/100)*(1+Y120/100)</f>
        <v>90426.6556753694</v>
      </c>
      <c r="AE120" s="12" t="n">
        <f aca="false">ABS(C120)/$B$7</f>
        <v>12873.4177803205</v>
      </c>
      <c r="AF120" s="12" t="n">
        <f aca="false">Z120-AE120</f>
        <v>27130.3489624027</v>
      </c>
      <c r="AG120" s="12" t="n">
        <f aca="false">AA120-AE120</f>
        <v>39675.8072724246</v>
      </c>
      <c r="AH120" s="12" t="n">
        <f aca="false">AB120-AE120</f>
        <v>55234.2186346616</v>
      </c>
      <c r="AI120" s="12" t="n">
        <f aca="false">AC120-AE120</f>
        <v>52085.7300451189</v>
      </c>
      <c r="AJ120" s="12" t="n">
        <f aca="false">AD120-AE120</f>
        <v>77553.2378950489</v>
      </c>
      <c r="AK120" s="12" t="n">
        <f aca="false">AF120*$B$4</f>
        <v>13565.1744812014</v>
      </c>
      <c r="AL120" s="12" t="n">
        <f aca="false">AG120*$B$4</f>
        <v>19837.9036362123</v>
      </c>
      <c r="AM120" s="12" t="n">
        <f aca="false">AH120*$B$4</f>
        <v>27617.1093173308</v>
      </c>
      <c r="AN120" s="12" t="n">
        <f aca="false">AI120*$B$4</f>
        <v>26042.8650225594</v>
      </c>
      <c r="AO120" s="12" t="n">
        <f aca="false">AJ120*$B$4</f>
        <v>38776.6189475245</v>
      </c>
      <c r="AP120" s="12" t="n">
        <f aca="false">AF120-AK120</f>
        <v>13565.1744812014</v>
      </c>
      <c r="AQ120" s="12" t="n">
        <f aca="false">AG120-AL120</f>
        <v>19837.9036362123</v>
      </c>
      <c r="AR120" s="12" t="n">
        <f aca="false">AH120-AM120</f>
        <v>27617.1093173308</v>
      </c>
      <c r="AS120" s="12" t="n">
        <f aca="false">AI120-AN120</f>
        <v>26042.8650225594</v>
      </c>
      <c r="AT120" s="12" t="n">
        <f aca="false">AJ120-AO120</f>
        <v>38776.6189475245</v>
      </c>
      <c r="AU120" s="12" t="n">
        <f aca="false">0.2*ABS(C120)+1*ABS(E120)</f>
        <v>43615.4076332648</v>
      </c>
      <c r="AV120" s="12" t="n">
        <f aca="false">C120+E120</f>
        <v>-95109.0787545467</v>
      </c>
      <c r="AW120" s="12" t="n">
        <f aca="false">AP120+AE120</f>
        <v>26438.5922615218</v>
      </c>
      <c r="AX120" s="12" t="n">
        <f aca="false">AQ120+AE120</f>
        <v>32711.3214165328</v>
      </c>
      <c r="AY120" s="12" t="n">
        <f aca="false">AR120+AE120</f>
        <v>40490.5270976513</v>
      </c>
      <c r="AZ120" s="12" t="n">
        <f aca="false">AS120+AE120</f>
        <v>38916.2828028799</v>
      </c>
      <c r="BA120" s="12" t="n">
        <f aca="false">AT120+AE120+AU120</f>
        <v>95265.4443611097</v>
      </c>
      <c r="BB120" s="4" t="n">
        <f aca="false">IFERROR(IRR(AV120:BA120,0.15),"n/a")</f>
        <v>0.31024155383422</v>
      </c>
      <c r="BC120" s="12" t="n">
        <f aca="false">NPV($B$5,AW120:BA120)+AV120</f>
        <v>48852.912450478</v>
      </c>
    </row>
    <row r="121" customFormat="false" ht="15" hidden="false" customHeight="false" outlineLevel="0" collapsed="false">
      <c r="A121" s="3" t="n">
        <v>97</v>
      </c>
      <c r="B121" s="15" t="n">
        <f aca="true">RAND()</f>
        <v>0.954298715812277</v>
      </c>
      <c r="C121" s="12" t="n">
        <f aca="false">IF(B121&lt;=($F$12-$E$12)/($G$12-$E$12),$E$12+SQRT(B121*($G$12-$E$12)*($F$12-$E$12)),$G$12-SQRT((1-B121)*($G$12-$E$12)*($G$12-$F$12)))</f>
        <v>-64275.5717366323</v>
      </c>
      <c r="D121" s="15" t="n">
        <f aca="true">RAND()</f>
        <v>0.210638404410701</v>
      </c>
      <c r="E121" s="12" t="n">
        <f aca="false">IF(D121&lt;=($F$13-$E$13)/($G$13-$E$13),$E$13+SQRT(D121*($G$13-$E$13)*($F$13-$E$13)),$G$13-SQRT((1-D121)*($G$13-$E$13)*($G$13-$F$13)))</f>
        <v>-34378.9893558538</v>
      </c>
      <c r="F121" s="15" t="n">
        <f aca="true">RAND()</f>
        <v>0.8443220165106</v>
      </c>
      <c r="G121" s="12" t="n">
        <f aca="false">IF(F121&lt;=($F$14-$E$14)/($G$14-$E$14),$E$14+SQRT(F121*($G$14-$E$14)*($F$14-$E$14)),$G$14-SQRT((1-F121)*($G$14-$E$14)*($G$14-$F$14)))</f>
        <v>41583.0058879616</v>
      </c>
      <c r="H121" s="15" t="n">
        <f aca="true">RAND()</f>
        <v>0.669686400280392</v>
      </c>
      <c r="I121" s="12" t="n">
        <f aca="false">IF(H121&lt;=($F$14-$E$14)/($G$14-$E$14),$E$14+SQRT(H121*($G$14-$E$14)*($F$14-$E$14)),$G$14-SQRT((1-H121)*($G$14-$E$14)*($G$14-$F$14)))</f>
        <v>40022.6995289645</v>
      </c>
      <c r="J121" s="15" t="n">
        <f aca="true">RAND()</f>
        <v>0.927400005444054</v>
      </c>
      <c r="K121" s="12" t="n">
        <f aca="false">IF(J121&lt;=($F$14-$E$14)/($G$14-$E$14),$E$14+SQRT(J121*($G$14-$E$14)*($F$14-$E$14)),$G$14-SQRT((1-J121)*($G$14-$E$14)*($G$14-$F$14)))</f>
        <v>42666.5477095737</v>
      </c>
      <c r="L121" s="15" t="n">
        <f aca="true">RAND()</f>
        <v>0.59358231458968</v>
      </c>
      <c r="M121" s="12" t="n">
        <f aca="false">IF(L121&lt;=($F$14-$E$14)/($G$14-$E$14),$E$14+SQRT(L121*($G$14-$E$14)*($F$14-$E$14)),$G$14-SQRT((1-L121)*($G$14-$E$14)*($G$14-$F$14)))</f>
        <v>39435.9603214751</v>
      </c>
      <c r="N121" s="15" t="n">
        <f aca="true">RAND()</f>
        <v>0.522876272219802</v>
      </c>
      <c r="O121" s="12" t="n">
        <f aca="false">IF(N121&lt;=($F$14-$E$14)/($G$14-$E$14),$E$14+SQRT(N121*($G$14-$E$14)*($F$14-$E$14)),$G$14-SQRT((1-N121)*($G$14-$E$14)*($G$14-$F$14)))</f>
        <v>38856.1527105719</v>
      </c>
      <c r="P121" s="15" t="n">
        <f aca="true">RAND()</f>
        <v>0.891395596476312</v>
      </c>
      <c r="Q121" s="16" t="n">
        <f aca="false">IF(P121&lt;=($F$15-$E$15)/($G$15-$E$15),$E$15+SQRT(P121*($G$15-$E$15)*($F$15-$E$15)),$G$15-SQRT((1-P121)*($G$15-$E$15)*($G$15-$F$15)))</f>
        <v>16.6018300305662</v>
      </c>
      <c r="R121" s="15" t="n">
        <f aca="true">RAND()</f>
        <v>0.793057454749697</v>
      </c>
      <c r="S121" s="16" t="n">
        <f aca="false">IF(R121&lt;=($F$16-$E$16)/($G$16-$E$16),$E$16+SQRT(R121*($G$16-$E$16)*($F$16-$E$16)),$G$16-SQRT((1-R121)*($G$16-$E$16)*($G$16-$F$16)))</f>
        <v>16.0699829496853</v>
      </c>
      <c r="T121" s="15" t="n">
        <f aca="true">RAND()</f>
        <v>0.411252674924289</v>
      </c>
      <c r="U121" s="16" t="n">
        <f aca="false">IF(T121&lt;=($F$17-$E$17)/($G$17-$E$17),$E$17+SQRT(T121*($G$17-$E$17)*($F$17-$E$17)),$G$17-SQRT((1-T121)*($G$17-$E$17)*($G$17-$F$17)))</f>
        <v>17.9387592915055</v>
      </c>
      <c r="V121" s="15" t="n">
        <f aca="true">RAND()</f>
        <v>0.236221941529555</v>
      </c>
      <c r="W121" s="16" t="n">
        <f aca="false">IF(V121&lt;=($F$18-$E$18)/($G$18-$E$18),$E$18+SQRT(V121*($G$18-$E$18)*($F$18-$E$18)),$G$18-SQRT((1-V121)*($G$18-$E$18)*($G$18-$F$18)))</f>
        <v>19.8185453476374</v>
      </c>
      <c r="X121" s="15" t="n">
        <f aca="true">RAND()</f>
        <v>0.677753242263417</v>
      </c>
      <c r="Y121" s="16" t="n">
        <f aca="false">IF(X121&lt;=($F$19-$E$19)/($G$19-$E$19),$E$19+SQRT(X121*($G$19-$E$19)*($F$19-$E$19)),$G$19-SQRT((1-X121)*($G$19-$E$19)*($G$19-$F$19)))</f>
        <v>23.8285104677375</v>
      </c>
      <c r="Z121" s="12" t="n">
        <f aca="false">G121*(1+Q121/100)</f>
        <v>48486.5458470814</v>
      </c>
      <c r="AA121" s="12" t="n">
        <f aca="false">I121*(1+Q121/100)*(1+S121/100)</f>
        <v>54166.611174103</v>
      </c>
      <c r="AB121" s="12" t="n">
        <f aca="false">K121*(1+Q121/100)*(1+S121/100)*(1+U121/100)</f>
        <v>68103.4865356183</v>
      </c>
      <c r="AC121" s="12" t="n">
        <f aca="false">M121*(1+Q121/100)*(1+S121/100)*(1+U121/100)*(1+W121/100)</f>
        <v>75422.045339652</v>
      </c>
      <c r="AD121" s="12" t="n">
        <f aca="false">O121*(1+Q121/100)*(1+S121/100)*(1+U121/100)*(1+W121/100)*(1+Y121/100)</f>
        <v>92020.869134945</v>
      </c>
      <c r="AE121" s="12" t="n">
        <f aca="false">ABS(C121)/$B$7</f>
        <v>12855.1143473265</v>
      </c>
      <c r="AF121" s="12" t="n">
        <f aca="false">Z121-AE121</f>
        <v>35631.4314997549</v>
      </c>
      <c r="AG121" s="12" t="n">
        <f aca="false">AA121-AE121</f>
        <v>41311.4968267765</v>
      </c>
      <c r="AH121" s="12" t="n">
        <f aca="false">AB121-AE121</f>
        <v>55248.3721882918</v>
      </c>
      <c r="AI121" s="12" t="n">
        <f aca="false">AC121-AE121</f>
        <v>62566.9309923255</v>
      </c>
      <c r="AJ121" s="12" t="n">
        <f aca="false">AD121-AE121</f>
        <v>79165.7547876185</v>
      </c>
      <c r="AK121" s="12" t="n">
        <f aca="false">AF121*$B$4</f>
        <v>17815.7157498774</v>
      </c>
      <c r="AL121" s="12" t="n">
        <f aca="false">AG121*$B$4</f>
        <v>20655.7484133883</v>
      </c>
      <c r="AM121" s="12" t="n">
        <f aca="false">AH121*$B$4</f>
        <v>27624.1860941459</v>
      </c>
      <c r="AN121" s="12" t="n">
        <f aca="false">AI121*$B$4</f>
        <v>31283.4654961627</v>
      </c>
      <c r="AO121" s="12" t="n">
        <f aca="false">AJ121*$B$4</f>
        <v>39582.8773938093</v>
      </c>
      <c r="AP121" s="12" t="n">
        <f aca="false">AF121-AK121</f>
        <v>17815.7157498774</v>
      </c>
      <c r="AQ121" s="12" t="n">
        <f aca="false">AG121-AL121</f>
        <v>20655.7484133883</v>
      </c>
      <c r="AR121" s="12" t="n">
        <f aca="false">AH121-AM121</f>
        <v>27624.1860941459</v>
      </c>
      <c r="AS121" s="12" t="n">
        <f aca="false">AI121-AN121</f>
        <v>31283.4654961627</v>
      </c>
      <c r="AT121" s="12" t="n">
        <f aca="false">AJ121-AO121</f>
        <v>39582.8773938093</v>
      </c>
      <c r="AU121" s="12" t="n">
        <f aca="false">0.2*ABS(C121)+1*ABS(E121)</f>
        <v>47234.1037031802</v>
      </c>
      <c r="AV121" s="12" t="n">
        <f aca="false">C121+E121</f>
        <v>-98654.5610924861</v>
      </c>
      <c r="AW121" s="12" t="n">
        <f aca="false">AP121+AE121</f>
        <v>30670.8300972039</v>
      </c>
      <c r="AX121" s="12" t="n">
        <f aca="false">AQ121+AE121</f>
        <v>33510.8627607147</v>
      </c>
      <c r="AY121" s="12" t="n">
        <f aca="false">AR121+AE121</f>
        <v>40479.3004414724</v>
      </c>
      <c r="AZ121" s="12" t="n">
        <f aca="false">AS121+AE121</f>
        <v>44138.5798434892</v>
      </c>
      <c r="BA121" s="12" t="n">
        <f aca="false">AT121+AE121+AU121</f>
        <v>99672.095444316</v>
      </c>
      <c r="BB121" s="4" t="n">
        <f aca="false">IFERROR(IRR(AV121:BA121,0.15),"n/a")</f>
        <v>0.323684825229442</v>
      </c>
      <c r="BC121" s="12" t="n">
        <f aca="false">NPV($B$5,AW121:BA121)+AV121</f>
        <v>54761.5730232131</v>
      </c>
    </row>
    <row r="122" customFormat="false" ht="15" hidden="false" customHeight="false" outlineLevel="0" collapsed="false">
      <c r="A122" s="3" t="n">
        <v>98</v>
      </c>
      <c r="B122" s="15" t="n">
        <f aca="true">RAND()</f>
        <v>0.115297423367489</v>
      </c>
      <c r="C122" s="12" t="n">
        <f aca="false">IF(B122&lt;=($F$12-$E$12)/($G$12-$E$12),$E$12+SQRT(B122*($G$12-$E$12)*($F$12-$E$12)),$G$12-SQRT((1-B122)*($G$12-$E$12)*($G$12-$F$12)))</f>
        <v>-88237.478669903</v>
      </c>
      <c r="D122" s="15" t="n">
        <f aca="true">RAND()</f>
        <v>0.414427107856906</v>
      </c>
      <c r="E122" s="12" t="n">
        <f aca="false">IF(D122&lt;=($F$13-$E$13)/($G$13-$E$13),$E$13+SQRT(D122*($G$13-$E$13)*($F$13-$E$13)),$G$13-SQRT((1-D122)*($G$13-$E$13)*($G$13-$F$13)))</f>
        <v>-32115.5807963721</v>
      </c>
      <c r="F122" s="15" t="n">
        <f aca="true">RAND()</f>
        <v>0.538829821440058</v>
      </c>
      <c r="G122" s="12" t="n">
        <f aca="false">IF(F122&lt;=($F$14-$E$14)/($G$14-$E$14),$E$14+SQRT(F122*($G$14-$E$14)*($F$14-$E$14)),$G$14-SQRT((1-F122)*($G$14-$E$14)*($G$14-$F$14)))</f>
        <v>38990.2432234066</v>
      </c>
      <c r="H122" s="15" t="n">
        <f aca="true">RAND()</f>
        <v>0.840258812091792</v>
      </c>
      <c r="I122" s="12" t="n">
        <f aca="false">IF(H122&lt;=($F$14-$E$14)/($G$14-$E$14),$E$14+SQRT(H122*($G$14-$E$14)*($F$14-$E$14)),$G$14-SQRT((1-H122)*($G$14-$E$14)*($G$14-$F$14)))</f>
        <v>41538.701241858</v>
      </c>
      <c r="J122" s="15" t="n">
        <f aca="true">RAND()</f>
        <v>0.12298453084428</v>
      </c>
      <c r="K122" s="12" t="n">
        <f aca="false">IF(J122&lt;=($F$14-$E$14)/($G$14-$E$14),$E$14+SQRT(J122*($G$14-$E$14)*($F$14-$E$14)),$G$14-SQRT((1-J122)*($G$14-$E$14)*($G$14-$F$14)))</f>
        <v>34295.0762073148</v>
      </c>
      <c r="L122" s="15" t="n">
        <f aca="true">RAND()</f>
        <v>0.570126527084008</v>
      </c>
      <c r="M122" s="12" t="n">
        <f aca="false">IF(L122&lt;=($F$14-$E$14)/($G$14-$E$14),$E$14+SQRT(L122*($G$14-$E$14)*($F$14-$E$14)),$G$14-SQRT((1-L122)*($G$14-$E$14)*($G$14-$F$14)))</f>
        <v>39247.6472176766</v>
      </c>
      <c r="N122" s="15" t="n">
        <f aca="true">RAND()</f>
        <v>0.273057009003625</v>
      </c>
      <c r="O122" s="12" t="n">
        <f aca="false">IF(N122&lt;=($F$14-$E$14)/($G$14-$E$14),$E$14+SQRT(N122*($G$14-$E$14)*($F$14-$E$14)),$G$14-SQRT((1-N122)*($G$14-$E$14)*($G$14-$F$14)))</f>
        <v>36399.8868232605</v>
      </c>
      <c r="P122" s="15" t="n">
        <f aca="true">RAND()</f>
        <v>0.741709068604369</v>
      </c>
      <c r="Q122" s="16" t="n">
        <f aca="false">IF(P122&lt;=($F$15-$E$15)/($G$15-$E$15),$E$15+SQRT(P122*($G$15-$E$15)*($F$15-$E$15)),$G$15-SQRT((1-P122)*($G$15-$E$15)*($G$15-$F$15)))</f>
        <v>15.8437911128276</v>
      </c>
      <c r="R122" s="15" t="n">
        <f aca="true">RAND()</f>
        <v>0.204831727649007</v>
      </c>
      <c r="S122" s="16" t="n">
        <f aca="false">IF(R122&lt;=($F$16-$E$16)/($G$16-$E$16),$E$16+SQRT(R122*($G$16-$E$16)*($F$16-$E$16)),$G$16-SQRT((1-R122)*($G$16-$E$16)*($G$16-$F$16)))</f>
        <v>13.9201487175951</v>
      </c>
      <c r="T122" s="15" t="n">
        <f aca="true">RAND()</f>
        <v>0.9540693123786</v>
      </c>
      <c r="U122" s="16" t="n">
        <f aca="false">IF(T122&lt;=($F$17-$E$17)/($G$17-$E$17),$E$17+SQRT(T122*($G$17-$E$17)*($F$17-$E$17)),$G$17-SQRT((1-T122)*($G$17-$E$17)*($G$17-$F$17)))</f>
        <v>20.8659544747237</v>
      </c>
      <c r="V122" s="15" t="n">
        <f aca="true">RAND()</f>
        <v>0.92739480886013</v>
      </c>
      <c r="W122" s="16" t="n">
        <f aca="false">IF(V122&lt;=($F$18-$E$18)/($G$18-$E$18),$E$18+SQRT(V122*($G$18-$E$18)*($F$18-$E$18)),$G$18-SQRT((1-V122)*($G$18-$E$18)*($G$18-$F$18)))</f>
        <v>23.4058915689654</v>
      </c>
      <c r="X122" s="15" t="n">
        <f aca="true">RAND()</f>
        <v>0.612197805501869</v>
      </c>
      <c r="Y122" s="16" t="n">
        <f aca="false">IF(X122&lt;=($F$19-$E$19)/($G$19-$E$19),$E$19+SQRT(X122*($G$19-$E$19)*($F$19-$E$19)),$G$19-SQRT((1-X122)*($G$19-$E$19)*($G$19-$F$19)))</f>
        <v>23.4238314603919</v>
      </c>
      <c r="Z122" s="12" t="n">
        <f aca="false">G122*(1+Q122/100)</f>
        <v>45167.7759141066</v>
      </c>
      <c r="AA122" s="12" t="n">
        <f aca="false">I122*(1+Q122/100)*(1+S122/100)</f>
        <v>54818.3827371414</v>
      </c>
      <c r="AB122" s="12" t="n">
        <f aca="false">K122*(1+Q122/100)*(1+S122/100)*(1+U122/100)</f>
        <v>54702.7378743943</v>
      </c>
      <c r="AC122" s="12" t="n">
        <f aca="false">M122*(1+Q122/100)*(1+S122/100)*(1+U122/100)*(1+W122/100)</f>
        <v>77255.038319125</v>
      </c>
      <c r="AD122" s="12" t="n">
        <f aca="false">O122*(1+Q122/100)*(1+S122/100)*(1+U122/100)*(1+W122/100)*(1+Y122/100)</f>
        <v>88432.5691923403</v>
      </c>
      <c r="AE122" s="12" t="n">
        <f aca="false">ABS(C122)/$B$7</f>
        <v>17647.4957339806</v>
      </c>
      <c r="AF122" s="12" t="n">
        <f aca="false">Z122-AE122</f>
        <v>27520.280180126</v>
      </c>
      <c r="AG122" s="12" t="n">
        <f aca="false">AA122-AE122</f>
        <v>37170.8870031608</v>
      </c>
      <c r="AH122" s="12" t="n">
        <f aca="false">AB122-AE122</f>
        <v>37055.2421404137</v>
      </c>
      <c r="AI122" s="12" t="n">
        <f aca="false">AC122-AE122</f>
        <v>59607.5425851444</v>
      </c>
      <c r="AJ122" s="12" t="n">
        <f aca="false">AD122-AE122</f>
        <v>70785.0734583597</v>
      </c>
      <c r="AK122" s="12" t="n">
        <f aca="false">AF122*$B$4</f>
        <v>13760.140090063</v>
      </c>
      <c r="AL122" s="12" t="n">
        <f aca="false">AG122*$B$4</f>
        <v>18585.4435015804</v>
      </c>
      <c r="AM122" s="12" t="n">
        <f aca="false">AH122*$B$4</f>
        <v>18527.6210702069</v>
      </c>
      <c r="AN122" s="12" t="n">
        <f aca="false">AI122*$B$4</f>
        <v>29803.7712925722</v>
      </c>
      <c r="AO122" s="12" t="n">
        <f aca="false">AJ122*$B$4</f>
        <v>35392.5367291799</v>
      </c>
      <c r="AP122" s="12" t="n">
        <f aca="false">AF122-AK122</f>
        <v>13760.140090063</v>
      </c>
      <c r="AQ122" s="12" t="n">
        <f aca="false">AG122-AL122</f>
        <v>18585.4435015804</v>
      </c>
      <c r="AR122" s="12" t="n">
        <f aca="false">AH122-AM122</f>
        <v>18527.6210702069</v>
      </c>
      <c r="AS122" s="12" t="n">
        <f aca="false">AI122-AN122</f>
        <v>29803.7712925722</v>
      </c>
      <c r="AT122" s="12" t="n">
        <f aca="false">AJ122-AO122</f>
        <v>35392.5367291799</v>
      </c>
      <c r="AU122" s="12" t="n">
        <f aca="false">0.2*ABS(C122)+1*ABS(E122)</f>
        <v>49763.0765303527</v>
      </c>
      <c r="AV122" s="12" t="n">
        <f aca="false">C122+E122</f>
        <v>-120353.059466275</v>
      </c>
      <c r="AW122" s="12" t="n">
        <f aca="false">AP122+AE122</f>
        <v>31407.6358240436</v>
      </c>
      <c r="AX122" s="12" t="n">
        <f aca="false">AQ122+AE122</f>
        <v>36232.939235561</v>
      </c>
      <c r="AY122" s="12" t="n">
        <f aca="false">AR122+AE122</f>
        <v>36175.1168041875</v>
      </c>
      <c r="AZ122" s="12" t="n">
        <f aca="false">AS122+AE122</f>
        <v>47451.2670265528</v>
      </c>
      <c r="BA122" s="12" t="n">
        <f aca="false">AT122+AE122+AU122</f>
        <v>102803.108993513</v>
      </c>
      <c r="BB122" s="4" t="n">
        <f aca="false">IFERROR(IRR(AV122:BA122,0.15),"n/a")</f>
        <v>0.248685036424584</v>
      </c>
      <c r="BC122" s="12" t="n">
        <f aca="false">NPV($B$5,AW122:BA122)+AV122</f>
        <v>36382.6923040438</v>
      </c>
    </row>
    <row r="123" customFormat="false" ht="15" hidden="false" customHeight="false" outlineLevel="0" collapsed="false">
      <c r="A123" s="3" t="n">
        <v>99</v>
      </c>
      <c r="B123" s="15" t="n">
        <f aca="true">RAND()</f>
        <v>0.638022269399357</v>
      </c>
      <c r="C123" s="12" t="n">
        <f aca="false">IF(B123&lt;=($F$12-$E$12)/($G$12-$E$12),$E$12+SQRT(B123*($G$12-$E$12)*($F$12-$E$12)),$G$12-SQRT((1-B123)*($G$12-$E$12)*($G$12-$F$12)))</f>
        <v>-72330.0393336162</v>
      </c>
      <c r="D123" s="15" t="n">
        <f aca="true">RAND()</f>
        <v>0.089462775421068</v>
      </c>
      <c r="E123" s="12" t="n">
        <f aca="false">IF(D123&lt;=($F$13-$E$13)/($G$13-$E$13),$E$13+SQRT(D123*($G$13-$E$13)*($F$13-$E$13)),$G$13-SQRT((1-D123)*($G$13-$E$13)*($G$13-$F$13)))</f>
        <v>-36336.7478501801</v>
      </c>
      <c r="F123" s="15" t="n">
        <f aca="true">RAND()</f>
        <v>0.174152124856101</v>
      </c>
      <c r="G123" s="12" t="n">
        <f aca="false">IF(F123&lt;=($F$14-$E$14)/($G$14-$E$14),$E$14+SQRT(F123*($G$14-$E$14)*($F$14-$E$14)),$G$14-SQRT((1-F123)*($G$14-$E$14)*($G$14-$F$14)))</f>
        <v>35111.0486916498</v>
      </c>
      <c r="H123" s="15" t="n">
        <f aca="true">RAND()</f>
        <v>0.272867604454227</v>
      </c>
      <c r="I123" s="12" t="n">
        <f aca="false">IF(H123&lt;=($F$14-$E$14)/($G$14-$E$14),$E$14+SQRT(H123*($G$14-$E$14)*($F$14-$E$14)),$G$14-SQRT((1-H123)*($G$14-$E$14)*($G$14-$F$14)))</f>
        <v>36397.6668144046</v>
      </c>
      <c r="J123" s="15" t="n">
        <f aca="true">RAND()</f>
        <v>0.210312159208072</v>
      </c>
      <c r="K123" s="12" t="n">
        <f aca="false">IF(J123&lt;=($F$14-$E$14)/($G$14-$E$14),$E$14+SQRT(J123*($G$14-$E$14)*($F$14-$E$14)),$G$14-SQRT((1-J123)*($G$14-$E$14)*($G$14-$F$14)))</f>
        <v>35616.6559340243</v>
      </c>
      <c r="L123" s="15" t="n">
        <f aca="true">RAND()</f>
        <v>0.192129560556742</v>
      </c>
      <c r="M123" s="12" t="n">
        <f aca="false">IF(L123&lt;=($F$14-$E$14)/($G$14-$E$14),$E$14+SQRT(L123*($G$14-$E$14)*($F$14-$E$14)),$G$14-SQRT((1-L123)*($G$14-$E$14)*($G$14-$F$14)))</f>
        <v>35368.3735044715</v>
      </c>
      <c r="N123" s="15" t="n">
        <f aca="true">RAND()</f>
        <v>0.274177864177022</v>
      </c>
      <c r="O123" s="12" t="n">
        <f aca="false">IF(N123&lt;=($F$14-$E$14)/($G$14-$E$14),$E$14+SQRT(N123*($G$14-$E$14)*($F$14-$E$14)),$G$14-SQRT((1-N123)*($G$14-$E$14)*($G$14-$F$14)))</f>
        <v>36413.0086251738</v>
      </c>
      <c r="P123" s="15" t="n">
        <f aca="true">RAND()</f>
        <v>0.0137229922556785</v>
      </c>
      <c r="Q123" s="16" t="n">
        <f aca="false">IF(P123&lt;=($F$15-$E$15)/($G$15-$E$15),$E$15+SQRT(P123*($G$15-$E$15)*($F$15-$E$15)),$G$15-SQRT((1-P123)*($G$15-$E$15)*($G$15-$F$15)))</f>
        <v>12.4970048899178</v>
      </c>
      <c r="R123" s="15" t="n">
        <f aca="true">RAND()</f>
        <v>0.411806380305546</v>
      </c>
      <c r="S123" s="16" t="n">
        <f aca="false">IF(R123&lt;=($F$16-$E$16)/($G$16-$E$16),$E$16+SQRT(R123*($G$16-$E$16)*($F$16-$E$16)),$G$16-SQRT((1-R123)*($G$16-$E$16)*($G$16-$F$16)))</f>
        <v>14.7225934043665</v>
      </c>
      <c r="T123" s="15" t="n">
        <f aca="true">RAND()</f>
        <v>0.0212831775711892</v>
      </c>
      <c r="U123" s="16" t="n">
        <f aca="false">IF(T123&lt;=($F$17-$E$17)/($G$17-$E$17),$E$17+SQRT(T123*($G$17-$E$17)*($F$17-$E$17)),$G$17-SQRT((1-T123)*($G$17-$E$17)*($G$17-$F$17)))</f>
        <v>15.6685407459497</v>
      </c>
      <c r="V123" s="15" t="n">
        <f aca="true">RAND()</f>
        <v>0.668243527283738</v>
      </c>
      <c r="W123" s="16" t="n">
        <f aca="false">IF(V123&lt;=($F$18-$E$18)/($G$18-$E$18),$E$18+SQRT(V123*($G$18-$E$18)*($F$18-$E$18)),$G$18-SQRT((1-V123)*($G$18-$E$18)*($G$18-$F$18)))</f>
        <v>21.592438328501</v>
      </c>
      <c r="X123" s="15" t="n">
        <f aca="true">RAND()</f>
        <v>0.69737325637444</v>
      </c>
      <c r="Y123" s="16" t="n">
        <f aca="false">IF(X123&lt;=($F$19-$E$19)/($G$19-$E$19),$E$19+SQRT(X123*($G$19-$E$19)*($F$19-$E$19)),$G$19-SQRT((1-X123)*($G$19-$E$19)*($G$19-$F$19)))</f>
        <v>23.9574953115945</v>
      </c>
      <c r="Z123" s="12" t="n">
        <f aca="false">G123*(1+Q123/100)</f>
        <v>39498.8781635467</v>
      </c>
      <c r="AA123" s="12" t="n">
        <f aca="false">I123*(1+Q123/100)*(1+S123/100)</f>
        <v>46974.6400731179</v>
      </c>
      <c r="AB123" s="12" t="n">
        <f aca="false">K123*(1+Q123/100)*(1+S123/100)*(1+U123/100)</f>
        <v>53168.9781308023</v>
      </c>
      <c r="AC123" s="12" t="n">
        <f aca="false">M123*(1+Q123/100)*(1+S123/100)*(1+U123/100)*(1+W123/100)</f>
        <v>64198.7879007421</v>
      </c>
      <c r="AD123" s="12" t="n">
        <f aca="false">O123*(1+Q123/100)*(1+S123/100)*(1+U123/100)*(1+W123/100)*(1+Y123/100)</f>
        <v>81929.6494259319</v>
      </c>
      <c r="AE123" s="12" t="n">
        <f aca="false">ABS(C123)/$B$7</f>
        <v>14466.0078667232</v>
      </c>
      <c r="AF123" s="12" t="n">
        <f aca="false">Z123-AE123</f>
        <v>25032.8702968235</v>
      </c>
      <c r="AG123" s="12" t="n">
        <f aca="false">AA123-AE123</f>
        <v>32508.6322063947</v>
      </c>
      <c r="AH123" s="12" t="n">
        <f aca="false">AB123-AE123</f>
        <v>38702.970264079</v>
      </c>
      <c r="AI123" s="12" t="n">
        <f aca="false">AC123-AE123</f>
        <v>49732.7800340188</v>
      </c>
      <c r="AJ123" s="12" t="n">
        <f aca="false">AD123-AE123</f>
        <v>67463.6415592087</v>
      </c>
      <c r="AK123" s="12" t="n">
        <f aca="false">AF123*$B$4</f>
        <v>12516.4351484117</v>
      </c>
      <c r="AL123" s="12" t="n">
        <f aca="false">AG123*$B$4</f>
        <v>16254.3161031974</v>
      </c>
      <c r="AM123" s="12" t="n">
        <f aca="false">AH123*$B$4</f>
        <v>19351.4851320395</v>
      </c>
      <c r="AN123" s="12" t="n">
        <f aca="false">AI123*$B$4</f>
        <v>24866.3900170094</v>
      </c>
      <c r="AO123" s="12" t="n">
        <f aca="false">AJ123*$B$4</f>
        <v>33731.8207796044</v>
      </c>
      <c r="AP123" s="12" t="n">
        <f aca="false">AF123-AK123</f>
        <v>12516.4351484117</v>
      </c>
      <c r="AQ123" s="12" t="n">
        <f aca="false">AG123-AL123</f>
        <v>16254.3161031974</v>
      </c>
      <c r="AR123" s="12" t="n">
        <f aca="false">AH123-AM123</f>
        <v>19351.4851320395</v>
      </c>
      <c r="AS123" s="12" t="n">
        <f aca="false">AI123-AN123</f>
        <v>24866.3900170094</v>
      </c>
      <c r="AT123" s="12" t="n">
        <f aca="false">AJ123-AO123</f>
        <v>33731.8207796044</v>
      </c>
      <c r="AU123" s="12" t="n">
        <f aca="false">0.2*ABS(C123)+1*ABS(E123)</f>
        <v>50802.7557169033</v>
      </c>
      <c r="AV123" s="12" t="n">
        <f aca="false">C123+E123</f>
        <v>-108666.787183796</v>
      </c>
      <c r="AW123" s="12" t="n">
        <f aca="false">AP123+AE123</f>
        <v>26982.443015135</v>
      </c>
      <c r="AX123" s="12" t="n">
        <f aca="false">AQ123+AE123</f>
        <v>30720.3239699206</v>
      </c>
      <c r="AY123" s="12" t="n">
        <f aca="false">AR123+AE123</f>
        <v>33817.4929987628</v>
      </c>
      <c r="AZ123" s="12" t="n">
        <f aca="false">AS123+AE123</f>
        <v>39332.3978837327</v>
      </c>
      <c r="BA123" s="12" t="n">
        <f aca="false">AT123+AE123+AU123</f>
        <v>99000.5843632309</v>
      </c>
      <c r="BB123" s="4" t="n">
        <f aca="false">IFERROR(IRR(AV123:BA123,0.15),"n/a")</f>
        <v>0.244340922462053</v>
      </c>
      <c r="BC123" s="12" t="n">
        <f aca="false">NPV($B$5,AW123:BA123)+AV123</f>
        <v>31969.9492297256</v>
      </c>
    </row>
    <row r="124" customFormat="false" ht="15" hidden="false" customHeight="false" outlineLevel="0" collapsed="false">
      <c r="A124" s="3" t="n">
        <v>100</v>
      </c>
      <c r="B124" s="15" t="n">
        <f aca="true">RAND()</f>
        <v>0.122996710069495</v>
      </c>
      <c r="C124" s="12" t="n">
        <f aca="false">IF(B124&lt;=($F$12-$E$12)/($G$12-$E$12),$E$12+SQRT(B124*($G$12-$E$12)*($F$12-$E$12)),$G$12-SQRT((1-B124)*($G$12-$E$12)*($G$12-$F$12)))</f>
        <v>-87851.088440383</v>
      </c>
      <c r="D124" s="15" t="n">
        <f aca="true">RAND()</f>
        <v>0.243972560570943</v>
      </c>
      <c r="E124" s="12" t="n">
        <f aca="false">IF(D124&lt;=($F$13-$E$13)/($G$13-$E$13),$E$13+SQRT(D124*($G$13-$E$13)*($F$13-$E$13)),$G$13-SQRT((1-D124)*($G$13-$E$13)*($G$13-$F$13)))</f>
        <v>-33950.5467944911</v>
      </c>
      <c r="F124" s="15" t="n">
        <f aca="true">RAND()</f>
        <v>0.356387936131579</v>
      </c>
      <c r="G124" s="12" t="n">
        <f aca="false">IF(F124&lt;=($F$14-$E$14)/($G$14-$E$14),$E$14+SQRT(F124*($G$14-$E$14)*($F$14-$E$14)),$G$14-SQRT((1-F124)*($G$14-$E$14)*($G$14-$F$14)))</f>
        <v>37311.5108164959</v>
      </c>
      <c r="H124" s="15" t="n">
        <f aca="true">RAND()</f>
        <v>0.311274405500006</v>
      </c>
      <c r="I124" s="12" t="n">
        <f aca="false">IF(H124&lt;=($F$14-$E$14)/($G$14-$E$14),$E$14+SQRT(H124*($G$14-$E$14)*($F$14-$E$14)),$G$14-SQRT((1-H124)*($G$14-$E$14)*($G$14-$F$14)))</f>
        <v>36833.0930642719</v>
      </c>
      <c r="J124" s="15" t="n">
        <f aca="true">RAND()</f>
        <v>0.451166849144406</v>
      </c>
      <c r="K124" s="12" t="n">
        <f aca="false">IF(J124&lt;=($F$14-$E$14)/($G$14-$E$14),$E$14+SQRT(J124*($G$14-$E$14)*($F$14-$E$14)),$G$14-SQRT((1-J124)*($G$14-$E$14)*($G$14-$F$14)))</f>
        <v>38226.4832931005</v>
      </c>
      <c r="L124" s="15" t="n">
        <f aca="true">RAND()</f>
        <v>0.24016657856344</v>
      </c>
      <c r="M124" s="12" t="n">
        <f aca="false">IF(L124&lt;=($F$14-$E$14)/($G$14-$E$14),$E$14+SQRT(L124*($G$14-$E$14)*($F$14-$E$14)),$G$14-SQRT((1-L124)*($G$14-$E$14)*($G$14-$F$14)))</f>
        <v>36002.0818708608</v>
      </c>
      <c r="N124" s="15" t="n">
        <f aca="true">RAND()</f>
        <v>0.417206198542587</v>
      </c>
      <c r="O124" s="12" t="n">
        <f aca="false">IF(N124&lt;=($F$14-$E$14)/($G$14-$E$14),$E$14+SQRT(N124*($G$14-$E$14)*($F$14-$E$14)),$G$14-SQRT((1-N124)*($G$14-$E$14)*($G$14-$F$14)))</f>
        <v>37910.8109433476</v>
      </c>
      <c r="P124" s="15" t="n">
        <f aca="true">RAND()</f>
        <v>0.848448768414299</v>
      </c>
      <c r="Q124" s="16" t="n">
        <f aca="false">IF(P124&lt;=($F$15-$E$15)/($G$15-$E$15),$E$15+SQRT(P124*($G$15-$E$15)*($F$15-$E$15)),$G$15-SQRT((1-P124)*($G$15-$E$15)*($G$15-$F$15)))</f>
        <v>16.3483577359057</v>
      </c>
      <c r="R124" s="15" t="n">
        <f aca="true">RAND()</f>
        <v>0.688565840984525</v>
      </c>
      <c r="S124" s="16" t="n">
        <f aca="false">IF(R124&lt;=($F$16-$E$16)/($G$16-$E$16),$E$16+SQRT(R124*($G$16-$E$16)*($F$16-$E$16)),$G$16-SQRT((1-R124)*($G$16-$E$16)*($G$16-$F$16)))</f>
        <v>15.6323397916343</v>
      </c>
      <c r="T124" s="15" t="n">
        <f aca="true">RAND()</f>
        <v>0.33252381005928</v>
      </c>
      <c r="U124" s="16" t="n">
        <f aca="false">IF(T124&lt;=($F$17-$E$17)/($G$17-$E$17),$E$17+SQRT(T124*($G$17-$E$17)*($F$17-$E$17)),$G$17-SQRT((1-T124)*($G$17-$E$17)*($G$17-$F$17)))</f>
        <v>17.6425366622329</v>
      </c>
      <c r="V124" s="15" t="n">
        <f aca="true">RAND()</f>
        <v>0.614159548847839</v>
      </c>
      <c r="W124" s="16" t="n">
        <f aca="false">IF(V124&lt;=($F$18-$E$18)/($G$18-$E$18),$E$18+SQRT(V124*($G$18-$E$18)*($F$18-$E$18)),$G$18-SQRT((1-V124)*($G$18-$E$18)*($G$18-$F$18)))</f>
        <v>21.3251645220057</v>
      </c>
      <c r="X124" s="15" t="n">
        <f aca="true">RAND()</f>
        <v>0.80635087083906</v>
      </c>
      <c r="Y124" s="16" t="n">
        <f aca="false">IF(X124&lt;=($F$19-$E$19)/($G$19-$E$19),$E$19+SQRT(X124*($G$19-$E$19)*($F$19-$E$19)),$G$19-SQRT((1-X124)*($G$19-$E$19)*($G$19-$F$19)))</f>
        <v>24.7662633108599</v>
      </c>
      <c r="Z124" s="12" t="n">
        <f aca="false">G124*(1+Q124/100)</f>
        <v>43411.3300814478</v>
      </c>
      <c r="AA124" s="12" t="n">
        <f aca="false">I124*(1+Q124/100)*(1+S124/100)</f>
        <v>49553.891029787</v>
      </c>
      <c r="AB124" s="12" t="n">
        <f aca="false">K124*(1+Q124/100)*(1+S124/100)*(1+U124/100)</f>
        <v>60501.8003003907</v>
      </c>
      <c r="AC124" s="12" t="n">
        <f aca="false">M124*(1+Q124/100)*(1+S124/100)*(1+U124/100)*(1+W124/100)</f>
        <v>69132.5307722398</v>
      </c>
      <c r="AD124" s="12" t="n">
        <f aca="false">O124*(1+Q124/100)*(1+S124/100)*(1+U124/100)*(1+W124/100)*(1+Y124/100)</f>
        <v>90827.02373798</v>
      </c>
      <c r="AE124" s="12" t="n">
        <f aca="false">ABS(C124)/$B$7</f>
        <v>17570.2176880766</v>
      </c>
      <c r="AF124" s="12" t="n">
        <f aca="false">Z124-AE124</f>
        <v>25841.1123933712</v>
      </c>
      <c r="AG124" s="12" t="n">
        <f aca="false">AA124-AE124</f>
        <v>31983.6733417104</v>
      </c>
      <c r="AH124" s="12" t="n">
        <f aca="false">AB124-AE124</f>
        <v>42931.5826123141</v>
      </c>
      <c r="AI124" s="12" t="n">
        <f aca="false">AC124-AE124</f>
        <v>51562.3130841632</v>
      </c>
      <c r="AJ124" s="12" t="n">
        <f aca="false">AD124-AE124</f>
        <v>73256.8060499034</v>
      </c>
      <c r="AK124" s="12" t="n">
        <f aca="false">AF124*$B$4</f>
        <v>12920.5561966856</v>
      </c>
      <c r="AL124" s="12" t="n">
        <f aca="false">AG124*$B$4</f>
        <v>15991.8366708552</v>
      </c>
      <c r="AM124" s="12" t="n">
        <f aca="false">AH124*$B$4</f>
        <v>21465.791306157</v>
      </c>
      <c r="AN124" s="12" t="n">
        <f aca="false">AI124*$B$4</f>
        <v>25781.1565420816</v>
      </c>
      <c r="AO124" s="12" t="n">
        <f aca="false">AJ124*$B$4</f>
        <v>36628.4030249517</v>
      </c>
      <c r="AP124" s="12" t="n">
        <f aca="false">AF124-AK124</f>
        <v>12920.5561966856</v>
      </c>
      <c r="AQ124" s="12" t="n">
        <f aca="false">AG124-AL124</f>
        <v>15991.8366708552</v>
      </c>
      <c r="AR124" s="12" t="n">
        <f aca="false">AH124-AM124</f>
        <v>21465.791306157</v>
      </c>
      <c r="AS124" s="12" t="n">
        <f aca="false">AI124-AN124</f>
        <v>25781.1565420816</v>
      </c>
      <c r="AT124" s="12" t="n">
        <f aca="false">AJ124-AO124</f>
        <v>36628.4030249517</v>
      </c>
      <c r="AU124" s="12" t="n">
        <f aca="false">0.2*ABS(C124)+1*ABS(E124)</f>
        <v>51520.7644825677</v>
      </c>
      <c r="AV124" s="12" t="n">
        <f aca="false">C124+E124</f>
        <v>-121801.635234874</v>
      </c>
      <c r="AW124" s="12" t="n">
        <f aca="false">AP124+AE124</f>
        <v>30490.7738847622</v>
      </c>
      <c r="AX124" s="12" t="n">
        <f aca="false">AQ124+AE124</f>
        <v>33562.0543589318</v>
      </c>
      <c r="AY124" s="12" t="n">
        <f aca="false">AR124+AE124</f>
        <v>39036.0089942336</v>
      </c>
      <c r="AZ124" s="12" t="n">
        <f aca="false">AS124+AE124</f>
        <v>43351.3742301582</v>
      </c>
      <c r="BA124" s="12" t="n">
        <f aca="false">AT124+AE124+AU124</f>
        <v>105719.385195596</v>
      </c>
      <c r="BB124" s="4" t="n">
        <f aca="false">IFERROR(IRR(AV124:BA124,0.15),"n/a")</f>
        <v>0.238346984571938</v>
      </c>
      <c r="BC124" s="12" t="n">
        <f aca="false">NPV($B$5,AW124:BA124)+AV124</f>
        <v>33104.1333210046</v>
      </c>
    </row>
    <row r="126" customFormat="false" ht="15" hidden="false" customHeight="false" outlineLevel="0" collapsed="false">
      <c r="A126" s="2" t="s">
        <v>91</v>
      </c>
    </row>
    <row r="127" customFormat="false" ht="15" hidden="false" customHeight="false" outlineLevel="0" collapsed="false">
      <c r="A127" s="5" t="s">
        <v>92</v>
      </c>
      <c r="B127" s="17" t="n">
        <f aca="false">$B$8</f>
        <v>100</v>
      </c>
    </row>
    <row r="128" customFormat="false" ht="15" hidden="false" customHeight="false" outlineLevel="0" collapsed="false">
      <c r="A128" s="5" t="s">
        <v>93</v>
      </c>
      <c r="B128" s="17" t="n">
        <f aca="false">COUNTIF(BB25:BB124,"&gt;"&amp;$B$5)</f>
        <v>100</v>
      </c>
    </row>
    <row r="129" customFormat="false" ht="15" hidden="false" customHeight="false" outlineLevel="0" collapsed="false">
      <c r="A129" s="5" t="s">
        <v>94</v>
      </c>
      <c r="B129" s="4" t="n">
        <f aca="false">B128/B127</f>
        <v>1</v>
      </c>
    </row>
    <row r="130" customFormat="false" ht="15" hidden="false" customHeight="false" outlineLevel="0" collapsed="false">
      <c r="A130" s="5" t="s">
        <v>95</v>
      </c>
      <c r="B130" s="4" t="n">
        <f aca="false">AVERAGE(BB25:BB124)</f>
        <v>0.274936811317558</v>
      </c>
    </row>
    <row r="131" customFormat="false" ht="15" hidden="false" customHeight="false" outlineLevel="0" collapsed="false">
      <c r="A131" s="5" t="s">
        <v>96</v>
      </c>
      <c r="B131" s="4" t="n">
        <f aca="false">STDEV(BB25:BB124)</f>
        <v>0.0278156241810889</v>
      </c>
    </row>
    <row r="132" customFormat="false" ht="15" hidden="false" customHeight="false" outlineLevel="0" collapsed="false">
      <c r="A132" s="5" t="s">
        <v>97</v>
      </c>
      <c r="B132" s="4" t="n">
        <f aca="false">MIN(BB25:BB124)</f>
        <v>0.212920668384685</v>
      </c>
    </row>
    <row r="133" customFormat="false" ht="15" hidden="false" customHeight="false" outlineLevel="0" collapsed="false">
      <c r="A133" s="5" t="s">
        <v>98</v>
      </c>
      <c r="B133" s="4" t="n">
        <f aca="false">MAX(BB25:BB124)</f>
        <v>0.329342485705983</v>
      </c>
    </row>
    <row r="134" customFormat="false" ht="15" hidden="false" customHeight="false" outlineLevel="0" collapsed="false">
      <c r="A134" s="5" t="s">
        <v>6</v>
      </c>
      <c r="B134" s="5" t="str">
        <f aca="false">IF(B129&gt;=$B$6,"ACEPTAR el proyecto","RECHAZAR el proyecto")</f>
        <v>ACEPTAR el proyecto</v>
      </c>
    </row>
    <row r="136" customFormat="false" ht="15" hidden="false" customHeight="false" outlineLevel="0" collapsed="false">
      <c r="A136" s="2" t="s">
        <v>99</v>
      </c>
    </row>
    <row r="137" customFormat="false" ht="15" hidden="false" customHeight="false" outlineLevel="0" collapsed="false">
      <c r="A137" s="10" t="s">
        <v>100</v>
      </c>
      <c r="B137" s="10" t="s">
        <v>101</v>
      </c>
      <c r="C137" s="10" t="s">
        <v>102</v>
      </c>
    </row>
    <row r="138" customFormat="false" ht="15" hidden="false" customHeight="false" outlineLevel="0" collapsed="false">
      <c r="A138" s="18" t="n">
        <v>-0.3</v>
      </c>
      <c r="B138" s="18" t="n">
        <v>-0.2</v>
      </c>
      <c r="C138" s="3" t="n">
        <f aca="false">COUNTIFS(BB25:BB124,"&gt;="&amp;A138,BB25:BB124,"&lt;"&amp;B138)</f>
        <v>0</v>
      </c>
    </row>
    <row r="139" customFormat="false" ht="15" hidden="false" customHeight="false" outlineLevel="0" collapsed="false">
      <c r="A139" s="18" t="n">
        <v>-0.2</v>
      </c>
      <c r="B139" s="18" t="n">
        <v>-0.1</v>
      </c>
      <c r="C139" s="3" t="n">
        <f aca="false">COUNTIFS(BB25:BB124,"&gt;="&amp;A139,BB25:BB124,"&lt;"&amp;B139)</f>
        <v>0</v>
      </c>
    </row>
    <row r="140" customFormat="false" ht="15" hidden="false" customHeight="false" outlineLevel="0" collapsed="false">
      <c r="A140" s="18" t="n">
        <v>-0.1</v>
      </c>
      <c r="B140" s="18" t="n">
        <v>0</v>
      </c>
      <c r="C140" s="3" t="n">
        <f aca="false">COUNTIFS(BB25:BB124,"&gt;="&amp;A140,BB25:BB124,"&lt;"&amp;B140)</f>
        <v>0</v>
      </c>
    </row>
    <row r="141" customFormat="false" ht="15" hidden="false" customHeight="false" outlineLevel="0" collapsed="false">
      <c r="A141" s="18" t="n">
        <v>0</v>
      </c>
      <c r="B141" s="18" t="n">
        <v>0.1</v>
      </c>
      <c r="C141" s="3" t="n">
        <f aca="false">COUNTIFS(BB25:BB124,"&gt;="&amp;A141,BB25:BB124,"&lt;"&amp;B141)</f>
        <v>0</v>
      </c>
    </row>
    <row r="142" customFormat="false" ht="15" hidden="false" customHeight="false" outlineLevel="0" collapsed="false">
      <c r="A142" s="18" t="n">
        <v>0.1</v>
      </c>
      <c r="B142" s="18" t="n">
        <v>0.2</v>
      </c>
      <c r="C142" s="3" t="n">
        <f aca="false">COUNTIFS(BB25:BB124,"&gt;="&amp;A142,BB25:BB124,"&lt;"&amp;B142)</f>
        <v>0</v>
      </c>
    </row>
    <row r="143" customFormat="false" ht="15" hidden="false" customHeight="false" outlineLevel="0" collapsed="false">
      <c r="A143" s="18" t="n">
        <v>0.2</v>
      </c>
      <c r="B143" s="18" t="n">
        <v>0.3</v>
      </c>
      <c r="C143" s="3" t="n">
        <f aca="false">COUNTIFS(BB25:BB124,"&gt;="&amp;A143,BB25:BB124,"&lt;"&amp;B143)</f>
        <v>78</v>
      </c>
    </row>
    <row r="144" customFormat="false" ht="15" hidden="false" customHeight="false" outlineLevel="0" collapsed="false">
      <c r="A144" s="18" t="n">
        <v>0.3</v>
      </c>
      <c r="B144" s="18" t="n">
        <v>0.4</v>
      </c>
      <c r="C144" s="3" t="n">
        <f aca="false">COUNTIFS(BB25:BB124,"&gt;="&amp;A144,BB25:BB124,"&lt;"&amp;B144)</f>
        <v>22</v>
      </c>
    </row>
    <row r="145" customFormat="false" ht="15" hidden="false" customHeight="false" outlineLevel="0" collapsed="false">
      <c r="A145" s="18" t="n">
        <v>0.4</v>
      </c>
      <c r="B145" s="18" t="n">
        <v>0.5</v>
      </c>
      <c r="C145" s="3" t="n">
        <f aca="false">COUNTIFS(BB25:BB124,"&gt;="&amp;A145,BB25:BB124,"&lt;"&amp;B145)</f>
        <v>0</v>
      </c>
    </row>
    <row r="146" customFormat="false" ht="15" hidden="false" customHeight="false" outlineLevel="0" collapsed="false">
      <c r="A146" s="18" t="n">
        <v>0.5</v>
      </c>
      <c r="B146" s="18" t="n">
        <v>0.6</v>
      </c>
      <c r="C146" s="3" t="n">
        <f aca="false">COUNTIFS(BB25:BB124,"&gt;="&amp;A146,BB25:BB124,"&lt;"&amp;B146)</f>
        <v>0</v>
      </c>
    </row>
    <row r="147" customFormat="false" ht="15" hidden="false" customHeight="false" outlineLevel="0" collapsed="false">
      <c r="A147" s="18" t="n">
        <v>0.6</v>
      </c>
      <c r="B147" s="18" t="n">
        <v>0.7</v>
      </c>
      <c r="C147" s="3" t="n">
        <f aca="false">COUNTIFS(BB25:BB124,"&gt;="&amp;A147,BB25:BB124,"&lt;"&amp;B147)</f>
        <v>0</v>
      </c>
    </row>
    <row r="148" customFormat="false" ht="15" hidden="false" customHeight="false" outlineLevel="0" collapsed="false">
      <c r="A148" s="18" t="n">
        <v>0.7</v>
      </c>
      <c r="B148" s="18" t="n">
        <v>0.8</v>
      </c>
      <c r="C148" s="3" t="n">
        <f aca="false">COUNTIFS(BB25:BB124,"&gt;="&amp;A148,BB25:BB124,"&lt;"&amp;B148)</f>
        <v>0</v>
      </c>
    </row>
    <row r="149" customFormat="false" ht="15" hidden="false" customHeight="false" outlineLevel="0" collapsed="false">
      <c r="A149" s="18" t="n">
        <v>0.8</v>
      </c>
      <c r="B149" s="18" t="n">
        <v>0.9</v>
      </c>
      <c r="C149" s="3" t="n">
        <f aca="false">COUNTIFS(BB25:BB124,"&gt;="&amp;A149,BB25:BB124,"&lt;"&amp;B149)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0" topLeftCell="B31" activePane="bottomRight" state="frozen"/>
      <selection pane="topLeft" activeCell="A1" activeCellId="0" sqref="A1"/>
      <selection pane="topRight" activeCell="B1" activeCellId="0" sqref="B1"/>
      <selection pane="bottomLeft" activeCell="A31" activeCellId="0" sqref="A3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7" min="2" style="0" width="10"/>
  </cols>
  <sheetData>
    <row r="1" customFormat="false" ht="17.35" hidden="false" customHeight="false" outlineLevel="0" collapsed="false">
      <c r="A1" s="1" t="s">
        <v>103</v>
      </c>
    </row>
    <row r="3" customFormat="false" ht="15" hidden="false" customHeight="false" outlineLevel="0" collapsed="false">
      <c r="A3" s="2" t="s">
        <v>12</v>
      </c>
    </row>
    <row r="4" customFormat="false" ht="15" hidden="false" customHeight="false" outlineLevel="0" collapsed="false">
      <c r="A4" s="3" t="s">
        <v>104</v>
      </c>
      <c r="B4" s="19" t="n">
        <v>100000</v>
      </c>
    </row>
    <row r="5" customFormat="false" ht="15" hidden="false" customHeight="false" outlineLevel="0" collapsed="false">
      <c r="A5" s="3" t="s">
        <v>105</v>
      </c>
      <c r="B5" s="19" t="n">
        <v>100</v>
      </c>
    </row>
    <row r="6" customFormat="false" ht="15" hidden="false" customHeight="false" outlineLevel="0" collapsed="false">
      <c r="A6" s="3" t="s">
        <v>106</v>
      </c>
      <c r="B6" s="9" t="n">
        <v>250</v>
      </c>
    </row>
    <row r="7" customFormat="false" ht="15" hidden="false" customHeight="false" outlineLevel="0" collapsed="false">
      <c r="A7" s="3" t="s">
        <v>107</v>
      </c>
      <c r="B7" s="9" t="n">
        <v>30</v>
      </c>
    </row>
    <row r="8" customFormat="false" ht="15" hidden="false" customHeight="false" outlineLevel="0" collapsed="false">
      <c r="A8" s="3" t="s">
        <v>108</v>
      </c>
      <c r="B8" s="9" t="n">
        <v>16</v>
      </c>
    </row>
    <row r="10" customFormat="false" ht="15" hidden="false" customHeight="false" outlineLevel="0" collapsed="false">
      <c r="A10" s="2" t="s">
        <v>109</v>
      </c>
    </row>
    <row r="11" customFormat="false" ht="15" hidden="false" customHeight="false" outlineLevel="0" collapsed="false">
      <c r="A11" s="10" t="s">
        <v>110</v>
      </c>
      <c r="B11" s="10" t="s">
        <v>111</v>
      </c>
      <c r="C11" s="10" t="s">
        <v>112</v>
      </c>
      <c r="D11" s="10" t="s">
        <v>113</v>
      </c>
      <c r="E11" s="10" t="s">
        <v>114</v>
      </c>
    </row>
    <row r="12" customFormat="false" ht="15" hidden="false" customHeight="false" outlineLevel="0" collapsed="false">
      <c r="A12" s="20" t="n">
        <v>50</v>
      </c>
      <c r="B12" s="20" t="n">
        <v>55</v>
      </c>
      <c r="C12" s="21" t="n">
        <v>0.1</v>
      </c>
      <c r="D12" s="3" t="n">
        <f aca="false">B12-A12</f>
        <v>5</v>
      </c>
      <c r="E12" s="3" t="n">
        <v>0</v>
      </c>
    </row>
    <row r="13" customFormat="false" ht="15" hidden="false" customHeight="false" outlineLevel="0" collapsed="false">
      <c r="A13" s="20" t="n">
        <v>55</v>
      </c>
      <c r="B13" s="20" t="n">
        <v>60</v>
      </c>
      <c r="C13" s="21" t="n">
        <v>0.15</v>
      </c>
      <c r="D13" s="3" t="n">
        <f aca="false">B13-A13</f>
        <v>5</v>
      </c>
      <c r="E13" s="22" t="n">
        <f aca="false">E12+C12</f>
        <v>0.1</v>
      </c>
    </row>
    <row r="14" customFormat="false" ht="15" hidden="false" customHeight="false" outlineLevel="0" collapsed="false">
      <c r="A14" s="20" t="n">
        <v>60</v>
      </c>
      <c r="B14" s="20" t="n">
        <v>65</v>
      </c>
      <c r="C14" s="21" t="n">
        <v>0.3</v>
      </c>
      <c r="D14" s="3" t="n">
        <f aca="false">B14-A14</f>
        <v>5</v>
      </c>
      <c r="E14" s="22" t="n">
        <f aca="false">E13+C13</f>
        <v>0.25</v>
      </c>
    </row>
    <row r="15" customFormat="false" ht="15" hidden="false" customHeight="false" outlineLevel="0" collapsed="false">
      <c r="A15" s="20" t="n">
        <v>65</v>
      </c>
      <c r="B15" s="20" t="n">
        <v>70</v>
      </c>
      <c r="C15" s="21" t="n">
        <v>0.35</v>
      </c>
      <c r="D15" s="3" t="n">
        <f aca="false">B15-A15</f>
        <v>5</v>
      </c>
      <c r="E15" s="22" t="n">
        <f aca="false">E14+C14</f>
        <v>0.55</v>
      </c>
    </row>
    <row r="16" customFormat="false" ht="15" hidden="false" customHeight="false" outlineLevel="0" collapsed="false">
      <c r="A16" s="20" t="n">
        <v>75</v>
      </c>
      <c r="B16" s="20" t="n">
        <v>80</v>
      </c>
      <c r="C16" s="21" t="n">
        <v>0.08</v>
      </c>
      <c r="D16" s="3" t="n">
        <f aca="false">B16-A16</f>
        <v>5</v>
      </c>
      <c r="E16" s="22" t="n">
        <f aca="false">E15+C15</f>
        <v>0.9</v>
      </c>
    </row>
    <row r="17" customFormat="false" ht="15" hidden="false" customHeight="false" outlineLevel="0" collapsed="false">
      <c r="A17" s="20" t="n">
        <v>80</v>
      </c>
      <c r="B17" s="20" t="n">
        <v>85</v>
      </c>
      <c r="C17" s="21" t="n">
        <v>0.02</v>
      </c>
      <c r="D17" s="3" t="n">
        <f aca="false">B17-A17</f>
        <v>5</v>
      </c>
      <c r="E17" s="22" t="n">
        <f aca="false">E16+C16</f>
        <v>0.98</v>
      </c>
    </row>
    <row r="19" customFormat="false" ht="15" hidden="false" customHeight="false" outlineLevel="0" collapsed="false">
      <c r="A19" s="13" t="s">
        <v>115</v>
      </c>
    </row>
    <row r="21" customFormat="false" ht="15" hidden="false" customHeight="false" outlineLevel="0" collapsed="false">
      <c r="A21" s="2" t="s">
        <v>116</v>
      </c>
    </row>
    <row r="22" customFormat="false" ht="15" hidden="false" customHeight="false" outlineLevel="0" collapsed="false">
      <c r="A22" s="10" t="s">
        <v>110</v>
      </c>
      <c r="B22" s="10" t="s">
        <v>111</v>
      </c>
      <c r="C22" s="10" t="s">
        <v>112</v>
      </c>
      <c r="D22" s="10" t="s">
        <v>113</v>
      </c>
      <c r="E22" s="10" t="s">
        <v>114</v>
      </c>
    </row>
    <row r="23" customFormat="false" ht="15" hidden="false" customHeight="false" outlineLevel="0" collapsed="false">
      <c r="A23" s="20" t="n">
        <v>4</v>
      </c>
      <c r="B23" s="20" t="n">
        <v>4.5</v>
      </c>
      <c r="C23" s="21" t="n">
        <v>0.3</v>
      </c>
      <c r="D23" s="3" t="n">
        <f aca="false">B23-A23</f>
        <v>0.5</v>
      </c>
      <c r="E23" s="3" t="n">
        <v>0</v>
      </c>
    </row>
    <row r="24" customFormat="false" ht="15" hidden="false" customHeight="false" outlineLevel="0" collapsed="false">
      <c r="A24" s="20" t="n">
        <v>4.5</v>
      </c>
      <c r="B24" s="20" t="n">
        <v>5</v>
      </c>
      <c r="C24" s="21" t="n">
        <v>0.4</v>
      </c>
      <c r="D24" s="3" t="n">
        <f aca="false">B24-A24</f>
        <v>0.5</v>
      </c>
      <c r="E24" s="22" t="n">
        <f aca="false">E23+C23</f>
        <v>0.3</v>
      </c>
    </row>
    <row r="25" customFormat="false" ht="15" hidden="false" customHeight="false" outlineLevel="0" collapsed="false">
      <c r="A25" s="20" t="n">
        <v>5</v>
      </c>
      <c r="B25" s="20" t="n">
        <v>5.5</v>
      </c>
      <c r="C25" s="21" t="n">
        <v>0.2</v>
      </c>
      <c r="D25" s="3" t="n">
        <f aca="false">B25-A25</f>
        <v>0.5</v>
      </c>
      <c r="E25" s="22" t="n">
        <f aca="false">E24+C24</f>
        <v>0.7</v>
      </c>
    </row>
    <row r="26" customFormat="false" ht="15" hidden="false" customHeight="false" outlineLevel="0" collapsed="false">
      <c r="A26" s="20" t="n">
        <v>5.5</v>
      </c>
      <c r="B26" s="20" t="n">
        <v>6</v>
      </c>
      <c r="C26" s="21" t="n">
        <v>0.1</v>
      </c>
      <c r="D26" s="3" t="n">
        <f aca="false">B26-A26</f>
        <v>0.5</v>
      </c>
      <c r="E26" s="22" t="n">
        <f aca="false">E25+C25</f>
        <v>0.9</v>
      </c>
    </row>
    <row r="29" customFormat="false" ht="15" hidden="false" customHeight="false" outlineLevel="0" collapsed="false">
      <c r="A29" s="2" t="s">
        <v>117</v>
      </c>
    </row>
    <row r="30" customFormat="false" ht="26.85" hidden="false" customHeight="false" outlineLevel="0" collapsed="false">
      <c r="A30" s="14" t="s">
        <v>118</v>
      </c>
      <c r="B30" s="14" t="s">
        <v>119</v>
      </c>
      <c r="C30" s="14" t="s">
        <v>120</v>
      </c>
      <c r="D30" s="14" t="s">
        <v>121</v>
      </c>
      <c r="E30" s="14" t="s">
        <v>122</v>
      </c>
      <c r="F30" s="14" t="s">
        <v>123</v>
      </c>
      <c r="G30" s="14" t="s">
        <v>124</v>
      </c>
      <c r="H30" s="14" t="s">
        <v>125</v>
      </c>
      <c r="I30" s="14" t="s">
        <v>126</v>
      </c>
      <c r="J30" s="14" t="s">
        <v>127</v>
      </c>
      <c r="K30" s="14" t="s">
        <v>128</v>
      </c>
      <c r="L30" s="14" t="s">
        <v>129</v>
      </c>
      <c r="M30" s="14" t="s">
        <v>130</v>
      </c>
      <c r="N30" s="14" t="s">
        <v>131</v>
      </c>
      <c r="O30" s="14" t="s">
        <v>132</v>
      </c>
      <c r="P30" s="14" t="s">
        <v>133</v>
      </c>
      <c r="Q30" s="14" t="s">
        <v>134</v>
      </c>
      <c r="R30" s="14" t="s">
        <v>135</v>
      </c>
      <c r="S30" s="14" t="s">
        <v>136</v>
      </c>
      <c r="T30" s="14" t="s">
        <v>137</v>
      </c>
      <c r="U30" s="14" t="s">
        <v>138</v>
      </c>
      <c r="V30" s="14" t="s">
        <v>139</v>
      </c>
      <c r="W30" s="14" t="s">
        <v>140</v>
      </c>
      <c r="X30" s="14" t="s">
        <v>141</v>
      </c>
      <c r="Y30" s="14" t="s">
        <v>142</v>
      </c>
      <c r="Z30" s="14" t="s">
        <v>143</v>
      </c>
      <c r="AA30" s="14" t="s">
        <v>144</v>
      </c>
      <c r="AB30" s="14" t="s">
        <v>145</v>
      </c>
      <c r="AC30" s="14" t="s">
        <v>146</v>
      </c>
      <c r="AD30" s="14" t="s">
        <v>147</v>
      </c>
      <c r="AE30" s="14" t="s">
        <v>148</v>
      </c>
      <c r="AF30" s="14" t="s">
        <v>149</v>
      </c>
      <c r="AG30" s="14" t="s">
        <v>150</v>
      </c>
      <c r="AH30" s="14" t="s">
        <v>151</v>
      </c>
      <c r="AI30" s="14" t="s">
        <v>152</v>
      </c>
      <c r="AJ30" s="14" t="s">
        <v>153</v>
      </c>
      <c r="AK30" s="14" t="s">
        <v>154</v>
      </c>
      <c r="AL30" s="14" t="s">
        <v>155</v>
      </c>
      <c r="AM30" s="14" t="s">
        <v>156</v>
      </c>
      <c r="AN30" s="14" t="s">
        <v>157</v>
      </c>
      <c r="AO30" s="14" t="s">
        <v>158</v>
      </c>
      <c r="AP30" s="14" t="s">
        <v>159</v>
      </c>
      <c r="AQ30" s="14" t="s">
        <v>160</v>
      </c>
      <c r="AR30" s="14" t="s">
        <v>161</v>
      </c>
      <c r="AS30" s="14" t="s">
        <v>162</v>
      </c>
      <c r="AT30" s="14" t="s">
        <v>163</v>
      </c>
      <c r="AU30" s="14" t="s">
        <v>164</v>
      </c>
      <c r="AV30" s="14" t="s">
        <v>165</v>
      </c>
      <c r="AW30" s="14" t="s">
        <v>166</v>
      </c>
      <c r="AX30" s="14" t="s">
        <v>167</v>
      </c>
      <c r="AY30" s="14" t="s">
        <v>168</v>
      </c>
      <c r="AZ30" s="14" t="s">
        <v>169</v>
      </c>
      <c r="BA30" s="14" t="s">
        <v>170</v>
      </c>
      <c r="BB30" s="14" t="s">
        <v>171</v>
      </c>
      <c r="BC30" s="14" t="s">
        <v>172</v>
      </c>
      <c r="BD30" s="14" t="s">
        <v>173</v>
      </c>
      <c r="BE30" s="14" t="s">
        <v>174</v>
      </c>
      <c r="BF30" s="14" t="s">
        <v>175</v>
      </c>
      <c r="BG30" s="14" t="s">
        <v>176</v>
      </c>
      <c r="BH30" s="14" t="s">
        <v>177</v>
      </c>
      <c r="BI30" s="14" t="s">
        <v>178</v>
      </c>
      <c r="BJ30" s="14" t="s">
        <v>179</v>
      </c>
      <c r="BK30" s="14" t="s">
        <v>180</v>
      </c>
      <c r="BL30" s="14" t="s">
        <v>181</v>
      </c>
      <c r="BM30" s="14" t="s">
        <v>182</v>
      </c>
      <c r="BN30" s="14" t="s">
        <v>183</v>
      </c>
      <c r="BO30" s="14" t="s">
        <v>184</v>
      </c>
    </row>
    <row r="31" customFormat="false" ht="15" hidden="false" customHeight="false" outlineLevel="0" collapsed="false">
      <c r="A31" s="3" t="n">
        <v>1</v>
      </c>
      <c r="B31" s="15" t="n">
        <f aca="true">RAND()</f>
        <v>0.572400434614235</v>
      </c>
      <c r="C31" s="16" t="n">
        <f aca="false">LOOKUP(B31,$E$12:$E$17,$A$12:$A$17)+LOOKUP(B31,$E$12:$E$17,$D$12:$D$17)*(B31-LOOKUP(B31,$E$12:$E$17))/LOOKUP(B31,$E$12:$E$17,$C$12:$C$17)</f>
        <v>65.3200062087748</v>
      </c>
      <c r="D31" s="15" t="n">
        <f aca="true">RAND()</f>
        <v>0.0735068568612353</v>
      </c>
      <c r="E31" s="15" t="n">
        <f aca="true">RAND()</f>
        <v>0.129499863648306</v>
      </c>
      <c r="F31" s="15" t="n">
        <f aca="true">RAND()</f>
        <v>0.11653252001896</v>
      </c>
      <c r="G31" s="15" t="n">
        <f aca="true">RAND()</f>
        <v>0.949734722535451</v>
      </c>
      <c r="H31" s="15" t="n">
        <f aca="true">RAND()</f>
        <v>0.615744297914161</v>
      </c>
      <c r="I31" s="15" t="n">
        <f aca="true">RAND()</f>
        <v>0.00412290229276538</v>
      </c>
      <c r="J31" s="15" t="n">
        <f aca="true">RAND()</f>
        <v>0.633302339176097</v>
      </c>
      <c r="K31" s="15" t="n">
        <f aca="true">RAND()</f>
        <v>0.64600947556439</v>
      </c>
      <c r="L31" s="15" t="n">
        <f aca="true">RAND()</f>
        <v>0.241558756513065</v>
      </c>
      <c r="M31" s="15" t="n">
        <f aca="true">RAND()</f>
        <v>0.238133353557727</v>
      </c>
      <c r="N31" s="15" t="n">
        <f aca="true">RAND()</f>
        <v>0.692402875811501</v>
      </c>
      <c r="O31" s="15" t="n">
        <f aca="true">RAND()</f>
        <v>0.326912698795611</v>
      </c>
      <c r="P31" s="15" t="n">
        <f aca="true">RAND()</f>
        <v>0.11652241118706</v>
      </c>
      <c r="Q31" s="15" t="n">
        <f aca="true">RAND()</f>
        <v>0.0470105159929769</v>
      </c>
      <c r="R31" s="15" t="n">
        <f aca="true">RAND()</f>
        <v>0.185175558948836</v>
      </c>
      <c r="S31" s="15" t="n">
        <f aca="true">RAND()</f>
        <v>0.90581615310464</v>
      </c>
      <c r="T31" s="16" t="n">
        <f aca="false">LOOKUP(D31,$E$23:$E$26,$A$23:$A$26)+LOOKUP(D31,$E$23:$E$26,$D$23:$D$26)*(D31-LOOKUP(D31,$E$23:$E$26))/LOOKUP(D31,$E$23:$E$26,$C$23:$C$26)</f>
        <v>4.12251142810206</v>
      </c>
      <c r="U31" s="16" t="n">
        <f aca="false">LOOKUP(E31,$E$23:$E$26,$A$23:$A$26)+LOOKUP(E31,$E$23:$E$26,$D$23:$D$26)*(E31-LOOKUP(E31,$E$23:$E$26))/LOOKUP(E31,$E$23:$E$26,$C$23:$C$26)</f>
        <v>4.21583310608051</v>
      </c>
      <c r="V31" s="16" t="n">
        <f aca="false">LOOKUP(F31,$E$23:$E$26,$A$23:$A$26)+LOOKUP(F31,$E$23:$E$26,$D$23:$D$26)*(F31-LOOKUP(F31,$E$23:$E$26))/LOOKUP(F31,$E$23:$E$26,$C$23:$C$26)</f>
        <v>4.19422086669827</v>
      </c>
      <c r="W31" s="16" t="n">
        <f aca="false">LOOKUP(G31,$E$23:$E$26,$A$23:$A$26)+LOOKUP(G31,$E$23:$E$26,$D$23:$D$26)*(G31-LOOKUP(G31,$E$23:$E$26))/LOOKUP(G31,$E$23:$E$26,$C$23:$C$26)</f>
        <v>5.74867361267726</v>
      </c>
      <c r="X31" s="16" t="n">
        <f aca="false">LOOKUP(H31,$E$23:$E$26,$A$23:$A$26)+LOOKUP(H31,$E$23:$E$26,$D$23:$D$26)*(H31-LOOKUP(H31,$E$23:$E$26))/LOOKUP(H31,$E$23:$E$26,$C$23:$C$26)</f>
        <v>4.8946803723927</v>
      </c>
      <c r="Y31" s="16" t="n">
        <f aca="false">LOOKUP(I31,$E$23:$E$26,$A$23:$A$26)+LOOKUP(I31,$E$23:$E$26,$D$23:$D$26)*(I31-LOOKUP(I31,$E$23:$E$26))/LOOKUP(I31,$E$23:$E$26,$C$23:$C$26)</f>
        <v>4.00687150382128</v>
      </c>
      <c r="Z31" s="16" t="n">
        <f aca="false">LOOKUP(J31,$E$23:$E$26,$A$23:$A$26)+LOOKUP(J31,$E$23:$E$26,$D$23:$D$26)*(J31-LOOKUP(J31,$E$23:$E$26))/LOOKUP(J31,$E$23:$E$26,$C$23:$C$26)</f>
        <v>4.91662792397012</v>
      </c>
      <c r="AA31" s="16" t="n">
        <f aca="false">LOOKUP(K31,$E$23:$E$26,$A$23:$A$26)+LOOKUP(K31,$E$23:$E$26,$D$23:$D$26)*(K31-LOOKUP(K31,$E$23:$E$26))/LOOKUP(K31,$E$23:$E$26,$C$23:$C$26)</f>
        <v>4.93251184445549</v>
      </c>
      <c r="AB31" s="16" t="n">
        <f aca="false">LOOKUP(L31,$E$23:$E$26,$A$23:$A$26)+LOOKUP(L31,$E$23:$E$26,$D$23:$D$26)*(L31-LOOKUP(L31,$E$23:$E$26))/LOOKUP(L31,$E$23:$E$26,$C$23:$C$26)</f>
        <v>4.40259792752177</v>
      </c>
      <c r="AC31" s="16" t="n">
        <f aca="false">LOOKUP(M31,$E$23:$E$26,$A$23:$A$26)+LOOKUP(M31,$E$23:$E$26,$D$23:$D$26)*(M31-LOOKUP(M31,$E$23:$E$26))/LOOKUP(M31,$E$23:$E$26,$C$23:$C$26)</f>
        <v>4.39688892259621</v>
      </c>
      <c r="AD31" s="16" t="n">
        <f aca="false">LOOKUP(N31,$E$23:$E$26,$A$23:$A$26)+LOOKUP(N31,$E$23:$E$26,$D$23:$D$26)*(N31-LOOKUP(N31,$E$23:$E$26))/LOOKUP(N31,$E$23:$E$26,$C$23:$C$26)</f>
        <v>4.99050359476438</v>
      </c>
      <c r="AE31" s="16" t="n">
        <f aca="false">LOOKUP(O31,$E$23:$E$26,$A$23:$A$26)+LOOKUP(O31,$E$23:$E$26,$D$23:$D$26)*(O31-LOOKUP(O31,$E$23:$E$26))/LOOKUP(O31,$E$23:$E$26,$C$23:$C$26)</f>
        <v>4.53364087349451</v>
      </c>
      <c r="AF31" s="16" t="n">
        <f aca="false">LOOKUP(P31,$E$23:$E$26,$A$23:$A$26)+LOOKUP(P31,$E$23:$E$26,$D$23:$D$26)*(P31-LOOKUP(P31,$E$23:$E$26))/LOOKUP(P31,$E$23:$E$26,$C$23:$C$26)</f>
        <v>4.1942040186451</v>
      </c>
      <c r="AG31" s="16" t="n">
        <f aca="false">LOOKUP(Q31,$E$23:$E$26,$A$23:$A$26)+LOOKUP(Q31,$E$23:$E$26,$D$23:$D$26)*(Q31-LOOKUP(Q31,$E$23:$E$26))/LOOKUP(Q31,$E$23:$E$26,$C$23:$C$26)</f>
        <v>4.0783508599883</v>
      </c>
      <c r="AH31" s="16" t="n">
        <f aca="false">LOOKUP(R31,$E$23:$E$26,$A$23:$A$26)+LOOKUP(R31,$E$23:$E$26,$D$23:$D$26)*(R31-LOOKUP(R31,$E$23:$E$26))/LOOKUP(R31,$E$23:$E$26,$C$23:$C$26)</f>
        <v>4.30862593158139</v>
      </c>
      <c r="AI31" s="16" t="n">
        <f aca="false">LOOKUP(S31,$E$23:$E$26,$A$23:$A$26)+LOOKUP(S31,$E$23:$E$26,$D$23:$D$26)*(S31-LOOKUP(S31,$E$23:$E$26))/LOOKUP(S31,$E$23:$E$26,$C$23:$C$26)</f>
        <v>5.5290807655232</v>
      </c>
      <c r="AJ31" s="16" t="n">
        <f aca="false">SUM($T31:T31)</f>
        <v>4.12251142810206</v>
      </c>
      <c r="AK31" s="16" t="n">
        <f aca="false">SUM($T31:U31)</f>
        <v>8.33834453418257</v>
      </c>
      <c r="AL31" s="16" t="n">
        <f aca="false">SUM($T31:V31)</f>
        <v>12.5325654008808</v>
      </c>
      <c r="AM31" s="16" t="n">
        <f aca="false">SUM($T31:W31)</f>
        <v>18.2812390135581</v>
      </c>
      <c r="AN31" s="16" t="n">
        <f aca="false">SUM($T31:X31)</f>
        <v>23.1759193859508</v>
      </c>
      <c r="AO31" s="16" t="n">
        <f aca="false">SUM($T31:Y31)</f>
        <v>27.1827908897721</v>
      </c>
      <c r="AP31" s="16" t="n">
        <f aca="false">SUM($T31:Z31)</f>
        <v>32.0994188137422</v>
      </c>
      <c r="AQ31" s="16" t="n">
        <f aca="false">SUM($T31:AA31)</f>
        <v>37.0319306581977</v>
      </c>
      <c r="AR31" s="16" t="n">
        <f aca="false">SUM($T31:AB31)</f>
        <v>41.4345285857195</v>
      </c>
      <c r="AS31" s="16" t="n">
        <f aca="false">SUM($T31:AC31)</f>
        <v>45.8314175083157</v>
      </c>
      <c r="AT31" s="16" t="n">
        <f aca="false">SUM($T31:AD31)</f>
        <v>50.82192110308</v>
      </c>
      <c r="AU31" s="16" t="n">
        <f aca="false">SUM($T31:AE31)</f>
        <v>55.3555619765746</v>
      </c>
      <c r="AV31" s="16" t="n">
        <f aca="false">SUM($T31:AF31)</f>
        <v>59.5497659952197</v>
      </c>
      <c r="AW31" s="16" t="n">
        <f aca="false">SUM($T31:AG31)</f>
        <v>63.628116855208</v>
      </c>
      <c r="AX31" s="16" t="n">
        <f aca="false">SUM($T31:AH31)</f>
        <v>67.9367427867893</v>
      </c>
      <c r="AY31" s="16" t="n">
        <f aca="false">SUM($T31:AI31)</f>
        <v>73.4658235523125</v>
      </c>
      <c r="AZ31" s="16" t="n">
        <f aca="false">MAX(C31-AJ31,0)</f>
        <v>61.1974947806727</v>
      </c>
      <c r="BA31" s="16" t="n">
        <f aca="false">MAX(C31-AK31,0)</f>
        <v>56.9816616745922</v>
      </c>
      <c r="BB31" s="16" t="n">
        <f aca="false">MAX(C31-AL31,0)</f>
        <v>52.787440807894</v>
      </c>
      <c r="BC31" s="16" t="n">
        <f aca="false">MAX(C31-AM31,0)</f>
        <v>47.0387671952167</v>
      </c>
      <c r="BD31" s="16" t="n">
        <f aca="false">MAX(C31-AN31,0)</f>
        <v>42.144086822824</v>
      </c>
      <c r="BE31" s="16" t="n">
        <f aca="false">MAX(C31-AO31,0)</f>
        <v>38.1372153190027</v>
      </c>
      <c r="BF31" s="16" t="n">
        <f aca="false">MAX(C31-AP31,0)</f>
        <v>33.2205873950326</v>
      </c>
      <c r="BG31" s="16" t="n">
        <f aca="false">MAX(C31-AQ31,0)</f>
        <v>28.2880755505771</v>
      </c>
      <c r="BH31" s="16" t="n">
        <f aca="false">MAX(C31-AR31,0)</f>
        <v>23.8854776230553</v>
      </c>
      <c r="BI31" s="16" t="n">
        <f aca="false">MAX(C31-AS31,0)</f>
        <v>19.4885887004591</v>
      </c>
      <c r="BJ31" s="16" t="n">
        <f aca="false">MAX(C31-AT31,0)</f>
        <v>14.4980851056947</v>
      </c>
      <c r="BK31" s="16" t="n">
        <f aca="false">MAX(C31-AU31,0)</f>
        <v>9.96444423220024</v>
      </c>
      <c r="BL31" s="16" t="n">
        <f aca="false">MAX(C31-AV31,0)</f>
        <v>5.77024021355513</v>
      </c>
      <c r="BM31" s="16" t="n">
        <f aca="false">MAX(C31-AW31,0)</f>
        <v>1.69188935356684</v>
      </c>
      <c r="BN31" s="16" t="n">
        <f aca="false">MAX(C31-AX31,0)</f>
        <v>0</v>
      </c>
      <c r="BO31" s="16" t="n">
        <f aca="false">MAX(C31-AY31,0)</f>
        <v>0</v>
      </c>
    </row>
    <row r="32" customFormat="false" ht="15" hidden="false" customHeight="false" outlineLevel="0" collapsed="false">
      <c r="A32" s="3" t="n">
        <v>2</v>
      </c>
      <c r="B32" s="15" t="n">
        <f aca="true">RAND()</f>
        <v>0.243701543265853</v>
      </c>
      <c r="C32" s="16" t="n">
        <f aca="false">LOOKUP(B32,$E$12:$E$17,$A$12:$A$17)+LOOKUP(B32,$E$12:$E$17,$D$12:$D$17)*(B32-LOOKUP(B32,$E$12:$E$17))/LOOKUP(B32,$E$12:$E$17,$C$12:$C$17)</f>
        <v>59.7900514421951</v>
      </c>
      <c r="D32" s="15" t="n">
        <f aca="true">RAND()</f>
        <v>0.814521369698942</v>
      </c>
      <c r="E32" s="15" t="n">
        <f aca="true">RAND()</f>
        <v>0.117205600934821</v>
      </c>
      <c r="F32" s="15" t="n">
        <f aca="true">RAND()</f>
        <v>0.661601043524225</v>
      </c>
      <c r="G32" s="15" t="n">
        <f aca="true">RAND()</f>
        <v>0.614502862335966</v>
      </c>
      <c r="H32" s="15" t="n">
        <f aca="true">RAND()</f>
        <v>0.824121723911824</v>
      </c>
      <c r="I32" s="15" t="n">
        <f aca="true">RAND()</f>
        <v>0.283955959195372</v>
      </c>
      <c r="J32" s="15" t="n">
        <f aca="true">RAND()</f>
        <v>0.431615995543384</v>
      </c>
      <c r="K32" s="15" t="n">
        <f aca="true">RAND()</f>
        <v>0.883105823719165</v>
      </c>
      <c r="L32" s="15" t="n">
        <f aca="true">RAND()</f>
        <v>0.0961696813544155</v>
      </c>
      <c r="M32" s="15" t="n">
        <f aca="true">RAND()</f>
        <v>0.847775494221744</v>
      </c>
      <c r="N32" s="15" t="n">
        <f aca="true">RAND()</f>
        <v>0.952693211692646</v>
      </c>
      <c r="O32" s="15" t="n">
        <f aca="true">RAND()</f>
        <v>0.979806993678318</v>
      </c>
      <c r="P32" s="15" t="n">
        <f aca="true">RAND()</f>
        <v>0.915277874670687</v>
      </c>
      <c r="Q32" s="15" t="n">
        <f aca="true">RAND()</f>
        <v>0.510728658834967</v>
      </c>
      <c r="R32" s="15" t="n">
        <f aca="true">RAND()</f>
        <v>0.455599695634374</v>
      </c>
      <c r="S32" s="15" t="n">
        <f aca="true">RAND()</f>
        <v>0.979682112703878</v>
      </c>
      <c r="T32" s="16" t="n">
        <f aca="false">LOOKUP(D32,$E$23:$E$26,$A$23:$A$26)+LOOKUP(D32,$E$23:$E$26,$D$23:$D$26)*(D32-LOOKUP(D32,$E$23:$E$26))/LOOKUP(D32,$E$23:$E$26,$C$23:$C$26)</f>
        <v>5.28630342424735</v>
      </c>
      <c r="U32" s="16" t="n">
        <f aca="false">LOOKUP(E32,$E$23:$E$26,$A$23:$A$26)+LOOKUP(E32,$E$23:$E$26,$D$23:$D$26)*(E32-LOOKUP(E32,$E$23:$E$26))/LOOKUP(E32,$E$23:$E$26,$C$23:$C$26)</f>
        <v>4.1953426682247</v>
      </c>
      <c r="V32" s="16" t="n">
        <f aca="false">LOOKUP(F32,$E$23:$E$26,$A$23:$A$26)+LOOKUP(F32,$E$23:$E$26,$D$23:$D$26)*(F32-LOOKUP(F32,$E$23:$E$26))/LOOKUP(F32,$E$23:$E$26,$C$23:$C$26)</f>
        <v>4.95200130440528</v>
      </c>
      <c r="W32" s="16" t="n">
        <f aca="false">LOOKUP(G32,$E$23:$E$26,$A$23:$A$26)+LOOKUP(G32,$E$23:$E$26,$D$23:$D$26)*(G32-LOOKUP(G32,$E$23:$E$26))/LOOKUP(G32,$E$23:$E$26,$C$23:$C$26)</f>
        <v>4.89312857791996</v>
      </c>
      <c r="X32" s="16" t="n">
        <f aca="false">LOOKUP(H32,$E$23:$E$26,$A$23:$A$26)+LOOKUP(H32,$E$23:$E$26,$D$23:$D$26)*(H32-LOOKUP(H32,$E$23:$E$26))/LOOKUP(H32,$E$23:$E$26,$C$23:$C$26)</f>
        <v>5.31030430977956</v>
      </c>
      <c r="Y32" s="16" t="n">
        <f aca="false">LOOKUP(I32,$E$23:$E$26,$A$23:$A$26)+LOOKUP(I32,$E$23:$E$26,$D$23:$D$26)*(I32-LOOKUP(I32,$E$23:$E$26))/LOOKUP(I32,$E$23:$E$26,$C$23:$C$26)</f>
        <v>4.47325993199229</v>
      </c>
      <c r="Z32" s="16" t="n">
        <f aca="false">LOOKUP(J32,$E$23:$E$26,$A$23:$A$26)+LOOKUP(J32,$E$23:$E$26,$D$23:$D$26)*(J32-LOOKUP(J32,$E$23:$E$26))/LOOKUP(J32,$E$23:$E$26,$C$23:$C$26)</f>
        <v>4.66451999442923</v>
      </c>
      <c r="AA32" s="16" t="n">
        <f aca="false">LOOKUP(K32,$E$23:$E$26,$A$23:$A$26)+LOOKUP(K32,$E$23:$E$26,$D$23:$D$26)*(K32-LOOKUP(K32,$E$23:$E$26))/LOOKUP(K32,$E$23:$E$26,$C$23:$C$26)</f>
        <v>5.45776455929791</v>
      </c>
      <c r="AB32" s="16" t="n">
        <f aca="false">LOOKUP(L32,$E$23:$E$26,$A$23:$A$26)+LOOKUP(L32,$E$23:$E$26,$D$23:$D$26)*(L32-LOOKUP(L32,$E$23:$E$26))/LOOKUP(L32,$E$23:$E$26,$C$23:$C$26)</f>
        <v>4.16028280225736</v>
      </c>
      <c r="AC32" s="16" t="n">
        <f aca="false">LOOKUP(M32,$E$23:$E$26,$A$23:$A$26)+LOOKUP(M32,$E$23:$E$26,$D$23:$D$26)*(M32-LOOKUP(M32,$E$23:$E$26))/LOOKUP(M32,$E$23:$E$26,$C$23:$C$26)</f>
        <v>5.36943873555436</v>
      </c>
      <c r="AD32" s="16" t="n">
        <f aca="false">LOOKUP(N32,$E$23:$E$26,$A$23:$A$26)+LOOKUP(N32,$E$23:$E$26,$D$23:$D$26)*(N32-LOOKUP(N32,$E$23:$E$26))/LOOKUP(N32,$E$23:$E$26,$C$23:$C$26)</f>
        <v>5.76346605846323</v>
      </c>
      <c r="AE32" s="16" t="n">
        <f aca="false">LOOKUP(O32,$E$23:$E$26,$A$23:$A$26)+LOOKUP(O32,$E$23:$E$26,$D$23:$D$26)*(O32-LOOKUP(O32,$E$23:$E$26))/LOOKUP(O32,$E$23:$E$26,$C$23:$C$26)</f>
        <v>5.89903496839159</v>
      </c>
      <c r="AF32" s="16" t="n">
        <f aca="false">LOOKUP(P32,$E$23:$E$26,$A$23:$A$26)+LOOKUP(P32,$E$23:$E$26,$D$23:$D$26)*(P32-LOOKUP(P32,$E$23:$E$26))/LOOKUP(P32,$E$23:$E$26,$C$23:$C$26)</f>
        <v>5.57638937335343</v>
      </c>
      <c r="AG32" s="16" t="n">
        <f aca="false">LOOKUP(Q32,$E$23:$E$26,$A$23:$A$26)+LOOKUP(Q32,$E$23:$E$26,$D$23:$D$26)*(Q32-LOOKUP(Q32,$E$23:$E$26))/LOOKUP(Q32,$E$23:$E$26,$C$23:$C$26)</f>
        <v>4.76341082354371</v>
      </c>
      <c r="AH32" s="16" t="n">
        <f aca="false">LOOKUP(R32,$E$23:$E$26,$A$23:$A$26)+LOOKUP(R32,$E$23:$E$26,$D$23:$D$26)*(R32-LOOKUP(R32,$E$23:$E$26))/LOOKUP(R32,$E$23:$E$26,$C$23:$C$26)</f>
        <v>4.69449961954297</v>
      </c>
      <c r="AI32" s="16" t="n">
        <f aca="false">LOOKUP(S32,$E$23:$E$26,$A$23:$A$26)+LOOKUP(S32,$E$23:$E$26,$D$23:$D$26)*(S32-LOOKUP(S32,$E$23:$E$26))/LOOKUP(S32,$E$23:$E$26,$C$23:$C$26)</f>
        <v>5.89841056351939</v>
      </c>
      <c r="AJ32" s="16" t="n">
        <f aca="false">SUM($T32:T32)</f>
        <v>5.28630342424735</v>
      </c>
      <c r="AK32" s="16" t="n">
        <f aca="false">SUM($T32:U32)</f>
        <v>9.48164609247206</v>
      </c>
      <c r="AL32" s="16" t="n">
        <f aca="false">SUM($T32:V32)</f>
        <v>14.4336473968773</v>
      </c>
      <c r="AM32" s="16" t="n">
        <f aca="false">SUM($T32:W32)</f>
        <v>19.3267759747973</v>
      </c>
      <c r="AN32" s="16" t="n">
        <f aca="false">SUM($T32:X32)</f>
        <v>24.6370802845769</v>
      </c>
      <c r="AO32" s="16" t="n">
        <f aca="false">SUM($T32:Y32)</f>
        <v>29.1103402165691</v>
      </c>
      <c r="AP32" s="16" t="n">
        <f aca="false">SUM($T32:Z32)</f>
        <v>33.7748602109984</v>
      </c>
      <c r="AQ32" s="16" t="n">
        <f aca="false">SUM($T32:AA32)</f>
        <v>39.2326247702963</v>
      </c>
      <c r="AR32" s="16" t="n">
        <f aca="false">SUM($T32:AB32)</f>
        <v>43.3929075725536</v>
      </c>
      <c r="AS32" s="16" t="n">
        <f aca="false">SUM($T32:AC32)</f>
        <v>48.762346308108</v>
      </c>
      <c r="AT32" s="16" t="n">
        <f aca="false">SUM($T32:AD32)</f>
        <v>54.5258123665712</v>
      </c>
      <c r="AU32" s="16" t="n">
        <f aca="false">SUM($T32:AE32)</f>
        <v>60.4248473349628</v>
      </c>
      <c r="AV32" s="16" t="n">
        <f aca="false">SUM($T32:AF32)</f>
        <v>66.0012367083163</v>
      </c>
      <c r="AW32" s="16" t="n">
        <f aca="false">SUM($T32:AG32)</f>
        <v>70.76464753186</v>
      </c>
      <c r="AX32" s="16" t="n">
        <f aca="false">SUM($T32:AH32)</f>
        <v>75.4591471514029</v>
      </c>
      <c r="AY32" s="16" t="n">
        <f aca="false">SUM($T32:AI32)</f>
        <v>81.3575577149223</v>
      </c>
      <c r="AZ32" s="16" t="n">
        <f aca="false">MAX(C32-AJ32,0)</f>
        <v>54.5037480179477</v>
      </c>
      <c r="BA32" s="16" t="n">
        <f aca="false">MAX(C32-AK32,0)</f>
        <v>50.308405349723</v>
      </c>
      <c r="BB32" s="16" t="n">
        <f aca="false">MAX(C32-AL32,0)</f>
        <v>45.3564040453178</v>
      </c>
      <c r="BC32" s="16" t="n">
        <f aca="false">MAX(C32-AM32,0)</f>
        <v>40.4632754673978</v>
      </c>
      <c r="BD32" s="16" t="n">
        <f aca="false">MAX(C32-AN32,0)</f>
        <v>35.1529711576182</v>
      </c>
      <c r="BE32" s="16" t="n">
        <f aca="false">MAX(C32-AO32,0)</f>
        <v>30.679711225626</v>
      </c>
      <c r="BF32" s="16" t="n">
        <f aca="false">MAX(C32-AP32,0)</f>
        <v>26.0151912311967</v>
      </c>
      <c r="BG32" s="16" t="n">
        <f aca="false">MAX(C32-AQ32,0)</f>
        <v>20.5574266718988</v>
      </c>
      <c r="BH32" s="16" t="n">
        <f aca="false">MAX(C32-AR32,0)</f>
        <v>16.3971438696415</v>
      </c>
      <c r="BI32" s="16" t="n">
        <f aca="false">MAX(C32-AS32,0)</f>
        <v>11.0277051340871</v>
      </c>
      <c r="BJ32" s="16" t="n">
        <f aca="false">MAX(C32-AT32,0)</f>
        <v>5.26423907562386</v>
      </c>
      <c r="BK32" s="16" t="n">
        <f aca="false">MAX(C32-AU32,0)</f>
        <v>0</v>
      </c>
      <c r="BL32" s="16" t="n">
        <f aca="false">MAX(C32-AV32,0)</f>
        <v>0</v>
      </c>
      <c r="BM32" s="16" t="n">
        <f aca="false">MAX(C32-AW32,0)</f>
        <v>0</v>
      </c>
      <c r="BN32" s="16" t="n">
        <f aca="false">MAX(C32-AX32,0)</f>
        <v>0</v>
      </c>
      <c r="BO32" s="16" t="n">
        <f aca="false">MAX(C32-AY32,0)</f>
        <v>0</v>
      </c>
    </row>
    <row r="33" customFormat="false" ht="15" hidden="false" customHeight="false" outlineLevel="0" collapsed="false">
      <c r="A33" s="3" t="n">
        <v>3</v>
      </c>
      <c r="B33" s="15" t="n">
        <f aca="true">RAND()</f>
        <v>0.820977209333603</v>
      </c>
      <c r="C33" s="16" t="n">
        <f aca="false">LOOKUP(B33,$E$12:$E$17,$A$12:$A$17)+LOOKUP(B33,$E$12:$E$17,$D$12:$D$17)*(B33-LOOKUP(B33,$E$12:$E$17))/LOOKUP(B33,$E$12:$E$17,$C$12:$C$17)</f>
        <v>68.87110299048</v>
      </c>
      <c r="D33" s="15" t="n">
        <f aca="true">RAND()</f>
        <v>0.758909671913193</v>
      </c>
      <c r="E33" s="15" t="n">
        <f aca="true">RAND()</f>
        <v>0.964514448312512</v>
      </c>
      <c r="F33" s="15" t="n">
        <f aca="true">RAND()</f>
        <v>0.0188647968896535</v>
      </c>
      <c r="G33" s="15" t="n">
        <f aca="true">RAND()</f>
        <v>0.372369951181764</v>
      </c>
      <c r="H33" s="15" t="n">
        <f aca="true">RAND()</f>
        <v>0.303299218024861</v>
      </c>
      <c r="I33" s="15" t="n">
        <f aca="true">RAND()</f>
        <v>0.231657105988135</v>
      </c>
      <c r="J33" s="15" t="n">
        <f aca="true">RAND()</f>
        <v>0.291012434431163</v>
      </c>
      <c r="K33" s="15" t="n">
        <f aca="true">RAND()</f>
        <v>0.813933611590596</v>
      </c>
      <c r="L33" s="15" t="n">
        <f aca="true">RAND()</f>
        <v>0.805973051854696</v>
      </c>
      <c r="M33" s="15" t="n">
        <f aca="true">RAND()</f>
        <v>0.122806962368496</v>
      </c>
      <c r="N33" s="15" t="n">
        <f aca="true">RAND()</f>
        <v>0.977742850654765</v>
      </c>
      <c r="O33" s="15" t="n">
        <f aca="true">RAND()</f>
        <v>0.114522598756839</v>
      </c>
      <c r="P33" s="15" t="n">
        <f aca="true">RAND()</f>
        <v>0.298391751127769</v>
      </c>
      <c r="Q33" s="15" t="n">
        <f aca="true">RAND()</f>
        <v>0.0262727372594284</v>
      </c>
      <c r="R33" s="15" t="n">
        <f aca="true">RAND()</f>
        <v>0.395475588261224</v>
      </c>
      <c r="S33" s="15" t="n">
        <f aca="true">RAND()</f>
        <v>0.790051021180605</v>
      </c>
      <c r="T33" s="16" t="n">
        <f aca="false">LOOKUP(D33,$E$23:$E$26,$A$23:$A$26)+LOOKUP(D33,$E$23:$E$26,$D$23:$D$26)*(D33-LOOKUP(D33,$E$23:$E$26))/LOOKUP(D33,$E$23:$E$26,$C$23:$C$26)</f>
        <v>5.14727417978298</v>
      </c>
      <c r="U33" s="16" t="n">
        <f aca="false">LOOKUP(E33,$E$23:$E$26,$A$23:$A$26)+LOOKUP(E33,$E$23:$E$26,$D$23:$D$26)*(E33-LOOKUP(E33,$E$23:$E$26))/LOOKUP(E33,$E$23:$E$26,$C$23:$C$26)</f>
        <v>5.82257224156256</v>
      </c>
      <c r="V33" s="16" t="n">
        <f aca="false">LOOKUP(F33,$E$23:$E$26,$A$23:$A$26)+LOOKUP(F33,$E$23:$E$26,$D$23:$D$26)*(F33-LOOKUP(F33,$E$23:$E$26))/LOOKUP(F33,$E$23:$E$26,$C$23:$C$26)</f>
        <v>4.03144132814942</v>
      </c>
      <c r="W33" s="16" t="n">
        <f aca="false">LOOKUP(G33,$E$23:$E$26,$A$23:$A$26)+LOOKUP(G33,$E$23:$E$26,$D$23:$D$26)*(G33-LOOKUP(G33,$E$23:$E$26))/LOOKUP(G33,$E$23:$E$26,$C$23:$C$26)</f>
        <v>4.59046243897721</v>
      </c>
      <c r="X33" s="16" t="n">
        <f aca="false">LOOKUP(H33,$E$23:$E$26,$A$23:$A$26)+LOOKUP(H33,$E$23:$E$26,$D$23:$D$26)*(H33-LOOKUP(H33,$E$23:$E$26))/LOOKUP(H33,$E$23:$E$26,$C$23:$C$26)</f>
        <v>4.50412402253108</v>
      </c>
      <c r="Y33" s="16" t="n">
        <f aca="false">LOOKUP(I33,$E$23:$E$26,$A$23:$A$26)+LOOKUP(I33,$E$23:$E$26,$D$23:$D$26)*(I33-LOOKUP(I33,$E$23:$E$26))/LOOKUP(I33,$E$23:$E$26,$C$23:$C$26)</f>
        <v>4.38609517664689</v>
      </c>
      <c r="Z33" s="16" t="n">
        <f aca="false">LOOKUP(J33,$E$23:$E$26,$A$23:$A$26)+LOOKUP(J33,$E$23:$E$26,$D$23:$D$26)*(J33-LOOKUP(J33,$E$23:$E$26))/LOOKUP(J33,$E$23:$E$26,$C$23:$C$26)</f>
        <v>4.48502072405194</v>
      </c>
      <c r="AA33" s="16" t="n">
        <f aca="false">LOOKUP(K33,$E$23:$E$26,$A$23:$A$26)+LOOKUP(K33,$E$23:$E$26,$D$23:$D$26)*(K33-LOOKUP(K33,$E$23:$E$26))/LOOKUP(K33,$E$23:$E$26,$C$23:$C$26)</f>
        <v>5.28483402897649</v>
      </c>
      <c r="AB33" s="16" t="n">
        <f aca="false">LOOKUP(L33,$E$23:$E$26,$A$23:$A$26)+LOOKUP(L33,$E$23:$E$26,$D$23:$D$26)*(L33-LOOKUP(L33,$E$23:$E$26))/LOOKUP(L33,$E$23:$E$26,$C$23:$C$26)</f>
        <v>5.26493262963674</v>
      </c>
      <c r="AC33" s="16" t="n">
        <f aca="false">LOOKUP(M33,$E$23:$E$26,$A$23:$A$26)+LOOKUP(M33,$E$23:$E$26,$D$23:$D$26)*(M33-LOOKUP(M33,$E$23:$E$26))/LOOKUP(M33,$E$23:$E$26,$C$23:$C$26)</f>
        <v>4.20467827061416</v>
      </c>
      <c r="AD33" s="16" t="n">
        <f aca="false">LOOKUP(N33,$E$23:$E$26,$A$23:$A$26)+LOOKUP(N33,$E$23:$E$26,$D$23:$D$26)*(N33-LOOKUP(N33,$E$23:$E$26))/LOOKUP(N33,$E$23:$E$26,$C$23:$C$26)</f>
        <v>5.88871425327382</v>
      </c>
      <c r="AE33" s="16" t="n">
        <f aca="false">LOOKUP(O33,$E$23:$E$26,$A$23:$A$26)+LOOKUP(O33,$E$23:$E$26,$D$23:$D$26)*(O33-LOOKUP(O33,$E$23:$E$26))/LOOKUP(O33,$E$23:$E$26,$C$23:$C$26)</f>
        <v>4.19087099792807</v>
      </c>
      <c r="AF33" s="16" t="n">
        <f aca="false">LOOKUP(P33,$E$23:$E$26,$A$23:$A$26)+LOOKUP(P33,$E$23:$E$26,$D$23:$D$26)*(P33-LOOKUP(P33,$E$23:$E$26))/LOOKUP(P33,$E$23:$E$26,$C$23:$C$26)</f>
        <v>4.49731958521295</v>
      </c>
      <c r="AG33" s="16" t="n">
        <f aca="false">LOOKUP(Q33,$E$23:$E$26,$A$23:$A$26)+LOOKUP(Q33,$E$23:$E$26,$D$23:$D$26)*(Q33-LOOKUP(Q33,$E$23:$E$26))/LOOKUP(Q33,$E$23:$E$26,$C$23:$C$26)</f>
        <v>4.04378789543238</v>
      </c>
      <c r="AH33" s="16" t="n">
        <f aca="false">LOOKUP(R33,$E$23:$E$26,$A$23:$A$26)+LOOKUP(R33,$E$23:$E$26,$D$23:$D$26)*(R33-LOOKUP(R33,$E$23:$E$26))/LOOKUP(R33,$E$23:$E$26,$C$23:$C$26)</f>
        <v>4.61934448532653</v>
      </c>
      <c r="AI33" s="16" t="n">
        <f aca="false">LOOKUP(S33,$E$23:$E$26,$A$23:$A$26)+LOOKUP(S33,$E$23:$E$26,$D$23:$D$26)*(S33-LOOKUP(S33,$E$23:$E$26))/LOOKUP(S33,$E$23:$E$26,$C$23:$C$26)</f>
        <v>5.22512755295151</v>
      </c>
      <c r="AJ33" s="16" t="n">
        <f aca="false">SUM($T33:T33)</f>
        <v>5.14727417978298</v>
      </c>
      <c r="AK33" s="16" t="n">
        <f aca="false">SUM($T33:U33)</f>
        <v>10.9698464213455</v>
      </c>
      <c r="AL33" s="16" t="n">
        <f aca="false">SUM($T33:V33)</f>
        <v>15.001287749495</v>
      </c>
      <c r="AM33" s="16" t="n">
        <f aca="false">SUM($T33:W33)</f>
        <v>19.5917501884722</v>
      </c>
      <c r="AN33" s="16" t="n">
        <f aca="false">SUM($T33:X33)</f>
        <v>24.0958742110032</v>
      </c>
      <c r="AO33" s="16" t="n">
        <f aca="false">SUM($T33:Y33)</f>
        <v>28.4819693876501</v>
      </c>
      <c r="AP33" s="16" t="n">
        <f aca="false">SUM($T33:Z33)</f>
        <v>32.9669901117021</v>
      </c>
      <c r="AQ33" s="16" t="n">
        <f aca="false">SUM($T33:AA33)</f>
        <v>38.2518241406786</v>
      </c>
      <c r="AR33" s="16" t="n">
        <f aca="false">SUM($T33:AB33)</f>
        <v>43.5167567703153</v>
      </c>
      <c r="AS33" s="16" t="n">
        <f aca="false">SUM($T33:AC33)</f>
        <v>47.7214350409295</v>
      </c>
      <c r="AT33" s="16" t="n">
        <f aca="false">SUM($T33:AD33)</f>
        <v>53.6101492942033</v>
      </c>
      <c r="AU33" s="16" t="n">
        <f aca="false">SUM($T33:AE33)</f>
        <v>57.8010202921314</v>
      </c>
      <c r="AV33" s="16" t="n">
        <f aca="false">SUM($T33:AF33)</f>
        <v>62.2983398773443</v>
      </c>
      <c r="AW33" s="16" t="n">
        <f aca="false">SUM($T33:AG33)</f>
        <v>66.3421277727767</v>
      </c>
      <c r="AX33" s="16" t="n">
        <f aca="false">SUM($T33:AH33)</f>
        <v>70.9614722581032</v>
      </c>
      <c r="AY33" s="16" t="n">
        <f aca="false">SUM($T33:AI33)</f>
        <v>76.1865998110547</v>
      </c>
      <c r="AZ33" s="16" t="n">
        <f aca="false">MAX(C33-AJ33,0)</f>
        <v>63.7238288106971</v>
      </c>
      <c r="BA33" s="16" t="n">
        <f aca="false">MAX(C33-AK33,0)</f>
        <v>57.9012565691345</v>
      </c>
      <c r="BB33" s="16" t="n">
        <f aca="false">MAX(C33-AL33,0)</f>
        <v>53.8698152409851</v>
      </c>
      <c r="BC33" s="16" t="n">
        <f aca="false">MAX(C33-AM33,0)</f>
        <v>49.2793528020079</v>
      </c>
      <c r="BD33" s="16" t="n">
        <f aca="false">MAX(C33-AN33,0)</f>
        <v>44.7752287794768</v>
      </c>
      <c r="BE33" s="16" t="n">
        <f aca="false">MAX(C33-AO33,0)</f>
        <v>40.3891336028299</v>
      </c>
      <c r="BF33" s="16" t="n">
        <f aca="false">MAX(C33-AP33,0)</f>
        <v>35.904112878778</v>
      </c>
      <c r="BG33" s="16" t="n">
        <f aca="false">MAX(C33-AQ33,0)</f>
        <v>30.6192788498015</v>
      </c>
      <c r="BH33" s="16" t="n">
        <f aca="false">MAX(C33-AR33,0)</f>
        <v>25.3543462201647</v>
      </c>
      <c r="BI33" s="16" t="n">
        <f aca="false">MAX(C33-AS33,0)</f>
        <v>21.1496679495506</v>
      </c>
      <c r="BJ33" s="16" t="n">
        <f aca="false">MAX(C33-AT33,0)</f>
        <v>15.2609536962768</v>
      </c>
      <c r="BK33" s="16" t="n">
        <f aca="false">MAX(C33-AU33,0)</f>
        <v>11.0700826983487</v>
      </c>
      <c r="BL33" s="16" t="n">
        <f aca="false">MAX(C33-AV33,0)</f>
        <v>6.57276311313574</v>
      </c>
      <c r="BM33" s="16" t="n">
        <f aca="false">MAX(C33-AW33,0)</f>
        <v>2.52897521770336</v>
      </c>
      <c r="BN33" s="16" t="n">
        <f aca="false">MAX(C33-AX33,0)</f>
        <v>0</v>
      </c>
      <c r="BO33" s="16" t="n">
        <f aca="false">MAX(C33-AY33,0)</f>
        <v>0</v>
      </c>
    </row>
    <row r="34" customFormat="false" ht="15" hidden="false" customHeight="false" outlineLevel="0" collapsed="false">
      <c r="A34" s="3" t="n">
        <v>4</v>
      </c>
      <c r="B34" s="15" t="n">
        <f aca="true">RAND()</f>
        <v>0.845138187261147</v>
      </c>
      <c r="C34" s="16" t="n">
        <f aca="false">LOOKUP(B34,$E$12:$E$17,$A$12:$A$17)+LOOKUP(B34,$E$12:$E$17,$D$12:$D$17)*(B34-LOOKUP(B34,$E$12:$E$17))/LOOKUP(B34,$E$12:$E$17,$C$12:$C$17)</f>
        <v>69.2162598180164</v>
      </c>
      <c r="D34" s="15" t="n">
        <f aca="true">RAND()</f>
        <v>0.956226693773079</v>
      </c>
      <c r="E34" s="15" t="n">
        <f aca="true">RAND()</f>
        <v>0.0671102561401087</v>
      </c>
      <c r="F34" s="15" t="n">
        <f aca="true">RAND()</f>
        <v>0.305050431249959</v>
      </c>
      <c r="G34" s="15" t="n">
        <f aca="true">RAND()</f>
        <v>0.320962263468373</v>
      </c>
      <c r="H34" s="15" t="n">
        <f aca="true">RAND()</f>
        <v>0.464691072649345</v>
      </c>
      <c r="I34" s="15" t="n">
        <f aca="true">RAND()</f>
        <v>0.844474388760196</v>
      </c>
      <c r="J34" s="15" t="n">
        <f aca="true">RAND()</f>
        <v>0.113043917916946</v>
      </c>
      <c r="K34" s="15" t="n">
        <f aca="true">RAND()</f>
        <v>0.600873615262923</v>
      </c>
      <c r="L34" s="15" t="n">
        <f aca="true">RAND()</f>
        <v>0.426594279779029</v>
      </c>
      <c r="M34" s="15" t="n">
        <f aca="true">RAND()</f>
        <v>0.32469487263403</v>
      </c>
      <c r="N34" s="15" t="n">
        <f aca="true">RAND()</f>
        <v>0.661193030845297</v>
      </c>
      <c r="O34" s="15" t="n">
        <f aca="true">RAND()</f>
        <v>0.714033730309407</v>
      </c>
      <c r="P34" s="15" t="n">
        <f aca="true">RAND()</f>
        <v>0.927173488492771</v>
      </c>
      <c r="Q34" s="15" t="n">
        <f aca="true">RAND()</f>
        <v>0.49620939948944</v>
      </c>
      <c r="R34" s="15" t="n">
        <f aca="true">RAND()</f>
        <v>0.814735525789385</v>
      </c>
      <c r="S34" s="15" t="n">
        <f aca="true">RAND()</f>
        <v>0.594068228350428</v>
      </c>
      <c r="T34" s="16" t="n">
        <f aca="false">LOOKUP(D34,$E$23:$E$26,$A$23:$A$26)+LOOKUP(D34,$E$23:$E$26,$D$23:$D$26)*(D34-LOOKUP(D34,$E$23:$E$26))/LOOKUP(D34,$E$23:$E$26,$C$23:$C$26)</f>
        <v>5.78113346886539</v>
      </c>
      <c r="U34" s="16" t="n">
        <f aca="false">LOOKUP(E34,$E$23:$E$26,$A$23:$A$26)+LOOKUP(E34,$E$23:$E$26,$D$23:$D$26)*(E34-LOOKUP(E34,$E$23:$E$26))/LOOKUP(E34,$E$23:$E$26,$C$23:$C$26)</f>
        <v>4.11185042690018</v>
      </c>
      <c r="V34" s="16" t="n">
        <f aca="false">LOOKUP(F34,$E$23:$E$26,$A$23:$A$26)+LOOKUP(F34,$E$23:$E$26,$D$23:$D$26)*(F34-LOOKUP(F34,$E$23:$E$26))/LOOKUP(F34,$E$23:$E$26,$C$23:$C$26)</f>
        <v>4.50631303906245</v>
      </c>
      <c r="W34" s="16" t="n">
        <f aca="false">LOOKUP(G34,$E$23:$E$26,$A$23:$A$26)+LOOKUP(G34,$E$23:$E$26,$D$23:$D$26)*(G34-LOOKUP(G34,$E$23:$E$26))/LOOKUP(G34,$E$23:$E$26,$C$23:$C$26)</f>
        <v>4.52620282933547</v>
      </c>
      <c r="X34" s="16" t="n">
        <f aca="false">LOOKUP(H34,$E$23:$E$26,$A$23:$A$26)+LOOKUP(H34,$E$23:$E$26,$D$23:$D$26)*(H34-LOOKUP(H34,$E$23:$E$26))/LOOKUP(H34,$E$23:$E$26,$C$23:$C$26)</f>
        <v>4.70586384081168</v>
      </c>
      <c r="Y34" s="16" t="n">
        <f aca="false">LOOKUP(I34,$E$23:$E$26,$A$23:$A$26)+LOOKUP(I34,$E$23:$E$26,$D$23:$D$26)*(I34-LOOKUP(I34,$E$23:$E$26))/LOOKUP(I34,$E$23:$E$26,$C$23:$C$26)</f>
        <v>5.36118597190049</v>
      </c>
      <c r="Z34" s="16" t="n">
        <f aca="false">LOOKUP(J34,$E$23:$E$26,$A$23:$A$26)+LOOKUP(J34,$E$23:$E$26,$D$23:$D$26)*(J34-LOOKUP(J34,$E$23:$E$26))/LOOKUP(J34,$E$23:$E$26,$C$23:$C$26)</f>
        <v>4.18840652986158</v>
      </c>
      <c r="AA34" s="16" t="n">
        <f aca="false">LOOKUP(K34,$E$23:$E$26,$A$23:$A$26)+LOOKUP(K34,$E$23:$E$26,$D$23:$D$26)*(K34-LOOKUP(K34,$E$23:$E$26))/LOOKUP(K34,$E$23:$E$26,$C$23:$C$26)</f>
        <v>4.87609201907865</v>
      </c>
      <c r="AB34" s="16" t="n">
        <f aca="false">LOOKUP(L34,$E$23:$E$26,$A$23:$A$26)+LOOKUP(L34,$E$23:$E$26,$D$23:$D$26)*(L34-LOOKUP(L34,$E$23:$E$26))/LOOKUP(L34,$E$23:$E$26,$C$23:$C$26)</f>
        <v>4.65824284972379</v>
      </c>
      <c r="AC34" s="16" t="n">
        <f aca="false">LOOKUP(M34,$E$23:$E$26,$A$23:$A$26)+LOOKUP(M34,$E$23:$E$26,$D$23:$D$26)*(M34-LOOKUP(M34,$E$23:$E$26))/LOOKUP(M34,$E$23:$E$26,$C$23:$C$26)</f>
        <v>4.53086859079254</v>
      </c>
      <c r="AD34" s="16" t="n">
        <f aca="false">LOOKUP(N34,$E$23:$E$26,$A$23:$A$26)+LOOKUP(N34,$E$23:$E$26,$D$23:$D$26)*(N34-LOOKUP(N34,$E$23:$E$26))/LOOKUP(N34,$E$23:$E$26,$C$23:$C$26)</f>
        <v>4.95149128855662</v>
      </c>
      <c r="AE34" s="16" t="n">
        <f aca="false">LOOKUP(O34,$E$23:$E$26,$A$23:$A$26)+LOOKUP(O34,$E$23:$E$26,$D$23:$D$26)*(O34-LOOKUP(O34,$E$23:$E$26))/LOOKUP(O34,$E$23:$E$26,$C$23:$C$26)</f>
        <v>5.03508432577352</v>
      </c>
      <c r="AF34" s="16" t="n">
        <f aca="false">LOOKUP(P34,$E$23:$E$26,$A$23:$A$26)+LOOKUP(P34,$E$23:$E$26,$D$23:$D$26)*(P34-LOOKUP(P34,$E$23:$E$26))/LOOKUP(P34,$E$23:$E$26,$C$23:$C$26)</f>
        <v>5.63586744246385</v>
      </c>
      <c r="AG34" s="16" t="n">
        <f aca="false">LOOKUP(Q34,$E$23:$E$26,$A$23:$A$26)+LOOKUP(Q34,$E$23:$E$26,$D$23:$D$26)*(Q34-LOOKUP(Q34,$E$23:$E$26))/LOOKUP(Q34,$E$23:$E$26,$C$23:$C$26)</f>
        <v>4.7452617493618</v>
      </c>
      <c r="AH34" s="16" t="n">
        <f aca="false">LOOKUP(R34,$E$23:$E$26,$A$23:$A$26)+LOOKUP(R34,$E$23:$E$26,$D$23:$D$26)*(R34-LOOKUP(R34,$E$23:$E$26))/LOOKUP(R34,$E$23:$E$26,$C$23:$C$26)</f>
        <v>5.28683881447346</v>
      </c>
      <c r="AI34" s="16" t="n">
        <f aca="false">LOOKUP(S34,$E$23:$E$26,$A$23:$A$26)+LOOKUP(S34,$E$23:$E$26,$D$23:$D$26)*(S34-LOOKUP(S34,$E$23:$E$26))/LOOKUP(S34,$E$23:$E$26,$C$23:$C$26)</f>
        <v>4.86758528543803</v>
      </c>
      <c r="AJ34" s="16" t="n">
        <f aca="false">SUM($T34:T34)</f>
        <v>5.78113346886539</v>
      </c>
      <c r="AK34" s="16" t="n">
        <f aca="false">SUM($T34:U34)</f>
        <v>9.89298389576558</v>
      </c>
      <c r="AL34" s="16" t="n">
        <f aca="false">SUM($T34:V34)</f>
        <v>14.399296934828</v>
      </c>
      <c r="AM34" s="16" t="n">
        <f aca="false">SUM($T34:W34)</f>
        <v>18.9254997641635</v>
      </c>
      <c r="AN34" s="16" t="n">
        <f aca="false">SUM($T34:X34)</f>
        <v>23.6313636049752</v>
      </c>
      <c r="AO34" s="16" t="n">
        <f aca="false">SUM($T34:Y34)</f>
        <v>28.9925495768757</v>
      </c>
      <c r="AP34" s="16" t="n">
        <f aca="false">SUM($T34:Z34)</f>
        <v>33.1809561067372</v>
      </c>
      <c r="AQ34" s="16" t="n">
        <f aca="false">SUM($T34:AA34)</f>
        <v>38.0570481258159</v>
      </c>
      <c r="AR34" s="16" t="n">
        <f aca="false">SUM($T34:AB34)</f>
        <v>42.7152909755397</v>
      </c>
      <c r="AS34" s="16" t="n">
        <f aca="false">SUM($T34:AC34)</f>
        <v>47.2461595663322</v>
      </c>
      <c r="AT34" s="16" t="n">
        <f aca="false">SUM($T34:AD34)</f>
        <v>52.1976508548888</v>
      </c>
      <c r="AU34" s="16" t="n">
        <f aca="false">SUM($T34:AE34)</f>
        <v>57.2327351806624</v>
      </c>
      <c r="AV34" s="16" t="n">
        <f aca="false">SUM($T34:AF34)</f>
        <v>62.8686026231262</v>
      </c>
      <c r="AW34" s="16" t="n">
        <f aca="false">SUM($T34:AG34)</f>
        <v>67.613864372488</v>
      </c>
      <c r="AX34" s="16" t="n">
        <f aca="false">SUM($T34:AH34)</f>
        <v>72.9007031869615</v>
      </c>
      <c r="AY34" s="16" t="n">
        <f aca="false">SUM($T34:AI34)</f>
        <v>77.7682884723995</v>
      </c>
      <c r="AZ34" s="16" t="n">
        <f aca="false">MAX(C34-AJ34,0)</f>
        <v>63.435126349151</v>
      </c>
      <c r="BA34" s="16" t="n">
        <f aca="false">MAX(C34-AK34,0)</f>
        <v>59.3232759222508</v>
      </c>
      <c r="BB34" s="16" t="n">
        <f aca="false">MAX(C34-AL34,0)</f>
        <v>54.8169628831884</v>
      </c>
      <c r="BC34" s="16" t="n">
        <f aca="false">MAX(C34-AM34,0)</f>
        <v>50.2907600538529</v>
      </c>
      <c r="BD34" s="16" t="n">
        <f aca="false">MAX(C34-AN34,0)</f>
        <v>45.5848962130412</v>
      </c>
      <c r="BE34" s="16" t="n">
        <f aca="false">MAX(C34-AO34,0)</f>
        <v>40.2237102411407</v>
      </c>
      <c r="BF34" s="16" t="n">
        <f aca="false">MAX(C34-AP34,0)</f>
        <v>36.0353037112792</v>
      </c>
      <c r="BG34" s="16" t="n">
        <f aca="false">MAX(C34-AQ34,0)</f>
        <v>31.1592116922005</v>
      </c>
      <c r="BH34" s="16" t="n">
        <f aca="false">MAX(C34-AR34,0)</f>
        <v>26.5009688424767</v>
      </c>
      <c r="BI34" s="16" t="n">
        <f aca="false">MAX(C34-AS34,0)</f>
        <v>21.9701002516842</v>
      </c>
      <c r="BJ34" s="16" t="n">
        <f aca="false">MAX(C34-AT34,0)</f>
        <v>17.0186089631276</v>
      </c>
      <c r="BK34" s="16" t="n">
        <f aca="false">MAX(C34-AU34,0)</f>
        <v>11.983524637354</v>
      </c>
      <c r="BL34" s="16" t="n">
        <f aca="false">MAX(C34-AV34,0)</f>
        <v>6.34765719489019</v>
      </c>
      <c r="BM34" s="16" t="n">
        <f aca="false">MAX(C34-AW34,0)</f>
        <v>1.60239544552839</v>
      </c>
      <c r="BN34" s="16" t="n">
        <f aca="false">MAX(C34-AX34,0)</f>
        <v>0</v>
      </c>
      <c r="BO34" s="16" t="n">
        <f aca="false">MAX(C34-AY34,0)</f>
        <v>0</v>
      </c>
    </row>
    <row r="35" customFormat="false" ht="15" hidden="false" customHeight="false" outlineLevel="0" collapsed="false">
      <c r="A35" s="3" t="n">
        <v>5</v>
      </c>
      <c r="B35" s="15" t="n">
        <f aca="true">RAND()</f>
        <v>0.0568222566861599</v>
      </c>
      <c r="C35" s="16" t="n">
        <f aca="false">LOOKUP(B35,$E$12:$E$17,$A$12:$A$17)+LOOKUP(B35,$E$12:$E$17,$D$12:$D$17)*(B35-LOOKUP(B35,$E$12:$E$17))/LOOKUP(B35,$E$12:$E$17,$C$12:$C$17)</f>
        <v>52.841112834308</v>
      </c>
      <c r="D35" s="15" t="n">
        <f aca="true">RAND()</f>
        <v>0.612751998816076</v>
      </c>
      <c r="E35" s="15" t="n">
        <f aca="true">RAND()</f>
        <v>0.22666475460539</v>
      </c>
      <c r="F35" s="15" t="n">
        <f aca="true">RAND()</f>
        <v>0.0164442218659722</v>
      </c>
      <c r="G35" s="15" t="n">
        <f aca="true">RAND()</f>
        <v>0.489524546379536</v>
      </c>
      <c r="H35" s="15" t="n">
        <f aca="true">RAND()</f>
        <v>0.944215030676983</v>
      </c>
      <c r="I35" s="15" t="n">
        <f aca="true">RAND()</f>
        <v>0.0488657559919939</v>
      </c>
      <c r="J35" s="15" t="n">
        <f aca="true">RAND()</f>
        <v>0.449149052309685</v>
      </c>
      <c r="K35" s="15" t="n">
        <f aca="true">RAND()</f>
        <v>0.767797316491505</v>
      </c>
      <c r="L35" s="15" t="n">
        <f aca="true">RAND()</f>
        <v>0.025403352022271</v>
      </c>
      <c r="M35" s="15" t="n">
        <f aca="true">RAND()</f>
        <v>0.204669256393407</v>
      </c>
      <c r="N35" s="15" t="n">
        <f aca="true">RAND()</f>
        <v>0.919159653791739</v>
      </c>
      <c r="O35" s="15" t="n">
        <f aca="true">RAND()</f>
        <v>0.864686767242524</v>
      </c>
      <c r="P35" s="15" t="n">
        <f aca="true">RAND()</f>
        <v>0.927358315790441</v>
      </c>
      <c r="Q35" s="15" t="n">
        <f aca="true">RAND()</f>
        <v>0.887314470517456</v>
      </c>
      <c r="R35" s="15" t="n">
        <f aca="true">RAND()</f>
        <v>0.461725407661332</v>
      </c>
      <c r="S35" s="15" t="n">
        <f aca="true">RAND()</f>
        <v>0.619694132252327</v>
      </c>
      <c r="T35" s="16" t="n">
        <f aca="false">LOOKUP(D35,$E$23:$E$26,$A$23:$A$26)+LOOKUP(D35,$E$23:$E$26,$D$23:$D$26)*(D35-LOOKUP(D35,$E$23:$E$26))/LOOKUP(D35,$E$23:$E$26,$C$23:$C$26)</f>
        <v>4.89093999852009</v>
      </c>
      <c r="U35" s="16" t="n">
        <f aca="false">LOOKUP(E35,$E$23:$E$26,$A$23:$A$26)+LOOKUP(E35,$E$23:$E$26,$D$23:$D$26)*(E35-LOOKUP(E35,$E$23:$E$26))/LOOKUP(E35,$E$23:$E$26,$C$23:$C$26)</f>
        <v>4.37777459100898</v>
      </c>
      <c r="V35" s="16" t="n">
        <f aca="false">LOOKUP(F35,$E$23:$E$26,$A$23:$A$26)+LOOKUP(F35,$E$23:$E$26,$D$23:$D$26)*(F35-LOOKUP(F35,$E$23:$E$26))/LOOKUP(F35,$E$23:$E$26,$C$23:$C$26)</f>
        <v>4.02740703644329</v>
      </c>
      <c r="W35" s="16" t="n">
        <f aca="false">LOOKUP(G35,$E$23:$E$26,$A$23:$A$26)+LOOKUP(G35,$E$23:$E$26,$D$23:$D$26)*(G35-LOOKUP(G35,$E$23:$E$26))/LOOKUP(G35,$E$23:$E$26,$C$23:$C$26)</f>
        <v>4.73690568297442</v>
      </c>
      <c r="X35" s="16" t="n">
        <f aca="false">LOOKUP(H35,$E$23:$E$26,$A$23:$A$26)+LOOKUP(H35,$E$23:$E$26,$D$23:$D$26)*(H35-LOOKUP(H35,$E$23:$E$26))/LOOKUP(H35,$E$23:$E$26,$C$23:$C$26)</f>
        <v>5.72107515338491</v>
      </c>
      <c r="Y35" s="16" t="n">
        <f aca="false">LOOKUP(I35,$E$23:$E$26,$A$23:$A$26)+LOOKUP(I35,$E$23:$E$26,$D$23:$D$26)*(I35-LOOKUP(I35,$E$23:$E$26))/LOOKUP(I35,$E$23:$E$26,$C$23:$C$26)</f>
        <v>4.08144292665332</v>
      </c>
      <c r="Z35" s="16" t="n">
        <f aca="false">LOOKUP(J35,$E$23:$E$26,$A$23:$A$26)+LOOKUP(J35,$E$23:$E$26,$D$23:$D$26)*(J35-LOOKUP(J35,$E$23:$E$26))/LOOKUP(J35,$E$23:$E$26,$C$23:$C$26)</f>
        <v>4.68643631538711</v>
      </c>
      <c r="AA35" s="16" t="n">
        <f aca="false">LOOKUP(K35,$E$23:$E$26,$A$23:$A$26)+LOOKUP(K35,$E$23:$E$26,$D$23:$D$26)*(K35-LOOKUP(K35,$E$23:$E$26))/LOOKUP(K35,$E$23:$E$26,$C$23:$C$26)</f>
        <v>5.16949329122876</v>
      </c>
      <c r="AB35" s="16" t="n">
        <f aca="false">LOOKUP(L35,$E$23:$E$26,$A$23:$A$26)+LOOKUP(L35,$E$23:$E$26,$D$23:$D$26)*(L35-LOOKUP(L35,$E$23:$E$26))/LOOKUP(L35,$E$23:$E$26,$C$23:$C$26)</f>
        <v>4.04233892003712</v>
      </c>
      <c r="AC35" s="16" t="n">
        <f aca="false">LOOKUP(M35,$E$23:$E$26,$A$23:$A$26)+LOOKUP(M35,$E$23:$E$26,$D$23:$D$26)*(M35-LOOKUP(M35,$E$23:$E$26))/LOOKUP(M35,$E$23:$E$26,$C$23:$C$26)</f>
        <v>4.34111542732235</v>
      </c>
      <c r="AD35" s="16" t="n">
        <f aca="false">LOOKUP(N35,$E$23:$E$26,$A$23:$A$26)+LOOKUP(N35,$E$23:$E$26,$D$23:$D$26)*(N35-LOOKUP(N35,$E$23:$E$26))/LOOKUP(N35,$E$23:$E$26,$C$23:$C$26)</f>
        <v>5.5957982689587</v>
      </c>
      <c r="AE35" s="16" t="n">
        <f aca="false">LOOKUP(O35,$E$23:$E$26,$A$23:$A$26)+LOOKUP(O35,$E$23:$E$26,$D$23:$D$26)*(O35-LOOKUP(O35,$E$23:$E$26))/LOOKUP(O35,$E$23:$E$26,$C$23:$C$26)</f>
        <v>5.41171691810631</v>
      </c>
      <c r="AF35" s="16" t="n">
        <f aca="false">LOOKUP(P35,$E$23:$E$26,$A$23:$A$26)+LOOKUP(P35,$E$23:$E$26,$D$23:$D$26)*(P35-LOOKUP(P35,$E$23:$E$26))/LOOKUP(P35,$E$23:$E$26,$C$23:$C$26)</f>
        <v>5.63679157895221</v>
      </c>
      <c r="AG35" s="16" t="n">
        <f aca="false">LOOKUP(Q35,$E$23:$E$26,$A$23:$A$26)+LOOKUP(Q35,$E$23:$E$26,$D$23:$D$26)*(Q35-LOOKUP(Q35,$E$23:$E$26))/LOOKUP(Q35,$E$23:$E$26,$C$23:$C$26)</f>
        <v>5.46828617629364</v>
      </c>
      <c r="AH35" s="16" t="n">
        <f aca="false">LOOKUP(R35,$E$23:$E$26,$A$23:$A$26)+LOOKUP(R35,$E$23:$E$26,$D$23:$D$26)*(R35-LOOKUP(R35,$E$23:$E$26))/LOOKUP(R35,$E$23:$E$26,$C$23:$C$26)</f>
        <v>4.70215675957667</v>
      </c>
      <c r="AI35" s="16" t="n">
        <f aca="false">LOOKUP(S35,$E$23:$E$26,$A$23:$A$26)+LOOKUP(S35,$E$23:$E$26,$D$23:$D$26)*(S35-LOOKUP(S35,$E$23:$E$26))/LOOKUP(S35,$E$23:$E$26,$C$23:$C$26)</f>
        <v>4.89961766531541</v>
      </c>
      <c r="AJ35" s="16" t="n">
        <f aca="false">SUM($T35:T35)</f>
        <v>4.89093999852009</v>
      </c>
      <c r="AK35" s="16" t="n">
        <f aca="false">SUM($T35:U35)</f>
        <v>9.26871458952908</v>
      </c>
      <c r="AL35" s="16" t="n">
        <f aca="false">SUM($T35:V35)</f>
        <v>13.2961216259724</v>
      </c>
      <c r="AM35" s="16" t="n">
        <f aca="false">SUM($T35:W35)</f>
        <v>18.0330273089468</v>
      </c>
      <c r="AN35" s="16" t="n">
        <f aca="false">SUM($T35:X35)</f>
        <v>23.7541024623317</v>
      </c>
      <c r="AO35" s="16" t="n">
        <f aca="false">SUM($T35:Y35)</f>
        <v>27.835545388985</v>
      </c>
      <c r="AP35" s="16" t="n">
        <f aca="false">SUM($T35:Z35)</f>
        <v>32.5219817043721</v>
      </c>
      <c r="AQ35" s="16" t="n">
        <f aca="false">SUM($T35:AA35)</f>
        <v>37.6914749956009</v>
      </c>
      <c r="AR35" s="16" t="n">
        <f aca="false">SUM($T35:AB35)</f>
        <v>41.733813915638</v>
      </c>
      <c r="AS35" s="16" t="n">
        <f aca="false">SUM($T35:AC35)</f>
        <v>46.0749293429604</v>
      </c>
      <c r="AT35" s="16" t="n">
        <f aca="false">SUM($T35:AD35)</f>
        <v>51.6707276119191</v>
      </c>
      <c r="AU35" s="16" t="n">
        <f aca="false">SUM($T35:AE35)</f>
        <v>57.0824445300254</v>
      </c>
      <c r="AV35" s="16" t="n">
        <f aca="false">SUM($T35:AF35)</f>
        <v>62.7192361089776</v>
      </c>
      <c r="AW35" s="16" t="n">
        <f aca="false">SUM($T35:AG35)</f>
        <v>68.1875222852712</v>
      </c>
      <c r="AX35" s="16" t="n">
        <f aca="false">SUM($T35:AH35)</f>
        <v>72.8896790448479</v>
      </c>
      <c r="AY35" s="16" t="n">
        <f aca="false">SUM($T35:AI35)</f>
        <v>77.7892967101633</v>
      </c>
      <c r="AZ35" s="16" t="n">
        <f aca="false">MAX(C35-AJ35,0)</f>
        <v>47.9501728357879</v>
      </c>
      <c r="BA35" s="16" t="n">
        <f aca="false">MAX(C35-AK35,0)</f>
        <v>43.5723982447789</v>
      </c>
      <c r="BB35" s="16" t="n">
        <f aca="false">MAX(C35-AL35,0)</f>
        <v>39.5449912083356</v>
      </c>
      <c r="BC35" s="16" t="n">
        <f aca="false">MAX(C35-AM35,0)</f>
        <v>34.8080855253612</v>
      </c>
      <c r="BD35" s="16" t="n">
        <f aca="false">MAX(C35-AN35,0)</f>
        <v>29.0870103719763</v>
      </c>
      <c r="BE35" s="16" t="n">
        <f aca="false">MAX(C35-AO35,0)</f>
        <v>25.005567445323</v>
      </c>
      <c r="BF35" s="16" t="n">
        <f aca="false">MAX(C35-AP35,0)</f>
        <v>20.3191311299359</v>
      </c>
      <c r="BG35" s="16" t="n">
        <f aca="false">MAX(C35-AQ35,0)</f>
        <v>15.1496378387071</v>
      </c>
      <c r="BH35" s="16" t="n">
        <f aca="false">MAX(C35-AR35,0)</f>
        <v>11.10729891867</v>
      </c>
      <c r="BI35" s="16" t="n">
        <f aca="false">MAX(C35-AS35,0)</f>
        <v>6.76618349134765</v>
      </c>
      <c r="BJ35" s="16" t="n">
        <f aca="false">MAX(C35-AT35,0)</f>
        <v>1.17038522238894</v>
      </c>
      <c r="BK35" s="16" t="n">
        <f aca="false">MAX(C35-AU35,0)</f>
        <v>0</v>
      </c>
      <c r="BL35" s="16" t="n">
        <f aca="false">MAX(C35-AV35,0)</f>
        <v>0</v>
      </c>
      <c r="BM35" s="16" t="n">
        <f aca="false">MAX(C35-AW35,0)</f>
        <v>0</v>
      </c>
      <c r="BN35" s="16" t="n">
        <f aca="false">MAX(C35-AX35,0)</f>
        <v>0</v>
      </c>
      <c r="BO35" s="16" t="n">
        <f aca="false">MAX(C35-AY35,0)</f>
        <v>0</v>
      </c>
    </row>
    <row r="36" customFormat="false" ht="15" hidden="false" customHeight="false" outlineLevel="0" collapsed="false">
      <c r="A36" s="3" t="n">
        <v>6</v>
      </c>
      <c r="B36" s="15" t="n">
        <f aca="true">RAND()</f>
        <v>0.549998317712487</v>
      </c>
      <c r="C36" s="16" t="n">
        <f aca="false">LOOKUP(B36,$E$12:$E$17,$A$12:$A$17)+LOOKUP(B36,$E$12:$E$17,$D$12:$D$17)*(B36-LOOKUP(B36,$E$12:$E$17))/LOOKUP(B36,$E$12:$E$17,$C$12:$C$17)</f>
        <v>64.9999719618748</v>
      </c>
      <c r="D36" s="15" t="n">
        <f aca="true">RAND()</f>
        <v>0.886411711009588</v>
      </c>
      <c r="E36" s="15" t="n">
        <f aca="true">RAND()</f>
        <v>0.500365921715187</v>
      </c>
      <c r="F36" s="15" t="n">
        <f aca="true">RAND()</f>
        <v>0.282210190340863</v>
      </c>
      <c r="G36" s="15" t="n">
        <f aca="true">RAND()</f>
        <v>0.67329321433942</v>
      </c>
      <c r="H36" s="15" t="n">
        <f aca="true">RAND()</f>
        <v>0.490595868452713</v>
      </c>
      <c r="I36" s="15" t="n">
        <f aca="true">RAND()</f>
        <v>0.840959264016244</v>
      </c>
      <c r="J36" s="15" t="n">
        <f aca="true">RAND()</f>
        <v>0.443504243378166</v>
      </c>
      <c r="K36" s="15" t="n">
        <f aca="true">RAND()</f>
        <v>0.241865755963583</v>
      </c>
      <c r="L36" s="15" t="n">
        <f aca="true">RAND()</f>
        <v>0.547325631293476</v>
      </c>
      <c r="M36" s="15" t="n">
        <f aca="true">RAND()</f>
        <v>0.000393952722241048</v>
      </c>
      <c r="N36" s="15" t="n">
        <f aca="true">RAND()</f>
        <v>0.372533098395726</v>
      </c>
      <c r="O36" s="15" t="n">
        <f aca="true">RAND()</f>
        <v>0.200753046555761</v>
      </c>
      <c r="P36" s="15" t="n">
        <f aca="true">RAND()</f>
        <v>0.745752619916116</v>
      </c>
      <c r="Q36" s="15" t="n">
        <f aca="true">RAND()</f>
        <v>0.514070509734756</v>
      </c>
      <c r="R36" s="15" t="n">
        <f aca="true">RAND()</f>
        <v>0.935538033766779</v>
      </c>
      <c r="S36" s="15" t="n">
        <f aca="true">RAND()</f>
        <v>0.161963905244953</v>
      </c>
      <c r="T36" s="16" t="n">
        <f aca="false">LOOKUP(D36,$E$23:$E$26,$A$23:$A$26)+LOOKUP(D36,$E$23:$E$26,$D$23:$D$26)*(D36-LOOKUP(D36,$E$23:$E$26))/LOOKUP(D36,$E$23:$E$26,$C$23:$C$26)</f>
        <v>5.46602927752397</v>
      </c>
      <c r="U36" s="16" t="n">
        <f aca="false">LOOKUP(E36,$E$23:$E$26,$A$23:$A$26)+LOOKUP(E36,$E$23:$E$26,$D$23:$D$26)*(E36-LOOKUP(E36,$E$23:$E$26))/LOOKUP(E36,$E$23:$E$26,$C$23:$C$26)</f>
        <v>4.75045740214398</v>
      </c>
      <c r="V36" s="16" t="n">
        <f aca="false">LOOKUP(F36,$E$23:$E$26,$A$23:$A$26)+LOOKUP(F36,$E$23:$E$26,$D$23:$D$26)*(F36-LOOKUP(F36,$E$23:$E$26))/LOOKUP(F36,$E$23:$E$26,$C$23:$C$26)</f>
        <v>4.47035031723477</v>
      </c>
      <c r="W36" s="16" t="n">
        <f aca="false">LOOKUP(G36,$E$23:$E$26,$A$23:$A$26)+LOOKUP(G36,$E$23:$E$26,$D$23:$D$26)*(G36-LOOKUP(G36,$E$23:$E$26))/LOOKUP(G36,$E$23:$E$26,$C$23:$C$26)</f>
        <v>4.96661651792428</v>
      </c>
      <c r="X36" s="16" t="n">
        <f aca="false">LOOKUP(H36,$E$23:$E$26,$A$23:$A$26)+LOOKUP(H36,$E$23:$E$26,$D$23:$D$26)*(H36-LOOKUP(H36,$E$23:$E$26))/LOOKUP(H36,$E$23:$E$26,$C$23:$C$26)</f>
        <v>4.73824483556589</v>
      </c>
      <c r="Y36" s="16" t="n">
        <f aca="false">LOOKUP(I36,$E$23:$E$26,$A$23:$A$26)+LOOKUP(I36,$E$23:$E$26,$D$23:$D$26)*(I36-LOOKUP(I36,$E$23:$E$26))/LOOKUP(I36,$E$23:$E$26,$C$23:$C$26)</f>
        <v>5.35239816004061</v>
      </c>
      <c r="Z36" s="16" t="n">
        <f aca="false">LOOKUP(J36,$E$23:$E$26,$A$23:$A$26)+LOOKUP(J36,$E$23:$E$26,$D$23:$D$26)*(J36-LOOKUP(J36,$E$23:$E$26))/LOOKUP(J36,$E$23:$E$26,$C$23:$C$26)</f>
        <v>4.67938030422271</v>
      </c>
      <c r="AA36" s="16" t="n">
        <f aca="false">LOOKUP(K36,$E$23:$E$26,$A$23:$A$26)+LOOKUP(K36,$E$23:$E$26,$D$23:$D$26)*(K36-LOOKUP(K36,$E$23:$E$26))/LOOKUP(K36,$E$23:$E$26,$C$23:$C$26)</f>
        <v>4.40310959327264</v>
      </c>
      <c r="AB36" s="16" t="n">
        <f aca="false">LOOKUP(L36,$E$23:$E$26,$A$23:$A$26)+LOOKUP(L36,$E$23:$E$26,$D$23:$D$26)*(L36-LOOKUP(L36,$E$23:$E$26))/LOOKUP(L36,$E$23:$E$26,$C$23:$C$26)</f>
        <v>4.80915703911685</v>
      </c>
      <c r="AC36" s="16" t="n">
        <f aca="false">LOOKUP(M36,$E$23:$E$26,$A$23:$A$26)+LOOKUP(M36,$E$23:$E$26,$D$23:$D$26)*(M36-LOOKUP(M36,$E$23:$E$26))/LOOKUP(M36,$E$23:$E$26,$C$23:$C$26)</f>
        <v>4.0006565878704</v>
      </c>
      <c r="AD36" s="16" t="n">
        <f aca="false">LOOKUP(N36,$E$23:$E$26,$A$23:$A$26)+LOOKUP(N36,$E$23:$E$26,$D$23:$D$26)*(N36-LOOKUP(N36,$E$23:$E$26))/LOOKUP(N36,$E$23:$E$26,$C$23:$C$26)</f>
        <v>4.59066637299466</v>
      </c>
      <c r="AE36" s="16" t="n">
        <f aca="false">LOOKUP(O36,$E$23:$E$26,$A$23:$A$26)+LOOKUP(O36,$E$23:$E$26,$D$23:$D$26)*(O36-LOOKUP(O36,$E$23:$E$26))/LOOKUP(O36,$E$23:$E$26,$C$23:$C$26)</f>
        <v>4.33458841092627</v>
      </c>
      <c r="AF36" s="16" t="n">
        <f aca="false">LOOKUP(P36,$E$23:$E$26,$A$23:$A$26)+LOOKUP(P36,$E$23:$E$26,$D$23:$D$26)*(P36-LOOKUP(P36,$E$23:$E$26))/LOOKUP(P36,$E$23:$E$26,$C$23:$C$26)</f>
        <v>5.11438154979029</v>
      </c>
      <c r="AG36" s="16" t="n">
        <f aca="false">LOOKUP(Q36,$E$23:$E$26,$A$23:$A$26)+LOOKUP(Q36,$E$23:$E$26,$D$23:$D$26)*(Q36-LOOKUP(Q36,$E$23:$E$26))/LOOKUP(Q36,$E$23:$E$26,$C$23:$C$26)</f>
        <v>4.76758813716845</v>
      </c>
      <c r="AH36" s="16" t="n">
        <f aca="false">LOOKUP(R36,$E$23:$E$26,$A$23:$A$26)+LOOKUP(R36,$E$23:$E$26,$D$23:$D$26)*(R36-LOOKUP(R36,$E$23:$E$26))/LOOKUP(R36,$E$23:$E$26,$C$23:$C$26)</f>
        <v>5.6776901688339</v>
      </c>
      <c r="AI36" s="16" t="n">
        <f aca="false">LOOKUP(S36,$E$23:$E$26,$A$23:$A$26)+LOOKUP(S36,$E$23:$E$26,$D$23:$D$26)*(S36-LOOKUP(S36,$E$23:$E$26))/LOOKUP(S36,$E$23:$E$26,$C$23:$C$26)</f>
        <v>4.26993984207492</v>
      </c>
      <c r="AJ36" s="16" t="n">
        <f aca="false">SUM($T36:T36)</f>
        <v>5.46602927752397</v>
      </c>
      <c r="AK36" s="16" t="n">
        <f aca="false">SUM($T36:U36)</f>
        <v>10.216486679668</v>
      </c>
      <c r="AL36" s="16" t="n">
        <f aca="false">SUM($T36:V36)</f>
        <v>14.6868369969027</v>
      </c>
      <c r="AM36" s="16" t="n">
        <f aca="false">SUM($T36:W36)</f>
        <v>19.653453514827</v>
      </c>
      <c r="AN36" s="16" t="n">
        <f aca="false">SUM($T36:X36)</f>
        <v>24.3916983503929</v>
      </c>
      <c r="AO36" s="16" t="n">
        <f aca="false">SUM($T36:Y36)</f>
        <v>29.7440965104335</v>
      </c>
      <c r="AP36" s="16" t="n">
        <f aca="false">SUM($T36:Z36)</f>
        <v>34.4234768146562</v>
      </c>
      <c r="AQ36" s="16" t="n">
        <f aca="false">SUM($T36:AA36)</f>
        <v>38.8265864079289</v>
      </c>
      <c r="AR36" s="16" t="n">
        <f aca="false">SUM($T36:AB36)</f>
        <v>43.6357434470457</v>
      </c>
      <c r="AS36" s="16" t="n">
        <f aca="false">SUM($T36:AC36)</f>
        <v>47.6364000349161</v>
      </c>
      <c r="AT36" s="16" t="n">
        <f aca="false">SUM($T36:AD36)</f>
        <v>52.2270664079108</v>
      </c>
      <c r="AU36" s="16" t="n">
        <f aca="false">SUM($T36:AE36)</f>
        <v>56.561654818837</v>
      </c>
      <c r="AV36" s="16" t="n">
        <f aca="false">SUM($T36:AF36)</f>
        <v>61.6760363686273</v>
      </c>
      <c r="AW36" s="16" t="n">
        <f aca="false">SUM($T36:AG36)</f>
        <v>66.4436245057958</v>
      </c>
      <c r="AX36" s="16" t="n">
        <f aca="false">SUM($T36:AH36)</f>
        <v>72.1213146746296</v>
      </c>
      <c r="AY36" s="16" t="n">
        <f aca="false">SUM($T36:AI36)</f>
        <v>76.3912545167046</v>
      </c>
      <c r="AZ36" s="16" t="n">
        <f aca="false">MAX(C36-AJ36,0)</f>
        <v>59.5339426843508</v>
      </c>
      <c r="BA36" s="16" t="n">
        <f aca="false">MAX(C36-AK36,0)</f>
        <v>54.7834852822068</v>
      </c>
      <c r="BB36" s="16" t="n">
        <f aca="false">MAX(C36-AL36,0)</f>
        <v>50.3131349649721</v>
      </c>
      <c r="BC36" s="16" t="n">
        <f aca="false">MAX(C36-AM36,0)</f>
        <v>45.3465184470478</v>
      </c>
      <c r="BD36" s="16" t="n">
        <f aca="false">MAX(C36-AN36,0)</f>
        <v>40.6082736114819</v>
      </c>
      <c r="BE36" s="16" t="n">
        <f aca="false">MAX(C36-AO36,0)</f>
        <v>35.2558754514413</v>
      </c>
      <c r="BF36" s="16" t="n">
        <f aca="false">MAX(C36-AP36,0)</f>
        <v>30.5764951472186</v>
      </c>
      <c r="BG36" s="16" t="n">
        <f aca="false">MAX(C36-AQ36,0)</f>
        <v>26.1733855539459</v>
      </c>
      <c r="BH36" s="16" t="n">
        <f aca="false">MAX(C36-AR36,0)</f>
        <v>21.3642285148291</v>
      </c>
      <c r="BI36" s="16" t="n">
        <f aca="false">MAX(C36-AS36,0)</f>
        <v>17.3635719269587</v>
      </c>
      <c r="BJ36" s="16" t="n">
        <f aca="false">MAX(C36-AT36,0)</f>
        <v>12.772905553964</v>
      </c>
      <c r="BK36" s="16" t="n">
        <f aca="false">MAX(C36-AU36,0)</f>
        <v>8.43831714303777</v>
      </c>
      <c r="BL36" s="16" t="n">
        <f aca="false">MAX(C36-AV36,0)</f>
        <v>3.32393559324748</v>
      </c>
      <c r="BM36" s="16" t="n">
        <f aca="false">MAX(C36-AW36,0)</f>
        <v>0</v>
      </c>
      <c r="BN36" s="16" t="n">
        <f aca="false">MAX(C36-AX36,0)</f>
        <v>0</v>
      </c>
      <c r="BO36" s="16" t="n">
        <f aca="false">MAX(C36-AY36,0)</f>
        <v>0</v>
      </c>
    </row>
    <row r="37" customFormat="false" ht="15" hidden="false" customHeight="false" outlineLevel="0" collapsed="false">
      <c r="A37" s="3" t="n">
        <v>7</v>
      </c>
      <c r="B37" s="15" t="n">
        <f aca="true">RAND()</f>
        <v>0.0717950378274105</v>
      </c>
      <c r="C37" s="16" t="n">
        <f aca="false">LOOKUP(B37,$E$12:$E$17,$A$12:$A$17)+LOOKUP(B37,$E$12:$E$17,$D$12:$D$17)*(B37-LOOKUP(B37,$E$12:$E$17))/LOOKUP(B37,$E$12:$E$17,$C$12:$C$17)</f>
        <v>53.5897518913705</v>
      </c>
      <c r="D37" s="15" t="n">
        <f aca="true">RAND()</f>
        <v>0.870759073733964</v>
      </c>
      <c r="E37" s="15" t="n">
        <f aca="true">RAND()</f>
        <v>0.287828380847687</v>
      </c>
      <c r="F37" s="15" t="n">
        <f aca="true">RAND()</f>
        <v>0.429406543149747</v>
      </c>
      <c r="G37" s="15" t="n">
        <f aca="true">RAND()</f>
        <v>0.32872658784549</v>
      </c>
      <c r="H37" s="15" t="n">
        <f aca="true">RAND()</f>
        <v>0.910414564355256</v>
      </c>
      <c r="I37" s="15" t="n">
        <f aca="true">RAND()</f>
        <v>0.918076048446249</v>
      </c>
      <c r="J37" s="15" t="n">
        <f aca="true">RAND()</f>
        <v>0.693377489092053</v>
      </c>
      <c r="K37" s="15" t="n">
        <f aca="true">RAND()</f>
        <v>0.554167622318562</v>
      </c>
      <c r="L37" s="15" t="n">
        <f aca="true">RAND()</f>
        <v>0.361809133031647</v>
      </c>
      <c r="M37" s="15" t="n">
        <f aca="true">RAND()</f>
        <v>0.295679802220139</v>
      </c>
      <c r="N37" s="15" t="n">
        <f aca="true">RAND()</f>
        <v>0.156470963746312</v>
      </c>
      <c r="O37" s="15" t="n">
        <f aca="true">RAND()</f>
        <v>0.53576903551436</v>
      </c>
      <c r="P37" s="15" t="n">
        <f aca="true">RAND()</f>
        <v>0.0437201524637112</v>
      </c>
      <c r="Q37" s="15" t="n">
        <f aca="true">RAND()</f>
        <v>0.752659556455208</v>
      </c>
      <c r="R37" s="15" t="n">
        <f aca="true">RAND()</f>
        <v>0.658136306993028</v>
      </c>
      <c r="S37" s="15" t="n">
        <f aca="true">RAND()</f>
        <v>0.207785547893722</v>
      </c>
      <c r="T37" s="16" t="n">
        <f aca="false">LOOKUP(D37,$E$23:$E$26,$A$23:$A$26)+LOOKUP(D37,$E$23:$E$26,$D$23:$D$26)*(D37-LOOKUP(D37,$E$23:$E$26))/LOOKUP(D37,$E$23:$E$26,$C$23:$C$26)</f>
        <v>5.42689768433491</v>
      </c>
      <c r="U37" s="16" t="n">
        <f aca="false">LOOKUP(E37,$E$23:$E$26,$A$23:$A$26)+LOOKUP(E37,$E$23:$E$26,$D$23:$D$26)*(E37-LOOKUP(E37,$E$23:$E$26))/LOOKUP(E37,$E$23:$E$26,$C$23:$C$26)</f>
        <v>4.47971396807948</v>
      </c>
      <c r="V37" s="16" t="n">
        <f aca="false">LOOKUP(F37,$E$23:$E$26,$A$23:$A$26)+LOOKUP(F37,$E$23:$E$26,$D$23:$D$26)*(F37-LOOKUP(F37,$E$23:$E$26))/LOOKUP(F37,$E$23:$E$26,$C$23:$C$26)</f>
        <v>4.66175817893718</v>
      </c>
      <c r="W37" s="16" t="n">
        <f aca="false">LOOKUP(G37,$E$23:$E$26,$A$23:$A$26)+LOOKUP(G37,$E$23:$E$26,$D$23:$D$26)*(G37-LOOKUP(G37,$E$23:$E$26))/LOOKUP(G37,$E$23:$E$26,$C$23:$C$26)</f>
        <v>4.53590823480686</v>
      </c>
      <c r="X37" s="16" t="n">
        <f aca="false">LOOKUP(H37,$E$23:$E$26,$A$23:$A$26)+LOOKUP(H37,$E$23:$E$26,$D$23:$D$26)*(H37-LOOKUP(H37,$E$23:$E$26))/LOOKUP(H37,$E$23:$E$26,$C$23:$C$26)</f>
        <v>5.55207282177628</v>
      </c>
      <c r="Y37" s="16" t="n">
        <f aca="false">LOOKUP(I37,$E$23:$E$26,$A$23:$A$26)+LOOKUP(I37,$E$23:$E$26,$D$23:$D$26)*(I37-LOOKUP(I37,$E$23:$E$26))/LOOKUP(I37,$E$23:$E$26,$C$23:$C$26)</f>
        <v>5.59038024223124</v>
      </c>
      <c r="Z37" s="16" t="n">
        <f aca="false">LOOKUP(J37,$E$23:$E$26,$A$23:$A$26)+LOOKUP(J37,$E$23:$E$26,$D$23:$D$26)*(J37-LOOKUP(J37,$E$23:$E$26))/LOOKUP(J37,$E$23:$E$26,$C$23:$C$26)</f>
        <v>4.99172186136507</v>
      </c>
      <c r="AA37" s="16" t="n">
        <f aca="false">LOOKUP(K37,$E$23:$E$26,$A$23:$A$26)+LOOKUP(K37,$E$23:$E$26,$D$23:$D$26)*(K37-LOOKUP(K37,$E$23:$E$26))/LOOKUP(K37,$E$23:$E$26,$C$23:$C$26)</f>
        <v>4.8177095278982</v>
      </c>
      <c r="AB37" s="16" t="n">
        <f aca="false">LOOKUP(L37,$E$23:$E$26,$A$23:$A$26)+LOOKUP(L37,$E$23:$E$26,$D$23:$D$26)*(L37-LOOKUP(L37,$E$23:$E$26))/LOOKUP(L37,$E$23:$E$26,$C$23:$C$26)</f>
        <v>4.57726141628956</v>
      </c>
      <c r="AC37" s="16" t="n">
        <f aca="false">LOOKUP(M37,$E$23:$E$26,$A$23:$A$26)+LOOKUP(M37,$E$23:$E$26,$D$23:$D$26)*(M37-LOOKUP(M37,$E$23:$E$26))/LOOKUP(M37,$E$23:$E$26,$C$23:$C$26)</f>
        <v>4.4927996703669</v>
      </c>
      <c r="AD37" s="16" t="n">
        <f aca="false">LOOKUP(N37,$E$23:$E$26,$A$23:$A$26)+LOOKUP(N37,$E$23:$E$26,$D$23:$D$26)*(N37-LOOKUP(N37,$E$23:$E$26))/LOOKUP(N37,$E$23:$E$26,$C$23:$C$26)</f>
        <v>4.26078493957719</v>
      </c>
      <c r="AE37" s="16" t="n">
        <f aca="false">LOOKUP(O37,$E$23:$E$26,$A$23:$A$26)+LOOKUP(O37,$E$23:$E$26,$D$23:$D$26)*(O37-LOOKUP(O37,$E$23:$E$26))/LOOKUP(O37,$E$23:$E$26,$C$23:$C$26)</f>
        <v>4.79471129439295</v>
      </c>
      <c r="AF37" s="16" t="n">
        <f aca="false">LOOKUP(P37,$E$23:$E$26,$A$23:$A$26)+LOOKUP(P37,$E$23:$E$26,$D$23:$D$26)*(P37-LOOKUP(P37,$E$23:$E$26))/LOOKUP(P37,$E$23:$E$26,$C$23:$C$26)</f>
        <v>4.07286692077285</v>
      </c>
      <c r="AG37" s="16" t="n">
        <f aca="false">LOOKUP(Q37,$E$23:$E$26,$A$23:$A$26)+LOOKUP(Q37,$E$23:$E$26,$D$23:$D$26)*(Q37-LOOKUP(Q37,$E$23:$E$26))/LOOKUP(Q37,$E$23:$E$26,$C$23:$C$26)</f>
        <v>5.13164889113802</v>
      </c>
      <c r="AH37" s="16" t="n">
        <f aca="false">LOOKUP(R37,$E$23:$E$26,$A$23:$A$26)+LOOKUP(R37,$E$23:$E$26,$D$23:$D$26)*(R37-LOOKUP(R37,$E$23:$E$26))/LOOKUP(R37,$E$23:$E$26,$C$23:$C$26)</f>
        <v>4.94767038374129</v>
      </c>
      <c r="AI37" s="16" t="n">
        <f aca="false">LOOKUP(S37,$E$23:$E$26,$A$23:$A$26)+LOOKUP(S37,$E$23:$E$26,$D$23:$D$26)*(S37-LOOKUP(S37,$E$23:$E$26))/LOOKUP(S37,$E$23:$E$26,$C$23:$C$26)</f>
        <v>4.34630924648954</v>
      </c>
      <c r="AJ37" s="16" t="n">
        <f aca="false">SUM($T37:T37)</f>
        <v>5.42689768433491</v>
      </c>
      <c r="AK37" s="16" t="n">
        <f aca="false">SUM($T37:U37)</f>
        <v>9.90661165241439</v>
      </c>
      <c r="AL37" s="16" t="n">
        <f aca="false">SUM($T37:V37)</f>
        <v>14.5683698313516</v>
      </c>
      <c r="AM37" s="16" t="n">
        <f aca="false">SUM($T37:W37)</f>
        <v>19.1042780661584</v>
      </c>
      <c r="AN37" s="16" t="n">
        <f aca="false">SUM($T37:X37)</f>
        <v>24.6563508879347</v>
      </c>
      <c r="AO37" s="16" t="n">
        <f aca="false">SUM($T37:Y37)</f>
        <v>30.246731130166</v>
      </c>
      <c r="AP37" s="16" t="n">
        <f aca="false">SUM($T37:Z37)</f>
        <v>35.238452991531</v>
      </c>
      <c r="AQ37" s="16" t="n">
        <f aca="false">SUM($T37:AA37)</f>
        <v>40.0561625194292</v>
      </c>
      <c r="AR37" s="16" t="n">
        <f aca="false">SUM($T37:AB37)</f>
        <v>44.6334239357188</v>
      </c>
      <c r="AS37" s="16" t="n">
        <f aca="false">SUM($T37:AC37)</f>
        <v>49.1262236060857</v>
      </c>
      <c r="AT37" s="16" t="n">
        <f aca="false">SUM($T37:AD37)</f>
        <v>53.3870085456629</v>
      </c>
      <c r="AU37" s="16" t="n">
        <f aca="false">SUM($T37:AE37)</f>
        <v>58.1817198400558</v>
      </c>
      <c r="AV37" s="16" t="n">
        <f aca="false">SUM($T37:AF37)</f>
        <v>62.2545867608287</v>
      </c>
      <c r="AW37" s="16" t="n">
        <f aca="false">SUM($T37:AG37)</f>
        <v>67.3862356519667</v>
      </c>
      <c r="AX37" s="16" t="n">
        <f aca="false">SUM($T37:AH37)</f>
        <v>72.333906035708</v>
      </c>
      <c r="AY37" s="16" t="n">
        <f aca="false">SUM($T37:AI37)</f>
        <v>76.6802152821975</v>
      </c>
      <c r="AZ37" s="16" t="n">
        <f aca="false">MAX(C37-AJ37,0)</f>
        <v>48.1628542070356</v>
      </c>
      <c r="BA37" s="16" t="n">
        <f aca="false">MAX(C37-AK37,0)</f>
        <v>43.6831402389561</v>
      </c>
      <c r="BB37" s="16" t="n">
        <f aca="false">MAX(C37-AL37,0)</f>
        <v>39.021382060019</v>
      </c>
      <c r="BC37" s="16" t="n">
        <f aca="false">MAX(C37-AM37,0)</f>
        <v>34.4854738252121</v>
      </c>
      <c r="BD37" s="16" t="n">
        <f aca="false">MAX(C37-AN37,0)</f>
        <v>28.9334010034358</v>
      </c>
      <c r="BE37" s="16" t="n">
        <f aca="false">MAX(C37-AO37,0)</f>
        <v>23.3430207612046</v>
      </c>
      <c r="BF37" s="16" t="n">
        <f aca="false">MAX(C37-AP37,0)</f>
        <v>18.3512988998395</v>
      </c>
      <c r="BG37" s="16" t="n">
        <f aca="false">MAX(C37-AQ37,0)</f>
        <v>13.5335893719413</v>
      </c>
      <c r="BH37" s="16" t="n">
        <f aca="false">MAX(C37-AR37,0)</f>
        <v>8.95632795565174</v>
      </c>
      <c r="BI37" s="16" t="n">
        <f aca="false">MAX(C37-AS37,0)</f>
        <v>4.46352828528484</v>
      </c>
      <c r="BJ37" s="16" t="n">
        <f aca="false">MAX(C37-AT37,0)</f>
        <v>0.202743345707653</v>
      </c>
      <c r="BK37" s="16" t="n">
        <f aca="false">MAX(C37-AU37,0)</f>
        <v>0</v>
      </c>
      <c r="BL37" s="16" t="n">
        <f aca="false">MAX(C37-AV37,0)</f>
        <v>0</v>
      </c>
      <c r="BM37" s="16" t="n">
        <f aca="false">MAX(C37-AW37,0)</f>
        <v>0</v>
      </c>
      <c r="BN37" s="16" t="n">
        <f aca="false">MAX(C37-AX37,0)</f>
        <v>0</v>
      </c>
      <c r="BO37" s="16" t="n">
        <f aca="false">MAX(C37-AY37,0)</f>
        <v>0</v>
      </c>
    </row>
    <row r="38" customFormat="false" ht="15" hidden="false" customHeight="false" outlineLevel="0" collapsed="false">
      <c r="A38" s="3" t="n">
        <v>8</v>
      </c>
      <c r="B38" s="15" t="n">
        <f aca="true">RAND()</f>
        <v>0.374220340556271</v>
      </c>
      <c r="C38" s="16" t="n">
        <f aca="false">LOOKUP(B38,$E$12:$E$17,$A$12:$A$17)+LOOKUP(B38,$E$12:$E$17,$D$12:$D$17)*(B38-LOOKUP(B38,$E$12:$E$17))/LOOKUP(B38,$E$12:$E$17,$C$12:$C$17)</f>
        <v>62.0703390092712</v>
      </c>
      <c r="D38" s="15" t="n">
        <f aca="true">RAND()</f>
        <v>0.972466402994075</v>
      </c>
      <c r="E38" s="15" t="n">
        <f aca="true">RAND()</f>
        <v>0.181723834783037</v>
      </c>
      <c r="F38" s="15" t="n">
        <f aca="true">RAND()</f>
        <v>0.238778236647645</v>
      </c>
      <c r="G38" s="15" t="n">
        <f aca="true">RAND()</f>
        <v>0.770933734387388</v>
      </c>
      <c r="H38" s="15" t="n">
        <f aca="true">RAND()</f>
        <v>0.887906250737603</v>
      </c>
      <c r="I38" s="15" t="n">
        <f aca="true">RAND()</f>
        <v>0.350203621884431</v>
      </c>
      <c r="J38" s="15" t="n">
        <f aca="true">RAND()</f>
        <v>0.836792640041331</v>
      </c>
      <c r="K38" s="15" t="n">
        <f aca="true">RAND()</f>
        <v>0.724829282186191</v>
      </c>
      <c r="L38" s="15" t="n">
        <f aca="true">RAND()</f>
        <v>0.979308635721556</v>
      </c>
      <c r="M38" s="15" t="n">
        <f aca="true">RAND()</f>
        <v>0.129217929980175</v>
      </c>
      <c r="N38" s="15" t="n">
        <f aca="true">RAND()</f>
        <v>0.467159883796531</v>
      </c>
      <c r="O38" s="15" t="n">
        <f aca="true">RAND()</f>
        <v>0.923619410724779</v>
      </c>
      <c r="P38" s="15" t="n">
        <f aca="true">RAND()</f>
        <v>0.833901837585675</v>
      </c>
      <c r="Q38" s="15" t="n">
        <f aca="true">RAND()</f>
        <v>0.180163972252271</v>
      </c>
      <c r="R38" s="15" t="n">
        <f aca="true">RAND()</f>
        <v>0.0123757457339282</v>
      </c>
      <c r="S38" s="15" t="n">
        <f aca="true">RAND()</f>
        <v>0.579193731235794</v>
      </c>
      <c r="T38" s="16" t="n">
        <f aca="false">LOOKUP(D38,$E$23:$E$26,$A$23:$A$26)+LOOKUP(D38,$E$23:$E$26,$D$23:$D$26)*(D38-LOOKUP(D38,$E$23:$E$26))/LOOKUP(D38,$E$23:$E$26,$C$23:$C$26)</f>
        <v>5.86233201497037</v>
      </c>
      <c r="U38" s="16" t="n">
        <f aca="false">LOOKUP(E38,$E$23:$E$26,$A$23:$A$26)+LOOKUP(E38,$E$23:$E$26,$D$23:$D$26)*(E38-LOOKUP(E38,$E$23:$E$26))/LOOKUP(E38,$E$23:$E$26,$C$23:$C$26)</f>
        <v>4.30287305797173</v>
      </c>
      <c r="V38" s="16" t="n">
        <f aca="false">LOOKUP(F38,$E$23:$E$26,$A$23:$A$26)+LOOKUP(F38,$E$23:$E$26,$D$23:$D$26)*(F38-LOOKUP(F38,$E$23:$E$26))/LOOKUP(F38,$E$23:$E$26,$C$23:$C$26)</f>
        <v>4.39796372774608</v>
      </c>
      <c r="W38" s="16" t="n">
        <f aca="false">LOOKUP(G38,$E$23:$E$26,$A$23:$A$26)+LOOKUP(G38,$E$23:$E$26,$D$23:$D$26)*(G38-LOOKUP(G38,$E$23:$E$26))/LOOKUP(G38,$E$23:$E$26,$C$23:$C$26)</f>
        <v>5.17733433596847</v>
      </c>
      <c r="X38" s="16" t="n">
        <f aca="false">LOOKUP(H38,$E$23:$E$26,$A$23:$A$26)+LOOKUP(H38,$E$23:$E$26,$D$23:$D$26)*(H38-LOOKUP(H38,$E$23:$E$26))/LOOKUP(H38,$E$23:$E$26,$C$23:$C$26)</f>
        <v>5.46976562684401</v>
      </c>
      <c r="Y38" s="16" t="n">
        <f aca="false">LOOKUP(I38,$E$23:$E$26,$A$23:$A$26)+LOOKUP(I38,$E$23:$E$26,$D$23:$D$26)*(I38-LOOKUP(I38,$E$23:$E$26))/LOOKUP(I38,$E$23:$E$26,$C$23:$C$26)</f>
        <v>4.56275452735554</v>
      </c>
      <c r="Z38" s="16" t="n">
        <f aca="false">LOOKUP(J38,$E$23:$E$26,$A$23:$A$26)+LOOKUP(J38,$E$23:$E$26,$D$23:$D$26)*(J38-LOOKUP(J38,$E$23:$E$26))/LOOKUP(J38,$E$23:$E$26,$C$23:$C$26)</f>
        <v>5.34198160010333</v>
      </c>
      <c r="AA38" s="16" t="n">
        <f aca="false">LOOKUP(K38,$E$23:$E$26,$A$23:$A$26)+LOOKUP(K38,$E$23:$E$26,$D$23:$D$26)*(K38-LOOKUP(K38,$E$23:$E$26))/LOOKUP(K38,$E$23:$E$26,$C$23:$C$26)</f>
        <v>5.06207320546548</v>
      </c>
      <c r="AB38" s="16" t="n">
        <f aca="false">LOOKUP(L38,$E$23:$E$26,$A$23:$A$26)+LOOKUP(L38,$E$23:$E$26,$D$23:$D$26)*(L38-LOOKUP(L38,$E$23:$E$26))/LOOKUP(L38,$E$23:$E$26,$C$23:$C$26)</f>
        <v>5.89654317860778</v>
      </c>
      <c r="AC38" s="16" t="n">
        <f aca="false">LOOKUP(M38,$E$23:$E$26,$A$23:$A$26)+LOOKUP(M38,$E$23:$E$26,$D$23:$D$26)*(M38-LOOKUP(M38,$E$23:$E$26))/LOOKUP(M38,$E$23:$E$26,$C$23:$C$26)</f>
        <v>4.21536321663363</v>
      </c>
      <c r="AD38" s="16" t="n">
        <f aca="false">LOOKUP(N38,$E$23:$E$26,$A$23:$A$26)+LOOKUP(N38,$E$23:$E$26,$D$23:$D$26)*(N38-LOOKUP(N38,$E$23:$E$26))/LOOKUP(N38,$E$23:$E$26,$C$23:$C$26)</f>
        <v>4.70894985474566</v>
      </c>
      <c r="AE38" s="16" t="n">
        <f aca="false">LOOKUP(O38,$E$23:$E$26,$A$23:$A$26)+LOOKUP(O38,$E$23:$E$26,$D$23:$D$26)*(O38-LOOKUP(O38,$E$23:$E$26))/LOOKUP(O38,$E$23:$E$26,$C$23:$C$26)</f>
        <v>5.6180970536239</v>
      </c>
      <c r="AF38" s="16" t="n">
        <f aca="false">LOOKUP(P38,$E$23:$E$26,$A$23:$A$26)+LOOKUP(P38,$E$23:$E$26,$D$23:$D$26)*(P38-LOOKUP(P38,$E$23:$E$26))/LOOKUP(P38,$E$23:$E$26,$C$23:$C$26)</f>
        <v>5.33475459396419</v>
      </c>
      <c r="AG38" s="16" t="n">
        <f aca="false">LOOKUP(Q38,$E$23:$E$26,$A$23:$A$26)+LOOKUP(Q38,$E$23:$E$26,$D$23:$D$26)*(Q38-LOOKUP(Q38,$E$23:$E$26))/LOOKUP(Q38,$E$23:$E$26,$C$23:$C$26)</f>
        <v>4.30027328708712</v>
      </c>
      <c r="AH38" s="16" t="n">
        <f aca="false">LOOKUP(R38,$E$23:$E$26,$A$23:$A$26)+LOOKUP(R38,$E$23:$E$26,$D$23:$D$26)*(R38-LOOKUP(R38,$E$23:$E$26))/LOOKUP(R38,$E$23:$E$26,$C$23:$C$26)</f>
        <v>4.02062624288988</v>
      </c>
      <c r="AI38" s="16" t="n">
        <f aca="false">LOOKUP(S38,$E$23:$E$26,$A$23:$A$26)+LOOKUP(S38,$E$23:$E$26,$D$23:$D$26)*(S38-LOOKUP(S38,$E$23:$E$26))/LOOKUP(S38,$E$23:$E$26,$C$23:$C$26)</f>
        <v>4.84899216404474</v>
      </c>
      <c r="AJ38" s="16" t="n">
        <f aca="false">SUM($T38:T38)</f>
        <v>5.86233201497037</v>
      </c>
      <c r="AK38" s="16" t="n">
        <f aca="false">SUM($T38:U38)</f>
        <v>10.1652050729421</v>
      </c>
      <c r="AL38" s="16" t="n">
        <f aca="false">SUM($T38:V38)</f>
        <v>14.5631688006882</v>
      </c>
      <c r="AM38" s="16" t="n">
        <f aca="false">SUM($T38:W38)</f>
        <v>19.7405031366567</v>
      </c>
      <c r="AN38" s="16" t="n">
        <f aca="false">SUM($T38:X38)</f>
        <v>25.2102687635007</v>
      </c>
      <c r="AO38" s="16" t="n">
        <f aca="false">SUM($T38:Y38)</f>
        <v>29.7730232908562</v>
      </c>
      <c r="AP38" s="16" t="n">
        <f aca="false">SUM($T38:Z38)</f>
        <v>35.1150048909595</v>
      </c>
      <c r="AQ38" s="16" t="n">
        <f aca="false">SUM($T38:AA38)</f>
        <v>40.177078096425</v>
      </c>
      <c r="AR38" s="16" t="n">
        <f aca="false">SUM($T38:AB38)</f>
        <v>46.0736212750328</v>
      </c>
      <c r="AS38" s="16" t="n">
        <f aca="false">SUM($T38:AC38)</f>
        <v>50.2889844916664</v>
      </c>
      <c r="AT38" s="16" t="n">
        <f aca="false">SUM($T38:AD38)</f>
        <v>54.9979343464121</v>
      </c>
      <c r="AU38" s="16" t="n">
        <f aca="false">SUM($T38:AE38)</f>
        <v>60.616031400036</v>
      </c>
      <c r="AV38" s="16" t="n">
        <f aca="false">SUM($T38:AF38)</f>
        <v>65.9507859940002</v>
      </c>
      <c r="AW38" s="16" t="n">
        <f aca="false">SUM($T38:AG38)</f>
        <v>70.2510592810873</v>
      </c>
      <c r="AX38" s="16" t="n">
        <f aca="false">SUM($T38:AH38)</f>
        <v>74.2716855239771</v>
      </c>
      <c r="AY38" s="16" t="n">
        <f aca="false">SUM($T38:AI38)</f>
        <v>79.1206776880219</v>
      </c>
      <c r="AZ38" s="16" t="n">
        <f aca="false">MAX(C38-AJ38,0)</f>
        <v>56.2080069943008</v>
      </c>
      <c r="BA38" s="16" t="n">
        <f aca="false">MAX(C38-AK38,0)</f>
        <v>51.9051339363291</v>
      </c>
      <c r="BB38" s="16" t="n">
        <f aca="false">MAX(C38-AL38,0)</f>
        <v>47.507170208583</v>
      </c>
      <c r="BC38" s="16" t="n">
        <f aca="false">MAX(C38-AM38,0)</f>
        <v>42.3298358726145</v>
      </c>
      <c r="BD38" s="16" t="n">
        <f aca="false">MAX(C38-AN38,0)</f>
        <v>36.8600702457705</v>
      </c>
      <c r="BE38" s="16" t="n">
        <f aca="false">MAX(C38-AO38,0)</f>
        <v>32.297315718415</v>
      </c>
      <c r="BF38" s="16" t="n">
        <f aca="false">MAX(C38-AP38,0)</f>
        <v>26.9553341183117</v>
      </c>
      <c r="BG38" s="16" t="n">
        <f aca="false">MAX(C38-AQ38,0)</f>
        <v>21.8932609128462</v>
      </c>
      <c r="BH38" s="16" t="n">
        <f aca="false">MAX(C38-AR38,0)</f>
        <v>15.9967177342384</v>
      </c>
      <c r="BI38" s="16" t="n">
        <f aca="false">MAX(C38-AS38,0)</f>
        <v>11.7813545176048</v>
      </c>
      <c r="BJ38" s="16" t="n">
        <f aca="false">MAX(C38-AT38,0)</f>
        <v>7.07240466285911</v>
      </c>
      <c r="BK38" s="16" t="n">
        <f aca="false">MAX(C38-AU38,0)</f>
        <v>1.45430760923522</v>
      </c>
      <c r="BL38" s="16" t="n">
        <f aca="false">MAX(C38-AV38,0)</f>
        <v>0</v>
      </c>
      <c r="BM38" s="16" t="n">
        <f aca="false">MAX(C38-AW38,0)</f>
        <v>0</v>
      </c>
      <c r="BN38" s="16" t="n">
        <f aca="false">MAX(C38-AX38,0)</f>
        <v>0</v>
      </c>
      <c r="BO38" s="16" t="n">
        <f aca="false">MAX(C38-AY38,0)</f>
        <v>0</v>
      </c>
    </row>
    <row r="39" customFormat="false" ht="15" hidden="false" customHeight="false" outlineLevel="0" collapsed="false">
      <c r="A39" s="3" t="n">
        <v>9</v>
      </c>
      <c r="B39" s="15" t="n">
        <f aca="true">RAND()</f>
        <v>0.165908622824445</v>
      </c>
      <c r="C39" s="16" t="n">
        <f aca="false">LOOKUP(B39,$E$12:$E$17,$A$12:$A$17)+LOOKUP(B39,$E$12:$E$17,$D$12:$D$17)*(B39-LOOKUP(B39,$E$12:$E$17))/LOOKUP(B39,$E$12:$E$17,$C$12:$C$17)</f>
        <v>57.1969540941482</v>
      </c>
      <c r="D39" s="15" t="n">
        <f aca="true">RAND()</f>
        <v>0.672955497755553</v>
      </c>
      <c r="E39" s="15" t="n">
        <f aca="true">RAND()</f>
        <v>0.267730782508234</v>
      </c>
      <c r="F39" s="15" t="n">
        <f aca="true">RAND()</f>
        <v>0.486836461152713</v>
      </c>
      <c r="G39" s="15" t="n">
        <f aca="true">RAND()</f>
        <v>0.627438368334426</v>
      </c>
      <c r="H39" s="15" t="n">
        <f aca="true">RAND()</f>
        <v>0.848193122631004</v>
      </c>
      <c r="I39" s="15" t="n">
        <f aca="true">RAND()</f>
        <v>0.558823703796084</v>
      </c>
      <c r="J39" s="15" t="n">
        <f aca="true">RAND()</f>
        <v>0.902198849059748</v>
      </c>
      <c r="K39" s="15" t="n">
        <f aca="true">RAND()</f>
        <v>0.309813441890179</v>
      </c>
      <c r="L39" s="15" t="n">
        <f aca="true">RAND()</f>
        <v>0.557211613907667</v>
      </c>
      <c r="M39" s="15" t="n">
        <f aca="true">RAND()</f>
        <v>0.125102814018046</v>
      </c>
      <c r="N39" s="15" t="n">
        <f aca="true">RAND()</f>
        <v>0.576458763680468</v>
      </c>
      <c r="O39" s="15" t="n">
        <f aca="true">RAND()</f>
        <v>0.283672810919066</v>
      </c>
      <c r="P39" s="15" t="n">
        <f aca="true">RAND()</f>
        <v>0.22493977838904</v>
      </c>
      <c r="Q39" s="15" t="n">
        <f aca="true">RAND()</f>
        <v>0.819890266672821</v>
      </c>
      <c r="R39" s="15" t="n">
        <f aca="true">RAND()</f>
        <v>0.370958914957593</v>
      </c>
      <c r="S39" s="15" t="n">
        <f aca="true">RAND()</f>
        <v>0.464289380002162</v>
      </c>
      <c r="T39" s="16" t="n">
        <f aca="false">LOOKUP(D39,$E$23:$E$26,$A$23:$A$26)+LOOKUP(D39,$E$23:$E$26,$D$23:$D$26)*(D39-LOOKUP(D39,$E$23:$E$26))/LOOKUP(D39,$E$23:$E$26,$C$23:$C$26)</f>
        <v>4.96619437219444</v>
      </c>
      <c r="U39" s="16" t="n">
        <f aca="false">LOOKUP(E39,$E$23:$E$26,$A$23:$A$26)+LOOKUP(E39,$E$23:$E$26,$D$23:$D$26)*(E39-LOOKUP(E39,$E$23:$E$26))/LOOKUP(E39,$E$23:$E$26,$C$23:$C$26)</f>
        <v>4.44621797084706</v>
      </c>
      <c r="V39" s="16" t="n">
        <f aca="false">LOOKUP(F39,$E$23:$E$26,$A$23:$A$26)+LOOKUP(F39,$E$23:$E$26,$D$23:$D$26)*(F39-LOOKUP(F39,$E$23:$E$26))/LOOKUP(F39,$E$23:$E$26,$C$23:$C$26)</f>
        <v>4.73354557644089</v>
      </c>
      <c r="W39" s="16" t="n">
        <f aca="false">LOOKUP(G39,$E$23:$E$26,$A$23:$A$26)+LOOKUP(G39,$E$23:$E$26,$D$23:$D$26)*(G39-LOOKUP(G39,$E$23:$E$26))/LOOKUP(G39,$E$23:$E$26,$C$23:$C$26)</f>
        <v>4.90929796041803</v>
      </c>
      <c r="X39" s="16" t="n">
        <f aca="false">LOOKUP(H39,$E$23:$E$26,$A$23:$A$26)+LOOKUP(H39,$E$23:$E$26,$D$23:$D$26)*(H39-LOOKUP(H39,$E$23:$E$26))/LOOKUP(H39,$E$23:$E$26,$C$23:$C$26)</f>
        <v>5.37048280657751</v>
      </c>
      <c r="Y39" s="16" t="n">
        <f aca="false">LOOKUP(I39,$E$23:$E$26,$A$23:$A$26)+LOOKUP(I39,$E$23:$E$26,$D$23:$D$26)*(I39-LOOKUP(I39,$E$23:$E$26))/LOOKUP(I39,$E$23:$E$26,$C$23:$C$26)</f>
        <v>4.82352962974511</v>
      </c>
      <c r="Z39" s="16" t="n">
        <f aca="false">LOOKUP(J39,$E$23:$E$26,$A$23:$A$26)+LOOKUP(J39,$E$23:$E$26,$D$23:$D$26)*(J39-LOOKUP(J39,$E$23:$E$26))/LOOKUP(J39,$E$23:$E$26,$C$23:$C$26)</f>
        <v>5.51099424529874</v>
      </c>
      <c r="AA39" s="16" t="n">
        <f aca="false">LOOKUP(K39,$E$23:$E$26,$A$23:$A$26)+LOOKUP(K39,$E$23:$E$26,$D$23:$D$26)*(K39-LOOKUP(K39,$E$23:$E$26))/LOOKUP(K39,$E$23:$E$26,$C$23:$C$26)</f>
        <v>4.51226680236272</v>
      </c>
      <c r="AB39" s="16" t="n">
        <f aca="false">LOOKUP(L39,$E$23:$E$26,$A$23:$A$26)+LOOKUP(L39,$E$23:$E$26,$D$23:$D$26)*(L39-LOOKUP(L39,$E$23:$E$26))/LOOKUP(L39,$E$23:$E$26,$C$23:$C$26)</f>
        <v>4.82151451738458</v>
      </c>
      <c r="AC39" s="16" t="n">
        <f aca="false">LOOKUP(M39,$E$23:$E$26,$A$23:$A$26)+LOOKUP(M39,$E$23:$E$26,$D$23:$D$26)*(M39-LOOKUP(M39,$E$23:$E$26))/LOOKUP(M39,$E$23:$E$26,$C$23:$C$26)</f>
        <v>4.20850469003008</v>
      </c>
      <c r="AD39" s="16" t="n">
        <f aca="false">LOOKUP(N39,$E$23:$E$26,$A$23:$A$26)+LOOKUP(N39,$E$23:$E$26,$D$23:$D$26)*(N39-LOOKUP(N39,$E$23:$E$26))/LOOKUP(N39,$E$23:$E$26,$C$23:$C$26)</f>
        <v>4.84557345460059</v>
      </c>
      <c r="AE39" s="16" t="n">
        <f aca="false">LOOKUP(O39,$E$23:$E$26,$A$23:$A$26)+LOOKUP(O39,$E$23:$E$26,$D$23:$D$26)*(O39-LOOKUP(O39,$E$23:$E$26))/LOOKUP(O39,$E$23:$E$26,$C$23:$C$26)</f>
        <v>4.47278801819844</v>
      </c>
      <c r="AF39" s="16" t="n">
        <f aca="false">LOOKUP(P39,$E$23:$E$26,$A$23:$A$26)+LOOKUP(P39,$E$23:$E$26,$D$23:$D$26)*(P39-LOOKUP(P39,$E$23:$E$26))/LOOKUP(P39,$E$23:$E$26,$C$23:$C$26)</f>
        <v>4.3748996306484</v>
      </c>
      <c r="AG39" s="16" t="n">
        <f aca="false">LOOKUP(Q39,$E$23:$E$26,$A$23:$A$26)+LOOKUP(Q39,$E$23:$E$26,$D$23:$D$26)*(Q39-LOOKUP(Q39,$E$23:$E$26))/LOOKUP(Q39,$E$23:$E$26,$C$23:$C$26)</f>
        <v>5.29972566668205</v>
      </c>
      <c r="AH39" s="16" t="n">
        <f aca="false">LOOKUP(R39,$E$23:$E$26,$A$23:$A$26)+LOOKUP(R39,$E$23:$E$26,$D$23:$D$26)*(R39-LOOKUP(R39,$E$23:$E$26))/LOOKUP(R39,$E$23:$E$26,$C$23:$C$26)</f>
        <v>4.58869864369699</v>
      </c>
      <c r="AI39" s="16" t="n">
        <f aca="false">LOOKUP(S39,$E$23:$E$26,$A$23:$A$26)+LOOKUP(S39,$E$23:$E$26,$D$23:$D$26)*(S39-LOOKUP(S39,$E$23:$E$26))/LOOKUP(S39,$E$23:$E$26,$C$23:$C$26)</f>
        <v>4.7053617250027</v>
      </c>
      <c r="AJ39" s="16" t="n">
        <f aca="false">SUM($T39:T39)</f>
        <v>4.96619437219444</v>
      </c>
      <c r="AK39" s="16" t="n">
        <f aca="false">SUM($T39:U39)</f>
        <v>9.4124123430415</v>
      </c>
      <c r="AL39" s="16" t="n">
        <f aca="false">SUM($T39:V39)</f>
        <v>14.1459579194824</v>
      </c>
      <c r="AM39" s="16" t="n">
        <f aca="false">SUM($T39:W39)</f>
        <v>19.0552558799004</v>
      </c>
      <c r="AN39" s="16" t="n">
        <f aca="false">SUM($T39:X39)</f>
        <v>24.4257386864779</v>
      </c>
      <c r="AO39" s="16" t="n">
        <f aca="false">SUM($T39:Y39)</f>
        <v>29.249268316223</v>
      </c>
      <c r="AP39" s="16" t="n">
        <f aca="false">SUM($T39:Z39)</f>
        <v>34.7602625615218</v>
      </c>
      <c r="AQ39" s="16" t="n">
        <f aca="false">SUM($T39:AA39)</f>
        <v>39.2725293638845</v>
      </c>
      <c r="AR39" s="16" t="n">
        <f aca="false">SUM($T39:AB39)</f>
        <v>44.0940438812691</v>
      </c>
      <c r="AS39" s="16" t="n">
        <f aca="false">SUM($T39:AC39)</f>
        <v>48.3025485712992</v>
      </c>
      <c r="AT39" s="16" t="n">
        <f aca="false">SUM($T39:AD39)</f>
        <v>53.1481220258997</v>
      </c>
      <c r="AU39" s="16" t="n">
        <f aca="false">SUM($T39:AE39)</f>
        <v>57.6209100440982</v>
      </c>
      <c r="AV39" s="16" t="n">
        <f aca="false">SUM($T39:AF39)</f>
        <v>61.9958096747466</v>
      </c>
      <c r="AW39" s="16" t="n">
        <f aca="false">SUM($T39:AG39)</f>
        <v>67.2955353414287</v>
      </c>
      <c r="AX39" s="16" t="n">
        <f aca="false">SUM($T39:AH39)</f>
        <v>71.8842339851256</v>
      </c>
      <c r="AY39" s="16" t="n">
        <f aca="false">SUM($T39:AI39)</f>
        <v>76.5895957101283</v>
      </c>
      <c r="AZ39" s="16" t="n">
        <f aca="false">MAX(C39-AJ39,0)</f>
        <v>52.2307597219537</v>
      </c>
      <c r="BA39" s="16" t="n">
        <f aca="false">MAX(C39-AK39,0)</f>
        <v>47.7845417511067</v>
      </c>
      <c r="BB39" s="16" t="n">
        <f aca="false">MAX(C39-AL39,0)</f>
        <v>43.0509961746658</v>
      </c>
      <c r="BC39" s="16" t="n">
        <f aca="false">MAX(C39-AM39,0)</f>
        <v>38.1416982142478</v>
      </c>
      <c r="BD39" s="16" t="n">
        <f aca="false">MAX(C39-AN39,0)</f>
        <v>32.7712154076702</v>
      </c>
      <c r="BE39" s="16" t="n">
        <f aca="false">MAX(C39-AO39,0)</f>
        <v>27.9476857779251</v>
      </c>
      <c r="BF39" s="16" t="n">
        <f aca="false">MAX(C39-AP39,0)</f>
        <v>22.4366915326264</v>
      </c>
      <c r="BG39" s="16" t="n">
        <f aca="false">MAX(C39-AQ39,0)</f>
        <v>17.9244247302637</v>
      </c>
      <c r="BH39" s="16" t="n">
        <f aca="false">MAX(C39-AR39,0)</f>
        <v>13.1029102128791</v>
      </c>
      <c r="BI39" s="16" t="n">
        <f aca="false">MAX(C39-AS39,0)</f>
        <v>8.89440552284901</v>
      </c>
      <c r="BJ39" s="16" t="n">
        <f aca="false">MAX(C39-AT39,0)</f>
        <v>4.04883206824842</v>
      </c>
      <c r="BK39" s="16" t="n">
        <f aca="false">MAX(C39-AU39,0)</f>
        <v>0</v>
      </c>
      <c r="BL39" s="16" t="n">
        <f aca="false">MAX(C39-AV39,0)</f>
        <v>0</v>
      </c>
      <c r="BM39" s="16" t="n">
        <f aca="false">MAX(C39-AW39,0)</f>
        <v>0</v>
      </c>
      <c r="BN39" s="16" t="n">
        <f aca="false">MAX(C39-AX39,0)</f>
        <v>0</v>
      </c>
      <c r="BO39" s="16" t="n">
        <f aca="false">MAX(C39-AY39,0)</f>
        <v>0</v>
      </c>
    </row>
    <row r="40" customFormat="false" ht="15" hidden="false" customHeight="false" outlineLevel="0" collapsed="false">
      <c r="A40" s="3" t="n">
        <v>10</v>
      </c>
      <c r="B40" s="15" t="n">
        <f aca="true">RAND()</f>
        <v>0.19121428917683</v>
      </c>
      <c r="C40" s="16" t="n">
        <f aca="false">LOOKUP(B40,$E$12:$E$17,$A$12:$A$17)+LOOKUP(B40,$E$12:$E$17,$D$12:$D$17)*(B40-LOOKUP(B40,$E$12:$E$17))/LOOKUP(B40,$E$12:$E$17,$C$12:$C$17)</f>
        <v>58.0404763058943</v>
      </c>
      <c r="D40" s="15" t="n">
        <f aca="true">RAND()</f>
        <v>0.153077638116135</v>
      </c>
      <c r="E40" s="15" t="n">
        <f aca="true">RAND()</f>
        <v>0.326206271531521</v>
      </c>
      <c r="F40" s="15" t="n">
        <f aca="true">RAND()</f>
        <v>0.0995574958740282</v>
      </c>
      <c r="G40" s="15" t="n">
        <f aca="true">RAND()</f>
        <v>0.846937690860159</v>
      </c>
      <c r="H40" s="15" t="n">
        <f aca="true">RAND()</f>
        <v>0.145177647774477</v>
      </c>
      <c r="I40" s="15" t="n">
        <f aca="true">RAND()</f>
        <v>0.661183059902434</v>
      </c>
      <c r="J40" s="15" t="n">
        <f aca="true">RAND()</f>
        <v>0.553747667191433</v>
      </c>
      <c r="K40" s="15" t="n">
        <f aca="true">RAND()</f>
        <v>0.789914603451217</v>
      </c>
      <c r="L40" s="15" t="n">
        <f aca="true">RAND()</f>
        <v>0.883555842882547</v>
      </c>
      <c r="M40" s="15" t="n">
        <f aca="true">RAND()</f>
        <v>0.550201829788325</v>
      </c>
      <c r="N40" s="15" t="n">
        <f aca="true">RAND()</f>
        <v>0.547008178624947</v>
      </c>
      <c r="O40" s="15" t="n">
        <f aca="true">RAND()</f>
        <v>0.752831583233862</v>
      </c>
      <c r="P40" s="15" t="n">
        <f aca="true">RAND()</f>
        <v>0.229694487111785</v>
      </c>
      <c r="Q40" s="15" t="n">
        <f aca="true">RAND()</f>
        <v>0.92318646526519</v>
      </c>
      <c r="R40" s="15" t="n">
        <f aca="true">RAND()</f>
        <v>0.596139572514902</v>
      </c>
      <c r="S40" s="15" t="n">
        <f aca="true">RAND()</f>
        <v>0.296295920977796</v>
      </c>
      <c r="T40" s="16" t="n">
        <f aca="false">LOOKUP(D40,$E$23:$E$26,$A$23:$A$26)+LOOKUP(D40,$E$23:$E$26,$D$23:$D$26)*(D40-LOOKUP(D40,$E$23:$E$26))/LOOKUP(D40,$E$23:$E$26,$C$23:$C$26)</f>
        <v>4.25512939686023</v>
      </c>
      <c r="U40" s="16" t="n">
        <f aca="false">LOOKUP(E40,$E$23:$E$26,$A$23:$A$26)+LOOKUP(E40,$E$23:$E$26,$D$23:$D$26)*(E40-LOOKUP(E40,$E$23:$E$26))/LOOKUP(E40,$E$23:$E$26,$C$23:$C$26)</f>
        <v>4.5327578394144</v>
      </c>
      <c r="V40" s="16" t="n">
        <f aca="false">LOOKUP(F40,$E$23:$E$26,$A$23:$A$26)+LOOKUP(F40,$E$23:$E$26,$D$23:$D$26)*(F40-LOOKUP(F40,$E$23:$E$26))/LOOKUP(F40,$E$23:$E$26,$C$23:$C$26)</f>
        <v>4.16592915979005</v>
      </c>
      <c r="W40" s="16" t="n">
        <f aca="false">LOOKUP(G40,$E$23:$E$26,$A$23:$A$26)+LOOKUP(G40,$E$23:$E$26,$D$23:$D$26)*(G40-LOOKUP(G40,$E$23:$E$26))/LOOKUP(G40,$E$23:$E$26,$C$23:$C$26)</f>
        <v>5.3673442271504</v>
      </c>
      <c r="X40" s="16" t="n">
        <f aca="false">LOOKUP(H40,$E$23:$E$26,$A$23:$A$26)+LOOKUP(H40,$E$23:$E$26,$D$23:$D$26)*(H40-LOOKUP(H40,$E$23:$E$26))/LOOKUP(H40,$E$23:$E$26,$C$23:$C$26)</f>
        <v>4.24196274629079</v>
      </c>
      <c r="Y40" s="16" t="n">
        <f aca="false">LOOKUP(I40,$E$23:$E$26,$A$23:$A$26)+LOOKUP(I40,$E$23:$E$26,$D$23:$D$26)*(I40-LOOKUP(I40,$E$23:$E$26))/LOOKUP(I40,$E$23:$E$26,$C$23:$C$26)</f>
        <v>4.95147882487804</v>
      </c>
      <c r="Z40" s="16" t="n">
        <f aca="false">LOOKUP(J40,$E$23:$E$26,$A$23:$A$26)+LOOKUP(J40,$E$23:$E$26,$D$23:$D$26)*(J40-LOOKUP(J40,$E$23:$E$26))/LOOKUP(J40,$E$23:$E$26,$C$23:$C$26)</f>
        <v>4.81718458398929</v>
      </c>
      <c r="AA40" s="16" t="n">
        <f aca="false">LOOKUP(K40,$E$23:$E$26,$A$23:$A$26)+LOOKUP(K40,$E$23:$E$26,$D$23:$D$26)*(K40-LOOKUP(K40,$E$23:$E$26))/LOOKUP(K40,$E$23:$E$26,$C$23:$C$26)</f>
        <v>5.22478650862804</v>
      </c>
      <c r="AB40" s="16" t="n">
        <f aca="false">LOOKUP(L40,$E$23:$E$26,$A$23:$A$26)+LOOKUP(L40,$E$23:$E$26,$D$23:$D$26)*(L40-LOOKUP(L40,$E$23:$E$26))/LOOKUP(L40,$E$23:$E$26,$C$23:$C$26)</f>
        <v>5.45888960720637</v>
      </c>
      <c r="AC40" s="16" t="n">
        <f aca="false">LOOKUP(M40,$E$23:$E$26,$A$23:$A$26)+LOOKUP(M40,$E$23:$E$26,$D$23:$D$26)*(M40-LOOKUP(M40,$E$23:$E$26))/LOOKUP(M40,$E$23:$E$26,$C$23:$C$26)</f>
        <v>4.81275228723541</v>
      </c>
      <c r="AD40" s="16" t="n">
        <f aca="false">LOOKUP(N40,$E$23:$E$26,$A$23:$A$26)+LOOKUP(N40,$E$23:$E$26,$D$23:$D$26)*(N40-LOOKUP(N40,$E$23:$E$26))/LOOKUP(N40,$E$23:$E$26,$C$23:$C$26)</f>
        <v>4.80876022328118</v>
      </c>
      <c r="AE40" s="16" t="n">
        <f aca="false">LOOKUP(O40,$E$23:$E$26,$A$23:$A$26)+LOOKUP(O40,$E$23:$E$26,$D$23:$D$26)*(O40-LOOKUP(O40,$E$23:$E$26))/LOOKUP(O40,$E$23:$E$26,$C$23:$C$26)</f>
        <v>5.13207895808466</v>
      </c>
      <c r="AF40" s="16" t="n">
        <f aca="false">LOOKUP(P40,$E$23:$E$26,$A$23:$A$26)+LOOKUP(P40,$E$23:$E$26,$D$23:$D$26)*(P40-LOOKUP(P40,$E$23:$E$26))/LOOKUP(P40,$E$23:$E$26,$C$23:$C$26)</f>
        <v>4.38282414518631</v>
      </c>
      <c r="AG40" s="16" t="n">
        <f aca="false">LOOKUP(Q40,$E$23:$E$26,$A$23:$A$26)+LOOKUP(Q40,$E$23:$E$26,$D$23:$D$26)*(Q40-LOOKUP(Q40,$E$23:$E$26))/LOOKUP(Q40,$E$23:$E$26,$C$23:$C$26)</f>
        <v>5.61593232632595</v>
      </c>
      <c r="AH40" s="16" t="n">
        <f aca="false">LOOKUP(R40,$E$23:$E$26,$A$23:$A$26)+LOOKUP(R40,$E$23:$E$26,$D$23:$D$26)*(R40-LOOKUP(R40,$E$23:$E$26))/LOOKUP(R40,$E$23:$E$26,$C$23:$C$26)</f>
        <v>4.87017446564363</v>
      </c>
      <c r="AI40" s="16" t="n">
        <f aca="false">LOOKUP(S40,$E$23:$E$26,$A$23:$A$26)+LOOKUP(S40,$E$23:$E$26,$D$23:$D$26)*(S40-LOOKUP(S40,$E$23:$E$26))/LOOKUP(S40,$E$23:$E$26,$C$23:$C$26)</f>
        <v>4.49382653496299</v>
      </c>
      <c r="AJ40" s="16" t="n">
        <f aca="false">SUM($T40:T40)</f>
        <v>4.25512939686023</v>
      </c>
      <c r="AK40" s="16" t="n">
        <f aca="false">SUM($T40:U40)</f>
        <v>8.78788723627463</v>
      </c>
      <c r="AL40" s="16" t="n">
        <f aca="false">SUM($T40:V40)</f>
        <v>12.9538163960647</v>
      </c>
      <c r="AM40" s="16" t="n">
        <f aca="false">SUM($T40:W40)</f>
        <v>18.3211606232151</v>
      </c>
      <c r="AN40" s="16" t="n">
        <f aca="false">SUM($T40:X40)</f>
        <v>22.5631233695059</v>
      </c>
      <c r="AO40" s="16" t="n">
        <f aca="false">SUM($T40:Y40)</f>
        <v>27.5146021943839</v>
      </c>
      <c r="AP40" s="16" t="n">
        <f aca="false">SUM($T40:Z40)</f>
        <v>32.3317867783732</v>
      </c>
      <c r="AQ40" s="16" t="n">
        <f aca="false">SUM($T40:AA40)</f>
        <v>37.5565732870012</v>
      </c>
      <c r="AR40" s="16" t="n">
        <f aca="false">SUM($T40:AB40)</f>
        <v>43.0154628942076</v>
      </c>
      <c r="AS40" s="16" t="n">
        <f aca="false">SUM($T40:AC40)</f>
        <v>47.828215181443</v>
      </c>
      <c r="AT40" s="16" t="n">
        <f aca="false">SUM($T40:AD40)</f>
        <v>52.6369754047242</v>
      </c>
      <c r="AU40" s="16" t="n">
        <f aca="false">SUM($T40:AE40)</f>
        <v>57.7690543628089</v>
      </c>
      <c r="AV40" s="16" t="n">
        <f aca="false">SUM($T40:AF40)</f>
        <v>62.1518785079952</v>
      </c>
      <c r="AW40" s="16" t="n">
        <f aca="false">SUM($T40:AG40)</f>
        <v>67.7678108343211</v>
      </c>
      <c r="AX40" s="16" t="n">
        <f aca="false">SUM($T40:AH40)</f>
        <v>72.6379852999648</v>
      </c>
      <c r="AY40" s="16" t="n">
        <f aca="false">SUM($T40:AI40)</f>
        <v>77.1318118349277</v>
      </c>
      <c r="AZ40" s="16" t="n">
        <f aca="false">MAX(C40-AJ40,0)</f>
        <v>53.7853469090341</v>
      </c>
      <c r="BA40" s="16" t="n">
        <f aca="false">MAX(C40-AK40,0)</f>
        <v>49.2525890696197</v>
      </c>
      <c r="BB40" s="16" t="n">
        <f aca="false">MAX(C40-AL40,0)</f>
        <v>45.0866599098297</v>
      </c>
      <c r="BC40" s="16" t="n">
        <f aca="false">MAX(C40-AM40,0)</f>
        <v>39.7193156826793</v>
      </c>
      <c r="BD40" s="16" t="n">
        <f aca="false">MAX(C40-AN40,0)</f>
        <v>35.4773529363885</v>
      </c>
      <c r="BE40" s="16" t="n">
        <f aca="false">MAX(C40-AO40,0)</f>
        <v>30.5258741115104</v>
      </c>
      <c r="BF40" s="16" t="n">
        <f aca="false">MAX(C40-AP40,0)</f>
        <v>25.7086895275211</v>
      </c>
      <c r="BG40" s="16" t="n">
        <f aca="false">MAX(C40-AQ40,0)</f>
        <v>20.4839030188931</v>
      </c>
      <c r="BH40" s="16" t="n">
        <f aca="false">MAX(C40-AR40,0)</f>
        <v>15.0250134116867</v>
      </c>
      <c r="BI40" s="16" t="n">
        <f aca="false">MAX(C40-AS40,0)</f>
        <v>10.2122611244513</v>
      </c>
      <c r="BJ40" s="16" t="n">
        <f aca="false">MAX(C40-AT40,0)</f>
        <v>5.40350090117013</v>
      </c>
      <c r="BK40" s="16" t="n">
        <f aca="false">MAX(C40-AU40,0)</f>
        <v>0.271421943085471</v>
      </c>
      <c r="BL40" s="16" t="n">
        <f aca="false">MAX(C40-AV40,0)</f>
        <v>0</v>
      </c>
      <c r="BM40" s="16" t="n">
        <f aca="false">MAX(C40-AW40,0)</f>
        <v>0</v>
      </c>
      <c r="BN40" s="16" t="n">
        <f aca="false">MAX(C40-AX40,0)</f>
        <v>0</v>
      </c>
      <c r="BO40" s="16" t="n">
        <f aca="false">MAX(C40-AY40,0)</f>
        <v>0</v>
      </c>
    </row>
    <row r="41" customFormat="false" ht="15" hidden="false" customHeight="false" outlineLevel="0" collapsed="false">
      <c r="A41" s="3" t="n">
        <v>11</v>
      </c>
      <c r="B41" s="15" t="n">
        <f aca="true">RAND()</f>
        <v>0.880183876388497</v>
      </c>
      <c r="C41" s="16" t="n">
        <f aca="false">LOOKUP(B41,$E$12:$E$17,$A$12:$A$17)+LOOKUP(B41,$E$12:$E$17,$D$12:$D$17)*(B41-LOOKUP(B41,$E$12:$E$17))/LOOKUP(B41,$E$12:$E$17,$C$12:$C$17)</f>
        <v>69.7169125198357</v>
      </c>
      <c r="D41" s="15" t="n">
        <f aca="true">RAND()</f>
        <v>0.605554026043018</v>
      </c>
      <c r="E41" s="15" t="n">
        <f aca="true">RAND()</f>
        <v>0.930541096068675</v>
      </c>
      <c r="F41" s="15" t="n">
        <f aca="true">RAND()</f>
        <v>0.538641499595275</v>
      </c>
      <c r="G41" s="15" t="n">
        <f aca="true">RAND()</f>
        <v>0.471734591979038</v>
      </c>
      <c r="H41" s="15" t="n">
        <f aca="true">RAND()</f>
        <v>0.0704061842930163</v>
      </c>
      <c r="I41" s="15" t="n">
        <f aca="true">RAND()</f>
        <v>0.724286029964362</v>
      </c>
      <c r="J41" s="15" t="n">
        <f aca="true">RAND()</f>
        <v>0.0742307042631158</v>
      </c>
      <c r="K41" s="15" t="n">
        <f aca="true">RAND()</f>
        <v>0.927551939116835</v>
      </c>
      <c r="L41" s="15" t="n">
        <f aca="true">RAND()</f>
        <v>0.455226483798914</v>
      </c>
      <c r="M41" s="15" t="n">
        <f aca="true">RAND()</f>
        <v>0.233831118145694</v>
      </c>
      <c r="N41" s="15" t="n">
        <f aca="true">RAND()</f>
        <v>0.268736783659546</v>
      </c>
      <c r="O41" s="15" t="n">
        <f aca="true">RAND()</f>
        <v>0.0821681192128345</v>
      </c>
      <c r="P41" s="15" t="n">
        <f aca="true">RAND()</f>
        <v>0.14599473936475</v>
      </c>
      <c r="Q41" s="15" t="n">
        <f aca="true">RAND()</f>
        <v>0.945796320282292</v>
      </c>
      <c r="R41" s="15" t="n">
        <f aca="true">RAND()</f>
        <v>0.769007413422962</v>
      </c>
      <c r="S41" s="15" t="n">
        <f aca="true">RAND()</f>
        <v>0.106077413916018</v>
      </c>
      <c r="T41" s="16" t="n">
        <f aca="false">LOOKUP(D41,$E$23:$E$26,$A$23:$A$26)+LOOKUP(D41,$E$23:$E$26,$D$23:$D$26)*(D41-LOOKUP(D41,$E$23:$E$26))/LOOKUP(D41,$E$23:$E$26,$C$23:$C$26)</f>
        <v>4.88194253255377</v>
      </c>
      <c r="U41" s="16" t="n">
        <f aca="false">LOOKUP(E41,$E$23:$E$26,$A$23:$A$26)+LOOKUP(E41,$E$23:$E$26,$D$23:$D$26)*(E41-LOOKUP(E41,$E$23:$E$26))/LOOKUP(E41,$E$23:$E$26,$C$23:$C$26)</f>
        <v>5.65270548034338</v>
      </c>
      <c r="V41" s="16" t="n">
        <f aca="false">LOOKUP(F41,$E$23:$E$26,$A$23:$A$26)+LOOKUP(F41,$E$23:$E$26,$D$23:$D$26)*(F41-LOOKUP(F41,$E$23:$E$26))/LOOKUP(F41,$E$23:$E$26,$C$23:$C$26)</f>
        <v>4.79830187449409</v>
      </c>
      <c r="W41" s="16" t="n">
        <f aca="false">LOOKUP(G41,$E$23:$E$26,$A$23:$A$26)+LOOKUP(G41,$E$23:$E$26,$D$23:$D$26)*(G41-LOOKUP(G41,$E$23:$E$26))/LOOKUP(G41,$E$23:$E$26,$C$23:$C$26)</f>
        <v>4.7146682399738</v>
      </c>
      <c r="X41" s="16" t="n">
        <f aca="false">LOOKUP(H41,$E$23:$E$26,$A$23:$A$26)+LOOKUP(H41,$E$23:$E$26,$D$23:$D$26)*(H41-LOOKUP(H41,$E$23:$E$26))/LOOKUP(H41,$E$23:$E$26,$C$23:$C$26)</f>
        <v>4.11734364048836</v>
      </c>
      <c r="Y41" s="16" t="n">
        <f aca="false">LOOKUP(I41,$E$23:$E$26,$A$23:$A$26)+LOOKUP(I41,$E$23:$E$26,$D$23:$D$26)*(I41-LOOKUP(I41,$E$23:$E$26))/LOOKUP(I41,$E$23:$E$26,$C$23:$C$26)</f>
        <v>5.06071507491091</v>
      </c>
      <c r="Z41" s="16" t="n">
        <f aca="false">LOOKUP(J41,$E$23:$E$26,$A$23:$A$26)+LOOKUP(J41,$E$23:$E$26,$D$23:$D$26)*(J41-LOOKUP(J41,$E$23:$E$26))/LOOKUP(J41,$E$23:$E$26,$C$23:$C$26)</f>
        <v>4.12371784043853</v>
      </c>
      <c r="AA41" s="16" t="n">
        <f aca="false">LOOKUP(K41,$E$23:$E$26,$A$23:$A$26)+LOOKUP(K41,$E$23:$E$26,$D$23:$D$26)*(K41-LOOKUP(K41,$E$23:$E$26))/LOOKUP(K41,$E$23:$E$26,$C$23:$C$26)</f>
        <v>5.63775969558418</v>
      </c>
      <c r="AB41" s="16" t="n">
        <f aca="false">LOOKUP(L41,$E$23:$E$26,$A$23:$A$26)+LOOKUP(L41,$E$23:$E$26,$D$23:$D$26)*(L41-LOOKUP(L41,$E$23:$E$26))/LOOKUP(L41,$E$23:$E$26,$C$23:$C$26)</f>
        <v>4.69403310474864</v>
      </c>
      <c r="AC41" s="16" t="n">
        <f aca="false">LOOKUP(M41,$E$23:$E$26,$A$23:$A$26)+LOOKUP(M41,$E$23:$E$26,$D$23:$D$26)*(M41-LOOKUP(M41,$E$23:$E$26))/LOOKUP(M41,$E$23:$E$26,$C$23:$C$26)</f>
        <v>4.38971853024282</v>
      </c>
      <c r="AD41" s="16" t="n">
        <f aca="false">LOOKUP(N41,$E$23:$E$26,$A$23:$A$26)+LOOKUP(N41,$E$23:$E$26,$D$23:$D$26)*(N41-LOOKUP(N41,$E$23:$E$26))/LOOKUP(N41,$E$23:$E$26,$C$23:$C$26)</f>
        <v>4.44789463943258</v>
      </c>
      <c r="AE41" s="16" t="n">
        <f aca="false">LOOKUP(O41,$E$23:$E$26,$A$23:$A$26)+LOOKUP(O41,$E$23:$E$26,$D$23:$D$26)*(O41-LOOKUP(O41,$E$23:$E$26))/LOOKUP(O41,$E$23:$E$26,$C$23:$C$26)</f>
        <v>4.13694686535472</v>
      </c>
      <c r="AF41" s="16" t="n">
        <f aca="false">LOOKUP(P41,$E$23:$E$26,$A$23:$A$26)+LOOKUP(P41,$E$23:$E$26,$D$23:$D$26)*(P41-LOOKUP(P41,$E$23:$E$26))/LOOKUP(P41,$E$23:$E$26,$C$23:$C$26)</f>
        <v>4.24332456560792</v>
      </c>
      <c r="AG41" s="16" t="n">
        <f aca="false">LOOKUP(Q41,$E$23:$E$26,$A$23:$A$26)+LOOKUP(Q41,$E$23:$E$26,$D$23:$D$26)*(Q41-LOOKUP(Q41,$E$23:$E$26))/LOOKUP(Q41,$E$23:$E$26,$C$23:$C$26)</f>
        <v>5.72898160141146</v>
      </c>
      <c r="AH41" s="16" t="n">
        <f aca="false">LOOKUP(R41,$E$23:$E$26,$A$23:$A$26)+LOOKUP(R41,$E$23:$E$26,$D$23:$D$26)*(R41-LOOKUP(R41,$E$23:$E$26))/LOOKUP(R41,$E$23:$E$26,$C$23:$C$26)</f>
        <v>5.17251853355741</v>
      </c>
      <c r="AI41" s="16" t="n">
        <f aca="false">LOOKUP(S41,$E$23:$E$26,$A$23:$A$26)+LOOKUP(S41,$E$23:$E$26,$D$23:$D$26)*(S41-LOOKUP(S41,$E$23:$E$26))/LOOKUP(S41,$E$23:$E$26,$C$23:$C$26)</f>
        <v>4.17679568986003</v>
      </c>
      <c r="AJ41" s="16" t="n">
        <f aca="false">SUM($T41:T41)</f>
        <v>4.88194253255377</v>
      </c>
      <c r="AK41" s="16" t="n">
        <f aca="false">SUM($T41:U41)</f>
        <v>10.5346480128971</v>
      </c>
      <c r="AL41" s="16" t="n">
        <f aca="false">SUM($T41:V41)</f>
        <v>15.3329498873912</v>
      </c>
      <c r="AM41" s="16" t="n">
        <f aca="false">SUM($T41:W41)</f>
        <v>20.047618127365</v>
      </c>
      <c r="AN41" s="16" t="n">
        <f aca="false">SUM($T41:X41)</f>
        <v>24.1649617678534</v>
      </c>
      <c r="AO41" s="16" t="n">
        <f aca="false">SUM($T41:Y41)</f>
        <v>29.2256768427643</v>
      </c>
      <c r="AP41" s="16" t="n">
        <f aca="false">SUM($T41:Z41)</f>
        <v>33.3493946832028</v>
      </c>
      <c r="AQ41" s="16" t="n">
        <f aca="false">SUM($T41:AA41)</f>
        <v>38.987154378787</v>
      </c>
      <c r="AR41" s="16" t="n">
        <f aca="false">SUM($T41:AB41)</f>
        <v>43.6811874835357</v>
      </c>
      <c r="AS41" s="16" t="n">
        <f aca="false">SUM($T41:AC41)</f>
        <v>48.0709060137785</v>
      </c>
      <c r="AT41" s="16" t="n">
        <f aca="false">SUM($T41:AD41)</f>
        <v>52.5188006532111</v>
      </c>
      <c r="AU41" s="16" t="n">
        <f aca="false">SUM($T41:AE41)</f>
        <v>56.6557475185658</v>
      </c>
      <c r="AV41" s="16" t="n">
        <f aca="false">SUM($T41:AF41)</f>
        <v>60.8990720841737</v>
      </c>
      <c r="AW41" s="16" t="n">
        <f aca="false">SUM($T41:AG41)</f>
        <v>66.6280536855851</v>
      </c>
      <c r="AX41" s="16" t="n">
        <f aca="false">SUM($T41:AH41)</f>
        <v>71.8005722191426</v>
      </c>
      <c r="AY41" s="16" t="n">
        <f aca="false">SUM($T41:AI41)</f>
        <v>75.9773679090026</v>
      </c>
      <c r="AZ41" s="16" t="n">
        <f aca="false">MAX(C41-AJ41,0)</f>
        <v>64.8349699872819</v>
      </c>
      <c r="BA41" s="16" t="n">
        <f aca="false">MAX(C41-AK41,0)</f>
        <v>59.1822645069385</v>
      </c>
      <c r="BB41" s="16" t="n">
        <f aca="false">MAX(C41-AL41,0)</f>
        <v>54.3839626324444</v>
      </c>
      <c r="BC41" s="16" t="n">
        <f aca="false">MAX(C41-AM41,0)</f>
        <v>49.6692943924706</v>
      </c>
      <c r="BD41" s="16" t="n">
        <f aca="false">MAX(C41-AN41,0)</f>
        <v>45.5519507519823</v>
      </c>
      <c r="BE41" s="16" t="n">
        <f aca="false">MAX(C41-AO41,0)</f>
        <v>40.4912356770714</v>
      </c>
      <c r="BF41" s="16" t="n">
        <f aca="false">MAX(C41-AP41,0)</f>
        <v>36.3675178366328</v>
      </c>
      <c r="BG41" s="16" t="n">
        <f aca="false">MAX(C41-AQ41,0)</f>
        <v>30.7297581410487</v>
      </c>
      <c r="BH41" s="16" t="n">
        <f aca="false">MAX(C41-AR41,0)</f>
        <v>26.0357250363</v>
      </c>
      <c r="BI41" s="16" t="n">
        <f aca="false">MAX(C41-AS41,0)</f>
        <v>21.6460065060572</v>
      </c>
      <c r="BJ41" s="16" t="n">
        <f aca="false">MAX(C41-AT41,0)</f>
        <v>17.1981118666246</v>
      </c>
      <c r="BK41" s="16" t="n">
        <f aca="false">MAX(C41-AU41,0)</f>
        <v>13.0611650012699</v>
      </c>
      <c r="BL41" s="16" t="n">
        <f aca="false">MAX(C41-AV41,0)</f>
        <v>8.81784043566197</v>
      </c>
      <c r="BM41" s="16" t="n">
        <f aca="false">MAX(C41-AW41,0)</f>
        <v>3.08885883425052</v>
      </c>
      <c r="BN41" s="16" t="n">
        <f aca="false">MAX(C41-AX41,0)</f>
        <v>0</v>
      </c>
      <c r="BO41" s="16" t="n">
        <f aca="false">MAX(C41-AY41,0)</f>
        <v>0</v>
      </c>
    </row>
    <row r="42" customFormat="false" ht="15" hidden="false" customHeight="false" outlineLevel="0" collapsed="false">
      <c r="A42" s="3" t="n">
        <v>12</v>
      </c>
      <c r="B42" s="15" t="n">
        <f aca="true">RAND()</f>
        <v>0.774405532003677</v>
      </c>
      <c r="C42" s="16" t="n">
        <f aca="false">LOOKUP(B42,$E$12:$E$17,$A$12:$A$17)+LOOKUP(B42,$E$12:$E$17,$D$12:$D$17)*(B42-LOOKUP(B42,$E$12:$E$17))/LOOKUP(B42,$E$12:$E$17,$C$12:$C$17)</f>
        <v>68.2057933143383</v>
      </c>
      <c r="D42" s="15" t="n">
        <f aca="true">RAND()</f>
        <v>0.903993015852226</v>
      </c>
      <c r="E42" s="15" t="n">
        <f aca="true">RAND()</f>
        <v>0.968937943322308</v>
      </c>
      <c r="F42" s="15" t="n">
        <f aca="true">RAND()</f>
        <v>0.631021989626116</v>
      </c>
      <c r="G42" s="15" t="n">
        <f aca="true">RAND()</f>
        <v>0.68805679882885</v>
      </c>
      <c r="H42" s="15" t="n">
        <f aca="true">RAND()</f>
        <v>0.813758222143137</v>
      </c>
      <c r="I42" s="15" t="n">
        <f aca="true">RAND()</f>
        <v>0.202830983140793</v>
      </c>
      <c r="J42" s="15" t="n">
        <f aca="true">RAND()</f>
        <v>0.536836464472842</v>
      </c>
      <c r="K42" s="15" t="n">
        <f aca="true">RAND()</f>
        <v>0.325178301205995</v>
      </c>
      <c r="L42" s="15" t="n">
        <f aca="true">RAND()</f>
        <v>0.947318240631964</v>
      </c>
      <c r="M42" s="15" t="n">
        <f aca="true">RAND()</f>
        <v>0.726988120047352</v>
      </c>
      <c r="N42" s="15" t="n">
        <f aca="true">RAND()</f>
        <v>0.867653586696564</v>
      </c>
      <c r="O42" s="15" t="n">
        <f aca="true">RAND()</f>
        <v>0.92917673213947</v>
      </c>
      <c r="P42" s="15" t="n">
        <f aca="true">RAND()</f>
        <v>0.111740671076601</v>
      </c>
      <c r="Q42" s="15" t="n">
        <f aca="true">RAND()</f>
        <v>0.0170139472451122</v>
      </c>
      <c r="R42" s="15" t="n">
        <f aca="true">RAND()</f>
        <v>0.250788457919397</v>
      </c>
      <c r="S42" s="15" t="n">
        <f aca="true">RAND()</f>
        <v>0.491828750502422</v>
      </c>
      <c r="T42" s="16" t="n">
        <f aca="false">LOOKUP(D42,$E$23:$E$26,$A$23:$A$26)+LOOKUP(D42,$E$23:$E$26,$D$23:$D$26)*(D42-LOOKUP(D42,$E$23:$E$26))/LOOKUP(D42,$E$23:$E$26,$C$23:$C$26)</f>
        <v>5.51996507926113</v>
      </c>
      <c r="U42" s="16" t="n">
        <f aca="false">LOOKUP(E42,$E$23:$E$26,$A$23:$A$26)+LOOKUP(E42,$E$23:$E$26,$D$23:$D$26)*(E42-LOOKUP(E42,$E$23:$E$26))/LOOKUP(E42,$E$23:$E$26,$C$23:$C$26)</f>
        <v>5.84468971661154</v>
      </c>
      <c r="V42" s="16" t="n">
        <f aca="false">LOOKUP(F42,$E$23:$E$26,$A$23:$A$26)+LOOKUP(F42,$E$23:$E$26,$D$23:$D$26)*(F42-LOOKUP(F42,$E$23:$E$26))/LOOKUP(F42,$E$23:$E$26,$C$23:$C$26)</f>
        <v>4.91377748703265</v>
      </c>
      <c r="W42" s="16" t="n">
        <f aca="false">LOOKUP(G42,$E$23:$E$26,$A$23:$A$26)+LOOKUP(G42,$E$23:$E$26,$D$23:$D$26)*(G42-LOOKUP(G42,$E$23:$E$26))/LOOKUP(G42,$E$23:$E$26,$C$23:$C$26)</f>
        <v>4.98507099853606</v>
      </c>
      <c r="X42" s="16" t="n">
        <f aca="false">LOOKUP(H42,$E$23:$E$26,$A$23:$A$26)+LOOKUP(H42,$E$23:$E$26,$D$23:$D$26)*(H42-LOOKUP(H42,$E$23:$E$26))/LOOKUP(H42,$E$23:$E$26,$C$23:$C$26)</f>
        <v>5.28439555535784</v>
      </c>
      <c r="Y42" s="16" t="n">
        <f aca="false">LOOKUP(I42,$E$23:$E$26,$A$23:$A$26)+LOOKUP(I42,$E$23:$E$26,$D$23:$D$26)*(I42-LOOKUP(I42,$E$23:$E$26))/LOOKUP(I42,$E$23:$E$26,$C$23:$C$26)</f>
        <v>4.33805163856799</v>
      </c>
      <c r="Z42" s="16" t="n">
        <f aca="false">LOOKUP(J42,$E$23:$E$26,$A$23:$A$26)+LOOKUP(J42,$E$23:$E$26,$D$23:$D$26)*(J42-LOOKUP(J42,$E$23:$E$26))/LOOKUP(J42,$E$23:$E$26,$C$23:$C$26)</f>
        <v>4.79604558059105</v>
      </c>
      <c r="AA42" s="16" t="n">
        <f aca="false">LOOKUP(K42,$E$23:$E$26,$A$23:$A$26)+LOOKUP(K42,$E$23:$E$26,$D$23:$D$26)*(K42-LOOKUP(K42,$E$23:$E$26))/LOOKUP(K42,$E$23:$E$26,$C$23:$C$26)</f>
        <v>4.53147287650749</v>
      </c>
      <c r="AB42" s="16" t="n">
        <f aca="false">LOOKUP(L42,$E$23:$E$26,$A$23:$A$26)+LOOKUP(L42,$E$23:$E$26,$D$23:$D$26)*(L42-LOOKUP(L42,$E$23:$E$26))/LOOKUP(L42,$E$23:$E$26,$C$23:$C$26)</f>
        <v>5.73659120315982</v>
      </c>
      <c r="AC42" s="16" t="n">
        <f aca="false">LOOKUP(M42,$E$23:$E$26,$A$23:$A$26)+LOOKUP(M42,$E$23:$E$26,$D$23:$D$26)*(M42-LOOKUP(M42,$E$23:$E$26))/LOOKUP(M42,$E$23:$E$26,$C$23:$C$26)</f>
        <v>5.06747030011838</v>
      </c>
      <c r="AD42" s="16" t="n">
        <f aca="false">LOOKUP(N42,$E$23:$E$26,$A$23:$A$26)+LOOKUP(N42,$E$23:$E$26,$D$23:$D$26)*(N42-LOOKUP(N42,$E$23:$E$26))/LOOKUP(N42,$E$23:$E$26,$C$23:$C$26)</f>
        <v>5.41913396674141</v>
      </c>
      <c r="AE42" s="16" t="n">
        <f aca="false">LOOKUP(O42,$E$23:$E$26,$A$23:$A$26)+LOOKUP(O42,$E$23:$E$26,$D$23:$D$26)*(O42-LOOKUP(O42,$E$23:$E$26))/LOOKUP(O42,$E$23:$E$26,$C$23:$C$26)</f>
        <v>5.64588366069735</v>
      </c>
      <c r="AF42" s="16" t="n">
        <f aca="false">LOOKUP(P42,$E$23:$E$26,$A$23:$A$26)+LOOKUP(P42,$E$23:$E$26,$D$23:$D$26)*(P42-LOOKUP(P42,$E$23:$E$26))/LOOKUP(P42,$E$23:$E$26,$C$23:$C$26)</f>
        <v>4.18623445179433</v>
      </c>
      <c r="AG42" s="16" t="n">
        <f aca="false">LOOKUP(Q42,$E$23:$E$26,$A$23:$A$26)+LOOKUP(Q42,$E$23:$E$26,$D$23:$D$26)*(Q42-LOOKUP(Q42,$E$23:$E$26))/LOOKUP(Q42,$E$23:$E$26,$C$23:$C$26)</f>
        <v>4.02835657874185</v>
      </c>
      <c r="AH42" s="16" t="n">
        <f aca="false">LOOKUP(R42,$E$23:$E$26,$A$23:$A$26)+LOOKUP(R42,$E$23:$E$26,$D$23:$D$26)*(R42-LOOKUP(R42,$E$23:$E$26))/LOOKUP(R42,$E$23:$E$26,$C$23:$C$26)</f>
        <v>4.417980763199</v>
      </c>
      <c r="AI42" s="16" t="n">
        <f aca="false">LOOKUP(S42,$E$23:$E$26,$A$23:$A$26)+LOOKUP(S42,$E$23:$E$26,$D$23:$D$26)*(S42-LOOKUP(S42,$E$23:$E$26))/LOOKUP(S42,$E$23:$E$26,$C$23:$C$26)</f>
        <v>4.73978593812803</v>
      </c>
      <c r="AJ42" s="16" t="n">
        <f aca="false">SUM($T42:T42)</f>
        <v>5.51996507926113</v>
      </c>
      <c r="AK42" s="16" t="n">
        <f aca="false">SUM($T42:U42)</f>
        <v>11.3646547958727</v>
      </c>
      <c r="AL42" s="16" t="n">
        <f aca="false">SUM($T42:V42)</f>
        <v>16.2784322829053</v>
      </c>
      <c r="AM42" s="16" t="n">
        <f aca="false">SUM($T42:W42)</f>
        <v>21.2635032814414</v>
      </c>
      <c r="AN42" s="16" t="n">
        <f aca="false">SUM($T42:X42)</f>
        <v>26.5478988367992</v>
      </c>
      <c r="AO42" s="16" t="n">
        <f aca="false">SUM($T42:Y42)</f>
        <v>30.8859504753672</v>
      </c>
      <c r="AP42" s="16" t="n">
        <f aca="false">SUM($T42:Z42)</f>
        <v>35.6819960559583</v>
      </c>
      <c r="AQ42" s="16" t="n">
        <f aca="false">SUM($T42:AA42)</f>
        <v>40.2134689324658</v>
      </c>
      <c r="AR42" s="16" t="n">
        <f aca="false">SUM($T42:AB42)</f>
        <v>45.9500601356256</v>
      </c>
      <c r="AS42" s="16" t="n">
        <f aca="false">SUM($T42:AC42)</f>
        <v>51.017530435744</v>
      </c>
      <c r="AT42" s="16" t="n">
        <f aca="false">SUM($T42:AD42)</f>
        <v>56.4366644024854</v>
      </c>
      <c r="AU42" s="16" t="n">
        <f aca="false">SUM($T42:AE42)</f>
        <v>62.0825480631827</v>
      </c>
      <c r="AV42" s="16" t="n">
        <f aca="false">SUM($T42:AF42)</f>
        <v>66.2687825149771</v>
      </c>
      <c r="AW42" s="16" t="n">
        <f aca="false">SUM($T42:AG42)</f>
        <v>70.2971390937189</v>
      </c>
      <c r="AX42" s="16" t="n">
        <f aca="false">SUM($T42:AH42)</f>
        <v>74.7151198569179</v>
      </c>
      <c r="AY42" s="16" t="n">
        <f aca="false">SUM($T42:AI42)</f>
        <v>79.4549057950459</v>
      </c>
      <c r="AZ42" s="16" t="n">
        <f aca="false">MAX(C42-AJ42,0)</f>
        <v>62.6858282350771</v>
      </c>
      <c r="BA42" s="16" t="n">
        <f aca="false">MAX(C42-AK42,0)</f>
        <v>56.8411385184656</v>
      </c>
      <c r="BB42" s="16" t="n">
        <f aca="false">MAX(C42-AL42,0)</f>
        <v>51.9273610314329</v>
      </c>
      <c r="BC42" s="16" t="n">
        <f aca="false">MAX(C42-AM42,0)</f>
        <v>46.9422900328969</v>
      </c>
      <c r="BD42" s="16" t="n">
        <f aca="false">MAX(C42-AN42,0)</f>
        <v>41.657894477539</v>
      </c>
      <c r="BE42" s="16" t="n">
        <f aca="false">MAX(C42-AO42,0)</f>
        <v>37.319842838971</v>
      </c>
      <c r="BF42" s="16" t="n">
        <f aca="false">MAX(C42-AP42,0)</f>
        <v>32.52379725838</v>
      </c>
      <c r="BG42" s="16" t="n">
        <f aca="false">MAX(C42-AQ42,0)</f>
        <v>27.9923243818725</v>
      </c>
      <c r="BH42" s="16" t="n">
        <f aca="false">MAX(C42-AR42,0)</f>
        <v>22.2557331787127</v>
      </c>
      <c r="BI42" s="16" t="n">
        <f aca="false">MAX(C42-AS42,0)</f>
        <v>17.1882628785943</v>
      </c>
      <c r="BJ42" s="16" t="n">
        <f aca="false">MAX(C42-AT42,0)</f>
        <v>11.7691289118529</v>
      </c>
      <c r="BK42" s="16" t="n">
        <f aca="false">MAX(C42-AU42,0)</f>
        <v>6.12324525115554</v>
      </c>
      <c r="BL42" s="16" t="n">
        <f aca="false">MAX(C42-AV42,0)</f>
        <v>1.93701079936119</v>
      </c>
      <c r="BM42" s="16" t="n">
        <f aca="false">MAX(C42-AW42,0)</f>
        <v>0</v>
      </c>
      <c r="BN42" s="16" t="n">
        <f aca="false">MAX(C42-AX42,0)</f>
        <v>0</v>
      </c>
      <c r="BO42" s="16" t="n">
        <f aca="false">MAX(C42-AY42,0)</f>
        <v>0</v>
      </c>
    </row>
    <row r="43" customFormat="false" ht="15" hidden="false" customHeight="false" outlineLevel="0" collapsed="false">
      <c r="A43" s="3" t="n">
        <v>13</v>
      </c>
      <c r="B43" s="15" t="n">
        <f aca="true">RAND()</f>
        <v>0.688989691180044</v>
      </c>
      <c r="C43" s="16" t="n">
        <f aca="false">LOOKUP(B43,$E$12:$E$17,$A$12:$A$17)+LOOKUP(B43,$E$12:$E$17,$D$12:$D$17)*(B43-LOOKUP(B43,$E$12:$E$17))/LOOKUP(B43,$E$12:$E$17,$C$12:$C$17)</f>
        <v>66.9855670168578</v>
      </c>
      <c r="D43" s="15" t="n">
        <f aca="true">RAND()</f>
        <v>0.525753792839962</v>
      </c>
      <c r="E43" s="15" t="n">
        <f aca="true">RAND()</f>
        <v>0.991692399033844</v>
      </c>
      <c r="F43" s="15" t="n">
        <f aca="true">RAND()</f>
        <v>0.858321245581441</v>
      </c>
      <c r="G43" s="15" t="n">
        <f aca="true">RAND()</f>
        <v>0.670171873506994</v>
      </c>
      <c r="H43" s="15" t="n">
        <f aca="true">RAND()</f>
        <v>0.564402639756378</v>
      </c>
      <c r="I43" s="15" t="n">
        <f aca="true">RAND()</f>
        <v>0.430972398692702</v>
      </c>
      <c r="J43" s="15" t="n">
        <f aca="true">RAND()</f>
        <v>0.0924287171505475</v>
      </c>
      <c r="K43" s="15" t="n">
        <f aca="true">RAND()</f>
        <v>0.912661898924153</v>
      </c>
      <c r="L43" s="15" t="n">
        <f aca="true">RAND()</f>
        <v>0.660171364512027</v>
      </c>
      <c r="M43" s="15" t="n">
        <f aca="true">RAND()</f>
        <v>0.989474836137325</v>
      </c>
      <c r="N43" s="15" t="n">
        <f aca="true">RAND()</f>
        <v>0.451173731897762</v>
      </c>
      <c r="O43" s="15" t="n">
        <f aca="true">RAND()</f>
        <v>0.261101921727159</v>
      </c>
      <c r="P43" s="15" t="n">
        <f aca="true">RAND()</f>
        <v>0.879488728626813</v>
      </c>
      <c r="Q43" s="15" t="n">
        <f aca="true">RAND()</f>
        <v>0.316669842309894</v>
      </c>
      <c r="R43" s="15" t="n">
        <f aca="true">RAND()</f>
        <v>0.455108553932385</v>
      </c>
      <c r="S43" s="15" t="n">
        <f aca="true">RAND()</f>
        <v>0.541258442879551</v>
      </c>
      <c r="T43" s="16" t="n">
        <f aca="false">LOOKUP(D43,$E$23:$E$26,$A$23:$A$26)+LOOKUP(D43,$E$23:$E$26,$D$23:$D$26)*(D43-LOOKUP(D43,$E$23:$E$26))/LOOKUP(D43,$E$23:$E$26,$C$23:$C$26)</f>
        <v>4.78219224104995</v>
      </c>
      <c r="U43" s="16" t="n">
        <f aca="false">LOOKUP(E43,$E$23:$E$26,$A$23:$A$26)+LOOKUP(E43,$E$23:$E$26,$D$23:$D$26)*(E43-LOOKUP(E43,$E$23:$E$26))/LOOKUP(E43,$E$23:$E$26,$C$23:$C$26)</f>
        <v>5.95846199516922</v>
      </c>
      <c r="V43" s="16" t="n">
        <f aca="false">LOOKUP(F43,$E$23:$E$26,$A$23:$A$26)+LOOKUP(F43,$E$23:$E$26,$D$23:$D$26)*(F43-LOOKUP(F43,$E$23:$E$26))/LOOKUP(F43,$E$23:$E$26,$C$23:$C$26)</f>
        <v>5.3958031139536</v>
      </c>
      <c r="W43" s="16" t="n">
        <f aca="false">LOOKUP(G43,$E$23:$E$26,$A$23:$A$26)+LOOKUP(G43,$E$23:$E$26,$D$23:$D$26)*(G43-LOOKUP(G43,$E$23:$E$26))/LOOKUP(G43,$E$23:$E$26,$C$23:$C$26)</f>
        <v>4.96271484188374</v>
      </c>
      <c r="X43" s="16" t="n">
        <f aca="false">LOOKUP(H43,$E$23:$E$26,$A$23:$A$26)+LOOKUP(H43,$E$23:$E$26,$D$23:$D$26)*(H43-LOOKUP(H43,$E$23:$E$26))/LOOKUP(H43,$E$23:$E$26,$C$23:$C$26)</f>
        <v>4.83050329969547</v>
      </c>
      <c r="Y43" s="16" t="n">
        <f aca="false">LOOKUP(I43,$E$23:$E$26,$A$23:$A$26)+LOOKUP(I43,$E$23:$E$26,$D$23:$D$26)*(I43-LOOKUP(I43,$E$23:$E$26))/LOOKUP(I43,$E$23:$E$26,$C$23:$C$26)</f>
        <v>4.66371549836588</v>
      </c>
      <c r="Z43" s="16" t="n">
        <f aca="false">LOOKUP(J43,$E$23:$E$26,$A$23:$A$26)+LOOKUP(J43,$E$23:$E$26,$D$23:$D$26)*(J43-LOOKUP(J43,$E$23:$E$26))/LOOKUP(J43,$E$23:$E$26,$C$23:$C$26)</f>
        <v>4.15404786191758</v>
      </c>
      <c r="AA43" s="16" t="n">
        <f aca="false">LOOKUP(K43,$E$23:$E$26,$A$23:$A$26)+LOOKUP(K43,$E$23:$E$26,$D$23:$D$26)*(K43-LOOKUP(K43,$E$23:$E$26))/LOOKUP(K43,$E$23:$E$26,$C$23:$C$26)</f>
        <v>5.56330949462076</v>
      </c>
      <c r="AB43" s="16" t="n">
        <f aca="false">LOOKUP(L43,$E$23:$E$26,$A$23:$A$26)+LOOKUP(L43,$E$23:$E$26,$D$23:$D$26)*(L43-LOOKUP(L43,$E$23:$E$26))/LOOKUP(L43,$E$23:$E$26,$C$23:$C$26)</f>
        <v>4.95021420564003</v>
      </c>
      <c r="AC43" s="16" t="n">
        <f aca="false">LOOKUP(M43,$E$23:$E$26,$A$23:$A$26)+LOOKUP(M43,$E$23:$E$26,$D$23:$D$26)*(M43-LOOKUP(M43,$E$23:$E$26))/LOOKUP(M43,$E$23:$E$26,$C$23:$C$26)</f>
        <v>5.94737418068663</v>
      </c>
      <c r="AD43" s="16" t="n">
        <f aca="false">LOOKUP(N43,$E$23:$E$26,$A$23:$A$26)+LOOKUP(N43,$E$23:$E$26,$D$23:$D$26)*(N43-LOOKUP(N43,$E$23:$E$26))/LOOKUP(N43,$E$23:$E$26,$C$23:$C$26)</f>
        <v>4.6889671648722</v>
      </c>
      <c r="AE43" s="16" t="n">
        <f aca="false">LOOKUP(O43,$E$23:$E$26,$A$23:$A$26)+LOOKUP(O43,$E$23:$E$26,$D$23:$D$26)*(O43-LOOKUP(O43,$E$23:$E$26))/LOOKUP(O43,$E$23:$E$26,$C$23:$C$26)</f>
        <v>4.43516986954527</v>
      </c>
      <c r="AF43" s="16" t="n">
        <f aca="false">LOOKUP(P43,$E$23:$E$26,$A$23:$A$26)+LOOKUP(P43,$E$23:$E$26,$D$23:$D$26)*(P43-LOOKUP(P43,$E$23:$E$26))/LOOKUP(P43,$E$23:$E$26,$C$23:$C$26)</f>
        <v>5.44872182156703</v>
      </c>
      <c r="AG43" s="16" t="n">
        <f aca="false">LOOKUP(Q43,$E$23:$E$26,$A$23:$A$26)+LOOKUP(Q43,$E$23:$E$26,$D$23:$D$26)*(Q43-LOOKUP(Q43,$E$23:$E$26))/LOOKUP(Q43,$E$23:$E$26,$C$23:$C$26)</f>
        <v>4.52083730288737</v>
      </c>
      <c r="AH43" s="16" t="n">
        <f aca="false">LOOKUP(R43,$E$23:$E$26,$A$23:$A$26)+LOOKUP(R43,$E$23:$E$26,$D$23:$D$26)*(R43-LOOKUP(R43,$E$23:$E$26))/LOOKUP(R43,$E$23:$E$26,$C$23:$C$26)</f>
        <v>4.69388569241548</v>
      </c>
      <c r="AI43" s="16" t="n">
        <f aca="false">LOOKUP(S43,$E$23:$E$26,$A$23:$A$26)+LOOKUP(S43,$E$23:$E$26,$D$23:$D$26)*(S43-LOOKUP(S43,$E$23:$E$26))/LOOKUP(S43,$E$23:$E$26,$C$23:$C$26)</f>
        <v>4.80157305359944</v>
      </c>
      <c r="AJ43" s="16" t="n">
        <f aca="false">SUM($T43:T43)</f>
        <v>4.78219224104995</v>
      </c>
      <c r="AK43" s="16" t="n">
        <f aca="false">SUM($T43:U43)</f>
        <v>10.7406542362192</v>
      </c>
      <c r="AL43" s="16" t="n">
        <f aca="false">SUM($T43:V43)</f>
        <v>16.1364573501728</v>
      </c>
      <c r="AM43" s="16" t="n">
        <f aca="false">SUM($T43:W43)</f>
        <v>21.0991721920565</v>
      </c>
      <c r="AN43" s="16" t="n">
        <f aca="false">SUM($T43:X43)</f>
        <v>25.929675491752</v>
      </c>
      <c r="AO43" s="16" t="n">
        <f aca="false">SUM($T43:Y43)</f>
        <v>30.5933909901179</v>
      </c>
      <c r="AP43" s="16" t="n">
        <f aca="false">SUM($T43:Z43)</f>
        <v>34.7474388520354</v>
      </c>
      <c r="AQ43" s="16" t="n">
        <f aca="false">SUM($T43:AA43)</f>
        <v>40.3107483466562</v>
      </c>
      <c r="AR43" s="16" t="n">
        <f aca="false">SUM($T43:AB43)</f>
        <v>45.2609625522963</v>
      </c>
      <c r="AS43" s="16" t="n">
        <f aca="false">SUM($T43:AC43)</f>
        <v>51.2083367329829</v>
      </c>
      <c r="AT43" s="16" t="n">
        <f aca="false">SUM($T43:AD43)</f>
        <v>55.8973038978551</v>
      </c>
      <c r="AU43" s="16" t="n">
        <f aca="false">SUM($T43:AE43)</f>
        <v>60.3324737674003</v>
      </c>
      <c r="AV43" s="16" t="n">
        <f aca="false">SUM($T43:AF43)</f>
        <v>65.7811955889674</v>
      </c>
      <c r="AW43" s="16" t="n">
        <f aca="false">SUM($T43:AG43)</f>
        <v>70.3020328918547</v>
      </c>
      <c r="AX43" s="16" t="n">
        <f aca="false">SUM($T43:AH43)</f>
        <v>74.9959185842702</v>
      </c>
      <c r="AY43" s="16" t="n">
        <f aca="false">SUM($T43:AI43)</f>
        <v>79.7974916378697</v>
      </c>
      <c r="AZ43" s="16" t="n">
        <f aca="false">MAX(C43-AJ43,0)</f>
        <v>62.2033747758078</v>
      </c>
      <c r="BA43" s="16" t="n">
        <f aca="false">MAX(C43-AK43,0)</f>
        <v>56.2449127806386</v>
      </c>
      <c r="BB43" s="16" t="n">
        <f aca="false">MAX(C43-AL43,0)</f>
        <v>50.849109666685</v>
      </c>
      <c r="BC43" s="16" t="n">
        <f aca="false">MAX(C43-AM43,0)</f>
        <v>45.8863948248013</v>
      </c>
      <c r="BD43" s="16" t="n">
        <f aca="false">MAX(C43-AN43,0)</f>
        <v>41.0558915251058</v>
      </c>
      <c r="BE43" s="16" t="n">
        <f aca="false">MAX(C43-AO43,0)</f>
        <v>36.3921760267399</v>
      </c>
      <c r="BF43" s="16" t="n">
        <f aca="false">MAX(C43-AP43,0)</f>
        <v>32.2381281648223</v>
      </c>
      <c r="BG43" s="16" t="n">
        <f aca="false">MAX(C43-AQ43,0)</f>
        <v>26.6748186702016</v>
      </c>
      <c r="BH43" s="16" t="n">
        <f aca="false">MAX(C43-AR43,0)</f>
        <v>21.7246044645615</v>
      </c>
      <c r="BI43" s="16" t="n">
        <f aca="false">MAX(C43-AS43,0)</f>
        <v>15.7772302838749</v>
      </c>
      <c r="BJ43" s="16" t="n">
        <f aca="false">MAX(C43-AT43,0)</f>
        <v>11.0882631190027</v>
      </c>
      <c r="BK43" s="16" t="n">
        <f aca="false">MAX(C43-AU43,0)</f>
        <v>6.65309324945744</v>
      </c>
      <c r="BL43" s="16" t="n">
        <f aca="false">MAX(C43-AV43,0)</f>
        <v>1.20437142789041</v>
      </c>
      <c r="BM43" s="16" t="n">
        <f aca="false">MAX(C43-AW43,0)</f>
        <v>0</v>
      </c>
      <c r="BN43" s="16" t="n">
        <f aca="false">MAX(C43-AX43,0)</f>
        <v>0</v>
      </c>
      <c r="BO43" s="16" t="n">
        <f aca="false">MAX(C43-AY43,0)</f>
        <v>0</v>
      </c>
    </row>
    <row r="44" customFormat="false" ht="15" hidden="false" customHeight="false" outlineLevel="0" collapsed="false">
      <c r="A44" s="3" t="n">
        <v>14</v>
      </c>
      <c r="B44" s="15" t="n">
        <f aca="true">RAND()</f>
        <v>0.967657092729622</v>
      </c>
      <c r="C44" s="16" t="n">
        <f aca="false">LOOKUP(B44,$E$12:$E$17,$A$12:$A$17)+LOOKUP(B44,$E$12:$E$17,$D$12:$D$17)*(B44-LOOKUP(B44,$E$12:$E$17))/LOOKUP(B44,$E$12:$E$17,$C$12:$C$17)</f>
        <v>79.2285682956014</v>
      </c>
      <c r="D44" s="15" t="n">
        <f aca="true">RAND()</f>
        <v>0.449801313538612</v>
      </c>
      <c r="E44" s="15" t="n">
        <f aca="true">RAND()</f>
        <v>0.957698765236522</v>
      </c>
      <c r="F44" s="15" t="n">
        <f aca="true">RAND()</f>
        <v>0.520619875206801</v>
      </c>
      <c r="G44" s="15" t="n">
        <f aca="true">RAND()</f>
        <v>0.0767402915916656</v>
      </c>
      <c r="H44" s="15" t="n">
        <f aca="true">RAND()</f>
        <v>0.486359754572124</v>
      </c>
      <c r="I44" s="15" t="n">
        <f aca="true">RAND()</f>
        <v>0.641215309318916</v>
      </c>
      <c r="J44" s="15" t="n">
        <f aca="true">RAND()</f>
        <v>0.711623404426726</v>
      </c>
      <c r="K44" s="15" t="n">
        <f aca="true">RAND()</f>
        <v>0.0502335506879363</v>
      </c>
      <c r="L44" s="15" t="n">
        <f aca="true">RAND()</f>
        <v>0.982769481067939</v>
      </c>
      <c r="M44" s="15" t="n">
        <f aca="true">RAND()</f>
        <v>0.585686467333138</v>
      </c>
      <c r="N44" s="15" t="n">
        <f aca="true">RAND()</f>
        <v>0.742735836483672</v>
      </c>
      <c r="O44" s="15" t="n">
        <f aca="true">RAND()</f>
        <v>0.847792174476583</v>
      </c>
      <c r="P44" s="15" t="n">
        <f aca="true">RAND()</f>
        <v>0.821049962666801</v>
      </c>
      <c r="Q44" s="15" t="n">
        <f aca="true">RAND()</f>
        <v>0.447834120433052</v>
      </c>
      <c r="R44" s="15" t="n">
        <f aca="true">RAND()</f>
        <v>0.49261392524049</v>
      </c>
      <c r="S44" s="15" t="n">
        <f aca="true">RAND()</f>
        <v>0.909353711974827</v>
      </c>
      <c r="T44" s="16" t="n">
        <f aca="false">LOOKUP(D44,$E$23:$E$26,$A$23:$A$26)+LOOKUP(D44,$E$23:$E$26,$D$23:$D$26)*(D44-LOOKUP(D44,$E$23:$E$26))/LOOKUP(D44,$E$23:$E$26,$C$23:$C$26)</f>
        <v>4.68725164192327</v>
      </c>
      <c r="U44" s="16" t="n">
        <f aca="false">LOOKUP(E44,$E$23:$E$26,$A$23:$A$26)+LOOKUP(E44,$E$23:$E$26,$D$23:$D$26)*(E44-LOOKUP(E44,$E$23:$E$26))/LOOKUP(E44,$E$23:$E$26,$C$23:$C$26)</f>
        <v>5.78849382618261</v>
      </c>
      <c r="V44" s="16" t="n">
        <f aca="false">LOOKUP(F44,$E$23:$E$26,$A$23:$A$26)+LOOKUP(F44,$E$23:$E$26,$D$23:$D$26)*(F44-LOOKUP(F44,$E$23:$E$26))/LOOKUP(F44,$E$23:$E$26,$C$23:$C$26)</f>
        <v>4.7757748440085</v>
      </c>
      <c r="W44" s="16" t="n">
        <f aca="false">LOOKUP(G44,$E$23:$E$26,$A$23:$A$26)+LOOKUP(G44,$E$23:$E$26,$D$23:$D$26)*(G44-LOOKUP(G44,$E$23:$E$26))/LOOKUP(G44,$E$23:$E$26,$C$23:$C$26)</f>
        <v>4.12790048598611</v>
      </c>
      <c r="X44" s="16" t="n">
        <f aca="false">LOOKUP(H44,$E$23:$E$26,$A$23:$A$26)+LOOKUP(H44,$E$23:$E$26,$D$23:$D$26)*(H44-LOOKUP(H44,$E$23:$E$26))/LOOKUP(H44,$E$23:$E$26,$C$23:$C$26)</f>
        <v>4.73294969321515</v>
      </c>
      <c r="Y44" s="16" t="n">
        <f aca="false">LOOKUP(I44,$E$23:$E$26,$A$23:$A$26)+LOOKUP(I44,$E$23:$E$26,$D$23:$D$26)*(I44-LOOKUP(I44,$E$23:$E$26))/LOOKUP(I44,$E$23:$E$26,$C$23:$C$26)</f>
        <v>4.92651913664865</v>
      </c>
      <c r="Z44" s="16" t="n">
        <f aca="false">LOOKUP(J44,$E$23:$E$26,$A$23:$A$26)+LOOKUP(J44,$E$23:$E$26,$D$23:$D$26)*(J44-LOOKUP(J44,$E$23:$E$26))/LOOKUP(J44,$E$23:$E$26,$C$23:$C$26)</f>
        <v>5.02905851106682</v>
      </c>
      <c r="AA44" s="16" t="n">
        <f aca="false">LOOKUP(K44,$E$23:$E$26,$A$23:$A$26)+LOOKUP(K44,$E$23:$E$26,$D$23:$D$26)*(K44-LOOKUP(K44,$E$23:$E$26))/LOOKUP(K44,$E$23:$E$26,$C$23:$C$26)</f>
        <v>4.08372258447989</v>
      </c>
      <c r="AB44" s="16" t="n">
        <f aca="false">LOOKUP(L44,$E$23:$E$26,$A$23:$A$26)+LOOKUP(L44,$E$23:$E$26,$D$23:$D$26)*(L44-LOOKUP(L44,$E$23:$E$26))/LOOKUP(L44,$E$23:$E$26,$C$23:$C$26)</f>
        <v>5.91384740533969</v>
      </c>
      <c r="AC44" s="16" t="n">
        <f aca="false">LOOKUP(M44,$E$23:$E$26,$A$23:$A$26)+LOOKUP(M44,$E$23:$E$26,$D$23:$D$26)*(M44-LOOKUP(M44,$E$23:$E$26))/LOOKUP(M44,$E$23:$E$26,$C$23:$C$26)</f>
        <v>4.85710808416642</v>
      </c>
      <c r="AD44" s="16" t="n">
        <f aca="false">LOOKUP(N44,$E$23:$E$26,$A$23:$A$26)+LOOKUP(N44,$E$23:$E$26,$D$23:$D$26)*(N44-LOOKUP(N44,$E$23:$E$26))/LOOKUP(N44,$E$23:$E$26,$C$23:$C$26)</f>
        <v>5.10683959120918</v>
      </c>
      <c r="AE44" s="16" t="n">
        <f aca="false">LOOKUP(O44,$E$23:$E$26,$A$23:$A$26)+LOOKUP(O44,$E$23:$E$26,$D$23:$D$26)*(O44-LOOKUP(O44,$E$23:$E$26))/LOOKUP(O44,$E$23:$E$26,$C$23:$C$26)</f>
        <v>5.36948043619146</v>
      </c>
      <c r="AF44" s="16" t="n">
        <f aca="false">LOOKUP(P44,$E$23:$E$26,$A$23:$A$26)+LOOKUP(P44,$E$23:$E$26,$D$23:$D$26)*(P44-LOOKUP(P44,$E$23:$E$26))/LOOKUP(P44,$E$23:$E$26,$C$23:$C$26)</f>
        <v>5.302624906667</v>
      </c>
      <c r="AG44" s="16" t="n">
        <f aca="false">LOOKUP(Q44,$E$23:$E$26,$A$23:$A$26)+LOOKUP(Q44,$E$23:$E$26,$D$23:$D$26)*(Q44-LOOKUP(Q44,$E$23:$E$26))/LOOKUP(Q44,$E$23:$E$26,$C$23:$C$26)</f>
        <v>4.68479265054132</v>
      </c>
      <c r="AH44" s="16" t="n">
        <f aca="false">LOOKUP(R44,$E$23:$E$26,$A$23:$A$26)+LOOKUP(R44,$E$23:$E$26,$D$23:$D$26)*(R44-LOOKUP(R44,$E$23:$E$26))/LOOKUP(R44,$E$23:$E$26,$C$23:$C$26)</f>
        <v>4.74076740655061</v>
      </c>
      <c r="AI44" s="16" t="n">
        <f aca="false">LOOKUP(S44,$E$23:$E$26,$A$23:$A$26)+LOOKUP(S44,$E$23:$E$26,$D$23:$D$26)*(S44-LOOKUP(S44,$E$23:$E$26))/LOOKUP(S44,$E$23:$E$26,$C$23:$C$26)</f>
        <v>5.54676855987414</v>
      </c>
      <c r="AJ44" s="16" t="n">
        <f aca="false">SUM($T44:T44)</f>
        <v>4.68725164192327</v>
      </c>
      <c r="AK44" s="16" t="n">
        <f aca="false">SUM($T44:U44)</f>
        <v>10.4757454681059</v>
      </c>
      <c r="AL44" s="16" t="n">
        <f aca="false">SUM($T44:V44)</f>
        <v>15.2515203121144</v>
      </c>
      <c r="AM44" s="16" t="n">
        <f aca="false">SUM($T44:W44)</f>
        <v>19.3794207981005</v>
      </c>
      <c r="AN44" s="16" t="n">
        <f aca="false">SUM($T44:X44)</f>
        <v>24.1123704913156</v>
      </c>
      <c r="AO44" s="16" t="n">
        <f aca="false">SUM($T44:Y44)</f>
        <v>29.0388896279643</v>
      </c>
      <c r="AP44" s="16" t="n">
        <f aca="false">SUM($T44:Z44)</f>
        <v>34.0679481390311</v>
      </c>
      <c r="AQ44" s="16" t="n">
        <f aca="false">SUM($T44:AA44)</f>
        <v>38.151670723511</v>
      </c>
      <c r="AR44" s="16" t="n">
        <f aca="false">SUM($T44:AB44)</f>
        <v>44.0655181288507</v>
      </c>
      <c r="AS44" s="16" t="n">
        <f aca="false">SUM($T44:AC44)</f>
        <v>48.9226262130171</v>
      </c>
      <c r="AT44" s="16" t="n">
        <f aca="false">SUM($T44:AD44)</f>
        <v>54.0294658042263</v>
      </c>
      <c r="AU44" s="16" t="n">
        <f aca="false">SUM($T44:AE44)</f>
        <v>59.3989462404178</v>
      </c>
      <c r="AV44" s="16" t="n">
        <f aca="false">SUM($T44:AF44)</f>
        <v>64.7015711470848</v>
      </c>
      <c r="AW44" s="16" t="n">
        <f aca="false">SUM($T44:AG44)</f>
        <v>69.3863637976261</v>
      </c>
      <c r="AX44" s="16" t="n">
        <f aca="false">SUM($T44:AH44)</f>
        <v>74.1271312041767</v>
      </c>
      <c r="AY44" s="16" t="n">
        <f aca="false">SUM($T44:AI44)</f>
        <v>79.6738997640508</v>
      </c>
      <c r="AZ44" s="16" t="n">
        <f aca="false">MAX(C44-AJ44,0)</f>
        <v>74.5413166536781</v>
      </c>
      <c r="BA44" s="16" t="n">
        <f aca="false">MAX(C44-AK44,0)</f>
        <v>68.7528228274955</v>
      </c>
      <c r="BB44" s="16" t="n">
        <f aca="false">MAX(C44-AL44,0)</f>
        <v>63.977047983487</v>
      </c>
      <c r="BC44" s="16" t="n">
        <f aca="false">MAX(C44-AM44,0)</f>
        <v>59.8491474975009</v>
      </c>
      <c r="BD44" s="16" t="n">
        <f aca="false">MAX(C44-AN44,0)</f>
        <v>55.1161978042857</v>
      </c>
      <c r="BE44" s="16" t="n">
        <f aca="false">MAX(C44-AO44,0)</f>
        <v>50.1896786676371</v>
      </c>
      <c r="BF44" s="16" t="n">
        <f aca="false">MAX(C44-AP44,0)</f>
        <v>45.1606201565703</v>
      </c>
      <c r="BG44" s="16" t="n">
        <f aca="false">MAX(C44-AQ44,0)</f>
        <v>41.0768975720904</v>
      </c>
      <c r="BH44" s="16" t="n">
        <f aca="false">MAX(C44-AR44,0)</f>
        <v>35.1630501667507</v>
      </c>
      <c r="BI44" s="16" t="n">
        <f aca="false">MAX(C44-AS44,0)</f>
        <v>30.3059420825843</v>
      </c>
      <c r="BJ44" s="16" t="n">
        <f aca="false">MAX(C44-AT44,0)</f>
        <v>25.1991024913751</v>
      </c>
      <c r="BK44" s="16" t="n">
        <f aca="false">MAX(C44-AU44,0)</f>
        <v>19.8296220551836</v>
      </c>
      <c r="BL44" s="16" t="n">
        <f aca="false">MAX(C44-AV44,0)</f>
        <v>14.5269971485166</v>
      </c>
      <c r="BM44" s="16" t="n">
        <f aca="false">MAX(C44-AW44,0)</f>
        <v>9.84220449797532</v>
      </c>
      <c r="BN44" s="16" t="n">
        <f aca="false">MAX(C44-AX44,0)</f>
        <v>5.1014370914247</v>
      </c>
      <c r="BO44" s="16" t="n">
        <f aca="false">MAX(C44-AY44,0)</f>
        <v>0</v>
      </c>
    </row>
    <row r="45" customFormat="false" ht="15" hidden="false" customHeight="false" outlineLevel="0" collapsed="false">
      <c r="A45" s="3" t="n">
        <v>15</v>
      </c>
      <c r="B45" s="15" t="n">
        <f aca="true">RAND()</f>
        <v>0.294722650959664</v>
      </c>
      <c r="C45" s="16" t="n">
        <f aca="false">LOOKUP(B45,$E$12:$E$17,$A$12:$A$17)+LOOKUP(B45,$E$12:$E$17,$D$12:$D$17)*(B45-LOOKUP(B45,$E$12:$E$17))/LOOKUP(B45,$E$12:$E$17,$C$12:$C$17)</f>
        <v>60.7453775159944</v>
      </c>
      <c r="D45" s="15" t="n">
        <f aca="true">RAND()</f>
        <v>0.695930997389517</v>
      </c>
      <c r="E45" s="15" t="n">
        <f aca="true">RAND()</f>
        <v>0.59873521108414</v>
      </c>
      <c r="F45" s="15" t="n">
        <f aca="true">RAND()</f>
        <v>0.805799432824938</v>
      </c>
      <c r="G45" s="15" t="n">
        <f aca="true">RAND()</f>
        <v>0.244407962054082</v>
      </c>
      <c r="H45" s="15" t="n">
        <f aca="true">RAND()</f>
        <v>0.144841266248024</v>
      </c>
      <c r="I45" s="15" t="n">
        <f aca="true">RAND()</f>
        <v>0.164371959011691</v>
      </c>
      <c r="J45" s="15" t="n">
        <f aca="true">RAND()</f>
        <v>0.29927731272591</v>
      </c>
      <c r="K45" s="15" t="n">
        <f aca="true">RAND()</f>
        <v>0.135785497318402</v>
      </c>
      <c r="L45" s="15" t="n">
        <f aca="true">RAND()</f>
        <v>0.041489498419999</v>
      </c>
      <c r="M45" s="15" t="n">
        <f aca="true">RAND()</f>
        <v>0.553894432349893</v>
      </c>
      <c r="N45" s="15" t="n">
        <f aca="true">RAND()</f>
        <v>0.081145658204264</v>
      </c>
      <c r="O45" s="15" t="n">
        <f aca="true">RAND()</f>
        <v>0.927890955761759</v>
      </c>
      <c r="P45" s="15" t="n">
        <f aca="true">RAND()</f>
        <v>0.124550335364258</v>
      </c>
      <c r="Q45" s="15" t="n">
        <f aca="true">RAND()</f>
        <v>0.241625252204208</v>
      </c>
      <c r="R45" s="15" t="n">
        <f aca="true">RAND()</f>
        <v>0.742389843139687</v>
      </c>
      <c r="S45" s="15" t="n">
        <f aca="true">RAND()</f>
        <v>0.665449294050794</v>
      </c>
      <c r="T45" s="16" t="n">
        <f aca="false">LOOKUP(D45,$E$23:$E$26,$A$23:$A$26)+LOOKUP(D45,$E$23:$E$26,$D$23:$D$26)*(D45-LOOKUP(D45,$E$23:$E$26))/LOOKUP(D45,$E$23:$E$26,$C$23:$C$26)</f>
        <v>4.9949137467369</v>
      </c>
      <c r="U45" s="16" t="n">
        <f aca="false">LOOKUP(E45,$E$23:$E$26,$A$23:$A$26)+LOOKUP(E45,$E$23:$E$26,$D$23:$D$26)*(E45-LOOKUP(E45,$E$23:$E$26))/LOOKUP(E45,$E$23:$E$26,$C$23:$C$26)</f>
        <v>4.87341901385518</v>
      </c>
      <c r="V45" s="16" t="n">
        <f aca="false">LOOKUP(F45,$E$23:$E$26,$A$23:$A$26)+LOOKUP(F45,$E$23:$E$26,$D$23:$D$26)*(F45-LOOKUP(F45,$E$23:$E$26))/LOOKUP(F45,$E$23:$E$26,$C$23:$C$26)</f>
        <v>5.26449858206235</v>
      </c>
      <c r="W45" s="16" t="n">
        <f aca="false">LOOKUP(G45,$E$23:$E$26,$A$23:$A$26)+LOOKUP(G45,$E$23:$E$26,$D$23:$D$26)*(G45-LOOKUP(G45,$E$23:$E$26))/LOOKUP(G45,$E$23:$E$26,$C$23:$C$26)</f>
        <v>4.40734660342347</v>
      </c>
      <c r="X45" s="16" t="n">
        <f aca="false">LOOKUP(H45,$E$23:$E$26,$A$23:$A$26)+LOOKUP(H45,$E$23:$E$26,$D$23:$D$26)*(H45-LOOKUP(H45,$E$23:$E$26))/LOOKUP(H45,$E$23:$E$26,$C$23:$C$26)</f>
        <v>4.24140211041337</v>
      </c>
      <c r="Y45" s="16" t="n">
        <f aca="false">LOOKUP(I45,$E$23:$E$26,$A$23:$A$26)+LOOKUP(I45,$E$23:$E$26,$D$23:$D$26)*(I45-LOOKUP(I45,$E$23:$E$26))/LOOKUP(I45,$E$23:$E$26,$C$23:$C$26)</f>
        <v>4.27395326501949</v>
      </c>
      <c r="Z45" s="16" t="n">
        <f aca="false">LOOKUP(J45,$E$23:$E$26,$A$23:$A$26)+LOOKUP(J45,$E$23:$E$26,$D$23:$D$26)*(J45-LOOKUP(J45,$E$23:$E$26))/LOOKUP(J45,$E$23:$E$26,$C$23:$C$26)</f>
        <v>4.49879552120985</v>
      </c>
      <c r="AA45" s="16" t="n">
        <f aca="false">LOOKUP(K45,$E$23:$E$26,$A$23:$A$26)+LOOKUP(K45,$E$23:$E$26,$D$23:$D$26)*(K45-LOOKUP(K45,$E$23:$E$26))/LOOKUP(K45,$E$23:$E$26,$C$23:$C$26)</f>
        <v>4.22630916219734</v>
      </c>
      <c r="AB45" s="16" t="n">
        <f aca="false">LOOKUP(L45,$E$23:$E$26,$A$23:$A$26)+LOOKUP(L45,$E$23:$E$26,$D$23:$D$26)*(L45-LOOKUP(L45,$E$23:$E$26))/LOOKUP(L45,$E$23:$E$26,$C$23:$C$26)</f>
        <v>4.06914916403333</v>
      </c>
      <c r="AC45" s="16" t="n">
        <f aca="false">LOOKUP(M45,$E$23:$E$26,$A$23:$A$26)+LOOKUP(M45,$E$23:$E$26,$D$23:$D$26)*(M45-LOOKUP(M45,$E$23:$E$26))/LOOKUP(M45,$E$23:$E$26,$C$23:$C$26)</f>
        <v>4.81736804043737</v>
      </c>
      <c r="AD45" s="16" t="n">
        <f aca="false">LOOKUP(N45,$E$23:$E$26,$A$23:$A$26)+LOOKUP(N45,$E$23:$E$26,$D$23:$D$26)*(N45-LOOKUP(N45,$E$23:$E$26))/LOOKUP(N45,$E$23:$E$26,$C$23:$C$26)</f>
        <v>4.13524276367377</v>
      </c>
      <c r="AE45" s="16" t="n">
        <f aca="false">LOOKUP(O45,$E$23:$E$26,$A$23:$A$26)+LOOKUP(O45,$E$23:$E$26,$D$23:$D$26)*(O45-LOOKUP(O45,$E$23:$E$26))/LOOKUP(O45,$E$23:$E$26,$C$23:$C$26)</f>
        <v>5.63945477880879</v>
      </c>
      <c r="AF45" s="16" t="n">
        <f aca="false">LOOKUP(P45,$E$23:$E$26,$A$23:$A$26)+LOOKUP(P45,$E$23:$E$26,$D$23:$D$26)*(P45-LOOKUP(P45,$E$23:$E$26))/LOOKUP(P45,$E$23:$E$26,$C$23:$C$26)</f>
        <v>4.20758389227376</v>
      </c>
      <c r="AG45" s="16" t="n">
        <f aca="false">LOOKUP(Q45,$E$23:$E$26,$A$23:$A$26)+LOOKUP(Q45,$E$23:$E$26,$D$23:$D$26)*(Q45-LOOKUP(Q45,$E$23:$E$26))/LOOKUP(Q45,$E$23:$E$26,$C$23:$C$26)</f>
        <v>4.40270875367368</v>
      </c>
      <c r="AH45" s="16" t="n">
        <f aca="false">LOOKUP(R45,$E$23:$E$26,$A$23:$A$26)+LOOKUP(R45,$E$23:$E$26,$D$23:$D$26)*(R45-LOOKUP(R45,$E$23:$E$26))/LOOKUP(R45,$E$23:$E$26,$C$23:$C$26)</f>
        <v>5.10597460784922</v>
      </c>
      <c r="AI45" s="16" t="n">
        <f aca="false">LOOKUP(S45,$E$23:$E$26,$A$23:$A$26)+LOOKUP(S45,$E$23:$E$26,$D$23:$D$26)*(S45-LOOKUP(S45,$E$23:$E$26))/LOOKUP(S45,$E$23:$E$26,$C$23:$C$26)</f>
        <v>4.95681161756349</v>
      </c>
      <c r="AJ45" s="16" t="n">
        <f aca="false">SUM($T45:T45)</f>
        <v>4.9949137467369</v>
      </c>
      <c r="AK45" s="16" t="n">
        <f aca="false">SUM($T45:U45)</f>
        <v>9.86833276059207</v>
      </c>
      <c r="AL45" s="16" t="n">
        <f aca="false">SUM($T45:V45)</f>
        <v>15.1328313426544</v>
      </c>
      <c r="AM45" s="16" t="n">
        <f aca="false">SUM($T45:W45)</f>
        <v>19.5401779460779</v>
      </c>
      <c r="AN45" s="16" t="n">
        <f aca="false">SUM($T45:X45)</f>
        <v>23.7815800564913</v>
      </c>
      <c r="AO45" s="16" t="n">
        <f aca="false">SUM($T45:Y45)</f>
        <v>28.0555333215107</v>
      </c>
      <c r="AP45" s="16" t="n">
        <f aca="false">SUM($T45:Z45)</f>
        <v>32.5543288427206</v>
      </c>
      <c r="AQ45" s="16" t="n">
        <f aca="false">SUM($T45:AA45)</f>
        <v>36.7806380049179</v>
      </c>
      <c r="AR45" s="16" t="n">
        <f aca="false">SUM($T45:AB45)</f>
        <v>40.8497871689513</v>
      </c>
      <c r="AS45" s="16" t="n">
        <f aca="false">SUM($T45:AC45)</f>
        <v>45.6671552093886</v>
      </c>
      <c r="AT45" s="16" t="n">
        <f aca="false">SUM($T45:AD45)</f>
        <v>49.8023979730624</v>
      </c>
      <c r="AU45" s="16" t="n">
        <f aca="false">SUM($T45:AE45)</f>
        <v>55.4418527518712</v>
      </c>
      <c r="AV45" s="16" t="n">
        <f aca="false">SUM($T45:AF45)</f>
        <v>59.649436644145</v>
      </c>
      <c r="AW45" s="16" t="n">
        <f aca="false">SUM($T45:AG45)</f>
        <v>64.0521453978187</v>
      </c>
      <c r="AX45" s="16" t="n">
        <f aca="false">SUM($T45:AH45)</f>
        <v>69.1581200056679</v>
      </c>
      <c r="AY45" s="16" t="n">
        <f aca="false">SUM($T45:AI45)</f>
        <v>74.1149316232313</v>
      </c>
      <c r="AZ45" s="16" t="n">
        <f aca="false">MAX(C45-AJ45,0)</f>
        <v>55.7504637692575</v>
      </c>
      <c r="BA45" s="16" t="n">
        <f aca="false">MAX(C45-AK45,0)</f>
        <v>50.8770447554023</v>
      </c>
      <c r="BB45" s="16" t="n">
        <f aca="false">MAX(C45-AL45,0)</f>
        <v>45.61254617334</v>
      </c>
      <c r="BC45" s="16" t="n">
        <f aca="false">MAX(C45-AM45,0)</f>
        <v>41.2051995699165</v>
      </c>
      <c r="BD45" s="16" t="n">
        <f aca="false">MAX(C45-AN45,0)</f>
        <v>36.9637974595031</v>
      </c>
      <c r="BE45" s="16" t="n">
        <f aca="false">MAX(C45-AO45,0)</f>
        <v>32.6898441944836</v>
      </c>
      <c r="BF45" s="16" t="n">
        <f aca="false">MAX(C45-AP45,0)</f>
        <v>28.1910486732738</v>
      </c>
      <c r="BG45" s="16" t="n">
        <f aca="false">MAX(C45-AQ45,0)</f>
        <v>23.9647395110765</v>
      </c>
      <c r="BH45" s="16" t="n">
        <f aca="false">MAX(C45-AR45,0)</f>
        <v>19.8955903470431</v>
      </c>
      <c r="BI45" s="16" t="n">
        <f aca="false">MAX(C45-AS45,0)</f>
        <v>15.0782223066058</v>
      </c>
      <c r="BJ45" s="16" t="n">
        <f aca="false">MAX(C45-AT45,0)</f>
        <v>10.942979542932</v>
      </c>
      <c r="BK45" s="16" t="n">
        <f aca="false">MAX(C45-AU45,0)</f>
        <v>5.3035247641232</v>
      </c>
      <c r="BL45" s="16" t="n">
        <f aca="false">MAX(C45-AV45,0)</f>
        <v>1.09594087184944</v>
      </c>
      <c r="BM45" s="16" t="n">
        <f aca="false">MAX(C45-AW45,0)</f>
        <v>0</v>
      </c>
      <c r="BN45" s="16" t="n">
        <f aca="false">MAX(C45-AX45,0)</f>
        <v>0</v>
      </c>
      <c r="BO45" s="16" t="n">
        <f aca="false">MAX(C45-AY45,0)</f>
        <v>0</v>
      </c>
    </row>
    <row r="46" customFormat="false" ht="15" hidden="false" customHeight="false" outlineLevel="0" collapsed="false">
      <c r="A46" s="3" t="n">
        <v>16</v>
      </c>
      <c r="B46" s="15" t="n">
        <f aca="true">RAND()</f>
        <v>0.0416661813539306</v>
      </c>
      <c r="C46" s="16" t="n">
        <f aca="false">LOOKUP(B46,$E$12:$E$17,$A$12:$A$17)+LOOKUP(B46,$E$12:$E$17,$D$12:$D$17)*(B46-LOOKUP(B46,$E$12:$E$17))/LOOKUP(B46,$E$12:$E$17,$C$12:$C$17)</f>
        <v>52.0833090676965</v>
      </c>
      <c r="D46" s="15" t="n">
        <f aca="true">RAND()</f>
        <v>0.338681153415922</v>
      </c>
      <c r="E46" s="15" t="n">
        <f aca="true">RAND()</f>
        <v>0.0909494855145548</v>
      </c>
      <c r="F46" s="15" t="n">
        <f aca="true">RAND()</f>
        <v>0.0611156249320497</v>
      </c>
      <c r="G46" s="15" t="n">
        <f aca="true">RAND()</f>
        <v>0.342827637256232</v>
      </c>
      <c r="H46" s="15" t="n">
        <f aca="true">RAND()</f>
        <v>0.47265671264567</v>
      </c>
      <c r="I46" s="15" t="n">
        <f aca="true">RAND()</f>
        <v>0.547429625905295</v>
      </c>
      <c r="J46" s="15" t="n">
        <f aca="true">RAND()</f>
        <v>0.982289033270774</v>
      </c>
      <c r="K46" s="15" t="n">
        <f aca="true">RAND()</f>
        <v>0.261759737172174</v>
      </c>
      <c r="L46" s="15" t="n">
        <f aca="true">RAND()</f>
        <v>0.225364632545786</v>
      </c>
      <c r="M46" s="15" t="n">
        <f aca="true">RAND()</f>
        <v>0.900133992598918</v>
      </c>
      <c r="N46" s="15" t="n">
        <f aca="true">RAND()</f>
        <v>0.942963790813947</v>
      </c>
      <c r="O46" s="15" t="n">
        <f aca="true">RAND()</f>
        <v>0.423785070110668</v>
      </c>
      <c r="P46" s="15" t="n">
        <f aca="true">RAND()</f>
        <v>0.905171400991774</v>
      </c>
      <c r="Q46" s="15" t="n">
        <f aca="true">RAND()</f>
        <v>0.72198975262204</v>
      </c>
      <c r="R46" s="15" t="n">
        <f aca="true">RAND()</f>
        <v>0.714797652882058</v>
      </c>
      <c r="S46" s="15" t="n">
        <f aca="true">RAND()</f>
        <v>0.0986174354347652</v>
      </c>
      <c r="T46" s="16" t="n">
        <f aca="false">LOOKUP(D46,$E$23:$E$26,$A$23:$A$26)+LOOKUP(D46,$E$23:$E$26,$D$23:$D$26)*(D46-LOOKUP(D46,$E$23:$E$26))/LOOKUP(D46,$E$23:$E$26,$C$23:$C$26)</f>
        <v>4.5483514417699</v>
      </c>
      <c r="U46" s="16" t="n">
        <f aca="false">LOOKUP(E46,$E$23:$E$26,$A$23:$A$26)+LOOKUP(E46,$E$23:$E$26,$D$23:$D$26)*(E46-LOOKUP(E46,$E$23:$E$26))/LOOKUP(E46,$E$23:$E$26,$C$23:$C$26)</f>
        <v>4.15158247585759</v>
      </c>
      <c r="V46" s="16" t="n">
        <f aca="false">LOOKUP(F46,$E$23:$E$26,$A$23:$A$26)+LOOKUP(F46,$E$23:$E$26,$D$23:$D$26)*(F46-LOOKUP(F46,$E$23:$E$26))/LOOKUP(F46,$E$23:$E$26,$C$23:$C$26)</f>
        <v>4.10185937488675</v>
      </c>
      <c r="W46" s="16" t="n">
        <f aca="false">LOOKUP(G46,$E$23:$E$26,$A$23:$A$26)+LOOKUP(G46,$E$23:$E$26,$D$23:$D$26)*(G46-LOOKUP(G46,$E$23:$E$26))/LOOKUP(G46,$E$23:$E$26,$C$23:$C$26)</f>
        <v>4.55353454657029</v>
      </c>
      <c r="X46" s="16" t="n">
        <f aca="false">LOOKUP(H46,$E$23:$E$26,$A$23:$A$26)+LOOKUP(H46,$E$23:$E$26,$D$23:$D$26)*(H46-LOOKUP(H46,$E$23:$E$26))/LOOKUP(H46,$E$23:$E$26,$C$23:$C$26)</f>
        <v>4.71582089080709</v>
      </c>
      <c r="Y46" s="16" t="n">
        <f aca="false">LOOKUP(I46,$E$23:$E$26,$A$23:$A$26)+LOOKUP(I46,$E$23:$E$26,$D$23:$D$26)*(I46-LOOKUP(I46,$E$23:$E$26))/LOOKUP(I46,$E$23:$E$26,$C$23:$C$26)</f>
        <v>4.80928703238162</v>
      </c>
      <c r="Z46" s="16" t="n">
        <f aca="false">LOOKUP(J46,$E$23:$E$26,$A$23:$A$26)+LOOKUP(J46,$E$23:$E$26,$D$23:$D$26)*(J46-LOOKUP(J46,$E$23:$E$26))/LOOKUP(J46,$E$23:$E$26,$C$23:$C$26)</f>
        <v>5.91144516635387</v>
      </c>
      <c r="AA46" s="16" t="n">
        <f aca="false">LOOKUP(K46,$E$23:$E$26,$A$23:$A$26)+LOOKUP(K46,$E$23:$E$26,$D$23:$D$26)*(K46-LOOKUP(K46,$E$23:$E$26))/LOOKUP(K46,$E$23:$E$26,$C$23:$C$26)</f>
        <v>4.43626622862029</v>
      </c>
      <c r="AB46" s="16" t="n">
        <f aca="false">LOOKUP(L46,$E$23:$E$26,$A$23:$A$26)+LOOKUP(L46,$E$23:$E$26,$D$23:$D$26)*(L46-LOOKUP(L46,$E$23:$E$26))/LOOKUP(L46,$E$23:$E$26,$C$23:$C$26)</f>
        <v>4.37560772090964</v>
      </c>
      <c r="AC46" s="16" t="n">
        <f aca="false">LOOKUP(M46,$E$23:$E$26,$A$23:$A$26)+LOOKUP(M46,$E$23:$E$26,$D$23:$D$26)*(M46-LOOKUP(M46,$E$23:$E$26))/LOOKUP(M46,$E$23:$E$26,$C$23:$C$26)</f>
        <v>5.50066996299459</v>
      </c>
      <c r="AD46" s="16" t="n">
        <f aca="false">LOOKUP(N46,$E$23:$E$26,$A$23:$A$26)+LOOKUP(N46,$E$23:$E$26,$D$23:$D$26)*(N46-LOOKUP(N46,$E$23:$E$26))/LOOKUP(N46,$E$23:$E$26,$C$23:$C$26)</f>
        <v>5.71481895406973</v>
      </c>
      <c r="AE46" s="16" t="n">
        <f aca="false">LOOKUP(O46,$E$23:$E$26,$A$23:$A$26)+LOOKUP(O46,$E$23:$E$26,$D$23:$D$26)*(O46-LOOKUP(O46,$E$23:$E$26))/LOOKUP(O46,$E$23:$E$26,$C$23:$C$26)</f>
        <v>4.65473133763834</v>
      </c>
      <c r="AF46" s="16" t="n">
        <f aca="false">LOOKUP(P46,$E$23:$E$26,$A$23:$A$26)+LOOKUP(P46,$E$23:$E$26,$D$23:$D$26)*(P46-LOOKUP(P46,$E$23:$E$26))/LOOKUP(P46,$E$23:$E$26,$C$23:$C$26)</f>
        <v>5.52585700495887</v>
      </c>
      <c r="AG46" s="16" t="n">
        <f aca="false">LOOKUP(Q46,$E$23:$E$26,$A$23:$A$26)+LOOKUP(Q46,$E$23:$E$26,$D$23:$D$26)*(Q46-LOOKUP(Q46,$E$23:$E$26))/LOOKUP(Q46,$E$23:$E$26,$C$23:$C$26)</f>
        <v>5.0549743815551</v>
      </c>
      <c r="AH46" s="16" t="n">
        <f aca="false">LOOKUP(R46,$E$23:$E$26,$A$23:$A$26)+LOOKUP(R46,$E$23:$E$26,$D$23:$D$26)*(R46-LOOKUP(R46,$E$23:$E$26))/LOOKUP(R46,$E$23:$E$26,$C$23:$C$26)</f>
        <v>5.03699413220515</v>
      </c>
      <c r="AI46" s="16" t="n">
        <f aca="false">LOOKUP(S46,$E$23:$E$26,$A$23:$A$26)+LOOKUP(S46,$E$23:$E$26,$D$23:$D$26)*(S46-LOOKUP(S46,$E$23:$E$26))/LOOKUP(S46,$E$23:$E$26,$C$23:$C$26)</f>
        <v>4.16436239239128</v>
      </c>
      <c r="AJ46" s="16" t="n">
        <f aca="false">SUM($T46:T46)</f>
        <v>4.5483514417699</v>
      </c>
      <c r="AK46" s="16" t="n">
        <f aca="false">SUM($T46:U46)</f>
        <v>8.69993391762749</v>
      </c>
      <c r="AL46" s="16" t="n">
        <f aca="false">SUM($T46:V46)</f>
        <v>12.8017932925142</v>
      </c>
      <c r="AM46" s="16" t="n">
        <f aca="false">SUM($T46:W46)</f>
        <v>17.3553278390845</v>
      </c>
      <c r="AN46" s="16" t="n">
        <f aca="false">SUM($T46:X46)</f>
        <v>22.0711487298916</v>
      </c>
      <c r="AO46" s="16" t="n">
        <f aca="false">SUM($T46:Y46)</f>
        <v>26.8804357622732</v>
      </c>
      <c r="AP46" s="16" t="n">
        <f aca="false">SUM($T46:Z46)</f>
        <v>32.7918809286271</v>
      </c>
      <c r="AQ46" s="16" t="n">
        <f aca="false">SUM($T46:AA46)</f>
        <v>37.2281471572474</v>
      </c>
      <c r="AR46" s="16" t="n">
        <f aca="false">SUM($T46:AB46)</f>
        <v>41.603754878157</v>
      </c>
      <c r="AS46" s="16" t="n">
        <f aca="false">SUM($T46:AC46)</f>
        <v>47.1044248411516</v>
      </c>
      <c r="AT46" s="16" t="n">
        <f aca="false">SUM($T46:AD46)</f>
        <v>52.8192437952214</v>
      </c>
      <c r="AU46" s="16" t="n">
        <f aca="false">SUM($T46:AE46)</f>
        <v>57.4739751328597</v>
      </c>
      <c r="AV46" s="16" t="n">
        <f aca="false">SUM($T46:AF46)</f>
        <v>62.9998321378186</v>
      </c>
      <c r="AW46" s="16" t="n">
        <f aca="false">SUM($T46:AG46)</f>
        <v>68.0548065193737</v>
      </c>
      <c r="AX46" s="16" t="n">
        <f aca="false">SUM($T46:AH46)</f>
        <v>73.0918006515788</v>
      </c>
      <c r="AY46" s="16" t="n">
        <f aca="false">SUM($T46:AI46)</f>
        <v>77.2561630439701</v>
      </c>
      <c r="AZ46" s="16" t="n">
        <f aca="false">MAX(C46-AJ46,0)</f>
        <v>47.5349576259266</v>
      </c>
      <c r="BA46" s="16" t="n">
        <f aca="false">MAX(C46-AK46,0)</f>
        <v>43.383375150069</v>
      </c>
      <c r="BB46" s="16" t="n">
        <f aca="false">MAX(C46-AL46,0)</f>
        <v>39.2815157751823</v>
      </c>
      <c r="BC46" s="16" t="n">
        <f aca="false">MAX(C46-AM46,0)</f>
        <v>34.727981228612</v>
      </c>
      <c r="BD46" s="16" t="n">
        <f aca="false">MAX(C46-AN46,0)</f>
        <v>30.0121603378049</v>
      </c>
      <c r="BE46" s="16" t="n">
        <f aca="false">MAX(C46-AO46,0)</f>
        <v>25.2028733054233</v>
      </c>
      <c r="BF46" s="16" t="n">
        <f aca="false">MAX(C46-AP46,0)</f>
        <v>19.2914281390694</v>
      </c>
      <c r="BG46" s="16" t="n">
        <f aca="false">MAX(C46-AQ46,0)</f>
        <v>14.8551619104491</v>
      </c>
      <c r="BH46" s="16" t="n">
        <f aca="false">MAX(C46-AR46,0)</f>
        <v>10.4795541895395</v>
      </c>
      <c r="BI46" s="16" t="n">
        <f aca="false">MAX(C46-AS46,0)</f>
        <v>4.9788842265449</v>
      </c>
      <c r="BJ46" s="16" t="n">
        <f aca="false">MAX(C46-AT46,0)</f>
        <v>0</v>
      </c>
      <c r="BK46" s="16" t="n">
        <f aca="false">MAX(C46-AU46,0)</f>
        <v>0</v>
      </c>
      <c r="BL46" s="16" t="n">
        <f aca="false">MAX(C46-AV46,0)</f>
        <v>0</v>
      </c>
      <c r="BM46" s="16" t="n">
        <f aca="false">MAX(C46-AW46,0)</f>
        <v>0</v>
      </c>
      <c r="BN46" s="16" t="n">
        <f aca="false">MAX(C46-AX46,0)</f>
        <v>0</v>
      </c>
      <c r="BO46" s="16" t="n">
        <f aca="false">MAX(C46-AY46,0)</f>
        <v>0</v>
      </c>
    </row>
    <row r="47" customFormat="false" ht="15" hidden="false" customHeight="false" outlineLevel="0" collapsed="false">
      <c r="A47" s="3" t="n">
        <v>17</v>
      </c>
      <c r="B47" s="15" t="n">
        <f aca="true">RAND()</f>
        <v>0.735673717493015</v>
      </c>
      <c r="C47" s="16" t="n">
        <f aca="false">LOOKUP(B47,$E$12:$E$17,$A$12:$A$17)+LOOKUP(B47,$E$12:$E$17,$D$12:$D$17)*(B47-LOOKUP(B47,$E$12:$E$17))/LOOKUP(B47,$E$12:$E$17,$C$12:$C$17)</f>
        <v>67.6524816784716</v>
      </c>
      <c r="D47" s="15" t="n">
        <f aca="true">RAND()</f>
        <v>0.606197711017559</v>
      </c>
      <c r="E47" s="15" t="n">
        <f aca="true">RAND()</f>
        <v>0.270210019397176</v>
      </c>
      <c r="F47" s="15" t="n">
        <f aca="true">RAND()</f>
        <v>0.509095318744708</v>
      </c>
      <c r="G47" s="15" t="n">
        <f aca="true">RAND()</f>
        <v>0.559186175035516</v>
      </c>
      <c r="H47" s="15" t="n">
        <f aca="true">RAND()</f>
        <v>0.256114676544429</v>
      </c>
      <c r="I47" s="15" t="n">
        <f aca="true">RAND()</f>
        <v>0.371837008261933</v>
      </c>
      <c r="J47" s="15" t="n">
        <f aca="true">RAND()</f>
        <v>0.872031289198592</v>
      </c>
      <c r="K47" s="15" t="n">
        <f aca="true">RAND()</f>
        <v>0.0149576867449011</v>
      </c>
      <c r="L47" s="15" t="n">
        <f aca="true">RAND()</f>
        <v>0.343272806574378</v>
      </c>
      <c r="M47" s="15" t="n">
        <f aca="true">RAND()</f>
        <v>0.565039191287205</v>
      </c>
      <c r="N47" s="15" t="n">
        <f aca="true">RAND()</f>
        <v>0.118410204306487</v>
      </c>
      <c r="O47" s="15" t="n">
        <f aca="true">RAND()</f>
        <v>0.63217123799456</v>
      </c>
      <c r="P47" s="15" t="n">
        <f aca="true">RAND()</f>
        <v>0.385193909954774</v>
      </c>
      <c r="Q47" s="15" t="n">
        <f aca="true">RAND()</f>
        <v>0.569116796624527</v>
      </c>
      <c r="R47" s="15" t="n">
        <f aca="true">RAND()</f>
        <v>0.883823770040802</v>
      </c>
      <c r="S47" s="15" t="n">
        <f aca="true">RAND()</f>
        <v>0.302835317257267</v>
      </c>
      <c r="T47" s="16" t="n">
        <f aca="false">LOOKUP(D47,$E$23:$E$26,$A$23:$A$26)+LOOKUP(D47,$E$23:$E$26,$D$23:$D$26)*(D47-LOOKUP(D47,$E$23:$E$26))/LOOKUP(D47,$E$23:$E$26,$C$23:$C$26)</f>
        <v>4.88274713877195</v>
      </c>
      <c r="U47" s="16" t="n">
        <f aca="false">LOOKUP(E47,$E$23:$E$26,$A$23:$A$26)+LOOKUP(E47,$E$23:$E$26,$D$23:$D$26)*(E47-LOOKUP(E47,$E$23:$E$26))/LOOKUP(E47,$E$23:$E$26,$C$23:$C$26)</f>
        <v>4.45035003232863</v>
      </c>
      <c r="V47" s="16" t="n">
        <f aca="false">LOOKUP(F47,$E$23:$E$26,$A$23:$A$26)+LOOKUP(F47,$E$23:$E$26,$D$23:$D$26)*(F47-LOOKUP(F47,$E$23:$E$26))/LOOKUP(F47,$E$23:$E$26,$C$23:$C$26)</f>
        <v>4.76136914843089</v>
      </c>
      <c r="W47" s="16" t="n">
        <f aca="false">LOOKUP(G47,$E$23:$E$26,$A$23:$A$26)+LOOKUP(G47,$E$23:$E$26,$D$23:$D$26)*(G47-LOOKUP(G47,$E$23:$E$26))/LOOKUP(G47,$E$23:$E$26,$C$23:$C$26)</f>
        <v>4.8239827187944</v>
      </c>
      <c r="X47" s="16" t="n">
        <f aca="false">LOOKUP(H47,$E$23:$E$26,$A$23:$A$26)+LOOKUP(H47,$E$23:$E$26,$D$23:$D$26)*(H47-LOOKUP(H47,$E$23:$E$26))/LOOKUP(H47,$E$23:$E$26,$C$23:$C$26)</f>
        <v>4.42685779424072</v>
      </c>
      <c r="Y47" s="16" t="n">
        <f aca="false">LOOKUP(I47,$E$23:$E$26,$A$23:$A$26)+LOOKUP(I47,$E$23:$E$26,$D$23:$D$26)*(I47-LOOKUP(I47,$E$23:$E$26))/LOOKUP(I47,$E$23:$E$26,$C$23:$C$26)</f>
        <v>4.58979626032742</v>
      </c>
      <c r="Z47" s="16" t="n">
        <f aca="false">LOOKUP(J47,$E$23:$E$26,$A$23:$A$26)+LOOKUP(J47,$E$23:$E$26,$D$23:$D$26)*(J47-LOOKUP(J47,$E$23:$E$26))/LOOKUP(J47,$E$23:$E$26,$C$23:$C$26)</f>
        <v>5.43007822299648</v>
      </c>
      <c r="AA47" s="16" t="n">
        <f aca="false">LOOKUP(K47,$E$23:$E$26,$A$23:$A$26)+LOOKUP(K47,$E$23:$E$26,$D$23:$D$26)*(K47-LOOKUP(K47,$E$23:$E$26))/LOOKUP(K47,$E$23:$E$26,$C$23:$C$26)</f>
        <v>4.02492947790817</v>
      </c>
      <c r="AB47" s="16" t="n">
        <f aca="false">LOOKUP(L47,$E$23:$E$26,$A$23:$A$26)+LOOKUP(L47,$E$23:$E$26,$D$23:$D$26)*(L47-LOOKUP(L47,$E$23:$E$26))/LOOKUP(L47,$E$23:$E$26,$C$23:$C$26)</f>
        <v>4.55409100821797</v>
      </c>
      <c r="AC47" s="16" t="n">
        <f aca="false">LOOKUP(M47,$E$23:$E$26,$A$23:$A$26)+LOOKUP(M47,$E$23:$E$26,$D$23:$D$26)*(M47-LOOKUP(M47,$E$23:$E$26))/LOOKUP(M47,$E$23:$E$26,$C$23:$C$26)</f>
        <v>4.83129898910901</v>
      </c>
      <c r="AD47" s="16" t="n">
        <f aca="false">LOOKUP(N47,$E$23:$E$26,$A$23:$A$26)+LOOKUP(N47,$E$23:$E$26,$D$23:$D$26)*(N47-LOOKUP(N47,$E$23:$E$26))/LOOKUP(N47,$E$23:$E$26,$C$23:$C$26)</f>
        <v>4.19735034051081</v>
      </c>
      <c r="AE47" s="16" t="n">
        <f aca="false">LOOKUP(O47,$E$23:$E$26,$A$23:$A$26)+LOOKUP(O47,$E$23:$E$26,$D$23:$D$26)*(O47-LOOKUP(O47,$E$23:$E$26))/LOOKUP(O47,$E$23:$E$26,$C$23:$C$26)</f>
        <v>4.9152140474932</v>
      </c>
      <c r="AF47" s="16" t="n">
        <f aca="false">LOOKUP(P47,$E$23:$E$26,$A$23:$A$26)+LOOKUP(P47,$E$23:$E$26,$D$23:$D$26)*(P47-LOOKUP(P47,$E$23:$E$26))/LOOKUP(P47,$E$23:$E$26,$C$23:$C$26)</f>
        <v>4.60649238744347</v>
      </c>
      <c r="AG47" s="16" t="n">
        <f aca="false">LOOKUP(Q47,$E$23:$E$26,$A$23:$A$26)+LOOKUP(Q47,$E$23:$E$26,$D$23:$D$26)*(Q47-LOOKUP(Q47,$E$23:$E$26))/LOOKUP(Q47,$E$23:$E$26,$C$23:$C$26)</f>
        <v>4.83639599578066</v>
      </c>
      <c r="AH47" s="16" t="n">
        <f aca="false">LOOKUP(R47,$E$23:$E$26,$A$23:$A$26)+LOOKUP(R47,$E$23:$E$26,$D$23:$D$26)*(R47-LOOKUP(R47,$E$23:$E$26))/LOOKUP(R47,$E$23:$E$26,$C$23:$C$26)</f>
        <v>5.45955942510201</v>
      </c>
      <c r="AI47" s="16" t="n">
        <f aca="false">LOOKUP(S47,$E$23:$E$26,$A$23:$A$26)+LOOKUP(S47,$E$23:$E$26,$D$23:$D$26)*(S47-LOOKUP(S47,$E$23:$E$26))/LOOKUP(S47,$E$23:$E$26,$C$23:$C$26)</f>
        <v>4.50354414657158</v>
      </c>
      <c r="AJ47" s="16" t="n">
        <f aca="false">SUM($T47:T47)</f>
        <v>4.88274713877195</v>
      </c>
      <c r="AK47" s="16" t="n">
        <f aca="false">SUM($T47:U47)</f>
        <v>9.33309717110058</v>
      </c>
      <c r="AL47" s="16" t="n">
        <f aca="false">SUM($T47:V47)</f>
        <v>14.0944663195315</v>
      </c>
      <c r="AM47" s="16" t="n">
        <f aca="false">SUM($T47:W47)</f>
        <v>18.9184490383259</v>
      </c>
      <c r="AN47" s="16" t="n">
        <f aca="false">SUM($T47:X47)</f>
        <v>23.3453068325666</v>
      </c>
      <c r="AO47" s="16" t="n">
        <f aca="false">SUM($T47:Y47)</f>
        <v>27.935103092894</v>
      </c>
      <c r="AP47" s="16" t="n">
        <f aca="false">SUM($T47:Z47)</f>
        <v>33.3651813158905</v>
      </c>
      <c r="AQ47" s="16" t="n">
        <f aca="false">SUM($T47:AA47)</f>
        <v>37.3901107937986</v>
      </c>
      <c r="AR47" s="16" t="n">
        <f aca="false">SUM($T47:AB47)</f>
        <v>41.9442018020166</v>
      </c>
      <c r="AS47" s="16" t="n">
        <f aca="false">SUM($T47:AC47)</f>
        <v>46.7755007911256</v>
      </c>
      <c r="AT47" s="16" t="n">
        <f aca="false">SUM($T47:AD47)</f>
        <v>50.9728511316364</v>
      </c>
      <c r="AU47" s="16" t="n">
        <f aca="false">SUM($T47:AE47)</f>
        <v>55.8880651791296</v>
      </c>
      <c r="AV47" s="16" t="n">
        <f aca="false">SUM($T47:AF47)</f>
        <v>60.4945575665731</v>
      </c>
      <c r="AW47" s="16" t="n">
        <f aca="false">SUM($T47:AG47)</f>
        <v>65.3309535623538</v>
      </c>
      <c r="AX47" s="16" t="n">
        <f aca="false">SUM($T47:AH47)</f>
        <v>70.7905129874558</v>
      </c>
      <c r="AY47" s="16" t="n">
        <f aca="false">SUM($T47:AI47)</f>
        <v>75.2940571340273</v>
      </c>
      <c r="AZ47" s="16" t="n">
        <f aca="false">MAX(C47-AJ47,0)</f>
        <v>62.7697345396997</v>
      </c>
      <c r="BA47" s="16" t="n">
        <f aca="false">MAX(C47-AK47,0)</f>
        <v>58.3193845073711</v>
      </c>
      <c r="BB47" s="16" t="n">
        <f aca="false">MAX(C47-AL47,0)</f>
        <v>53.5580153589402</v>
      </c>
      <c r="BC47" s="16" t="n">
        <f aca="false">MAX(C47-AM47,0)</f>
        <v>48.7340326401458</v>
      </c>
      <c r="BD47" s="16" t="n">
        <f aca="false">MAX(C47-AN47,0)</f>
        <v>44.3071748459051</v>
      </c>
      <c r="BE47" s="16" t="n">
        <f aca="false">MAX(C47-AO47,0)</f>
        <v>39.7173785855777</v>
      </c>
      <c r="BF47" s="16" t="n">
        <f aca="false">MAX(C47-AP47,0)</f>
        <v>34.2873003625812</v>
      </c>
      <c r="BG47" s="16" t="n">
        <f aca="false">MAX(C47-AQ47,0)</f>
        <v>30.262370884673</v>
      </c>
      <c r="BH47" s="16" t="n">
        <f aca="false">MAX(C47-AR47,0)</f>
        <v>25.708279876455</v>
      </c>
      <c r="BI47" s="16" t="n">
        <f aca="false">MAX(C47-AS47,0)</f>
        <v>20.876980887346</v>
      </c>
      <c r="BJ47" s="16" t="n">
        <f aca="false">MAX(C47-AT47,0)</f>
        <v>16.6796305468352</v>
      </c>
      <c r="BK47" s="16" t="n">
        <f aca="false">MAX(C47-AU47,0)</f>
        <v>11.764416499342</v>
      </c>
      <c r="BL47" s="16" t="n">
        <f aca="false">MAX(C47-AV47,0)</f>
        <v>7.15792411189855</v>
      </c>
      <c r="BM47" s="16" t="n">
        <f aca="false">MAX(C47-AW47,0)</f>
        <v>2.32152811611789</v>
      </c>
      <c r="BN47" s="16" t="n">
        <f aca="false">MAX(C47-AX47,0)</f>
        <v>0</v>
      </c>
      <c r="BO47" s="16" t="n">
        <f aca="false">MAX(C47-AY47,0)</f>
        <v>0</v>
      </c>
    </row>
    <row r="48" customFormat="false" ht="15" hidden="false" customHeight="false" outlineLevel="0" collapsed="false">
      <c r="A48" s="3" t="n">
        <v>18</v>
      </c>
      <c r="B48" s="15" t="n">
        <f aca="true">RAND()</f>
        <v>0.224389003229974</v>
      </c>
      <c r="C48" s="16" t="n">
        <f aca="false">LOOKUP(B48,$E$12:$E$17,$A$12:$A$17)+LOOKUP(B48,$E$12:$E$17,$D$12:$D$17)*(B48-LOOKUP(B48,$E$12:$E$17))/LOOKUP(B48,$E$12:$E$17,$C$12:$C$17)</f>
        <v>59.1463001076658</v>
      </c>
      <c r="D48" s="15" t="n">
        <f aca="true">RAND()</f>
        <v>0.289957210233343</v>
      </c>
      <c r="E48" s="15" t="n">
        <f aca="true">RAND()</f>
        <v>0.484585671541373</v>
      </c>
      <c r="F48" s="15" t="n">
        <f aca="true">RAND()</f>
        <v>0.561621980703647</v>
      </c>
      <c r="G48" s="15" t="n">
        <f aca="true">RAND()</f>
        <v>0.93945245340084</v>
      </c>
      <c r="H48" s="15" t="n">
        <f aca="true">RAND()</f>
        <v>0.149515439763834</v>
      </c>
      <c r="I48" s="15" t="n">
        <f aca="true">RAND()</f>
        <v>0.135371189106843</v>
      </c>
      <c r="J48" s="15" t="n">
        <f aca="true">RAND()</f>
        <v>0.750339781838175</v>
      </c>
      <c r="K48" s="15" t="n">
        <f aca="true">RAND()</f>
        <v>0.43504576322325</v>
      </c>
      <c r="L48" s="15" t="n">
        <f aca="true">RAND()</f>
        <v>0.138027177239277</v>
      </c>
      <c r="M48" s="15" t="n">
        <f aca="true">RAND()</f>
        <v>0.428137889463481</v>
      </c>
      <c r="N48" s="15" t="n">
        <f aca="true">RAND()</f>
        <v>0.39522341318254</v>
      </c>
      <c r="O48" s="15" t="n">
        <f aca="true">RAND()</f>
        <v>0.131407080650231</v>
      </c>
      <c r="P48" s="15" t="n">
        <f aca="true">RAND()</f>
        <v>0.93050577028474</v>
      </c>
      <c r="Q48" s="15" t="n">
        <f aca="true">RAND()</f>
        <v>0.895940400724393</v>
      </c>
      <c r="R48" s="15" t="n">
        <f aca="true">RAND()</f>
        <v>0.76863339204387</v>
      </c>
      <c r="S48" s="15" t="n">
        <f aca="true">RAND()</f>
        <v>0.184466124257931</v>
      </c>
      <c r="T48" s="16" t="n">
        <f aca="false">LOOKUP(D48,$E$23:$E$26,$A$23:$A$26)+LOOKUP(D48,$E$23:$E$26,$D$23:$D$26)*(D48-LOOKUP(D48,$E$23:$E$26))/LOOKUP(D48,$E$23:$E$26,$C$23:$C$26)</f>
        <v>4.48326201705557</v>
      </c>
      <c r="U48" s="16" t="n">
        <f aca="false">LOOKUP(E48,$E$23:$E$26,$A$23:$A$26)+LOOKUP(E48,$E$23:$E$26,$D$23:$D$26)*(E48-LOOKUP(E48,$E$23:$E$26))/LOOKUP(E48,$E$23:$E$26,$C$23:$C$26)</f>
        <v>4.73073208942672</v>
      </c>
      <c r="V48" s="16" t="n">
        <f aca="false">LOOKUP(F48,$E$23:$E$26,$A$23:$A$26)+LOOKUP(F48,$E$23:$E$26,$D$23:$D$26)*(F48-LOOKUP(F48,$E$23:$E$26))/LOOKUP(F48,$E$23:$E$26,$C$23:$C$26)</f>
        <v>4.82702747587956</v>
      </c>
      <c r="W48" s="16" t="n">
        <f aca="false">LOOKUP(G48,$E$23:$E$26,$A$23:$A$26)+LOOKUP(G48,$E$23:$E$26,$D$23:$D$26)*(G48-LOOKUP(G48,$E$23:$E$26))/LOOKUP(G48,$E$23:$E$26,$C$23:$C$26)</f>
        <v>5.6972622670042</v>
      </c>
      <c r="X48" s="16" t="n">
        <f aca="false">LOOKUP(H48,$E$23:$E$26,$A$23:$A$26)+LOOKUP(H48,$E$23:$E$26,$D$23:$D$26)*(H48-LOOKUP(H48,$E$23:$E$26))/LOOKUP(H48,$E$23:$E$26,$C$23:$C$26)</f>
        <v>4.24919239960639</v>
      </c>
      <c r="Y48" s="16" t="n">
        <f aca="false">LOOKUP(I48,$E$23:$E$26,$A$23:$A$26)+LOOKUP(I48,$E$23:$E$26,$D$23:$D$26)*(I48-LOOKUP(I48,$E$23:$E$26))/LOOKUP(I48,$E$23:$E$26,$C$23:$C$26)</f>
        <v>4.22561864851141</v>
      </c>
      <c r="Z48" s="16" t="n">
        <f aca="false">LOOKUP(J48,$E$23:$E$26,$A$23:$A$26)+LOOKUP(J48,$E$23:$E$26,$D$23:$D$26)*(J48-LOOKUP(J48,$E$23:$E$26))/LOOKUP(J48,$E$23:$E$26,$C$23:$C$26)</f>
        <v>5.12584945459544</v>
      </c>
      <c r="AA48" s="16" t="n">
        <f aca="false">LOOKUP(K48,$E$23:$E$26,$A$23:$A$26)+LOOKUP(K48,$E$23:$E$26,$D$23:$D$26)*(K48-LOOKUP(K48,$E$23:$E$26))/LOOKUP(K48,$E$23:$E$26,$C$23:$C$26)</f>
        <v>4.66880720402906</v>
      </c>
      <c r="AB48" s="16" t="n">
        <f aca="false">LOOKUP(L48,$E$23:$E$26,$A$23:$A$26)+LOOKUP(L48,$E$23:$E$26,$D$23:$D$26)*(L48-LOOKUP(L48,$E$23:$E$26))/LOOKUP(L48,$E$23:$E$26,$C$23:$C$26)</f>
        <v>4.2300452953988</v>
      </c>
      <c r="AC48" s="16" t="n">
        <f aca="false">LOOKUP(M48,$E$23:$E$26,$A$23:$A$26)+LOOKUP(M48,$E$23:$E$26,$D$23:$D$26)*(M48-LOOKUP(M48,$E$23:$E$26))/LOOKUP(M48,$E$23:$E$26,$C$23:$C$26)</f>
        <v>4.66017236182935</v>
      </c>
      <c r="AD48" s="16" t="n">
        <f aca="false">LOOKUP(N48,$E$23:$E$26,$A$23:$A$26)+LOOKUP(N48,$E$23:$E$26,$D$23:$D$26)*(N48-LOOKUP(N48,$E$23:$E$26))/LOOKUP(N48,$E$23:$E$26,$C$23:$C$26)</f>
        <v>4.61902926647818</v>
      </c>
      <c r="AE48" s="16" t="n">
        <f aca="false">LOOKUP(O48,$E$23:$E$26,$A$23:$A$26)+LOOKUP(O48,$E$23:$E$26,$D$23:$D$26)*(O48-LOOKUP(O48,$E$23:$E$26))/LOOKUP(O48,$E$23:$E$26,$C$23:$C$26)</f>
        <v>4.21901180108372</v>
      </c>
      <c r="AF48" s="16" t="n">
        <f aca="false">LOOKUP(P48,$E$23:$E$26,$A$23:$A$26)+LOOKUP(P48,$E$23:$E$26,$D$23:$D$26)*(P48-LOOKUP(P48,$E$23:$E$26))/LOOKUP(P48,$E$23:$E$26,$C$23:$C$26)</f>
        <v>5.6525288514237</v>
      </c>
      <c r="AG48" s="16" t="n">
        <f aca="false">LOOKUP(Q48,$E$23:$E$26,$A$23:$A$26)+LOOKUP(Q48,$E$23:$E$26,$D$23:$D$26)*(Q48-LOOKUP(Q48,$E$23:$E$26))/LOOKUP(Q48,$E$23:$E$26,$C$23:$C$26)</f>
        <v>5.48985100181098</v>
      </c>
      <c r="AH48" s="16" t="n">
        <f aca="false">LOOKUP(R48,$E$23:$E$26,$A$23:$A$26)+LOOKUP(R48,$E$23:$E$26,$D$23:$D$26)*(R48-LOOKUP(R48,$E$23:$E$26))/LOOKUP(R48,$E$23:$E$26,$C$23:$C$26)</f>
        <v>5.17158348010967</v>
      </c>
      <c r="AI48" s="16" t="n">
        <f aca="false">LOOKUP(S48,$E$23:$E$26,$A$23:$A$26)+LOOKUP(S48,$E$23:$E$26,$D$23:$D$26)*(S48-LOOKUP(S48,$E$23:$E$26))/LOOKUP(S48,$E$23:$E$26,$C$23:$C$26)</f>
        <v>4.30744354042989</v>
      </c>
      <c r="AJ48" s="16" t="n">
        <f aca="false">SUM($T48:T48)</f>
        <v>4.48326201705557</v>
      </c>
      <c r="AK48" s="16" t="n">
        <f aca="false">SUM($T48:U48)</f>
        <v>9.21399410648229</v>
      </c>
      <c r="AL48" s="16" t="n">
        <f aca="false">SUM($T48:V48)</f>
        <v>14.0410215823618</v>
      </c>
      <c r="AM48" s="16" t="n">
        <f aca="false">SUM($T48:W48)</f>
        <v>19.7382838493661</v>
      </c>
      <c r="AN48" s="16" t="n">
        <f aca="false">SUM($T48:X48)</f>
        <v>23.9874762489724</v>
      </c>
      <c r="AO48" s="16" t="n">
        <f aca="false">SUM($T48:Y48)</f>
        <v>28.2130948974838</v>
      </c>
      <c r="AP48" s="16" t="n">
        <f aca="false">SUM($T48:Z48)</f>
        <v>33.3389443520793</v>
      </c>
      <c r="AQ48" s="16" t="n">
        <f aca="false">SUM($T48:AA48)</f>
        <v>38.0077515561083</v>
      </c>
      <c r="AR48" s="16" t="n">
        <f aca="false">SUM($T48:AB48)</f>
        <v>42.2377968515071</v>
      </c>
      <c r="AS48" s="16" t="n">
        <f aca="false">SUM($T48:AC48)</f>
        <v>46.8979692133365</v>
      </c>
      <c r="AT48" s="16" t="n">
        <f aca="false">SUM($T48:AD48)</f>
        <v>51.5169984798147</v>
      </c>
      <c r="AU48" s="16" t="n">
        <f aca="false">SUM($T48:AE48)</f>
        <v>55.7360102808984</v>
      </c>
      <c r="AV48" s="16" t="n">
        <f aca="false">SUM($T48:AF48)</f>
        <v>61.3885391323221</v>
      </c>
      <c r="AW48" s="16" t="n">
        <f aca="false">SUM($T48:AG48)</f>
        <v>66.8783901341331</v>
      </c>
      <c r="AX48" s="16" t="n">
        <f aca="false">SUM($T48:AH48)</f>
        <v>72.0499736142427</v>
      </c>
      <c r="AY48" s="16" t="n">
        <f aca="false">SUM($T48:AI48)</f>
        <v>76.3574171546726</v>
      </c>
      <c r="AZ48" s="16" t="n">
        <f aca="false">MAX(C48-AJ48,0)</f>
        <v>54.6630380906102</v>
      </c>
      <c r="BA48" s="16" t="n">
        <f aca="false">MAX(C48-AK48,0)</f>
        <v>49.9323060011835</v>
      </c>
      <c r="BB48" s="16" t="n">
        <f aca="false">MAX(C48-AL48,0)</f>
        <v>45.105278525304</v>
      </c>
      <c r="BC48" s="16" t="n">
        <f aca="false">MAX(C48-AM48,0)</f>
        <v>39.4080162582998</v>
      </c>
      <c r="BD48" s="16" t="n">
        <f aca="false">MAX(C48-AN48,0)</f>
        <v>35.1588238586934</v>
      </c>
      <c r="BE48" s="16" t="n">
        <f aca="false">MAX(C48-AO48,0)</f>
        <v>30.933205210182</v>
      </c>
      <c r="BF48" s="16" t="n">
        <f aca="false">MAX(C48-AP48,0)</f>
        <v>25.8073557555865</v>
      </c>
      <c r="BG48" s="16" t="n">
        <f aca="false">MAX(C48-AQ48,0)</f>
        <v>21.1385485515575</v>
      </c>
      <c r="BH48" s="16" t="n">
        <f aca="false">MAX(C48-AR48,0)</f>
        <v>16.9085032561587</v>
      </c>
      <c r="BI48" s="16" t="n">
        <f aca="false">MAX(C48-AS48,0)</f>
        <v>12.2483308943293</v>
      </c>
      <c r="BJ48" s="16" t="n">
        <f aca="false">MAX(C48-AT48,0)</f>
        <v>7.62930162785116</v>
      </c>
      <c r="BK48" s="16" t="n">
        <f aca="false">MAX(C48-AU48,0)</f>
        <v>3.41028982676744</v>
      </c>
      <c r="BL48" s="16" t="n">
        <f aca="false">MAX(C48-AV48,0)</f>
        <v>0</v>
      </c>
      <c r="BM48" s="16" t="n">
        <f aca="false">MAX(C48-AW48,0)</f>
        <v>0</v>
      </c>
      <c r="BN48" s="16" t="n">
        <f aca="false">MAX(C48-AX48,0)</f>
        <v>0</v>
      </c>
      <c r="BO48" s="16" t="n">
        <f aca="false">MAX(C48-AY48,0)</f>
        <v>0</v>
      </c>
    </row>
    <row r="49" customFormat="false" ht="15" hidden="false" customHeight="false" outlineLevel="0" collapsed="false">
      <c r="A49" s="3" t="n">
        <v>19</v>
      </c>
      <c r="B49" s="15" t="n">
        <f aca="true">RAND()</f>
        <v>0.91104688927358</v>
      </c>
      <c r="C49" s="16" t="n">
        <f aca="false">LOOKUP(B49,$E$12:$E$17,$A$12:$A$17)+LOOKUP(B49,$E$12:$E$17,$D$12:$D$17)*(B49-LOOKUP(B49,$E$12:$E$17))/LOOKUP(B49,$E$12:$E$17,$C$12:$C$17)</f>
        <v>75.6904305795988</v>
      </c>
      <c r="D49" s="15" t="n">
        <f aca="true">RAND()</f>
        <v>0.545404930067099</v>
      </c>
      <c r="E49" s="15" t="n">
        <f aca="true">RAND()</f>
        <v>0.773020855847618</v>
      </c>
      <c r="F49" s="15" t="n">
        <f aca="true">RAND()</f>
        <v>0.382857256056043</v>
      </c>
      <c r="G49" s="15" t="n">
        <f aca="true">RAND()</f>
        <v>0.39024819189629</v>
      </c>
      <c r="H49" s="15" t="n">
        <f aca="true">RAND()</f>
        <v>0.915128850628454</v>
      </c>
      <c r="I49" s="15" t="n">
        <f aca="true">RAND()</f>
        <v>0.908646898953398</v>
      </c>
      <c r="J49" s="15" t="n">
        <f aca="true">RAND()</f>
        <v>0.500061895358974</v>
      </c>
      <c r="K49" s="15" t="n">
        <f aca="true">RAND()</f>
        <v>0.520202855002416</v>
      </c>
      <c r="L49" s="15" t="n">
        <f aca="true">RAND()</f>
        <v>0.496854889730998</v>
      </c>
      <c r="M49" s="15" t="n">
        <f aca="true">RAND()</f>
        <v>0.624627489050062</v>
      </c>
      <c r="N49" s="15" t="n">
        <f aca="true">RAND()</f>
        <v>0.72207482187648</v>
      </c>
      <c r="O49" s="15" t="n">
        <f aca="true">RAND()</f>
        <v>0.28878956171766</v>
      </c>
      <c r="P49" s="15" t="n">
        <f aca="true">RAND()</f>
        <v>0.287568763124867</v>
      </c>
      <c r="Q49" s="15" t="n">
        <f aca="true">RAND()</f>
        <v>0.926257507019043</v>
      </c>
      <c r="R49" s="15" t="n">
        <f aca="true">RAND()</f>
        <v>0.503806488727995</v>
      </c>
      <c r="S49" s="15" t="n">
        <f aca="true">RAND()</f>
        <v>0.50286364237143</v>
      </c>
      <c r="T49" s="16" t="n">
        <f aca="false">LOOKUP(D49,$E$23:$E$26,$A$23:$A$26)+LOOKUP(D49,$E$23:$E$26,$D$23:$D$26)*(D49-LOOKUP(D49,$E$23:$E$26))/LOOKUP(D49,$E$23:$E$26,$C$23:$C$26)</f>
        <v>4.80675616258387</v>
      </c>
      <c r="U49" s="16" t="n">
        <f aca="false">LOOKUP(E49,$E$23:$E$26,$A$23:$A$26)+LOOKUP(E49,$E$23:$E$26,$D$23:$D$26)*(E49-LOOKUP(E49,$E$23:$E$26))/LOOKUP(E49,$E$23:$E$26,$C$23:$C$26)</f>
        <v>5.18255213961905</v>
      </c>
      <c r="V49" s="16" t="n">
        <f aca="false">LOOKUP(F49,$E$23:$E$26,$A$23:$A$26)+LOOKUP(F49,$E$23:$E$26,$D$23:$D$26)*(F49-LOOKUP(F49,$E$23:$E$26))/LOOKUP(F49,$E$23:$E$26,$C$23:$C$26)</f>
        <v>4.60357157007005</v>
      </c>
      <c r="W49" s="16" t="n">
        <f aca="false">LOOKUP(G49,$E$23:$E$26,$A$23:$A$26)+LOOKUP(G49,$E$23:$E$26,$D$23:$D$26)*(G49-LOOKUP(G49,$E$23:$E$26))/LOOKUP(G49,$E$23:$E$26,$C$23:$C$26)</f>
        <v>4.61281023987036</v>
      </c>
      <c r="X49" s="16" t="n">
        <f aca="false">LOOKUP(H49,$E$23:$E$26,$A$23:$A$26)+LOOKUP(H49,$E$23:$E$26,$D$23:$D$26)*(H49-LOOKUP(H49,$E$23:$E$26))/LOOKUP(H49,$E$23:$E$26,$C$23:$C$26)</f>
        <v>5.57564425314227</v>
      </c>
      <c r="Y49" s="16" t="n">
        <f aca="false">LOOKUP(I49,$E$23:$E$26,$A$23:$A$26)+LOOKUP(I49,$E$23:$E$26,$D$23:$D$26)*(I49-LOOKUP(I49,$E$23:$E$26))/LOOKUP(I49,$E$23:$E$26,$C$23:$C$26)</f>
        <v>5.54323449476699</v>
      </c>
      <c r="Z49" s="16" t="n">
        <f aca="false">LOOKUP(J49,$E$23:$E$26,$A$23:$A$26)+LOOKUP(J49,$E$23:$E$26,$D$23:$D$26)*(J49-LOOKUP(J49,$E$23:$E$26))/LOOKUP(J49,$E$23:$E$26,$C$23:$C$26)</f>
        <v>4.75007736919872</v>
      </c>
      <c r="AA49" s="16" t="n">
        <f aca="false">LOOKUP(K49,$E$23:$E$26,$A$23:$A$26)+LOOKUP(K49,$E$23:$E$26,$D$23:$D$26)*(K49-LOOKUP(K49,$E$23:$E$26))/LOOKUP(K49,$E$23:$E$26,$C$23:$C$26)</f>
        <v>4.77525356875302</v>
      </c>
      <c r="AB49" s="16" t="n">
        <f aca="false">LOOKUP(L49,$E$23:$E$26,$A$23:$A$26)+LOOKUP(L49,$E$23:$E$26,$D$23:$D$26)*(L49-LOOKUP(L49,$E$23:$E$26))/LOOKUP(L49,$E$23:$E$26,$C$23:$C$26)</f>
        <v>4.74606861216375</v>
      </c>
      <c r="AC49" s="16" t="n">
        <f aca="false">LOOKUP(M49,$E$23:$E$26,$A$23:$A$26)+LOOKUP(M49,$E$23:$E$26,$D$23:$D$26)*(M49-LOOKUP(M49,$E$23:$E$26))/LOOKUP(M49,$E$23:$E$26,$C$23:$C$26)</f>
        <v>4.90578436131258</v>
      </c>
      <c r="AD49" s="16" t="n">
        <f aca="false">LOOKUP(N49,$E$23:$E$26,$A$23:$A$26)+LOOKUP(N49,$E$23:$E$26,$D$23:$D$26)*(N49-LOOKUP(N49,$E$23:$E$26))/LOOKUP(N49,$E$23:$E$26,$C$23:$C$26)</f>
        <v>5.0551870546912</v>
      </c>
      <c r="AE49" s="16" t="n">
        <f aca="false">LOOKUP(O49,$E$23:$E$26,$A$23:$A$26)+LOOKUP(O49,$E$23:$E$26,$D$23:$D$26)*(O49-LOOKUP(O49,$E$23:$E$26))/LOOKUP(O49,$E$23:$E$26,$C$23:$C$26)</f>
        <v>4.4813159361961</v>
      </c>
      <c r="AF49" s="16" t="n">
        <f aca="false">LOOKUP(P49,$E$23:$E$26,$A$23:$A$26)+LOOKUP(P49,$E$23:$E$26,$D$23:$D$26)*(P49-LOOKUP(P49,$E$23:$E$26))/LOOKUP(P49,$E$23:$E$26,$C$23:$C$26)</f>
        <v>4.47928127187478</v>
      </c>
      <c r="AG49" s="16" t="n">
        <f aca="false">LOOKUP(Q49,$E$23:$E$26,$A$23:$A$26)+LOOKUP(Q49,$E$23:$E$26,$D$23:$D$26)*(Q49-LOOKUP(Q49,$E$23:$E$26))/LOOKUP(Q49,$E$23:$E$26,$C$23:$C$26)</f>
        <v>5.63128753509522</v>
      </c>
      <c r="AH49" s="16" t="n">
        <f aca="false">LOOKUP(R49,$E$23:$E$26,$A$23:$A$26)+LOOKUP(R49,$E$23:$E$26,$D$23:$D$26)*(R49-LOOKUP(R49,$E$23:$E$26))/LOOKUP(R49,$E$23:$E$26,$C$23:$C$26)</f>
        <v>4.75475811090999</v>
      </c>
      <c r="AI49" s="16" t="n">
        <f aca="false">LOOKUP(S49,$E$23:$E$26,$A$23:$A$26)+LOOKUP(S49,$E$23:$E$26,$D$23:$D$26)*(S49-LOOKUP(S49,$E$23:$E$26))/LOOKUP(S49,$E$23:$E$26,$C$23:$C$26)</f>
        <v>4.75357955296429</v>
      </c>
      <c r="AJ49" s="16" t="n">
        <f aca="false">SUM($T49:T49)</f>
        <v>4.80675616258387</v>
      </c>
      <c r="AK49" s="16" t="n">
        <f aca="false">SUM($T49:U49)</f>
        <v>9.98930830220292</v>
      </c>
      <c r="AL49" s="16" t="n">
        <f aca="false">SUM($T49:V49)</f>
        <v>14.592879872273</v>
      </c>
      <c r="AM49" s="16" t="n">
        <f aca="false">SUM($T49:W49)</f>
        <v>19.2056901121433</v>
      </c>
      <c r="AN49" s="16" t="n">
        <f aca="false">SUM($T49:X49)</f>
        <v>24.7813343652856</v>
      </c>
      <c r="AO49" s="16" t="n">
        <f aca="false">SUM($T49:Y49)</f>
        <v>30.3245688600526</v>
      </c>
      <c r="AP49" s="16" t="n">
        <f aca="false">SUM($T49:Z49)</f>
        <v>35.0746462292513</v>
      </c>
      <c r="AQ49" s="16" t="n">
        <f aca="false">SUM($T49:AA49)</f>
        <v>39.8498997980043</v>
      </c>
      <c r="AR49" s="16" t="n">
        <f aca="false">SUM($T49:AB49)</f>
        <v>44.5959684101681</v>
      </c>
      <c r="AS49" s="16" t="n">
        <f aca="false">SUM($T49:AC49)</f>
        <v>49.5017527714807</v>
      </c>
      <c r="AT49" s="16" t="n">
        <f aca="false">SUM($T49:AD49)</f>
        <v>54.5569398261719</v>
      </c>
      <c r="AU49" s="16" t="n">
        <f aca="false">SUM($T49:AE49)</f>
        <v>59.038255762368</v>
      </c>
      <c r="AV49" s="16" t="n">
        <f aca="false">SUM($T49:AF49)</f>
        <v>63.5175370342427</v>
      </c>
      <c r="AW49" s="16" t="n">
        <f aca="false">SUM($T49:AG49)</f>
        <v>69.148824569338</v>
      </c>
      <c r="AX49" s="16" t="n">
        <f aca="false">SUM($T49:AH49)</f>
        <v>73.903582680248</v>
      </c>
      <c r="AY49" s="16" t="n">
        <f aca="false">SUM($T49:AI49)</f>
        <v>78.6571622332122</v>
      </c>
      <c r="AZ49" s="16" t="n">
        <f aca="false">MAX(C49-AJ49,0)</f>
        <v>70.8836744170149</v>
      </c>
      <c r="BA49" s="16" t="n">
        <f aca="false">MAX(C49-AK49,0)</f>
        <v>65.7011222773959</v>
      </c>
      <c r="BB49" s="16" t="n">
        <f aca="false">MAX(C49-AL49,0)</f>
        <v>61.0975507073258</v>
      </c>
      <c r="BC49" s="16" t="n">
        <f aca="false">MAX(C49-AM49,0)</f>
        <v>56.4847404674554</v>
      </c>
      <c r="BD49" s="16" t="n">
        <f aca="false">MAX(C49-AN49,0)</f>
        <v>50.9090962143132</v>
      </c>
      <c r="BE49" s="16" t="n">
        <f aca="false">MAX(C49-AO49,0)</f>
        <v>45.3658617195462</v>
      </c>
      <c r="BF49" s="16" t="n">
        <f aca="false">MAX(C49-AP49,0)</f>
        <v>40.6157843503475</v>
      </c>
      <c r="BG49" s="16" t="n">
        <f aca="false">MAX(C49-AQ49,0)</f>
        <v>35.8405307815944</v>
      </c>
      <c r="BH49" s="16" t="n">
        <f aca="false">MAX(C49-AR49,0)</f>
        <v>31.0944621694307</v>
      </c>
      <c r="BI49" s="16" t="n">
        <f aca="false">MAX(C49-AS49,0)</f>
        <v>26.1886778081181</v>
      </c>
      <c r="BJ49" s="16" t="n">
        <f aca="false">MAX(C49-AT49,0)</f>
        <v>21.1334907534269</v>
      </c>
      <c r="BK49" s="16" t="n">
        <f aca="false">MAX(C49-AU49,0)</f>
        <v>16.6521748172308</v>
      </c>
      <c r="BL49" s="16" t="n">
        <f aca="false">MAX(C49-AV49,0)</f>
        <v>12.172893545356</v>
      </c>
      <c r="BM49" s="16" t="n">
        <f aca="false">MAX(C49-AW49,0)</f>
        <v>6.54160601026081</v>
      </c>
      <c r="BN49" s="16" t="n">
        <f aca="false">MAX(C49-AX49,0)</f>
        <v>1.78684789935082</v>
      </c>
      <c r="BO49" s="16" t="n">
        <f aca="false">MAX(C49-AY49,0)</f>
        <v>0</v>
      </c>
    </row>
    <row r="50" customFormat="false" ht="15" hidden="false" customHeight="false" outlineLevel="0" collapsed="false">
      <c r="A50" s="3" t="n">
        <v>20</v>
      </c>
      <c r="B50" s="15" t="n">
        <f aca="true">RAND()</f>
        <v>0.373717321625837</v>
      </c>
      <c r="C50" s="16" t="n">
        <f aca="false">LOOKUP(B50,$E$12:$E$17,$A$12:$A$17)+LOOKUP(B50,$E$12:$E$17,$D$12:$D$17)*(B50-LOOKUP(B50,$E$12:$E$17))/LOOKUP(B50,$E$12:$E$17,$C$12:$C$17)</f>
        <v>62.0619553604306</v>
      </c>
      <c r="D50" s="15" t="n">
        <f aca="true">RAND()</f>
        <v>0.251867189522618</v>
      </c>
      <c r="E50" s="15" t="n">
        <f aca="true">RAND()</f>
        <v>0.509522058138001</v>
      </c>
      <c r="F50" s="15" t="n">
        <f aca="true">RAND()</f>
        <v>0.510187729709001</v>
      </c>
      <c r="G50" s="15" t="n">
        <f aca="true">RAND()</f>
        <v>0.590850562936459</v>
      </c>
      <c r="H50" s="15" t="n">
        <f aca="true">RAND()</f>
        <v>0.907161138973486</v>
      </c>
      <c r="I50" s="15" t="n">
        <f aca="true">RAND()</f>
        <v>0.216206691760313</v>
      </c>
      <c r="J50" s="15" t="n">
        <f aca="true">RAND()</f>
        <v>0.321814060136639</v>
      </c>
      <c r="K50" s="15" t="n">
        <f aca="true">RAND()</f>
        <v>0.726446523104864</v>
      </c>
      <c r="L50" s="15" t="n">
        <f aca="true">RAND()</f>
        <v>0.257366641989402</v>
      </c>
      <c r="M50" s="15" t="n">
        <f aca="true">RAND()</f>
        <v>0.957270331060538</v>
      </c>
      <c r="N50" s="15" t="n">
        <f aca="true">RAND()</f>
        <v>0.398927208988772</v>
      </c>
      <c r="O50" s="15" t="n">
        <f aca="true">RAND()</f>
        <v>0.437365188795923</v>
      </c>
      <c r="P50" s="15" t="n">
        <f aca="true">RAND()</f>
        <v>0.596181302069472</v>
      </c>
      <c r="Q50" s="15" t="n">
        <f aca="true">RAND()</f>
        <v>0.13211098547866</v>
      </c>
      <c r="R50" s="15" t="n">
        <f aca="true">RAND()</f>
        <v>0.663631960702207</v>
      </c>
      <c r="S50" s="15" t="n">
        <f aca="true">RAND()</f>
        <v>0.261742554558426</v>
      </c>
      <c r="T50" s="16" t="n">
        <f aca="false">LOOKUP(D50,$E$23:$E$26,$A$23:$A$26)+LOOKUP(D50,$E$23:$E$26,$D$23:$D$26)*(D50-LOOKUP(D50,$E$23:$E$26))/LOOKUP(D50,$E$23:$E$26,$C$23:$C$26)</f>
        <v>4.41977864920436</v>
      </c>
      <c r="U50" s="16" t="n">
        <f aca="false">LOOKUP(E50,$E$23:$E$26,$A$23:$A$26)+LOOKUP(E50,$E$23:$E$26,$D$23:$D$26)*(E50-LOOKUP(E50,$E$23:$E$26))/LOOKUP(E50,$E$23:$E$26,$C$23:$C$26)</f>
        <v>4.7619025726725</v>
      </c>
      <c r="V50" s="16" t="n">
        <f aca="false">LOOKUP(F50,$E$23:$E$26,$A$23:$A$26)+LOOKUP(F50,$E$23:$E$26,$D$23:$D$26)*(F50-LOOKUP(F50,$E$23:$E$26))/LOOKUP(F50,$E$23:$E$26,$C$23:$C$26)</f>
        <v>4.76273466213625</v>
      </c>
      <c r="W50" s="16" t="n">
        <f aca="false">LOOKUP(G50,$E$23:$E$26,$A$23:$A$26)+LOOKUP(G50,$E$23:$E$26,$D$23:$D$26)*(G50-LOOKUP(G50,$E$23:$E$26))/LOOKUP(G50,$E$23:$E$26,$C$23:$C$26)</f>
        <v>4.86356320367057</v>
      </c>
      <c r="X50" s="16" t="n">
        <f aca="false">LOOKUP(H50,$E$23:$E$26,$A$23:$A$26)+LOOKUP(H50,$E$23:$E$26,$D$23:$D$26)*(H50-LOOKUP(H50,$E$23:$E$26))/LOOKUP(H50,$E$23:$E$26,$C$23:$C$26)</f>
        <v>5.53580569486743</v>
      </c>
      <c r="Y50" s="16" t="n">
        <f aca="false">LOOKUP(I50,$E$23:$E$26,$A$23:$A$26)+LOOKUP(I50,$E$23:$E$26,$D$23:$D$26)*(I50-LOOKUP(I50,$E$23:$E$26))/LOOKUP(I50,$E$23:$E$26,$C$23:$C$26)</f>
        <v>4.36034448626719</v>
      </c>
      <c r="Z50" s="16" t="n">
        <f aca="false">LOOKUP(J50,$E$23:$E$26,$A$23:$A$26)+LOOKUP(J50,$E$23:$E$26,$D$23:$D$26)*(J50-LOOKUP(J50,$E$23:$E$26))/LOOKUP(J50,$E$23:$E$26,$C$23:$C$26)</f>
        <v>4.5272675751708</v>
      </c>
      <c r="AA50" s="16" t="n">
        <f aca="false">LOOKUP(K50,$E$23:$E$26,$A$23:$A$26)+LOOKUP(K50,$E$23:$E$26,$D$23:$D$26)*(K50-LOOKUP(K50,$E$23:$E$26))/LOOKUP(K50,$E$23:$E$26,$C$23:$C$26)</f>
        <v>5.06611630776216</v>
      </c>
      <c r="AB50" s="16" t="n">
        <f aca="false">LOOKUP(L50,$E$23:$E$26,$A$23:$A$26)+LOOKUP(L50,$E$23:$E$26,$D$23:$D$26)*(L50-LOOKUP(L50,$E$23:$E$26))/LOOKUP(L50,$E$23:$E$26,$C$23:$C$26)</f>
        <v>4.42894440331567</v>
      </c>
      <c r="AC50" s="16" t="n">
        <f aca="false">LOOKUP(M50,$E$23:$E$26,$A$23:$A$26)+LOOKUP(M50,$E$23:$E$26,$D$23:$D$26)*(M50-LOOKUP(M50,$E$23:$E$26))/LOOKUP(M50,$E$23:$E$26,$C$23:$C$26)</f>
        <v>5.78635165530269</v>
      </c>
      <c r="AD50" s="16" t="n">
        <f aca="false">LOOKUP(N50,$E$23:$E$26,$A$23:$A$26)+LOOKUP(N50,$E$23:$E$26,$D$23:$D$26)*(N50-LOOKUP(N50,$E$23:$E$26))/LOOKUP(N50,$E$23:$E$26,$C$23:$C$26)</f>
        <v>4.62365901123597</v>
      </c>
      <c r="AE50" s="16" t="n">
        <f aca="false">LOOKUP(O50,$E$23:$E$26,$A$23:$A$26)+LOOKUP(O50,$E$23:$E$26,$D$23:$D$26)*(O50-LOOKUP(O50,$E$23:$E$26))/LOOKUP(O50,$E$23:$E$26,$C$23:$C$26)</f>
        <v>4.6717064859949</v>
      </c>
      <c r="AF50" s="16" t="n">
        <f aca="false">LOOKUP(P50,$E$23:$E$26,$A$23:$A$26)+LOOKUP(P50,$E$23:$E$26,$D$23:$D$26)*(P50-LOOKUP(P50,$E$23:$E$26))/LOOKUP(P50,$E$23:$E$26,$C$23:$C$26)</f>
        <v>4.87022662758684</v>
      </c>
      <c r="AG50" s="16" t="n">
        <f aca="false">LOOKUP(Q50,$E$23:$E$26,$A$23:$A$26)+LOOKUP(Q50,$E$23:$E$26,$D$23:$D$26)*(Q50-LOOKUP(Q50,$E$23:$E$26))/LOOKUP(Q50,$E$23:$E$26,$C$23:$C$26)</f>
        <v>4.22018497579777</v>
      </c>
      <c r="AH50" s="16" t="n">
        <f aca="false">LOOKUP(R50,$E$23:$E$26,$A$23:$A$26)+LOOKUP(R50,$E$23:$E$26,$D$23:$D$26)*(R50-LOOKUP(R50,$E$23:$E$26))/LOOKUP(R50,$E$23:$E$26,$C$23:$C$26)</f>
        <v>4.95453995087776</v>
      </c>
      <c r="AI50" s="16" t="n">
        <f aca="false">LOOKUP(S50,$E$23:$E$26,$A$23:$A$26)+LOOKUP(S50,$E$23:$E$26,$D$23:$D$26)*(S50-LOOKUP(S50,$E$23:$E$26))/LOOKUP(S50,$E$23:$E$26,$C$23:$C$26)</f>
        <v>4.43623759093071</v>
      </c>
      <c r="AJ50" s="16" t="n">
        <f aca="false">SUM($T50:T50)</f>
        <v>4.41977864920436</v>
      </c>
      <c r="AK50" s="16" t="n">
        <f aca="false">SUM($T50:U50)</f>
        <v>9.18168122187686</v>
      </c>
      <c r="AL50" s="16" t="n">
        <f aca="false">SUM($T50:V50)</f>
        <v>13.9444158840131</v>
      </c>
      <c r="AM50" s="16" t="n">
        <f aca="false">SUM($T50:W50)</f>
        <v>18.8079790876837</v>
      </c>
      <c r="AN50" s="16" t="n">
        <f aca="false">SUM($T50:X50)</f>
        <v>24.3437847825511</v>
      </c>
      <c r="AO50" s="16" t="n">
        <f aca="false">SUM($T50:Y50)</f>
        <v>28.7041292688183</v>
      </c>
      <c r="AP50" s="16" t="n">
        <f aca="false">SUM($T50:Z50)</f>
        <v>33.2313968439891</v>
      </c>
      <c r="AQ50" s="16" t="n">
        <f aca="false">SUM($T50:AA50)</f>
        <v>38.2975131517513</v>
      </c>
      <c r="AR50" s="16" t="n">
        <f aca="false">SUM($T50:AB50)</f>
        <v>42.7264575550669</v>
      </c>
      <c r="AS50" s="16" t="n">
        <f aca="false">SUM($T50:AC50)</f>
        <v>48.5128092103696</v>
      </c>
      <c r="AT50" s="16" t="n">
        <f aca="false">SUM($T50:AD50)</f>
        <v>53.1364682216056</v>
      </c>
      <c r="AU50" s="16" t="n">
        <f aca="false">SUM($T50:AE50)</f>
        <v>57.8081747076005</v>
      </c>
      <c r="AV50" s="16" t="n">
        <f aca="false">SUM($T50:AF50)</f>
        <v>62.6784013351873</v>
      </c>
      <c r="AW50" s="16" t="n">
        <f aca="false">SUM($T50:AG50)</f>
        <v>66.8985863109851</v>
      </c>
      <c r="AX50" s="16" t="n">
        <f aca="false">SUM($T50:AH50)</f>
        <v>71.8531262618629</v>
      </c>
      <c r="AY50" s="16" t="n">
        <f aca="false">SUM($T50:AI50)</f>
        <v>76.2893638527936</v>
      </c>
      <c r="AZ50" s="16" t="n">
        <f aca="false">MAX(C50-AJ50,0)</f>
        <v>57.6421767112263</v>
      </c>
      <c r="BA50" s="16" t="n">
        <f aca="false">MAX(C50-AK50,0)</f>
        <v>52.8802741385537</v>
      </c>
      <c r="BB50" s="16" t="n">
        <f aca="false">MAX(C50-AL50,0)</f>
        <v>48.1175394764175</v>
      </c>
      <c r="BC50" s="16" t="n">
        <f aca="false">MAX(C50-AM50,0)</f>
        <v>43.2539762727469</v>
      </c>
      <c r="BD50" s="16" t="n">
        <f aca="false">MAX(C50-AN50,0)</f>
        <v>37.7181705778795</v>
      </c>
      <c r="BE50" s="16" t="n">
        <f aca="false">MAX(C50-AO50,0)</f>
        <v>33.3578260916123</v>
      </c>
      <c r="BF50" s="16" t="n">
        <f aca="false">MAX(C50-AP50,0)</f>
        <v>28.8305585164415</v>
      </c>
      <c r="BG50" s="16" t="n">
        <f aca="false">MAX(C50-AQ50,0)</f>
        <v>23.7644422086794</v>
      </c>
      <c r="BH50" s="16" t="n">
        <f aca="false">MAX(C50-AR50,0)</f>
        <v>19.3354978053637</v>
      </c>
      <c r="BI50" s="16" t="n">
        <f aca="false">MAX(C50-AS50,0)</f>
        <v>13.549146150061</v>
      </c>
      <c r="BJ50" s="16" t="n">
        <f aca="false">MAX(C50-AT50,0)</f>
        <v>8.92548713882502</v>
      </c>
      <c r="BK50" s="16" t="n">
        <f aca="false">MAX(C50-AU50,0)</f>
        <v>4.25378065283012</v>
      </c>
      <c r="BL50" s="16" t="n">
        <f aca="false">MAX(C50-AV50,0)</f>
        <v>0</v>
      </c>
      <c r="BM50" s="16" t="n">
        <f aca="false">MAX(C50-AW50,0)</f>
        <v>0</v>
      </c>
      <c r="BN50" s="16" t="n">
        <f aca="false">MAX(C50-AX50,0)</f>
        <v>0</v>
      </c>
      <c r="BO50" s="16" t="n">
        <f aca="false">MAX(C50-AY50,0)</f>
        <v>0</v>
      </c>
    </row>
    <row r="51" customFormat="false" ht="15" hidden="false" customHeight="false" outlineLevel="0" collapsed="false">
      <c r="A51" s="3" t="n">
        <v>21</v>
      </c>
      <c r="B51" s="15" t="n">
        <f aca="true">RAND()</f>
        <v>0.769900611809965</v>
      </c>
      <c r="C51" s="16" t="n">
        <f aca="false">LOOKUP(B51,$E$12:$E$17,$A$12:$A$17)+LOOKUP(B51,$E$12:$E$17,$D$12:$D$17)*(B51-LOOKUP(B51,$E$12:$E$17))/LOOKUP(B51,$E$12:$E$17,$C$12:$C$17)</f>
        <v>68.1414373115709</v>
      </c>
      <c r="D51" s="15" t="n">
        <f aca="true">RAND()</f>
        <v>0.346983031942321</v>
      </c>
      <c r="E51" s="15" t="n">
        <f aca="true">RAND()</f>
        <v>0.669083606797566</v>
      </c>
      <c r="F51" s="15" t="n">
        <f aca="true">RAND()</f>
        <v>0.733663780722991</v>
      </c>
      <c r="G51" s="15" t="n">
        <f aca="true">RAND()</f>
        <v>0.054828363657665</v>
      </c>
      <c r="H51" s="15" t="n">
        <f aca="true">RAND()</f>
        <v>0.213867748581938</v>
      </c>
      <c r="I51" s="15" t="n">
        <f aca="true">RAND()</f>
        <v>0.674663347833812</v>
      </c>
      <c r="J51" s="15" t="n">
        <f aca="true">RAND()</f>
        <v>0.499897067473033</v>
      </c>
      <c r="K51" s="15" t="n">
        <f aca="true">RAND()</f>
        <v>0.271737646311896</v>
      </c>
      <c r="L51" s="15" t="n">
        <f aca="true">RAND()</f>
        <v>0.625588612525845</v>
      </c>
      <c r="M51" s="15" t="n">
        <f aca="true">RAND()</f>
        <v>0.939392101697544</v>
      </c>
      <c r="N51" s="15" t="n">
        <f aca="true">RAND()</f>
        <v>0.66350638953277</v>
      </c>
      <c r="O51" s="15" t="n">
        <f aca="true">RAND()</f>
        <v>0.252771570654946</v>
      </c>
      <c r="P51" s="15" t="n">
        <f aca="true">RAND()</f>
        <v>0.294186136607085</v>
      </c>
      <c r="Q51" s="15" t="n">
        <f aca="true">RAND()</f>
        <v>0.476149640652152</v>
      </c>
      <c r="R51" s="15" t="n">
        <f aca="true">RAND()</f>
        <v>0.822554436223282</v>
      </c>
      <c r="S51" s="15" t="n">
        <f aca="true">RAND()</f>
        <v>0.511199634661297</v>
      </c>
      <c r="T51" s="16" t="n">
        <f aca="false">LOOKUP(D51,$E$23:$E$26,$A$23:$A$26)+LOOKUP(D51,$E$23:$E$26,$D$23:$D$26)*(D51-LOOKUP(D51,$E$23:$E$26))/LOOKUP(D51,$E$23:$E$26,$C$23:$C$26)</f>
        <v>4.5587287899279</v>
      </c>
      <c r="U51" s="16" t="n">
        <f aca="false">LOOKUP(E51,$E$23:$E$26,$A$23:$A$26)+LOOKUP(E51,$E$23:$E$26,$D$23:$D$26)*(E51-LOOKUP(E51,$E$23:$E$26))/LOOKUP(E51,$E$23:$E$26,$C$23:$C$26)</f>
        <v>4.96135450849696</v>
      </c>
      <c r="V51" s="16" t="n">
        <f aca="false">LOOKUP(F51,$E$23:$E$26,$A$23:$A$26)+LOOKUP(F51,$E$23:$E$26,$D$23:$D$26)*(F51-LOOKUP(F51,$E$23:$E$26))/LOOKUP(F51,$E$23:$E$26,$C$23:$C$26)</f>
        <v>5.08415945180748</v>
      </c>
      <c r="W51" s="16" t="n">
        <f aca="false">LOOKUP(G51,$E$23:$E$26,$A$23:$A$26)+LOOKUP(G51,$E$23:$E$26,$D$23:$D$26)*(G51-LOOKUP(G51,$E$23:$E$26))/LOOKUP(G51,$E$23:$E$26,$C$23:$C$26)</f>
        <v>4.09138060609611</v>
      </c>
      <c r="X51" s="16" t="n">
        <f aca="false">LOOKUP(H51,$E$23:$E$26,$A$23:$A$26)+LOOKUP(H51,$E$23:$E$26,$D$23:$D$26)*(H51-LOOKUP(H51,$E$23:$E$26))/LOOKUP(H51,$E$23:$E$26,$C$23:$C$26)</f>
        <v>4.35644624763656</v>
      </c>
      <c r="Y51" s="16" t="n">
        <f aca="false">LOOKUP(I51,$E$23:$E$26,$A$23:$A$26)+LOOKUP(I51,$E$23:$E$26,$D$23:$D$26)*(I51-LOOKUP(I51,$E$23:$E$26))/LOOKUP(I51,$E$23:$E$26,$C$23:$C$26)</f>
        <v>4.96832918479227</v>
      </c>
      <c r="Z51" s="16" t="n">
        <f aca="false">LOOKUP(J51,$E$23:$E$26,$A$23:$A$26)+LOOKUP(J51,$E$23:$E$26,$D$23:$D$26)*(J51-LOOKUP(J51,$E$23:$E$26))/LOOKUP(J51,$E$23:$E$26,$C$23:$C$26)</f>
        <v>4.74987133434129</v>
      </c>
      <c r="AA51" s="16" t="n">
        <f aca="false">LOOKUP(K51,$E$23:$E$26,$A$23:$A$26)+LOOKUP(K51,$E$23:$E$26,$D$23:$D$26)*(K51-LOOKUP(K51,$E$23:$E$26))/LOOKUP(K51,$E$23:$E$26,$C$23:$C$26)</f>
        <v>4.45289607718649</v>
      </c>
      <c r="AB51" s="16" t="n">
        <f aca="false">LOOKUP(L51,$E$23:$E$26,$A$23:$A$26)+LOOKUP(L51,$E$23:$E$26,$D$23:$D$26)*(L51-LOOKUP(L51,$E$23:$E$26))/LOOKUP(L51,$E$23:$E$26,$C$23:$C$26)</f>
        <v>4.90698576565731</v>
      </c>
      <c r="AC51" s="16" t="n">
        <f aca="false">LOOKUP(M51,$E$23:$E$26,$A$23:$A$26)+LOOKUP(M51,$E$23:$E$26,$D$23:$D$26)*(M51-LOOKUP(M51,$E$23:$E$26))/LOOKUP(M51,$E$23:$E$26,$C$23:$C$26)</f>
        <v>5.69696050848772</v>
      </c>
      <c r="AD51" s="16" t="n">
        <f aca="false">LOOKUP(N51,$E$23:$E$26,$A$23:$A$26)+LOOKUP(N51,$E$23:$E$26,$D$23:$D$26)*(N51-LOOKUP(N51,$E$23:$E$26))/LOOKUP(N51,$E$23:$E$26,$C$23:$C$26)</f>
        <v>4.95438298691596</v>
      </c>
      <c r="AE51" s="16" t="n">
        <f aca="false">LOOKUP(O51,$E$23:$E$26,$A$23:$A$26)+LOOKUP(O51,$E$23:$E$26,$D$23:$D$26)*(O51-LOOKUP(O51,$E$23:$E$26))/LOOKUP(O51,$E$23:$E$26,$C$23:$C$26)</f>
        <v>4.42128595109158</v>
      </c>
      <c r="AF51" s="16" t="n">
        <f aca="false">LOOKUP(P51,$E$23:$E$26,$A$23:$A$26)+LOOKUP(P51,$E$23:$E$26,$D$23:$D$26)*(P51-LOOKUP(P51,$E$23:$E$26))/LOOKUP(P51,$E$23:$E$26,$C$23:$C$26)</f>
        <v>4.49031022767848</v>
      </c>
      <c r="AG51" s="16" t="n">
        <f aca="false">LOOKUP(Q51,$E$23:$E$26,$A$23:$A$26)+LOOKUP(Q51,$E$23:$E$26,$D$23:$D$26)*(Q51-LOOKUP(Q51,$E$23:$E$26))/LOOKUP(Q51,$E$23:$E$26,$C$23:$C$26)</f>
        <v>4.72018705081519</v>
      </c>
      <c r="AH51" s="16" t="n">
        <f aca="false">LOOKUP(R51,$E$23:$E$26,$A$23:$A$26)+LOOKUP(R51,$E$23:$E$26,$D$23:$D$26)*(R51-LOOKUP(R51,$E$23:$E$26))/LOOKUP(R51,$E$23:$E$26,$C$23:$C$26)</f>
        <v>5.30638609055821</v>
      </c>
      <c r="AI51" s="16" t="n">
        <f aca="false">LOOKUP(S51,$E$23:$E$26,$A$23:$A$26)+LOOKUP(S51,$E$23:$E$26,$D$23:$D$26)*(S51-LOOKUP(S51,$E$23:$E$26))/LOOKUP(S51,$E$23:$E$26,$C$23:$C$26)</f>
        <v>4.76399954332662</v>
      </c>
      <c r="AJ51" s="16" t="n">
        <f aca="false">SUM($T51:T51)</f>
        <v>4.5587287899279</v>
      </c>
      <c r="AK51" s="16" t="n">
        <f aca="false">SUM($T51:U51)</f>
        <v>9.52008329842486</v>
      </c>
      <c r="AL51" s="16" t="n">
        <f aca="false">SUM($T51:V51)</f>
        <v>14.6042427502323</v>
      </c>
      <c r="AM51" s="16" t="n">
        <f aca="false">SUM($T51:W51)</f>
        <v>18.6956233563284</v>
      </c>
      <c r="AN51" s="16" t="n">
        <f aca="false">SUM($T51:X51)</f>
        <v>23.052069603965</v>
      </c>
      <c r="AO51" s="16" t="n">
        <f aca="false">SUM($T51:Y51)</f>
        <v>28.0203987887573</v>
      </c>
      <c r="AP51" s="16" t="n">
        <f aca="false">SUM($T51:Z51)</f>
        <v>32.7702701230986</v>
      </c>
      <c r="AQ51" s="16" t="n">
        <f aca="false">SUM($T51:AA51)</f>
        <v>37.2231662002851</v>
      </c>
      <c r="AR51" s="16" t="n">
        <f aca="false">SUM($T51:AB51)</f>
        <v>42.1301519659424</v>
      </c>
      <c r="AS51" s="16" t="n">
        <f aca="false">SUM($T51:AC51)</f>
        <v>47.8271124744301</v>
      </c>
      <c r="AT51" s="16" t="n">
        <f aca="false">SUM($T51:AD51)</f>
        <v>52.781495461346</v>
      </c>
      <c r="AU51" s="16" t="n">
        <f aca="false">SUM($T51:AE51)</f>
        <v>57.2027814124376</v>
      </c>
      <c r="AV51" s="16" t="n">
        <f aca="false">SUM($T51:AF51)</f>
        <v>61.6930916401161</v>
      </c>
      <c r="AW51" s="16" t="n">
        <f aca="false">SUM($T51:AG51)</f>
        <v>66.4132786909313</v>
      </c>
      <c r="AX51" s="16" t="n">
        <f aca="false">SUM($T51:AH51)</f>
        <v>71.7196647814895</v>
      </c>
      <c r="AY51" s="16" t="n">
        <f aca="false">SUM($T51:AI51)</f>
        <v>76.4836643248161</v>
      </c>
      <c r="AZ51" s="16" t="n">
        <f aca="false">MAX(C51-AJ51,0)</f>
        <v>63.582708521643</v>
      </c>
      <c r="BA51" s="16" t="n">
        <f aca="false">MAX(C51-AK51,0)</f>
        <v>58.6213540131461</v>
      </c>
      <c r="BB51" s="16" t="n">
        <f aca="false">MAX(C51-AL51,0)</f>
        <v>53.5371945613386</v>
      </c>
      <c r="BC51" s="16" t="n">
        <f aca="false">MAX(C51-AM51,0)</f>
        <v>49.4458139552425</v>
      </c>
      <c r="BD51" s="16" t="n">
        <f aca="false">MAX(C51-AN51,0)</f>
        <v>45.0893677076059</v>
      </c>
      <c r="BE51" s="16" t="n">
        <f aca="false">MAX(C51-AO51,0)</f>
        <v>40.1210385228137</v>
      </c>
      <c r="BF51" s="16" t="n">
        <f aca="false">MAX(C51-AP51,0)</f>
        <v>35.3711671884724</v>
      </c>
      <c r="BG51" s="16" t="n">
        <f aca="false">MAX(C51-AQ51,0)</f>
        <v>30.9182711112859</v>
      </c>
      <c r="BH51" s="16" t="n">
        <f aca="false">MAX(C51-AR51,0)</f>
        <v>26.0112853456286</v>
      </c>
      <c r="BI51" s="16" t="n">
        <f aca="false">MAX(C51-AS51,0)</f>
        <v>20.3143248371409</v>
      </c>
      <c r="BJ51" s="16" t="n">
        <f aca="false">MAX(C51-AT51,0)</f>
        <v>15.3599418502249</v>
      </c>
      <c r="BK51" s="16" t="n">
        <f aca="false">MAX(C51-AU51,0)</f>
        <v>10.9386558991333</v>
      </c>
      <c r="BL51" s="16" t="n">
        <f aca="false">MAX(C51-AV51,0)</f>
        <v>6.44834567145484</v>
      </c>
      <c r="BM51" s="16" t="n">
        <f aca="false">MAX(C51-AW51,0)</f>
        <v>1.72815862063966</v>
      </c>
      <c r="BN51" s="16" t="n">
        <f aca="false">MAX(C51-AX51,0)</f>
        <v>0</v>
      </c>
      <c r="BO51" s="16" t="n">
        <f aca="false">MAX(C51-AY51,0)</f>
        <v>0</v>
      </c>
    </row>
    <row r="52" customFormat="false" ht="15" hidden="false" customHeight="false" outlineLevel="0" collapsed="false">
      <c r="A52" s="3" t="n">
        <v>22</v>
      </c>
      <c r="B52" s="15" t="n">
        <f aca="true">RAND()</f>
        <v>0.565744028640149</v>
      </c>
      <c r="C52" s="16" t="n">
        <f aca="false">LOOKUP(B52,$E$12:$E$17,$A$12:$A$17)+LOOKUP(B52,$E$12:$E$17,$D$12:$D$17)*(B52-LOOKUP(B52,$E$12:$E$17))/LOOKUP(B52,$E$12:$E$17,$C$12:$C$17)</f>
        <v>65.2249146948593</v>
      </c>
      <c r="D52" s="15" t="n">
        <f aca="true">RAND()</f>
        <v>0.836299923619512</v>
      </c>
      <c r="E52" s="15" t="n">
        <f aca="true">RAND()</f>
        <v>0.698046559417702</v>
      </c>
      <c r="F52" s="15" t="n">
        <f aca="true">RAND()</f>
        <v>0.2829162371088</v>
      </c>
      <c r="G52" s="15" t="n">
        <f aca="true">RAND()</f>
        <v>0.647868699557166</v>
      </c>
      <c r="H52" s="15" t="n">
        <f aca="true">RAND()</f>
        <v>0.472343808377343</v>
      </c>
      <c r="I52" s="15" t="n">
        <f aca="true">RAND()</f>
        <v>0.547181029597518</v>
      </c>
      <c r="J52" s="15" t="n">
        <f aca="true">RAND()</f>
        <v>0.0252452297667958</v>
      </c>
      <c r="K52" s="15" t="n">
        <f aca="true">RAND()</f>
        <v>0.614502328841252</v>
      </c>
      <c r="L52" s="15" t="n">
        <f aca="true">RAND()</f>
        <v>0.321975663586092</v>
      </c>
      <c r="M52" s="15" t="n">
        <f aca="true">RAND()</f>
        <v>0.234512068443221</v>
      </c>
      <c r="N52" s="15" t="n">
        <f aca="true">RAND()</f>
        <v>0.348231819568803</v>
      </c>
      <c r="O52" s="15" t="n">
        <f aca="true">RAND()</f>
        <v>0.083430053877664</v>
      </c>
      <c r="P52" s="15" t="n">
        <f aca="true">RAND()</f>
        <v>0.959872559622741</v>
      </c>
      <c r="Q52" s="15" t="n">
        <f aca="true">RAND()</f>
        <v>0.47020360870763</v>
      </c>
      <c r="R52" s="15" t="n">
        <f aca="true">RAND()</f>
        <v>0.977722220984707</v>
      </c>
      <c r="S52" s="15" t="n">
        <f aca="true">RAND()</f>
        <v>0.2664715852446</v>
      </c>
      <c r="T52" s="16" t="n">
        <f aca="false">LOOKUP(D52,$E$23:$E$26,$A$23:$A$26)+LOOKUP(D52,$E$23:$E$26,$D$23:$D$26)*(D52-LOOKUP(D52,$E$23:$E$26))/LOOKUP(D52,$E$23:$E$26,$C$23:$C$26)</f>
        <v>5.34074980904878</v>
      </c>
      <c r="U52" s="16" t="n">
        <f aca="false">LOOKUP(E52,$E$23:$E$26,$A$23:$A$26)+LOOKUP(E52,$E$23:$E$26,$D$23:$D$26)*(E52-LOOKUP(E52,$E$23:$E$26))/LOOKUP(E52,$E$23:$E$26,$C$23:$C$26)</f>
        <v>4.99755819927213</v>
      </c>
      <c r="V52" s="16" t="n">
        <f aca="false">LOOKUP(F52,$E$23:$E$26,$A$23:$A$26)+LOOKUP(F52,$E$23:$E$26,$D$23:$D$26)*(F52-LOOKUP(F52,$E$23:$E$26))/LOOKUP(F52,$E$23:$E$26,$C$23:$C$26)</f>
        <v>4.471527061848</v>
      </c>
      <c r="W52" s="16" t="n">
        <f aca="false">LOOKUP(G52,$E$23:$E$26,$A$23:$A$26)+LOOKUP(G52,$E$23:$E$26,$D$23:$D$26)*(G52-LOOKUP(G52,$E$23:$E$26))/LOOKUP(G52,$E$23:$E$26,$C$23:$C$26)</f>
        <v>4.93483587444646</v>
      </c>
      <c r="X52" s="16" t="n">
        <f aca="false">LOOKUP(H52,$E$23:$E$26,$A$23:$A$26)+LOOKUP(H52,$E$23:$E$26,$D$23:$D$26)*(H52-LOOKUP(H52,$E$23:$E$26))/LOOKUP(H52,$E$23:$E$26,$C$23:$C$26)</f>
        <v>4.71542976047168</v>
      </c>
      <c r="Y52" s="16" t="n">
        <f aca="false">LOOKUP(I52,$E$23:$E$26,$A$23:$A$26)+LOOKUP(I52,$E$23:$E$26,$D$23:$D$26)*(I52-LOOKUP(I52,$E$23:$E$26))/LOOKUP(I52,$E$23:$E$26,$C$23:$C$26)</f>
        <v>4.8089762869969</v>
      </c>
      <c r="Z52" s="16" t="n">
        <f aca="false">LOOKUP(J52,$E$23:$E$26,$A$23:$A$26)+LOOKUP(J52,$E$23:$E$26,$D$23:$D$26)*(J52-LOOKUP(J52,$E$23:$E$26))/LOOKUP(J52,$E$23:$E$26,$C$23:$C$26)</f>
        <v>4.04207538294466</v>
      </c>
      <c r="AA52" s="16" t="n">
        <f aca="false">LOOKUP(K52,$E$23:$E$26,$A$23:$A$26)+LOOKUP(K52,$E$23:$E$26,$D$23:$D$26)*(K52-LOOKUP(K52,$E$23:$E$26))/LOOKUP(K52,$E$23:$E$26,$C$23:$C$26)</f>
        <v>4.89312791105157</v>
      </c>
      <c r="AB52" s="16" t="n">
        <f aca="false">LOOKUP(L52,$E$23:$E$26,$A$23:$A$26)+LOOKUP(L52,$E$23:$E$26,$D$23:$D$26)*(L52-LOOKUP(L52,$E$23:$E$26))/LOOKUP(L52,$E$23:$E$26,$C$23:$C$26)</f>
        <v>4.52746957948262</v>
      </c>
      <c r="AC52" s="16" t="n">
        <f aca="false">LOOKUP(M52,$E$23:$E$26,$A$23:$A$26)+LOOKUP(M52,$E$23:$E$26,$D$23:$D$26)*(M52-LOOKUP(M52,$E$23:$E$26))/LOOKUP(M52,$E$23:$E$26,$C$23:$C$26)</f>
        <v>4.39085344740537</v>
      </c>
      <c r="AD52" s="16" t="n">
        <f aca="false">LOOKUP(N52,$E$23:$E$26,$A$23:$A$26)+LOOKUP(N52,$E$23:$E$26,$D$23:$D$26)*(N52-LOOKUP(N52,$E$23:$E$26))/LOOKUP(N52,$E$23:$E$26,$C$23:$C$26)</f>
        <v>4.56028977446101</v>
      </c>
      <c r="AE52" s="16" t="n">
        <f aca="false">LOOKUP(O52,$E$23:$E$26,$A$23:$A$26)+LOOKUP(O52,$E$23:$E$26,$D$23:$D$26)*(O52-LOOKUP(O52,$E$23:$E$26))/LOOKUP(O52,$E$23:$E$26,$C$23:$C$26)</f>
        <v>4.13905008979611</v>
      </c>
      <c r="AF52" s="16" t="n">
        <f aca="false">LOOKUP(P52,$E$23:$E$26,$A$23:$A$26)+LOOKUP(P52,$E$23:$E$26,$D$23:$D$26)*(P52-LOOKUP(P52,$E$23:$E$26))/LOOKUP(P52,$E$23:$E$26,$C$23:$C$26)</f>
        <v>5.79936279811371</v>
      </c>
      <c r="AG52" s="16" t="n">
        <f aca="false">LOOKUP(Q52,$E$23:$E$26,$A$23:$A$26)+LOOKUP(Q52,$E$23:$E$26,$D$23:$D$26)*(Q52-LOOKUP(Q52,$E$23:$E$26))/LOOKUP(Q52,$E$23:$E$26,$C$23:$C$26)</f>
        <v>4.71275451088454</v>
      </c>
      <c r="AH52" s="16" t="n">
        <f aca="false">LOOKUP(R52,$E$23:$E$26,$A$23:$A$26)+LOOKUP(R52,$E$23:$E$26,$D$23:$D$26)*(R52-LOOKUP(R52,$E$23:$E$26))/LOOKUP(R52,$E$23:$E$26,$C$23:$C$26)</f>
        <v>5.88861110492354</v>
      </c>
      <c r="AI52" s="16" t="n">
        <f aca="false">LOOKUP(S52,$E$23:$E$26,$A$23:$A$26)+LOOKUP(S52,$E$23:$E$26,$D$23:$D$26)*(S52-LOOKUP(S52,$E$23:$E$26))/LOOKUP(S52,$E$23:$E$26,$C$23:$C$26)</f>
        <v>4.444119308741</v>
      </c>
      <c r="AJ52" s="16" t="n">
        <f aca="false">SUM($T52:T52)</f>
        <v>5.34074980904878</v>
      </c>
      <c r="AK52" s="16" t="n">
        <f aca="false">SUM($T52:U52)</f>
        <v>10.3383080083209</v>
      </c>
      <c r="AL52" s="16" t="n">
        <f aca="false">SUM($T52:V52)</f>
        <v>14.8098350701689</v>
      </c>
      <c r="AM52" s="16" t="n">
        <f aca="false">SUM($T52:W52)</f>
        <v>19.7446709446154</v>
      </c>
      <c r="AN52" s="16" t="n">
        <f aca="false">SUM($T52:X52)</f>
        <v>24.460100705087</v>
      </c>
      <c r="AO52" s="16" t="n">
        <f aca="false">SUM($T52:Y52)</f>
        <v>29.2690769920839</v>
      </c>
      <c r="AP52" s="16" t="n">
        <f aca="false">SUM($T52:Z52)</f>
        <v>33.3111523750286</v>
      </c>
      <c r="AQ52" s="16" t="n">
        <f aca="false">SUM($T52:AA52)</f>
        <v>38.2042802860802</v>
      </c>
      <c r="AR52" s="16" t="n">
        <f aca="false">SUM($T52:AB52)</f>
        <v>42.7317498655628</v>
      </c>
      <c r="AS52" s="16" t="n">
        <f aca="false">SUM($T52:AC52)</f>
        <v>47.1226033129682</v>
      </c>
      <c r="AT52" s="16" t="n">
        <f aca="false">SUM($T52:AD52)</f>
        <v>51.6828930874292</v>
      </c>
      <c r="AU52" s="16" t="n">
        <f aca="false">SUM($T52:AE52)</f>
        <v>55.8219431772253</v>
      </c>
      <c r="AV52" s="16" t="n">
        <f aca="false">SUM($T52:AF52)</f>
        <v>61.621305975339</v>
      </c>
      <c r="AW52" s="16" t="n">
        <f aca="false">SUM($T52:AG52)</f>
        <v>66.3340604862235</v>
      </c>
      <c r="AX52" s="16" t="n">
        <f aca="false">SUM($T52:AH52)</f>
        <v>72.2226715911471</v>
      </c>
      <c r="AY52" s="16" t="n">
        <f aca="false">SUM($T52:AI52)</f>
        <v>76.666790899888</v>
      </c>
      <c r="AZ52" s="16" t="n">
        <f aca="false">MAX(C52-AJ52,0)</f>
        <v>59.8841648858105</v>
      </c>
      <c r="BA52" s="16" t="n">
        <f aca="false">MAX(C52-AK52,0)</f>
        <v>54.8866066865384</v>
      </c>
      <c r="BB52" s="16" t="n">
        <f aca="false">MAX(C52-AL52,0)</f>
        <v>50.4150796246904</v>
      </c>
      <c r="BC52" s="16" t="n">
        <f aca="false">MAX(C52-AM52,0)</f>
        <v>45.4802437502439</v>
      </c>
      <c r="BD52" s="16" t="n">
        <f aca="false">MAX(C52-AN52,0)</f>
        <v>40.7648139897722</v>
      </c>
      <c r="BE52" s="16" t="n">
        <f aca="false">MAX(C52-AO52,0)</f>
        <v>35.9558377027753</v>
      </c>
      <c r="BF52" s="16" t="n">
        <f aca="false">MAX(C52-AP52,0)</f>
        <v>31.9137623198307</v>
      </c>
      <c r="BG52" s="16" t="n">
        <f aca="false">MAX(C52-AQ52,0)</f>
        <v>27.0206344087791</v>
      </c>
      <c r="BH52" s="16" t="n">
        <f aca="false">MAX(C52-AR52,0)</f>
        <v>22.4931648292965</v>
      </c>
      <c r="BI52" s="16" t="n">
        <f aca="false">MAX(C52-AS52,0)</f>
        <v>18.1023113818911</v>
      </c>
      <c r="BJ52" s="16" t="n">
        <f aca="false">MAX(C52-AT52,0)</f>
        <v>13.5420216074301</v>
      </c>
      <c r="BK52" s="16" t="n">
        <f aca="false">MAX(C52-AU52,0)</f>
        <v>9.40297151763402</v>
      </c>
      <c r="BL52" s="16" t="n">
        <f aca="false">MAX(C52-AV52,0)</f>
        <v>3.60360871952031</v>
      </c>
      <c r="BM52" s="16" t="n">
        <f aca="false">MAX(C52-AW52,0)</f>
        <v>0</v>
      </c>
      <c r="BN52" s="16" t="n">
        <f aca="false">MAX(C52-AX52,0)</f>
        <v>0</v>
      </c>
      <c r="BO52" s="16" t="n">
        <f aca="false">MAX(C52-AY52,0)</f>
        <v>0</v>
      </c>
    </row>
    <row r="53" customFormat="false" ht="15" hidden="false" customHeight="false" outlineLevel="0" collapsed="false">
      <c r="A53" s="3" t="n">
        <v>23</v>
      </c>
      <c r="B53" s="15" t="n">
        <f aca="true">RAND()</f>
        <v>0.139988823670398</v>
      </c>
      <c r="C53" s="16" t="n">
        <f aca="false">LOOKUP(B53,$E$12:$E$17,$A$12:$A$17)+LOOKUP(B53,$E$12:$E$17,$D$12:$D$17)*(B53-LOOKUP(B53,$E$12:$E$17))/LOOKUP(B53,$E$12:$E$17,$C$12:$C$17)</f>
        <v>56.3329607890133</v>
      </c>
      <c r="D53" s="15" t="n">
        <f aca="true">RAND()</f>
        <v>0.171494973074948</v>
      </c>
      <c r="E53" s="15" t="n">
        <f aca="true">RAND()</f>
        <v>0.442009418363403</v>
      </c>
      <c r="F53" s="15" t="n">
        <f aca="true">RAND()</f>
        <v>0.304512018493204</v>
      </c>
      <c r="G53" s="15" t="n">
        <f aca="true">RAND()</f>
        <v>0.863219326264453</v>
      </c>
      <c r="H53" s="15" t="n">
        <f aca="true">RAND()</f>
        <v>0.77381581401255</v>
      </c>
      <c r="I53" s="15" t="n">
        <f aca="true">RAND()</f>
        <v>0.132388179645191</v>
      </c>
      <c r="J53" s="15" t="n">
        <f aca="true">RAND()</f>
        <v>0.240254432620754</v>
      </c>
      <c r="K53" s="15" t="n">
        <f aca="true">RAND()</f>
        <v>0.586226093944169</v>
      </c>
      <c r="L53" s="15" t="n">
        <f aca="true">RAND()</f>
        <v>0.212900129742322</v>
      </c>
      <c r="M53" s="15" t="n">
        <f aca="true">RAND()</f>
        <v>0.867136798451927</v>
      </c>
      <c r="N53" s="15" t="n">
        <f aca="true">RAND()</f>
        <v>0.276995623880412</v>
      </c>
      <c r="O53" s="15" t="n">
        <f aca="true">RAND()</f>
        <v>0.269591249648566</v>
      </c>
      <c r="P53" s="15" t="n">
        <f aca="true">RAND()</f>
        <v>0.237359518718273</v>
      </c>
      <c r="Q53" s="15" t="n">
        <f aca="true">RAND()</f>
        <v>0.634116789466943</v>
      </c>
      <c r="R53" s="15" t="n">
        <f aca="true">RAND()</f>
        <v>0.919320855919662</v>
      </c>
      <c r="S53" s="15" t="n">
        <f aca="true">RAND()</f>
        <v>0.949284758636435</v>
      </c>
      <c r="T53" s="16" t="n">
        <f aca="false">LOOKUP(D53,$E$23:$E$26,$A$23:$A$26)+LOOKUP(D53,$E$23:$E$26,$D$23:$D$26)*(D53-LOOKUP(D53,$E$23:$E$26))/LOOKUP(D53,$E$23:$E$26,$C$23:$C$26)</f>
        <v>4.28582495512491</v>
      </c>
      <c r="U53" s="16" t="n">
        <f aca="false">LOOKUP(E53,$E$23:$E$26,$A$23:$A$26)+LOOKUP(E53,$E$23:$E$26,$D$23:$D$26)*(E53-LOOKUP(E53,$E$23:$E$26))/LOOKUP(E53,$E$23:$E$26,$C$23:$C$26)</f>
        <v>4.67751177295425</v>
      </c>
      <c r="V53" s="16" t="n">
        <f aca="false">LOOKUP(F53,$E$23:$E$26,$A$23:$A$26)+LOOKUP(F53,$E$23:$E$26,$D$23:$D$26)*(F53-LOOKUP(F53,$E$23:$E$26))/LOOKUP(F53,$E$23:$E$26,$C$23:$C$26)</f>
        <v>4.50564002311651</v>
      </c>
      <c r="W53" s="16" t="n">
        <f aca="false">LOOKUP(G53,$E$23:$E$26,$A$23:$A$26)+LOOKUP(G53,$E$23:$E$26,$D$23:$D$26)*(G53-LOOKUP(G53,$E$23:$E$26))/LOOKUP(G53,$E$23:$E$26,$C$23:$C$26)</f>
        <v>5.40804831566113</v>
      </c>
      <c r="X53" s="16" t="n">
        <f aca="false">LOOKUP(H53,$E$23:$E$26,$A$23:$A$26)+LOOKUP(H53,$E$23:$E$26,$D$23:$D$26)*(H53-LOOKUP(H53,$E$23:$E$26))/LOOKUP(H53,$E$23:$E$26,$C$23:$C$26)</f>
        <v>5.18453953503138</v>
      </c>
      <c r="Y53" s="16" t="n">
        <f aca="false">LOOKUP(I53,$E$23:$E$26,$A$23:$A$26)+LOOKUP(I53,$E$23:$E$26,$D$23:$D$26)*(I53-LOOKUP(I53,$E$23:$E$26))/LOOKUP(I53,$E$23:$E$26,$C$23:$C$26)</f>
        <v>4.22064696607532</v>
      </c>
      <c r="Z53" s="16" t="n">
        <f aca="false">LOOKUP(J53,$E$23:$E$26,$A$23:$A$26)+LOOKUP(J53,$E$23:$E$26,$D$23:$D$26)*(J53-LOOKUP(J53,$E$23:$E$26))/LOOKUP(J53,$E$23:$E$26,$C$23:$C$26)</f>
        <v>4.40042405436792</v>
      </c>
      <c r="AA53" s="16" t="n">
        <f aca="false">LOOKUP(K53,$E$23:$E$26,$A$23:$A$26)+LOOKUP(K53,$E$23:$E$26,$D$23:$D$26)*(K53-LOOKUP(K53,$E$23:$E$26))/LOOKUP(K53,$E$23:$E$26,$C$23:$C$26)</f>
        <v>4.85778261743021</v>
      </c>
      <c r="AB53" s="16" t="n">
        <f aca="false">LOOKUP(L53,$E$23:$E$26,$A$23:$A$26)+LOOKUP(L53,$E$23:$E$26,$D$23:$D$26)*(L53-LOOKUP(L53,$E$23:$E$26))/LOOKUP(L53,$E$23:$E$26,$C$23:$C$26)</f>
        <v>4.35483354957054</v>
      </c>
      <c r="AC53" s="16" t="n">
        <f aca="false">LOOKUP(M53,$E$23:$E$26,$A$23:$A$26)+LOOKUP(M53,$E$23:$E$26,$D$23:$D$26)*(M53-LOOKUP(M53,$E$23:$E$26))/LOOKUP(M53,$E$23:$E$26,$C$23:$C$26)</f>
        <v>5.41784199612982</v>
      </c>
      <c r="AD53" s="16" t="n">
        <f aca="false">LOOKUP(N53,$E$23:$E$26,$A$23:$A$26)+LOOKUP(N53,$E$23:$E$26,$D$23:$D$26)*(N53-LOOKUP(N53,$E$23:$E$26))/LOOKUP(N53,$E$23:$E$26,$C$23:$C$26)</f>
        <v>4.46165937313402</v>
      </c>
      <c r="AE53" s="16" t="n">
        <f aca="false">LOOKUP(O53,$E$23:$E$26,$A$23:$A$26)+LOOKUP(O53,$E$23:$E$26,$D$23:$D$26)*(O53-LOOKUP(O53,$E$23:$E$26))/LOOKUP(O53,$E$23:$E$26,$C$23:$C$26)</f>
        <v>4.44931874941428</v>
      </c>
      <c r="AF53" s="16" t="n">
        <f aca="false">LOOKUP(P53,$E$23:$E$26,$A$23:$A$26)+LOOKUP(P53,$E$23:$E$26,$D$23:$D$26)*(P53-LOOKUP(P53,$E$23:$E$26))/LOOKUP(P53,$E$23:$E$26,$C$23:$C$26)</f>
        <v>4.39559919786379</v>
      </c>
      <c r="AG53" s="16" t="n">
        <f aca="false">LOOKUP(Q53,$E$23:$E$26,$A$23:$A$26)+LOOKUP(Q53,$E$23:$E$26,$D$23:$D$26)*(Q53-LOOKUP(Q53,$E$23:$E$26))/LOOKUP(Q53,$E$23:$E$26,$C$23:$C$26)</f>
        <v>4.91764598683368</v>
      </c>
      <c r="AH53" s="16" t="n">
        <f aca="false">LOOKUP(R53,$E$23:$E$26,$A$23:$A$26)+LOOKUP(R53,$E$23:$E$26,$D$23:$D$26)*(R53-LOOKUP(R53,$E$23:$E$26))/LOOKUP(R53,$E$23:$E$26,$C$23:$C$26)</f>
        <v>5.59660427959831</v>
      </c>
      <c r="AI53" s="16" t="n">
        <f aca="false">LOOKUP(S53,$E$23:$E$26,$A$23:$A$26)+LOOKUP(S53,$E$23:$E$26,$D$23:$D$26)*(S53-LOOKUP(S53,$E$23:$E$26))/LOOKUP(S53,$E$23:$E$26,$C$23:$C$26)</f>
        <v>5.74642379318217</v>
      </c>
      <c r="AJ53" s="16" t="n">
        <f aca="false">SUM($T53:T53)</f>
        <v>4.28582495512491</v>
      </c>
      <c r="AK53" s="16" t="n">
        <f aca="false">SUM($T53:U53)</f>
        <v>8.96333672807917</v>
      </c>
      <c r="AL53" s="16" t="n">
        <f aca="false">SUM($T53:V53)</f>
        <v>13.4689767511957</v>
      </c>
      <c r="AM53" s="16" t="n">
        <f aca="false">SUM($T53:W53)</f>
        <v>18.8770250668568</v>
      </c>
      <c r="AN53" s="16" t="n">
        <f aca="false">SUM($T53:X53)</f>
        <v>24.0615646018882</v>
      </c>
      <c r="AO53" s="16" t="n">
        <f aca="false">SUM($T53:Y53)</f>
        <v>28.2822115679635</v>
      </c>
      <c r="AP53" s="16" t="n">
        <f aca="false">SUM($T53:Z53)</f>
        <v>32.6826356223314</v>
      </c>
      <c r="AQ53" s="16" t="n">
        <f aca="false">SUM($T53:AA53)</f>
        <v>37.5404182397616</v>
      </c>
      <c r="AR53" s="16" t="n">
        <f aca="false">SUM($T53:AB53)</f>
        <v>41.8952517893322</v>
      </c>
      <c r="AS53" s="16" t="n">
        <f aca="false">SUM($T53:AC53)</f>
        <v>47.313093785462</v>
      </c>
      <c r="AT53" s="16" t="n">
        <f aca="false">SUM($T53:AD53)</f>
        <v>51.774753158596</v>
      </c>
      <c r="AU53" s="16" t="n">
        <f aca="false">SUM($T53:AE53)</f>
        <v>56.2240719080103</v>
      </c>
      <c r="AV53" s="16" t="n">
        <f aca="false">SUM($T53:AF53)</f>
        <v>60.6196711058741</v>
      </c>
      <c r="AW53" s="16" t="n">
        <f aca="false">SUM($T53:AG53)</f>
        <v>65.5373170927078</v>
      </c>
      <c r="AX53" s="16" t="n">
        <f aca="false">SUM($T53:AH53)</f>
        <v>71.1339213723061</v>
      </c>
      <c r="AY53" s="16" t="n">
        <f aca="false">SUM($T53:AI53)</f>
        <v>76.8803451654882</v>
      </c>
      <c r="AZ53" s="16" t="n">
        <f aca="false">MAX(C53-AJ53,0)</f>
        <v>52.0471358338884</v>
      </c>
      <c r="BA53" s="16" t="n">
        <f aca="false">MAX(C53-AK53,0)</f>
        <v>47.3696240609341</v>
      </c>
      <c r="BB53" s="16" t="n">
        <f aca="false">MAX(C53-AL53,0)</f>
        <v>42.8639840378176</v>
      </c>
      <c r="BC53" s="16" t="n">
        <f aca="false">MAX(C53-AM53,0)</f>
        <v>37.4559357221565</v>
      </c>
      <c r="BD53" s="16" t="n">
        <f aca="false">MAX(C53-AN53,0)</f>
        <v>32.2713961871251</v>
      </c>
      <c r="BE53" s="16" t="n">
        <f aca="false">MAX(C53-AO53,0)</f>
        <v>28.0507492210498</v>
      </c>
      <c r="BF53" s="16" t="n">
        <f aca="false">MAX(C53-AP53,0)</f>
        <v>23.6503251666819</v>
      </c>
      <c r="BG53" s="16" t="n">
        <f aca="false">MAX(C53-AQ53,0)</f>
        <v>18.7925425492517</v>
      </c>
      <c r="BH53" s="16" t="n">
        <f aca="false">MAX(C53-AR53,0)</f>
        <v>14.4377089996811</v>
      </c>
      <c r="BI53" s="16" t="n">
        <f aca="false">MAX(C53-AS53,0)</f>
        <v>9.0198670035513</v>
      </c>
      <c r="BJ53" s="16" t="n">
        <f aca="false">MAX(C53-AT53,0)</f>
        <v>4.55820763041728</v>
      </c>
      <c r="BK53" s="16" t="n">
        <f aca="false">MAX(C53-AU53,0)</f>
        <v>0.108888881003004</v>
      </c>
      <c r="BL53" s="16" t="n">
        <f aca="false">MAX(C53-AV53,0)</f>
        <v>0</v>
      </c>
      <c r="BM53" s="16" t="n">
        <f aca="false">MAX(C53-AW53,0)</f>
        <v>0</v>
      </c>
      <c r="BN53" s="16" t="n">
        <f aca="false">MAX(C53-AX53,0)</f>
        <v>0</v>
      </c>
      <c r="BO53" s="16" t="n">
        <f aca="false">MAX(C53-AY53,0)</f>
        <v>0</v>
      </c>
    </row>
    <row r="54" customFormat="false" ht="15" hidden="false" customHeight="false" outlineLevel="0" collapsed="false">
      <c r="A54" s="3" t="n">
        <v>24</v>
      </c>
      <c r="B54" s="15" t="n">
        <f aca="true">RAND()</f>
        <v>0.760134439875964</v>
      </c>
      <c r="C54" s="16" t="n">
        <f aca="false">LOOKUP(B54,$E$12:$E$17,$A$12:$A$17)+LOOKUP(B54,$E$12:$E$17,$D$12:$D$17)*(B54-LOOKUP(B54,$E$12:$E$17))/LOOKUP(B54,$E$12:$E$17,$C$12:$C$17)</f>
        <v>68.0019205696566</v>
      </c>
      <c r="D54" s="15" t="n">
        <f aca="true">RAND()</f>
        <v>0.403928217673884</v>
      </c>
      <c r="E54" s="15" t="n">
        <f aca="true">RAND()</f>
        <v>0.190884635151117</v>
      </c>
      <c r="F54" s="15" t="n">
        <f aca="true">RAND()</f>
        <v>0.954701841730291</v>
      </c>
      <c r="G54" s="15" t="n">
        <f aca="true">RAND()</f>
        <v>0.826777024835193</v>
      </c>
      <c r="H54" s="15" t="n">
        <f aca="true">RAND()</f>
        <v>0.297006007578209</v>
      </c>
      <c r="I54" s="15" t="n">
        <f aca="true">RAND()</f>
        <v>0.756107657396164</v>
      </c>
      <c r="J54" s="15" t="n">
        <f aca="true">RAND()</f>
        <v>0.651993797127343</v>
      </c>
      <c r="K54" s="15" t="n">
        <f aca="true">RAND()</f>
        <v>0.465325244285227</v>
      </c>
      <c r="L54" s="15" t="n">
        <f aca="true">RAND()</f>
        <v>0.254058878367988</v>
      </c>
      <c r="M54" s="15" t="n">
        <f aca="true">RAND()</f>
        <v>0.360803933052173</v>
      </c>
      <c r="N54" s="15" t="n">
        <f aca="true">RAND()</f>
        <v>0.813343729942677</v>
      </c>
      <c r="O54" s="15" t="n">
        <f aca="true">RAND()</f>
        <v>0.443898769462622</v>
      </c>
      <c r="P54" s="15" t="n">
        <f aca="true">RAND()</f>
        <v>0.862196564450551</v>
      </c>
      <c r="Q54" s="15" t="n">
        <f aca="true">RAND()</f>
        <v>0.9095663346295</v>
      </c>
      <c r="R54" s="15" t="n">
        <f aca="true">RAND()</f>
        <v>0.547601482332383</v>
      </c>
      <c r="S54" s="15" t="n">
        <f aca="true">RAND()</f>
        <v>0.480762416759315</v>
      </c>
      <c r="T54" s="16" t="n">
        <f aca="false">LOOKUP(D54,$E$23:$E$26,$A$23:$A$26)+LOOKUP(D54,$E$23:$E$26,$D$23:$D$26)*(D54-LOOKUP(D54,$E$23:$E$26))/LOOKUP(D54,$E$23:$E$26,$C$23:$C$26)</f>
        <v>4.62991027209236</v>
      </c>
      <c r="U54" s="16" t="n">
        <f aca="false">LOOKUP(E54,$E$23:$E$26,$A$23:$A$26)+LOOKUP(E54,$E$23:$E$26,$D$23:$D$26)*(E54-LOOKUP(E54,$E$23:$E$26))/LOOKUP(E54,$E$23:$E$26,$C$23:$C$26)</f>
        <v>4.3181410585852</v>
      </c>
      <c r="V54" s="16" t="n">
        <f aca="false">LOOKUP(F54,$E$23:$E$26,$A$23:$A$26)+LOOKUP(F54,$E$23:$E$26,$D$23:$D$26)*(F54-LOOKUP(F54,$E$23:$E$26))/LOOKUP(F54,$E$23:$E$26,$C$23:$C$26)</f>
        <v>5.77350920865146</v>
      </c>
      <c r="W54" s="16" t="n">
        <f aca="false">LOOKUP(G54,$E$23:$E$26,$A$23:$A$26)+LOOKUP(G54,$E$23:$E$26,$D$23:$D$26)*(G54-LOOKUP(G54,$E$23:$E$26))/LOOKUP(G54,$E$23:$E$26,$C$23:$C$26)</f>
        <v>5.31694256208798</v>
      </c>
      <c r="X54" s="16" t="n">
        <f aca="false">LOOKUP(H54,$E$23:$E$26,$A$23:$A$26)+LOOKUP(H54,$E$23:$E$26,$D$23:$D$26)*(H54-LOOKUP(H54,$E$23:$E$26))/LOOKUP(H54,$E$23:$E$26,$C$23:$C$26)</f>
        <v>4.49501001263035</v>
      </c>
      <c r="Y54" s="16" t="n">
        <f aca="false">LOOKUP(I54,$E$23:$E$26,$A$23:$A$26)+LOOKUP(I54,$E$23:$E$26,$D$23:$D$26)*(I54-LOOKUP(I54,$E$23:$E$26))/LOOKUP(I54,$E$23:$E$26,$C$23:$C$26)</f>
        <v>5.14026914349041</v>
      </c>
      <c r="Z54" s="16" t="n">
        <f aca="false">LOOKUP(J54,$E$23:$E$26,$A$23:$A$26)+LOOKUP(J54,$E$23:$E$26,$D$23:$D$26)*(J54-LOOKUP(J54,$E$23:$E$26))/LOOKUP(J54,$E$23:$E$26,$C$23:$C$26)</f>
        <v>4.93999224640918</v>
      </c>
      <c r="AA54" s="16" t="n">
        <f aca="false">LOOKUP(K54,$E$23:$E$26,$A$23:$A$26)+LOOKUP(K54,$E$23:$E$26,$D$23:$D$26)*(K54-LOOKUP(K54,$E$23:$E$26))/LOOKUP(K54,$E$23:$E$26,$C$23:$C$26)</f>
        <v>4.70665655535653</v>
      </c>
      <c r="AB54" s="16" t="n">
        <f aca="false">LOOKUP(L54,$E$23:$E$26,$A$23:$A$26)+LOOKUP(L54,$E$23:$E$26,$D$23:$D$26)*(L54-LOOKUP(L54,$E$23:$E$26))/LOOKUP(L54,$E$23:$E$26,$C$23:$C$26)</f>
        <v>4.42343146394665</v>
      </c>
      <c r="AC54" s="16" t="n">
        <f aca="false">LOOKUP(M54,$E$23:$E$26,$A$23:$A$26)+LOOKUP(M54,$E$23:$E$26,$D$23:$D$26)*(M54-LOOKUP(M54,$E$23:$E$26))/LOOKUP(M54,$E$23:$E$26,$C$23:$C$26)</f>
        <v>4.57600491631522</v>
      </c>
      <c r="AD54" s="16" t="n">
        <f aca="false">LOOKUP(N54,$E$23:$E$26,$A$23:$A$26)+LOOKUP(N54,$E$23:$E$26,$D$23:$D$26)*(N54-LOOKUP(N54,$E$23:$E$26))/LOOKUP(N54,$E$23:$E$26,$C$23:$C$26)</f>
        <v>5.28335932485669</v>
      </c>
      <c r="AE54" s="16" t="n">
        <f aca="false">LOOKUP(O54,$E$23:$E$26,$A$23:$A$26)+LOOKUP(O54,$E$23:$E$26,$D$23:$D$26)*(O54-LOOKUP(O54,$E$23:$E$26))/LOOKUP(O54,$E$23:$E$26,$C$23:$C$26)</f>
        <v>4.67987346182828</v>
      </c>
      <c r="AF54" s="16" t="n">
        <f aca="false">LOOKUP(P54,$E$23:$E$26,$A$23:$A$26)+LOOKUP(P54,$E$23:$E$26,$D$23:$D$26)*(P54-LOOKUP(P54,$E$23:$E$26))/LOOKUP(P54,$E$23:$E$26,$C$23:$C$26)</f>
        <v>5.40549141112638</v>
      </c>
      <c r="AG54" s="16" t="n">
        <f aca="false">LOOKUP(Q54,$E$23:$E$26,$A$23:$A$26)+LOOKUP(Q54,$E$23:$E$26,$D$23:$D$26)*(Q54-LOOKUP(Q54,$E$23:$E$26))/LOOKUP(Q54,$E$23:$E$26,$C$23:$C$26)</f>
        <v>5.5478316731475</v>
      </c>
      <c r="AH54" s="16" t="n">
        <f aca="false">LOOKUP(R54,$E$23:$E$26,$A$23:$A$26)+LOOKUP(R54,$E$23:$E$26,$D$23:$D$26)*(R54-LOOKUP(R54,$E$23:$E$26))/LOOKUP(R54,$E$23:$E$26,$C$23:$C$26)</f>
        <v>4.80950185291548</v>
      </c>
      <c r="AI54" s="16" t="n">
        <f aca="false">LOOKUP(S54,$E$23:$E$26,$A$23:$A$26)+LOOKUP(S54,$E$23:$E$26,$D$23:$D$26)*(S54-LOOKUP(S54,$E$23:$E$26))/LOOKUP(S54,$E$23:$E$26,$C$23:$C$26)</f>
        <v>4.72595302094914</v>
      </c>
      <c r="AJ54" s="16" t="n">
        <f aca="false">SUM($T54:T54)</f>
        <v>4.62991027209236</v>
      </c>
      <c r="AK54" s="16" t="n">
        <f aca="false">SUM($T54:U54)</f>
        <v>8.94805133067755</v>
      </c>
      <c r="AL54" s="16" t="n">
        <f aca="false">SUM($T54:V54)</f>
        <v>14.721560539329</v>
      </c>
      <c r="AM54" s="16" t="n">
        <f aca="false">SUM($T54:W54)</f>
        <v>20.038503101417</v>
      </c>
      <c r="AN54" s="16" t="n">
        <f aca="false">SUM($T54:X54)</f>
        <v>24.5335131140473</v>
      </c>
      <c r="AO54" s="16" t="n">
        <f aca="false">SUM($T54:Y54)</f>
        <v>29.6737822575378</v>
      </c>
      <c r="AP54" s="16" t="n">
        <f aca="false">SUM($T54:Z54)</f>
        <v>34.6137745039469</v>
      </c>
      <c r="AQ54" s="16" t="n">
        <f aca="false">SUM($T54:AA54)</f>
        <v>39.3204310593035</v>
      </c>
      <c r="AR54" s="16" t="n">
        <f aca="false">SUM($T54:AB54)</f>
        <v>43.7438625232501</v>
      </c>
      <c r="AS54" s="16" t="n">
        <f aca="false">SUM($T54:AC54)</f>
        <v>48.3198674395653</v>
      </c>
      <c r="AT54" s="16" t="n">
        <f aca="false">SUM($T54:AD54)</f>
        <v>53.603226764422</v>
      </c>
      <c r="AU54" s="16" t="n">
        <f aca="false">SUM($T54:AE54)</f>
        <v>58.2831002262503</v>
      </c>
      <c r="AV54" s="16" t="n">
        <f aca="false">SUM($T54:AF54)</f>
        <v>63.6885916373767</v>
      </c>
      <c r="AW54" s="16" t="n">
        <f aca="false">SUM($T54:AG54)</f>
        <v>69.2364233105242</v>
      </c>
      <c r="AX54" s="16" t="n">
        <f aca="false">SUM($T54:AH54)</f>
        <v>74.0459251634397</v>
      </c>
      <c r="AY54" s="16" t="n">
        <f aca="false">SUM($T54:AI54)</f>
        <v>78.7718781843888</v>
      </c>
      <c r="AZ54" s="16" t="n">
        <f aca="false">MAX(C54-AJ54,0)</f>
        <v>63.3720102975643</v>
      </c>
      <c r="BA54" s="16" t="n">
        <f aca="false">MAX(C54-AK54,0)</f>
        <v>59.0538692389791</v>
      </c>
      <c r="BB54" s="16" t="n">
        <f aca="false">MAX(C54-AL54,0)</f>
        <v>53.2803600303276</v>
      </c>
      <c r="BC54" s="16" t="n">
        <f aca="false">MAX(C54-AM54,0)</f>
        <v>47.9634174682396</v>
      </c>
      <c r="BD54" s="16" t="n">
        <f aca="false">MAX(C54-AN54,0)</f>
        <v>43.4684074556093</v>
      </c>
      <c r="BE54" s="16" t="n">
        <f aca="false">MAX(C54-AO54,0)</f>
        <v>38.3281383121189</v>
      </c>
      <c r="BF54" s="16" t="n">
        <f aca="false">MAX(C54-AP54,0)</f>
        <v>33.3881460657097</v>
      </c>
      <c r="BG54" s="16" t="n">
        <f aca="false">MAX(C54-AQ54,0)</f>
        <v>28.6814895103532</v>
      </c>
      <c r="BH54" s="16" t="n">
        <f aca="false">MAX(C54-AR54,0)</f>
        <v>24.2580580464065</v>
      </c>
      <c r="BI54" s="16" t="n">
        <f aca="false">MAX(C54-AS54,0)</f>
        <v>19.6820531300913</v>
      </c>
      <c r="BJ54" s="16" t="n">
        <f aca="false">MAX(C54-AT54,0)</f>
        <v>14.3986938052346</v>
      </c>
      <c r="BK54" s="16" t="n">
        <f aca="false">MAX(C54-AU54,0)</f>
        <v>9.71882034340632</v>
      </c>
      <c r="BL54" s="16" t="n">
        <f aca="false">MAX(C54-AV54,0)</f>
        <v>4.31332893227995</v>
      </c>
      <c r="BM54" s="16" t="n">
        <f aca="false">MAX(C54-AW54,0)</f>
        <v>0</v>
      </c>
      <c r="BN54" s="16" t="n">
        <f aca="false">MAX(C54-AX54,0)</f>
        <v>0</v>
      </c>
      <c r="BO54" s="16" t="n">
        <f aca="false">MAX(C54-AY54,0)</f>
        <v>0</v>
      </c>
    </row>
    <row r="55" customFormat="false" ht="15" hidden="false" customHeight="false" outlineLevel="0" collapsed="false">
      <c r="A55" s="3" t="n">
        <v>25</v>
      </c>
      <c r="B55" s="15" t="n">
        <f aca="true">RAND()</f>
        <v>0.378179783821527</v>
      </c>
      <c r="C55" s="16" t="n">
        <f aca="false">LOOKUP(B55,$E$12:$E$17,$A$12:$A$17)+LOOKUP(B55,$E$12:$E$17,$D$12:$D$17)*(B55-LOOKUP(B55,$E$12:$E$17))/LOOKUP(B55,$E$12:$E$17,$C$12:$C$17)</f>
        <v>62.1363297303588</v>
      </c>
      <c r="D55" s="15" t="n">
        <f aca="true">RAND()</f>
        <v>0.429797170473619</v>
      </c>
      <c r="E55" s="15" t="n">
        <f aca="true">RAND()</f>
        <v>0.117068860297163</v>
      </c>
      <c r="F55" s="15" t="n">
        <f aca="true">RAND()</f>
        <v>0.820698202411472</v>
      </c>
      <c r="G55" s="15" t="n">
        <f aca="true">RAND()</f>
        <v>0.420347708047326</v>
      </c>
      <c r="H55" s="15" t="n">
        <f aca="true">RAND()</f>
        <v>0.0772694478852143</v>
      </c>
      <c r="I55" s="15" t="n">
        <f aca="true">RAND()</f>
        <v>0.991576285598013</v>
      </c>
      <c r="J55" s="15" t="n">
        <f aca="true">RAND()</f>
        <v>0.192332150295449</v>
      </c>
      <c r="K55" s="15" t="n">
        <f aca="true">RAND()</f>
        <v>0.874036169722866</v>
      </c>
      <c r="L55" s="15" t="n">
        <f aca="true">RAND()</f>
        <v>0.346169769269673</v>
      </c>
      <c r="M55" s="15" t="n">
        <f aca="true">RAND()</f>
        <v>0.592857887998508</v>
      </c>
      <c r="N55" s="15" t="n">
        <f aca="true">RAND()</f>
        <v>0.682152177624465</v>
      </c>
      <c r="O55" s="15" t="n">
        <f aca="true">RAND()</f>
        <v>0.0940559622878869</v>
      </c>
      <c r="P55" s="15" t="n">
        <f aca="true">RAND()</f>
        <v>0.87244449227653</v>
      </c>
      <c r="Q55" s="15" t="n">
        <f aca="true">RAND()</f>
        <v>0.0734488903806509</v>
      </c>
      <c r="R55" s="15" t="n">
        <f aca="true">RAND()</f>
        <v>0.557946856250253</v>
      </c>
      <c r="S55" s="15" t="n">
        <f aca="true">RAND()</f>
        <v>0.646102269664064</v>
      </c>
      <c r="T55" s="16" t="n">
        <f aca="false">LOOKUP(D55,$E$23:$E$26,$A$23:$A$26)+LOOKUP(D55,$E$23:$E$26,$D$23:$D$26)*(D55-LOOKUP(D55,$E$23:$E$26))/LOOKUP(D55,$E$23:$E$26,$C$23:$C$26)</f>
        <v>4.66224646309202</v>
      </c>
      <c r="U55" s="16" t="n">
        <f aca="false">LOOKUP(E55,$E$23:$E$26,$A$23:$A$26)+LOOKUP(E55,$E$23:$E$26,$D$23:$D$26)*(E55-LOOKUP(E55,$E$23:$E$26))/LOOKUP(E55,$E$23:$E$26,$C$23:$C$26)</f>
        <v>4.19511476716194</v>
      </c>
      <c r="V55" s="16" t="n">
        <f aca="false">LOOKUP(F55,$E$23:$E$26,$A$23:$A$26)+LOOKUP(F55,$E$23:$E$26,$D$23:$D$26)*(F55-LOOKUP(F55,$E$23:$E$26))/LOOKUP(F55,$E$23:$E$26,$C$23:$C$26)</f>
        <v>5.30174550602868</v>
      </c>
      <c r="W55" s="16" t="n">
        <f aca="false">LOOKUP(G55,$E$23:$E$26,$A$23:$A$26)+LOOKUP(G55,$E$23:$E$26,$D$23:$D$26)*(G55-LOOKUP(G55,$E$23:$E$26))/LOOKUP(G55,$E$23:$E$26,$C$23:$C$26)</f>
        <v>4.65043463505916</v>
      </c>
      <c r="X55" s="16" t="n">
        <f aca="false">LOOKUP(H55,$E$23:$E$26,$A$23:$A$26)+LOOKUP(H55,$E$23:$E$26,$D$23:$D$26)*(H55-LOOKUP(H55,$E$23:$E$26))/LOOKUP(H55,$E$23:$E$26,$C$23:$C$26)</f>
        <v>4.12878241314202</v>
      </c>
      <c r="Y55" s="16" t="n">
        <f aca="false">LOOKUP(I55,$E$23:$E$26,$A$23:$A$26)+LOOKUP(I55,$E$23:$E$26,$D$23:$D$26)*(I55-LOOKUP(I55,$E$23:$E$26))/LOOKUP(I55,$E$23:$E$26,$C$23:$C$26)</f>
        <v>5.95788142799006</v>
      </c>
      <c r="Z55" s="16" t="n">
        <f aca="false">LOOKUP(J55,$E$23:$E$26,$A$23:$A$26)+LOOKUP(J55,$E$23:$E$26,$D$23:$D$26)*(J55-LOOKUP(J55,$E$23:$E$26))/LOOKUP(J55,$E$23:$E$26,$C$23:$C$26)</f>
        <v>4.32055358382575</v>
      </c>
      <c r="AA55" s="16" t="n">
        <f aca="false">LOOKUP(K55,$E$23:$E$26,$A$23:$A$26)+LOOKUP(K55,$E$23:$E$26,$D$23:$D$26)*(K55-LOOKUP(K55,$E$23:$E$26))/LOOKUP(K55,$E$23:$E$26,$C$23:$C$26)</f>
        <v>5.43509042430717</v>
      </c>
      <c r="AB55" s="16" t="n">
        <f aca="false">LOOKUP(L55,$E$23:$E$26,$A$23:$A$26)+LOOKUP(L55,$E$23:$E$26,$D$23:$D$26)*(L55-LOOKUP(L55,$E$23:$E$26))/LOOKUP(L55,$E$23:$E$26,$C$23:$C$26)</f>
        <v>4.55771221158709</v>
      </c>
      <c r="AC55" s="16" t="n">
        <f aca="false">LOOKUP(M55,$E$23:$E$26,$A$23:$A$26)+LOOKUP(M55,$E$23:$E$26,$D$23:$D$26)*(M55-LOOKUP(M55,$E$23:$E$26))/LOOKUP(M55,$E$23:$E$26,$C$23:$C$26)</f>
        <v>4.86607235999813</v>
      </c>
      <c r="AD55" s="16" t="n">
        <f aca="false">LOOKUP(N55,$E$23:$E$26,$A$23:$A$26)+LOOKUP(N55,$E$23:$E$26,$D$23:$D$26)*(N55-LOOKUP(N55,$E$23:$E$26))/LOOKUP(N55,$E$23:$E$26,$C$23:$C$26)</f>
        <v>4.97769022203058</v>
      </c>
      <c r="AE55" s="16" t="n">
        <f aca="false">LOOKUP(O55,$E$23:$E$26,$A$23:$A$26)+LOOKUP(O55,$E$23:$E$26,$D$23:$D$26)*(O55-LOOKUP(O55,$E$23:$E$26))/LOOKUP(O55,$E$23:$E$26,$C$23:$C$26)</f>
        <v>4.15675993714648</v>
      </c>
      <c r="AF55" s="16" t="n">
        <f aca="false">LOOKUP(P55,$E$23:$E$26,$A$23:$A$26)+LOOKUP(P55,$E$23:$E$26,$D$23:$D$26)*(P55-LOOKUP(P55,$E$23:$E$26))/LOOKUP(P55,$E$23:$E$26,$C$23:$C$26)</f>
        <v>5.43111123069133</v>
      </c>
      <c r="AG55" s="16" t="n">
        <f aca="false">LOOKUP(Q55,$E$23:$E$26,$A$23:$A$26)+LOOKUP(Q55,$E$23:$E$26,$D$23:$D$26)*(Q55-LOOKUP(Q55,$E$23:$E$26))/LOOKUP(Q55,$E$23:$E$26,$C$23:$C$26)</f>
        <v>4.12241481730109</v>
      </c>
      <c r="AH55" s="16" t="n">
        <f aca="false">LOOKUP(R55,$E$23:$E$26,$A$23:$A$26)+LOOKUP(R55,$E$23:$E$26,$D$23:$D$26)*(R55-LOOKUP(R55,$E$23:$E$26))/LOOKUP(R55,$E$23:$E$26,$C$23:$C$26)</f>
        <v>4.82243357031282</v>
      </c>
      <c r="AI55" s="16" t="n">
        <f aca="false">LOOKUP(S55,$E$23:$E$26,$A$23:$A$26)+LOOKUP(S55,$E$23:$E$26,$D$23:$D$26)*(S55-LOOKUP(S55,$E$23:$E$26))/LOOKUP(S55,$E$23:$E$26,$C$23:$C$26)</f>
        <v>4.93262783708008</v>
      </c>
      <c r="AJ55" s="16" t="n">
        <f aca="false">SUM($T55:T55)</f>
        <v>4.66224646309202</v>
      </c>
      <c r="AK55" s="16" t="n">
        <f aca="false">SUM($T55:U55)</f>
        <v>8.85736123025396</v>
      </c>
      <c r="AL55" s="16" t="n">
        <f aca="false">SUM($T55:V55)</f>
        <v>14.1591067362826</v>
      </c>
      <c r="AM55" s="16" t="n">
        <f aca="false">SUM($T55:W55)</f>
        <v>18.8095413713418</v>
      </c>
      <c r="AN55" s="16" t="n">
        <f aca="false">SUM($T55:X55)</f>
        <v>22.9383237844838</v>
      </c>
      <c r="AO55" s="16" t="n">
        <f aca="false">SUM($T55:Y55)</f>
        <v>28.8962052124739</v>
      </c>
      <c r="AP55" s="16" t="n">
        <f aca="false">SUM($T55:Z55)</f>
        <v>33.2167587962996</v>
      </c>
      <c r="AQ55" s="16" t="n">
        <f aca="false">SUM($T55:AA55)</f>
        <v>38.6518492206068</v>
      </c>
      <c r="AR55" s="16" t="n">
        <f aca="false">SUM($T55:AB55)</f>
        <v>43.2095614321939</v>
      </c>
      <c r="AS55" s="16" t="n">
        <f aca="false">SUM($T55:AC55)</f>
        <v>48.075633792192</v>
      </c>
      <c r="AT55" s="16" t="n">
        <f aca="false">SUM($T55:AD55)</f>
        <v>53.0533240142226</v>
      </c>
      <c r="AU55" s="16" t="n">
        <f aca="false">SUM($T55:AE55)</f>
        <v>57.2100839513691</v>
      </c>
      <c r="AV55" s="16" t="n">
        <f aca="false">SUM($T55:AF55)</f>
        <v>62.6411951820604</v>
      </c>
      <c r="AW55" s="16" t="n">
        <f aca="false">SUM($T55:AG55)</f>
        <v>66.7636099993615</v>
      </c>
      <c r="AX55" s="16" t="n">
        <f aca="false">SUM($T55:AH55)</f>
        <v>71.5860435696743</v>
      </c>
      <c r="AY55" s="16" t="n">
        <f aca="false">SUM($T55:AI55)</f>
        <v>76.5186714067544</v>
      </c>
      <c r="AZ55" s="16" t="n">
        <f aca="false">MAX(C55-AJ55,0)</f>
        <v>57.4740832672668</v>
      </c>
      <c r="BA55" s="16" t="n">
        <f aca="false">MAX(C55-AK55,0)</f>
        <v>53.2789685001048</v>
      </c>
      <c r="BB55" s="16" t="n">
        <f aca="false">MAX(C55-AL55,0)</f>
        <v>47.9772229940761</v>
      </c>
      <c r="BC55" s="16" t="n">
        <f aca="false">MAX(C55-AM55,0)</f>
        <v>43.326788359017</v>
      </c>
      <c r="BD55" s="16" t="n">
        <f aca="false">MAX(C55-AN55,0)</f>
        <v>39.198005945875</v>
      </c>
      <c r="BE55" s="16" t="n">
        <f aca="false">MAX(C55-AO55,0)</f>
        <v>33.2401245178849</v>
      </c>
      <c r="BF55" s="16" t="n">
        <f aca="false">MAX(C55-AP55,0)</f>
        <v>28.9195709340591</v>
      </c>
      <c r="BG55" s="16" t="n">
        <f aca="false">MAX(C55-AQ55,0)</f>
        <v>23.484480509752</v>
      </c>
      <c r="BH55" s="16" t="n">
        <f aca="false">MAX(C55-AR55,0)</f>
        <v>18.9267682981649</v>
      </c>
      <c r="BI55" s="16" t="n">
        <f aca="false">MAX(C55-AS55,0)</f>
        <v>14.0606959381668</v>
      </c>
      <c r="BJ55" s="16" t="n">
        <f aca="false">MAX(C55-AT55,0)</f>
        <v>9.08300571613618</v>
      </c>
      <c r="BK55" s="16" t="n">
        <f aca="false">MAX(C55-AU55,0)</f>
        <v>4.9262457789897</v>
      </c>
      <c r="BL55" s="16" t="n">
        <f aca="false">MAX(C55-AV55,0)</f>
        <v>0</v>
      </c>
      <c r="BM55" s="16" t="n">
        <f aca="false">MAX(C55-AW55,0)</f>
        <v>0</v>
      </c>
      <c r="BN55" s="16" t="n">
        <f aca="false">MAX(C55-AX55,0)</f>
        <v>0</v>
      </c>
      <c r="BO55" s="16" t="n">
        <f aca="false">MAX(C55-AY55,0)</f>
        <v>0</v>
      </c>
    </row>
    <row r="56" customFormat="false" ht="15" hidden="false" customHeight="false" outlineLevel="0" collapsed="false">
      <c r="A56" s="3" t="n">
        <v>26</v>
      </c>
      <c r="B56" s="15" t="n">
        <f aca="true">RAND()</f>
        <v>0.309469490947307</v>
      </c>
      <c r="C56" s="16" t="n">
        <f aca="false">LOOKUP(B56,$E$12:$E$17,$A$12:$A$17)+LOOKUP(B56,$E$12:$E$17,$D$12:$D$17)*(B56-LOOKUP(B56,$E$12:$E$17))/LOOKUP(B56,$E$12:$E$17,$C$12:$C$17)</f>
        <v>60.9911581824551</v>
      </c>
      <c r="D56" s="15" t="n">
        <f aca="true">RAND()</f>
        <v>0.740356886769842</v>
      </c>
      <c r="E56" s="15" t="n">
        <f aca="true">RAND()</f>
        <v>0.423971932789602</v>
      </c>
      <c r="F56" s="15" t="n">
        <f aca="true">RAND()</f>
        <v>0.0615355218832928</v>
      </c>
      <c r="G56" s="15" t="n">
        <f aca="true">RAND()</f>
        <v>0.968086491086258</v>
      </c>
      <c r="H56" s="15" t="n">
        <f aca="true">RAND()</f>
        <v>0.43917987940199</v>
      </c>
      <c r="I56" s="15" t="n">
        <f aca="true">RAND()</f>
        <v>0.870022583616476</v>
      </c>
      <c r="J56" s="15" t="n">
        <f aca="true">RAND()</f>
        <v>0.592605925205731</v>
      </c>
      <c r="K56" s="15" t="n">
        <f aca="true">RAND()</f>
        <v>0.740302237874892</v>
      </c>
      <c r="L56" s="15" t="n">
        <f aca="true">RAND()</f>
        <v>0.950308976984712</v>
      </c>
      <c r="M56" s="15" t="n">
        <f aca="true">RAND()</f>
        <v>0.950557796317249</v>
      </c>
      <c r="N56" s="15" t="n">
        <f aca="true">RAND()</f>
        <v>0.84823546745416</v>
      </c>
      <c r="O56" s="15" t="n">
        <f aca="true">RAND()</f>
        <v>0.205340593410881</v>
      </c>
      <c r="P56" s="15" t="n">
        <f aca="true">RAND()</f>
        <v>0.235998675433829</v>
      </c>
      <c r="Q56" s="15" t="n">
        <f aca="true">RAND()</f>
        <v>0.580033417622428</v>
      </c>
      <c r="R56" s="15" t="n">
        <f aca="true">RAND()</f>
        <v>0.21411369182939</v>
      </c>
      <c r="S56" s="15" t="n">
        <f aca="true">RAND()</f>
        <v>0.463536138868529</v>
      </c>
      <c r="T56" s="16" t="n">
        <f aca="false">LOOKUP(D56,$E$23:$E$26,$A$23:$A$26)+LOOKUP(D56,$E$23:$E$26,$D$23:$D$26)*(D56-LOOKUP(D56,$E$23:$E$26))/LOOKUP(D56,$E$23:$E$26,$C$23:$C$26)</f>
        <v>5.10089221692461</v>
      </c>
      <c r="U56" s="16" t="n">
        <f aca="false">LOOKUP(E56,$E$23:$E$26,$A$23:$A$26)+LOOKUP(E56,$E$23:$E$26,$D$23:$D$26)*(E56-LOOKUP(E56,$E$23:$E$26))/LOOKUP(E56,$E$23:$E$26,$C$23:$C$26)</f>
        <v>4.654964915987</v>
      </c>
      <c r="V56" s="16" t="n">
        <f aca="false">LOOKUP(F56,$E$23:$E$26,$A$23:$A$26)+LOOKUP(F56,$E$23:$E$26,$D$23:$D$26)*(F56-LOOKUP(F56,$E$23:$E$26))/LOOKUP(F56,$E$23:$E$26,$C$23:$C$26)</f>
        <v>4.10255920313882</v>
      </c>
      <c r="W56" s="16" t="n">
        <f aca="false">LOOKUP(G56,$E$23:$E$26,$A$23:$A$26)+LOOKUP(G56,$E$23:$E$26,$D$23:$D$26)*(G56-LOOKUP(G56,$E$23:$E$26))/LOOKUP(G56,$E$23:$E$26,$C$23:$C$26)</f>
        <v>5.84043245543129</v>
      </c>
      <c r="X56" s="16" t="n">
        <f aca="false">LOOKUP(H56,$E$23:$E$26,$A$23:$A$26)+LOOKUP(H56,$E$23:$E$26,$D$23:$D$26)*(H56-LOOKUP(H56,$E$23:$E$26))/LOOKUP(H56,$E$23:$E$26,$C$23:$C$26)</f>
        <v>4.67397484925249</v>
      </c>
      <c r="Y56" s="16" t="n">
        <f aca="false">LOOKUP(I56,$E$23:$E$26,$A$23:$A$26)+LOOKUP(I56,$E$23:$E$26,$D$23:$D$26)*(I56-LOOKUP(I56,$E$23:$E$26))/LOOKUP(I56,$E$23:$E$26,$C$23:$C$26)</f>
        <v>5.42505645904119</v>
      </c>
      <c r="Z56" s="16" t="n">
        <f aca="false">LOOKUP(J56,$E$23:$E$26,$A$23:$A$26)+LOOKUP(J56,$E$23:$E$26,$D$23:$D$26)*(J56-LOOKUP(J56,$E$23:$E$26))/LOOKUP(J56,$E$23:$E$26,$C$23:$C$26)</f>
        <v>4.86575740650716</v>
      </c>
      <c r="AA56" s="16" t="n">
        <f aca="false">LOOKUP(K56,$E$23:$E$26,$A$23:$A$26)+LOOKUP(K56,$E$23:$E$26,$D$23:$D$26)*(K56-LOOKUP(K56,$E$23:$E$26))/LOOKUP(K56,$E$23:$E$26,$C$23:$C$26)</f>
        <v>5.10075559468723</v>
      </c>
      <c r="AB56" s="16" t="n">
        <f aca="false">LOOKUP(L56,$E$23:$E$26,$A$23:$A$26)+LOOKUP(L56,$E$23:$E$26,$D$23:$D$26)*(L56-LOOKUP(L56,$E$23:$E$26))/LOOKUP(L56,$E$23:$E$26,$C$23:$C$26)</f>
        <v>5.75154488492356</v>
      </c>
      <c r="AC56" s="16" t="n">
        <f aca="false">LOOKUP(M56,$E$23:$E$26,$A$23:$A$26)+LOOKUP(M56,$E$23:$E$26,$D$23:$D$26)*(M56-LOOKUP(M56,$E$23:$E$26))/LOOKUP(M56,$E$23:$E$26,$C$23:$C$26)</f>
        <v>5.75278898158625</v>
      </c>
      <c r="AD56" s="16" t="n">
        <f aca="false">LOOKUP(N56,$E$23:$E$26,$A$23:$A$26)+LOOKUP(N56,$E$23:$E$26,$D$23:$D$26)*(N56-LOOKUP(N56,$E$23:$E$26))/LOOKUP(N56,$E$23:$E$26,$C$23:$C$26)</f>
        <v>5.3705886686354</v>
      </c>
      <c r="AE56" s="16" t="n">
        <f aca="false">LOOKUP(O56,$E$23:$E$26,$A$23:$A$26)+LOOKUP(O56,$E$23:$E$26,$D$23:$D$26)*(O56-LOOKUP(O56,$E$23:$E$26))/LOOKUP(O56,$E$23:$E$26,$C$23:$C$26)</f>
        <v>4.34223432235147</v>
      </c>
      <c r="AF56" s="16" t="n">
        <f aca="false">LOOKUP(P56,$E$23:$E$26,$A$23:$A$26)+LOOKUP(P56,$E$23:$E$26,$D$23:$D$26)*(P56-LOOKUP(P56,$E$23:$E$26))/LOOKUP(P56,$E$23:$E$26,$C$23:$C$26)</f>
        <v>4.39333112572305</v>
      </c>
      <c r="AG56" s="16" t="n">
        <f aca="false">LOOKUP(Q56,$E$23:$E$26,$A$23:$A$26)+LOOKUP(Q56,$E$23:$E$26,$D$23:$D$26)*(Q56-LOOKUP(Q56,$E$23:$E$26))/LOOKUP(Q56,$E$23:$E$26,$C$23:$C$26)</f>
        <v>4.85004177202804</v>
      </c>
      <c r="AH56" s="16" t="n">
        <f aca="false">LOOKUP(R56,$E$23:$E$26,$A$23:$A$26)+LOOKUP(R56,$E$23:$E$26,$D$23:$D$26)*(R56-LOOKUP(R56,$E$23:$E$26))/LOOKUP(R56,$E$23:$E$26,$C$23:$C$26)</f>
        <v>4.35685615304898</v>
      </c>
      <c r="AI56" s="16" t="n">
        <f aca="false">LOOKUP(S56,$E$23:$E$26,$A$23:$A$26)+LOOKUP(S56,$E$23:$E$26,$D$23:$D$26)*(S56-LOOKUP(S56,$E$23:$E$26))/LOOKUP(S56,$E$23:$E$26,$C$23:$C$26)</f>
        <v>4.70442017358566</v>
      </c>
      <c r="AJ56" s="16" t="n">
        <f aca="false">SUM($T56:T56)</f>
        <v>5.10089221692461</v>
      </c>
      <c r="AK56" s="16" t="n">
        <f aca="false">SUM($T56:U56)</f>
        <v>9.75585713291161</v>
      </c>
      <c r="AL56" s="16" t="n">
        <f aca="false">SUM($T56:V56)</f>
        <v>13.8584163360504</v>
      </c>
      <c r="AM56" s="16" t="n">
        <f aca="false">SUM($T56:W56)</f>
        <v>19.6988487914817</v>
      </c>
      <c r="AN56" s="16" t="n">
        <f aca="false">SUM($T56:X56)</f>
        <v>24.3728236407342</v>
      </c>
      <c r="AO56" s="16" t="n">
        <f aca="false">SUM($T56:Y56)</f>
        <v>29.7978800997754</v>
      </c>
      <c r="AP56" s="16" t="n">
        <f aca="false">SUM($T56:Z56)</f>
        <v>34.6636375062826</v>
      </c>
      <c r="AQ56" s="16" t="n">
        <f aca="false">SUM($T56:AA56)</f>
        <v>39.7643931009698</v>
      </c>
      <c r="AR56" s="16" t="n">
        <f aca="false">SUM($T56:AB56)</f>
        <v>45.5159379858934</v>
      </c>
      <c r="AS56" s="16" t="n">
        <f aca="false">SUM($T56:AC56)</f>
        <v>51.2687269674796</v>
      </c>
      <c r="AT56" s="16" t="n">
        <f aca="false">SUM($T56:AD56)</f>
        <v>56.639315636115</v>
      </c>
      <c r="AU56" s="16" t="n">
        <f aca="false">SUM($T56:AE56)</f>
        <v>60.9815499584665</v>
      </c>
      <c r="AV56" s="16" t="n">
        <f aca="false">SUM($T56:AF56)</f>
        <v>65.3748810841895</v>
      </c>
      <c r="AW56" s="16" t="n">
        <f aca="false">SUM($T56:AG56)</f>
        <v>70.2249228562176</v>
      </c>
      <c r="AX56" s="16" t="n">
        <f aca="false">SUM($T56:AH56)</f>
        <v>74.5817790092665</v>
      </c>
      <c r="AY56" s="16" t="n">
        <f aca="false">SUM($T56:AI56)</f>
        <v>79.2861991828522</v>
      </c>
      <c r="AZ56" s="16" t="n">
        <f aca="false">MAX(C56-AJ56,0)</f>
        <v>55.8902659655305</v>
      </c>
      <c r="BA56" s="16" t="n">
        <f aca="false">MAX(C56-AK56,0)</f>
        <v>51.2353010495435</v>
      </c>
      <c r="BB56" s="16" t="n">
        <f aca="false">MAX(C56-AL56,0)</f>
        <v>47.1327418464047</v>
      </c>
      <c r="BC56" s="16" t="n">
        <f aca="false">MAX(C56-AM56,0)</f>
        <v>41.2923093909734</v>
      </c>
      <c r="BD56" s="16" t="n">
        <f aca="false">MAX(C56-AN56,0)</f>
        <v>36.6183345417209</v>
      </c>
      <c r="BE56" s="16" t="n">
        <f aca="false">MAX(C56-AO56,0)</f>
        <v>31.1932780826797</v>
      </c>
      <c r="BF56" s="16" t="n">
        <f aca="false">MAX(C56-AP56,0)</f>
        <v>26.3275206761726</v>
      </c>
      <c r="BG56" s="16" t="n">
        <f aca="false">MAX(C56-AQ56,0)</f>
        <v>21.2267650814853</v>
      </c>
      <c r="BH56" s="16" t="n">
        <f aca="false">MAX(C56-AR56,0)</f>
        <v>15.4752201965618</v>
      </c>
      <c r="BI56" s="16" t="n">
        <f aca="false">MAX(C56-AS56,0)</f>
        <v>9.72243121497552</v>
      </c>
      <c r="BJ56" s="16" t="n">
        <f aca="false">MAX(C56-AT56,0)</f>
        <v>4.35184254634012</v>
      </c>
      <c r="BK56" s="16" t="n">
        <f aca="false">MAX(C56-AU56,0)</f>
        <v>0.00960822398865702</v>
      </c>
      <c r="BL56" s="16" t="n">
        <f aca="false">MAX(C56-AV56,0)</f>
        <v>0</v>
      </c>
      <c r="BM56" s="16" t="n">
        <f aca="false">MAX(C56-AW56,0)</f>
        <v>0</v>
      </c>
      <c r="BN56" s="16" t="n">
        <f aca="false">MAX(C56-AX56,0)</f>
        <v>0</v>
      </c>
      <c r="BO56" s="16" t="n">
        <f aca="false">MAX(C56-AY56,0)</f>
        <v>0</v>
      </c>
    </row>
    <row r="57" customFormat="false" ht="15" hidden="false" customHeight="false" outlineLevel="0" collapsed="false">
      <c r="A57" s="3" t="n">
        <v>27</v>
      </c>
      <c r="B57" s="15" t="n">
        <f aca="true">RAND()</f>
        <v>0.100603223090541</v>
      </c>
      <c r="C57" s="16" t="n">
        <f aca="false">LOOKUP(B57,$E$12:$E$17,$A$12:$A$17)+LOOKUP(B57,$E$12:$E$17,$D$12:$D$17)*(B57-LOOKUP(B57,$E$12:$E$17))/LOOKUP(B57,$E$12:$E$17,$C$12:$C$17)</f>
        <v>55.0201074363514</v>
      </c>
      <c r="D57" s="15" t="n">
        <f aca="true">RAND()</f>
        <v>0.18723905681959</v>
      </c>
      <c r="E57" s="15" t="n">
        <f aca="true">RAND()</f>
        <v>0.931345083307002</v>
      </c>
      <c r="F57" s="15" t="n">
        <f aca="true">RAND()</f>
        <v>0.0930494600024595</v>
      </c>
      <c r="G57" s="15" t="n">
        <f aca="true">RAND()</f>
        <v>0.0363614918701875</v>
      </c>
      <c r="H57" s="15" t="n">
        <f aca="true">RAND()</f>
        <v>0.745807964993326</v>
      </c>
      <c r="I57" s="15" t="n">
        <f aca="true">RAND()</f>
        <v>0.69325708725216</v>
      </c>
      <c r="J57" s="15" t="n">
        <f aca="true">RAND()</f>
        <v>0.0547251514098354</v>
      </c>
      <c r="K57" s="15" t="n">
        <f aca="true">RAND()</f>
        <v>0.675214693954318</v>
      </c>
      <c r="L57" s="15" t="n">
        <f aca="true">RAND()</f>
        <v>0.945640773301045</v>
      </c>
      <c r="M57" s="15" t="n">
        <f aca="true">RAND()</f>
        <v>0.519421162402718</v>
      </c>
      <c r="N57" s="15" t="n">
        <f aca="true">RAND()</f>
        <v>0.9091278127553</v>
      </c>
      <c r="O57" s="15" t="n">
        <f aca="true">RAND()</f>
        <v>0.301325504172111</v>
      </c>
      <c r="P57" s="15" t="n">
        <f aca="true">RAND()</f>
        <v>0.764957879125728</v>
      </c>
      <c r="Q57" s="15" t="n">
        <f aca="true">RAND()</f>
        <v>0.335384065619131</v>
      </c>
      <c r="R57" s="15" t="n">
        <f aca="true">RAND()</f>
        <v>0.256993157379976</v>
      </c>
      <c r="S57" s="15" t="n">
        <f aca="true">RAND()</f>
        <v>0.691745356549723</v>
      </c>
      <c r="T57" s="16" t="n">
        <f aca="false">LOOKUP(D57,$E$23:$E$26,$A$23:$A$26)+LOOKUP(D57,$E$23:$E$26,$D$23:$D$26)*(D57-LOOKUP(D57,$E$23:$E$26))/LOOKUP(D57,$E$23:$E$26,$C$23:$C$26)</f>
        <v>4.31206509469932</v>
      </c>
      <c r="U57" s="16" t="n">
        <f aca="false">LOOKUP(E57,$E$23:$E$26,$A$23:$A$26)+LOOKUP(E57,$E$23:$E$26,$D$23:$D$26)*(E57-LOOKUP(E57,$E$23:$E$26))/LOOKUP(E57,$E$23:$E$26,$C$23:$C$26)</f>
        <v>5.65672541653501</v>
      </c>
      <c r="V57" s="16" t="n">
        <f aca="false">LOOKUP(F57,$E$23:$E$26,$A$23:$A$26)+LOOKUP(F57,$E$23:$E$26,$D$23:$D$26)*(F57-LOOKUP(F57,$E$23:$E$26))/LOOKUP(F57,$E$23:$E$26,$C$23:$C$26)</f>
        <v>4.15508243333743</v>
      </c>
      <c r="W57" s="16" t="n">
        <f aca="false">LOOKUP(G57,$E$23:$E$26,$A$23:$A$26)+LOOKUP(G57,$E$23:$E$26,$D$23:$D$26)*(G57-LOOKUP(G57,$E$23:$E$26))/LOOKUP(G57,$E$23:$E$26,$C$23:$C$26)</f>
        <v>4.06060248645031</v>
      </c>
      <c r="X57" s="16" t="n">
        <f aca="false">LOOKUP(H57,$E$23:$E$26,$A$23:$A$26)+LOOKUP(H57,$E$23:$E$26,$D$23:$D$26)*(H57-LOOKUP(H57,$E$23:$E$26))/LOOKUP(H57,$E$23:$E$26,$C$23:$C$26)</f>
        <v>5.11451991248332</v>
      </c>
      <c r="Y57" s="16" t="n">
        <f aca="false">LOOKUP(I57,$E$23:$E$26,$A$23:$A$26)+LOOKUP(I57,$E$23:$E$26,$D$23:$D$26)*(I57-LOOKUP(I57,$E$23:$E$26))/LOOKUP(I57,$E$23:$E$26,$C$23:$C$26)</f>
        <v>4.9915713590652</v>
      </c>
      <c r="Z57" s="16" t="n">
        <f aca="false">LOOKUP(J57,$E$23:$E$26,$A$23:$A$26)+LOOKUP(J57,$E$23:$E$26,$D$23:$D$26)*(J57-LOOKUP(J57,$E$23:$E$26))/LOOKUP(J57,$E$23:$E$26,$C$23:$C$26)</f>
        <v>4.09120858568306</v>
      </c>
      <c r="AA57" s="16" t="n">
        <f aca="false">LOOKUP(K57,$E$23:$E$26,$A$23:$A$26)+LOOKUP(K57,$E$23:$E$26,$D$23:$D$26)*(K57-LOOKUP(K57,$E$23:$E$26))/LOOKUP(K57,$E$23:$E$26,$C$23:$C$26)</f>
        <v>4.9690183674429</v>
      </c>
      <c r="AB57" s="16" t="n">
        <f aca="false">LOOKUP(L57,$E$23:$E$26,$A$23:$A$26)+LOOKUP(L57,$E$23:$E$26,$D$23:$D$26)*(L57-LOOKUP(L57,$E$23:$E$26))/LOOKUP(L57,$E$23:$E$26,$C$23:$C$26)</f>
        <v>5.72820386650523</v>
      </c>
      <c r="AC57" s="16" t="n">
        <f aca="false">LOOKUP(M57,$E$23:$E$26,$A$23:$A$26)+LOOKUP(M57,$E$23:$E$26,$D$23:$D$26)*(M57-LOOKUP(M57,$E$23:$E$26))/LOOKUP(M57,$E$23:$E$26,$C$23:$C$26)</f>
        <v>4.7742764530034</v>
      </c>
      <c r="AD57" s="16" t="n">
        <f aca="false">LOOKUP(N57,$E$23:$E$26,$A$23:$A$26)+LOOKUP(N57,$E$23:$E$26,$D$23:$D$26)*(N57-LOOKUP(N57,$E$23:$E$26))/LOOKUP(N57,$E$23:$E$26,$C$23:$C$26)</f>
        <v>5.5456390637765</v>
      </c>
      <c r="AE57" s="16" t="n">
        <f aca="false">LOOKUP(O57,$E$23:$E$26,$A$23:$A$26)+LOOKUP(O57,$E$23:$E$26,$D$23:$D$26)*(O57-LOOKUP(O57,$E$23:$E$26))/LOOKUP(O57,$E$23:$E$26,$C$23:$C$26)</f>
        <v>4.50165688021514</v>
      </c>
      <c r="AF57" s="16" t="n">
        <f aca="false">LOOKUP(P57,$E$23:$E$26,$A$23:$A$26)+LOOKUP(P57,$E$23:$E$26,$D$23:$D$26)*(P57-LOOKUP(P57,$E$23:$E$26))/LOOKUP(P57,$E$23:$E$26,$C$23:$C$26)</f>
        <v>5.16239469781432</v>
      </c>
      <c r="AG57" s="16" t="n">
        <f aca="false">LOOKUP(Q57,$E$23:$E$26,$A$23:$A$26)+LOOKUP(Q57,$E$23:$E$26,$D$23:$D$26)*(Q57-LOOKUP(Q57,$E$23:$E$26))/LOOKUP(Q57,$E$23:$E$26,$C$23:$C$26)</f>
        <v>4.54423008202391</v>
      </c>
      <c r="AH57" s="16" t="n">
        <f aca="false">LOOKUP(R57,$E$23:$E$26,$A$23:$A$26)+LOOKUP(R57,$E$23:$E$26,$D$23:$D$26)*(R57-LOOKUP(R57,$E$23:$E$26))/LOOKUP(R57,$E$23:$E$26,$C$23:$C$26)</f>
        <v>4.42832192896663</v>
      </c>
      <c r="AI57" s="16" t="n">
        <f aca="false">LOOKUP(S57,$E$23:$E$26,$A$23:$A$26)+LOOKUP(S57,$E$23:$E$26,$D$23:$D$26)*(S57-LOOKUP(S57,$E$23:$E$26))/LOOKUP(S57,$E$23:$E$26,$C$23:$C$26)</f>
        <v>4.98968169568715</v>
      </c>
      <c r="AJ57" s="16" t="n">
        <f aca="false">SUM($T57:T57)</f>
        <v>4.31206509469932</v>
      </c>
      <c r="AK57" s="16" t="n">
        <f aca="false">SUM($T57:U57)</f>
        <v>9.96879051123433</v>
      </c>
      <c r="AL57" s="16" t="n">
        <f aca="false">SUM($T57:V57)</f>
        <v>14.1238729445718</v>
      </c>
      <c r="AM57" s="16" t="n">
        <f aca="false">SUM($T57:W57)</f>
        <v>18.1844754310221</v>
      </c>
      <c r="AN57" s="16" t="n">
        <f aca="false">SUM($T57:X57)</f>
        <v>23.2989953435054</v>
      </c>
      <c r="AO57" s="16" t="n">
        <f aca="false">SUM($T57:Y57)</f>
        <v>28.2905667025706</v>
      </c>
      <c r="AP57" s="16" t="n">
        <f aca="false">SUM($T57:Z57)</f>
        <v>32.3817752882537</v>
      </c>
      <c r="AQ57" s="16" t="n">
        <f aca="false">SUM($T57:AA57)</f>
        <v>37.3507936556966</v>
      </c>
      <c r="AR57" s="16" t="n">
        <f aca="false">SUM($T57:AB57)</f>
        <v>43.0789975222018</v>
      </c>
      <c r="AS57" s="16" t="n">
        <f aca="false">SUM($T57:AC57)</f>
        <v>47.8532739752052</v>
      </c>
      <c r="AT57" s="16" t="n">
        <f aca="false">SUM($T57:AD57)</f>
        <v>53.3989130389817</v>
      </c>
      <c r="AU57" s="16" t="n">
        <f aca="false">SUM($T57:AE57)</f>
        <v>57.9005699191968</v>
      </c>
      <c r="AV57" s="16" t="n">
        <f aca="false">SUM($T57:AF57)</f>
        <v>63.0629646170111</v>
      </c>
      <c r="AW57" s="16" t="n">
        <f aca="false">SUM($T57:AG57)</f>
        <v>67.607194699035</v>
      </c>
      <c r="AX57" s="16" t="n">
        <f aca="false">SUM($T57:AH57)</f>
        <v>72.0355166280017</v>
      </c>
      <c r="AY57" s="16" t="n">
        <f aca="false">SUM($T57:AI57)</f>
        <v>77.0251983236888</v>
      </c>
      <c r="AZ57" s="16" t="n">
        <f aca="false">MAX(C57-AJ57,0)</f>
        <v>50.708042341652</v>
      </c>
      <c r="BA57" s="16" t="n">
        <f aca="false">MAX(C57-AK57,0)</f>
        <v>45.051316925117</v>
      </c>
      <c r="BB57" s="16" t="n">
        <f aca="false">MAX(C57-AL57,0)</f>
        <v>40.8962344917796</v>
      </c>
      <c r="BC57" s="16" t="n">
        <f aca="false">MAX(C57-AM57,0)</f>
        <v>36.8356320053293</v>
      </c>
      <c r="BD57" s="16" t="n">
        <f aca="false">MAX(C57-AN57,0)</f>
        <v>31.721112092846</v>
      </c>
      <c r="BE57" s="16" t="n">
        <f aca="false">MAX(C57-AO57,0)</f>
        <v>26.7295407337808</v>
      </c>
      <c r="BF57" s="16" t="n">
        <f aca="false">MAX(C57-AP57,0)</f>
        <v>22.6383321480977</v>
      </c>
      <c r="BG57" s="16" t="n">
        <f aca="false">MAX(C57-AQ57,0)</f>
        <v>17.6693137806548</v>
      </c>
      <c r="BH57" s="16" t="n">
        <f aca="false">MAX(C57-AR57,0)</f>
        <v>11.9411099141496</v>
      </c>
      <c r="BI57" s="16" t="n">
        <f aca="false">MAX(C57-AS57,0)</f>
        <v>7.16683346114619</v>
      </c>
      <c r="BJ57" s="16" t="n">
        <f aca="false">MAX(C57-AT57,0)</f>
        <v>1.62119439736968</v>
      </c>
      <c r="BK57" s="16" t="n">
        <f aca="false">MAX(C57-AU57,0)</f>
        <v>0</v>
      </c>
      <c r="BL57" s="16" t="n">
        <f aca="false">MAX(C57-AV57,0)</f>
        <v>0</v>
      </c>
      <c r="BM57" s="16" t="n">
        <f aca="false">MAX(C57-AW57,0)</f>
        <v>0</v>
      </c>
      <c r="BN57" s="16" t="n">
        <f aca="false">MAX(C57-AX57,0)</f>
        <v>0</v>
      </c>
      <c r="BO57" s="16" t="n">
        <f aca="false">MAX(C57-AY57,0)</f>
        <v>0</v>
      </c>
    </row>
    <row r="58" customFormat="false" ht="15" hidden="false" customHeight="false" outlineLevel="0" collapsed="false">
      <c r="A58" s="3" t="n">
        <v>28</v>
      </c>
      <c r="B58" s="15" t="n">
        <f aca="true">RAND()</f>
        <v>0.847850811418195</v>
      </c>
      <c r="C58" s="16" t="n">
        <f aca="false">LOOKUP(B58,$E$12:$E$17,$A$12:$A$17)+LOOKUP(B58,$E$12:$E$17,$D$12:$D$17)*(B58-LOOKUP(B58,$E$12:$E$17))/LOOKUP(B58,$E$12:$E$17,$C$12:$C$17)</f>
        <v>69.2550115916885</v>
      </c>
      <c r="D58" s="15" t="n">
        <f aca="true">RAND()</f>
        <v>0.975893144074032</v>
      </c>
      <c r="E58" s="15" t="n">
        <f aca="true">RAND()</f>
        <v>0.974277832793376</v>
      </c>
      <c r="F58" s="15" t="n">
        <f aca="true">RAND()</f>
        <v>0.45434255684758</v>
      </c>
      <c r="G58" s="15" t="n">
        <f aca="true">RAND()</f>
        <v>0.542522197250162</v>
      </c>
      <c r="H58" s="15" t="n">
        <f aca="true">RAND()</f>
        <v>0.104151804248414</v>
      </c>
      <c r="I58" s="15" t="n">
        <f aca="true">RAND()</f>
        <v>0.0526116389137254</v>
      </c>
      <c r="J58" s="15" t="n">
        <f aca="true">RAND()</f>
        <v>0.181862048107299</v>
      </c>
      <c r="K58" s="15" t="n">
        <f aca="true">RAND()</f>
        <v>0.835120922364677</v>
      </c>
      <c r="L58" s="15" t="n">
        <f aca="true">RAND()</f>
        <v>0.409525715771448</v>
      </c>
      <c r="M58" s="15" t="n">
        <f aca="true">RAND()</f>
        <v>0.484888894490088</v>
      </c>
      <c r="N58" s="15" t="n">
        <f aca="true">RAND()</f>
        <v>0.428135496662801</v>
      </c>
      <c r="O58" s="15" t="n">
        <f aca="true">RAND()</f>
        <v>0.567234029943867</v>
      </c>
      <c r="P58" s="15" t="n">
        <f aca="true">RAND()</f>
        <v>0.753353521275818</v>
      </c>
      <c r="Q58" s="15" t="n">
        <f aca="true">RAND()</f>
        <v>0.414678487816874</v>
      </c>
      <c r="R58" s="15" t="n">
        <f aca="true">RAND()</f>
        <v>0.96459074274946</v>
      </c>
      <c r="S58" s="15" t="n">
        <f aca="true">RAND()</f>
        <v>0.29781227390126</v>
      </c>
      <c r="T58" s="16" t="n">
        <f aca="false">LOOKUP(D58,$E$23:$E$26,$A$23:$A$26)+LOOKUP(D58,$E$23:$E$26,$D$23:$D$26)*(D58-LOOKUP(D58,$E$23:$E$26))/LOOKUP(D58,$E$23:$E$26,$C$23:$C$26)</f>
        <v>5.87946572037016</v>
      </c>
      <c r="U58" s="16" t="n">
        <f aca="false">LOOKUP(E58,$E$23:$E$26,$A$23:$A$26)+LOOKUP(E58,$E$23:$E$26,$D$23:$D$26)*(E58-LOOKUP(E58,$E$23:$E$26))/LOOKUP(E58,$E$23:$E$26,$C$23:$C$26)</f>
        <v>5.87138916396688</v>
      </c>
      <c r="V58" s="16" t="n">
        <f aca="false">LOOKUP(F58,$E$23:$E$26,$A$23:$A$26)+LOOKUP(F58,$E$23:$E$26,$D$23:$D$26)*(F58-LOOKUP(F58,$E$23:$E$26))/LOOKUP(F58,$E$23:$E$26,$C$23:$C$26)</f>
        <v>4.69292819605948</v>
      </c>
      <c r="W58" s="16" t="n">
        <f aca="false">LOOKUP(G58,$E$23:$E$26,$A$23:$A$26)+LOOKUP(G58,$E$23:$E$26,$D$23:$D$26)*(G58-LOOKUP(G58,$E$23:$E$26))/LOOKUP(G58,$E$23:$E$26,$C$23:$C$26)</f>
        <v>4.8031527465627</v>
      </c>
      <c r="X58" s="16" t="n">
        <f aca="false">LOOKUP(H58,$E$23:$E$26,$A$23:$A$26)+LOOKUP(H58,$E$23:$E$26,$D$23:$D$26)*(H58-LOOKUP(H58,$E$23:$E$26))/LOOKUP(H58,$E$23:$E$26,$C$23:$C$26)</f>
        <v>4.17358634041402</v>
      </c>
      <c r="Y58" s="16" t="n">
        <f aca="false">LOOKUP(I58,$E$23:$E$26,$A$23:$A$26)+LOOKUP(I58,$E$23:$E$26,$D$23:$D$26)*(I58-LOOKUP(I58,$E$23:$E$26))/LOOKUP(I58,$E$23:$E$26,$C$23:$C$26)</f>
        <v>4.08768606485621</v>
      </c>
      <c r="Z58" s="16" t="n">
        <f aca="false">LOOKUP(J58,$E$23:$E$26,$A$23:$A$26)+LOOKUP(J58,$E$23:$E$26,$D$23:$D$26)*(J58-LOOKUP(J58,$E$23:$E$26))/LOOKUP(J58,$E$23:$E$26,$C$23:$C$26)</f>
        <v>4.30310341351216</v>
      </c>
      <c r="AA58" s="16" t="n">
        <f aca="false">LOOKUP(K58,$E$23:$E$26,$A$23:$A$26)+LOOKUP(K58,$E$23:$E$26,$D$23:$D$26)*(K58-LOOKUP(K58,$E$23:$E$26))/LOOKUP(K58,$E$23:$E$26,$C$23:$C$26)</f>
        <v>5.33780230591169</v>
      </c>
      <c r="AB58" s="16" t="n">
        <f aca="false">LOOKUP(L58,$E$23:$E$26,$A$23:$A$26)+LOOKUP(L58,$E$23:$E$26,$D$23:$D$26)*(L58-LOOKUP(L58,$E$23:$E$26))/LOOKUP(L58,$E$23:$E$26,$C$23:$C$26)</f>
        <v>4.63690714471431</v>
      </c>
      <c r="AC58" s="16" t="n">
        <f aca="false">LOOKUP(M58,$E$23:$E$26,$A$23:$A$26)+LOOKUP(M58,$E$23:$E$26,$D$23:$D$26)*(M58-LOOKUP(M58,$E$23:$E$26))/LOOKUP(M58,$E$23:$E$26,$C$23:$C$26)</f>
        <v>4.73111111811261</v>
      </c>
      <c r="AD58" s="16" t="n">
        <f aca="false">LOOKUP(N58,$E$23:$E$26,$A$23:$A$26)+LOOKUP(N58,$E$23:$E$26,$D$23:$D$26)*(N58-LOOKUP(N58,$E$23:$E$26))/LOOKUP(N58,$E$23:$E$26,$C$23:$C$26)</f>
        <v>4.6601693708285</v>
      </c>
      <c r="AE58" s="16" t="n">
        <f aca="false">LOOKUP(O58,$E$23:$E$26,$A$23:$A$26)+LOOKUP(O58,$E$23:$E$26,$D$23:$D$26)*(O58-LOOKUP(O58,$E$23:$E$26))/LOOKUP(O58,$E$23:$E$26,$C$23:$C$26)</f>
        <v>4.83404253742983</v>
      </c>
      <c r="AF58" s="16" t="n">
        <f aca="false">LOOKUP(P58,$E$23:$E$26,$A$23:$A$26)+LOOKUP(P58,$E$23:$E$26,$D$23:$D$26)*(P58-LOOKUP(P58,$E$23:$E$26))/LOOKUP(P58,$E$23:$E$26,$C$23:$C$26)</f>
        <v>5.13338380318955</v>
      </c>
      <c r="AG58" s="16" t="n">
        <f aca="false">LOOKUP(Q58,$E$23:$E$26,$A$23:$A$26)+LOOKUP(Q58,$E$23:$E$26,$D$23:$D$26)*(Q58-LOOKUP(Q58,$E$23:$E$26))/LOOKUP(Q58,$E$23:$E$26,$C$23:$C$26)</f>
        <v>4.64334810977109</v>
      </c>
      <c r="AH58" s="16" t="n">
        <f aca="false">LOOKUP(R58,$E$23:$E$26,$A$23:$A$26)+LOOKUP(R58,$E$23:$E$26,$D$23:$D$26)*(R58-LOOKUP(R58,$E$23:$E$26))/LOOKUP(R58,$E$23:$E$26,$C$23:$C$26)</f>
        <v>5.8229537137473</v>
      </c>
      <c r="AI58" s="16" t="n">
        <f aca="false">LOOKUP(S58,$E$23:$E$26,$A$23:$A$26)+LOOKUP(S58,$E$23:$E$26,$D$23:$D$26)*(S58-LOOKUP(S58,$E$23:$E$26))/LOOKUP(S58,$E$23:$E$26,$C$23:$C$26)</f>
        <v>4.49635378983543</v>
      </c>
      <c r="AJ58" s="16" t="n">
        <f aca="false">SUM($T58:T58)</f>
        <v>5.87946572037016</v>
      </c>
      <c r="AK58" s="16" t="n">
        <f aca="false">SUM($T58:U58)</f>
        <v>11.750854884337</v>
      </c>
      <c r="AL58" s="16" t="n">
        <f aca="false">SUM($T58:V58)</f>
        <v>16.4437830803965</v>
      </c>
      <c r="AM58" s="16" t="n">
        <f aca="false">SUM($T58:W58)</f>
        <v>21.2469358269592</v>
      </c>
      <c r="AN58" s="16" t="n">
        <f aca="false">SUM($T58:X58)</f>
        <v>25.4205221673732</v>
      </c>
      <c r="AO58" s="16" t="n">
        <f aca="false">SUM($T58:Y58)</f>
        <v>29.5082082322295</v>
      </c>
      <c r="AP58" s="16" t="n">
        <f aca="false">SUM($T58:Z58)</f>
        <v>33.8113116457416</v>
      </c>
      <c r="AQ58" s="16" t="n">
        <f aca="false">SUM($T58:AA58)</f>
        <v>39.1491139516533</v>
      </c>
      <c r="AR58" s="16" t="n">
        <f aca="false">SUM($T58:AB58)</f>
        <v>43.7860210963676</v>
      </c>
      <c r="AS58" s="16" t="n">
        <f aca="false">SUM($T58:AC58)</f>
        <v>48.5171322144802</v>
      </c>
      <c r="AT58" s="16" t="n">
        <f aca="false">SUM($T58:AD58)</f>
        <v>53.1773015853087</v>
      </c>
      <c r="AU58" s="16" t="n">
        <f aca="false">SUM($T58:AE58)</f>
        <v>58.0113441227386</v>
      </c>
      <c r="AV58" s="16" t="n">
        <f aca="false">SUM($T58:AF58)</f>
        <v>63.1447279259281</v>
      </c>
      <c r="AW58" s="16" t="n">
        <f aca="false">SUM($T58:AG58)</f>
        <v>67.7880760356992</v>
      </c>
      <c r="AX58" s="16" t="n">
        <f aca="false">SUM($T58:AH58)</f>
        <v>73.6110297494465</v>
      </c>
      <c r="AY58" s="16" t="n">
        <f aca="false">SUM($T58:AI58)</f>
        <v>78.1073835392819</v>
      </c>
      <c r="AZ58" s="16" t="n">
        <f aca="false">MAX(C58-AJ58,0)</f>
        <v>63.3755458713183</v>
      </c>
      <c r="BA58" s="16" t="n">
        <f aca="false">MAX(C58-AK58,0)</f>
        <v>57.5041567073515</v>
      </c>
      <c r="BB58" s="16" t="n">
        <f aca="false">MAX(C58-AL58,0)</f>
        <v>52.811228511292</v>
      </c>
      <c r="BC58" s="16" t="n">
        <f aca="false">MAX(C58-AM58,0)</f>
        <v>48.0080757647293</v>
      </c>
      <c r="BD58" s="16" t="n">
        <f aca="false">MAX(C58-AN58,0)</f>
        <v>43.8344894243153</v>
      </c>
      <c r="BE58" s="16" t="n">
        <f aca="false">MAX(C58-AO58,0)</f>
        <v>39.7468033594591</v>
      </c>
      <c r="BF58" s="16" t="n">
        <f aca="false">MAX(C58-AP58,0)</f>
        <v>35.4436999459469</v>
      </c>
      <c r="BG58" s="16" t="n">
        <f aca="false">MAX(C58-AQ58,0)</f>
        <v>30.1058976400352</v>
      </c>
      <c r="BH58" s="16" t="n">
        <f aca="false">MAX(C58-AR58,0)</f>
        <v>25.4689904953209</v>
      </c>
      <c r="BI58" s="16" t="n">
        <f aca="false">MAX(C58-AS58,0)</f>
        <v>20.7378793772083</v>
      </c>
      <c r="BJ58" s="16" t="n">
        <f aca="false">MAX(C58-AT58,0)</f>
        <v>16.0777100063798</v>
      </c>
      <c r="BK58" s="16" t="n">
        <f aca="false">MAX(C58-AU58,0)</f>
        <v>11.2436674689499</v>
      </c>
      <c r="BL58" s="16" t="n">
        <f aca="false">MAX(C58-AV58,0)</f>
        <v>6.1102836657604</v>
      </c>
      <c r="BM58" s="16" t="n">
        <f aca="false">MAX(C58-AW58,0)</f>
        <v>1.46693555598931</v>
      </c>
      <c r="BN58" s="16" t="n">
        <f aca="false">MAX(C58-AX58,0)</f>
        <v>0</v>
      </c>
      <c r="BO58" s="16" t="n">
        <f aca="false">MAX(C58-AY58,0)</f>
        <v>0</v>
      </c>
    </row>
    <row r="59" customFormat="false" ht="15" hidden="false" customHeight="false" outlineLevel="0" collapsed="false">
      <c r="A59" s="3" t="n">
        <v>29</v>
      </c>
      <c r="B59" s="15" t="n">
        <f aca="true">RAND()</f>
        <v>0.551251888077819</v>
      </c>
      <c r="C59" s="16" t="n">
        <f aca="false">LOOKUP(B59,$E$12:$E$17,$A$12:$A$17)+LOOKUP(B59,$E$12:$E$17,$D$12:$D$17)*(B59-LOOKUP(B59,$E$12:$E$17))/LOOKUP(B59,$E$12:$E$17,$C$12:$C$17)</f>
        <v>65.0178841153974</v>
      </c>
      <c r="D59" s="15" t="n">
        <f aca="true">RAND()</f>
        <v>0.108366287857148</v>
      </c>
      <c r="E59" s="15" t="n">
        <f aca="true">RAND()</f>
        <v>0.762040964850473</v>
      </c>
      <c r="F59" s="15" t="n">
        <f aca="true">RAND()</f>
        <v>0.320834234128881</v>
      </c>
      <c r="G59" s="15" t="n">
        <f aca="true">RAND()</f>
        <v>0.433063709973262</v>
      </c>
      <c r="H59" s="15" t="n">
        <f aca="true">RAND()</f>
        <v>0.521149495643661</v>
      </c>
      <c r="I59" s="15" t="n">
        <f aca="true">RAND()</f>
        <v>0.533087365931474</v>
      </c>
      <c r="J59" s="15" t="n">
        <f aca="true">RAND()</f>
        <v>0.663216982639273</v>
      </c>
      <c r="K59" s="15" t="n">
        <f aca="true">RAND()</f>
        <v>0.152023080749378</v>
      </c>
      <c r="L59" s="15" t="n">
        <f aca="true">RAND()</f>
        <v>0.176295132590009</v>
      </c>
      <c r="M59" s="15" t="n">
        <f aca="true">RAND()</f>
        <v>0.0967157058179771</v>
      </c>
      <c r="N59" s="15" t="n">
        <f aca="true">RAND()</f>
        <v>0.938015236040949</v>
      </c>
      <c r="O59" s="15" t="n">
        <f aca="true">RAND()</f>
        <v>0.0717270416104889</v>
      </c>
      <c r="P59" s="15" t="n">
        <f aca="true">RAND()</f>
        <v>0.0982569637338553</v>
      </c>
      <c r="Q59" s="15" t="n">
        <f aca="true">RAND()</f>
        <v>0.0537476235439103</v>
      </c>
      <c r="R59" s="15" t="n">
        <f aca="true">RAND()</f>
        <v>0.271551639650474</v>
      </c>
      <c r="S59" s="15" t="n">
        <f aca="true">RAND()</f>
        <v>0.303634276543834</v>
      </c>
      <c r="T59" s="16" t="n">
        <f aca="false">LOOKUP(D59,$E$23:$E$26,$A$23:$A$26)+LOOKUP(D59,$E$23:$E$26,$D$23:$D$26)*(D59-LOOKUP(D59,$E$23:$E$26))/LOOKUP(D59,$E$23:$E$26,$C$23:$C$26)</f>
        <v>4.18061047976191</v>
      </c>
      <c r="U59" s="16" t="n">
        <f aca="false">LOOKUP(E59,$E$23:$E$26,$A$23:$A$26)+LOOKUP(E59,$E$23:$E$26,$D$23:$D$26)*(E59-LOOKUP(E59,$E$23:$E$26))/LOOKUP(E59,$E$23:$E$26,$C$23:$C$26)</f>
        <v>5.15510241212618</v>
      </c>
      <c r="V59" s="16" t="n">
        <f aca="false">LOOKUP(F59,$E$23:$E$26,$A$23:$A$26)+LOOKUP(F59,$E$23:$E$26,$D$23:$D$26)*(F59-LOOKUP(F59,$E$23:$E$26))/LOOKUP(F59,$E$23:$E$26,$C$23:$C$26)</f>
        <v>4.5260427926611</v>
      </c>
      <c r="W59" s="16" t="n">
        <f aca="false">LOOKUP(G59,$E$23:$E$26,$A$23:$A$26)+LOOKUP(G59,$E$23:$E$26,$D$23:$D$26)*(G59-LOOKUP(G59,$E$23:$E$26))/LOOKUP(G59,$E$23:$E$26,$C$23:$C$26)</f>
        <v>4.66632963746658</v>
      </c>
      <c r="X59" s="16" t="n">
        <f aca="false">LOOKUP(H59,$E$23:$E$26,$A$23:$A$26)+LOOKUP(H59,$E$23:$E$26,$D$23:$D$26)*(H59-LOOKUP(H59,$E$23:$E$26))/LOOKUP(H59,$E$23:$E$26,$C$23:$C$26)</f>
        <v>4.77643686955458</v>
      </c>
      <c r="Y59" s="16" t="n">
        <f aca="false">LOOKUP(I59,$E$23:$E$26,$A$23:$A$26)+LOOKUP(I59,$E$23:$E$26,$D$23:$D$26)*(I59-LOOKUP(I59,$E$23:$E$26))/LOOKUP(I59,$E$23:$E$26,$C$23:$C$26)</f>
        <v>4.79135920741434</v>
      </c>
      <c r="Z59" s="16" t="n">
        <f aca="false">LOOKUP(J59,$E$23:$E$26,$A$23:$A$26)+LOOKUP(J59,$E$23:$E$26,$D$23:$D$26)*(J59-LOOKUP(J59,$E$23:$E$26))/LOOKUP(J59,$E$23:$E$26,$C$23:$C$26)</f>
        <v>4.95402122829909</v>
      </c>
      <c r="AA59" s="16" t="n">
        <f aca="false">LOOKUP(K59,$E$23:$E$26,$A$23:$A$26)+LOOKUP(K59,$E$23:$E$26,$D$23:$D$26)*(K59-LOOKUP(K59,$E$23:$E$26))/LOOKUP(K59,$E$23:$E$26,$C$23:$C$26)</f>
        <v>4.25337180124896</v>
      </c>
      <c r="AB59" s="16" t="n">
        <f aca="false">LOOKUP(L59,$E$23:$E$26,$A$23:$A$26)+LOOKUP(L59,$E$23:$E$26,$D$23:$D$26)*(L59-LOOKUP(L59,$E$23:$E$26))/LOOKUP(L59,$E$23:$E$26,$C$23:$C$26)</f>
        <v>4.29382522098335</v>
      </c>
      <c r="AC59" s="16" t="n">
        <f aca="false">LOOKUP(M59,$E$23:$E$26,$A$23:$A$26)+LOOKUP(M59,$E$23:$E$26,$D$23:$D$26)*(M59-LOOKUP(M59,$E$23:$E$26))/LOOKUP(M59,$E$23:$E$26,$C$23:$C$26)</f>
        <v>4.16119284302996</v>
      </c>
      <c r="AD59" s="16" t="n">
        <f aca="false">LOOKUP(N59,$E$23:$E$26,$A$23:$A$26)+LOOKUP(N59,$E$23:$E$26,$D$23:$D$26)*(N59-LOOKUP(N59,$E$23:$E$26))/LOOKUP(N59,$E$23:$E$26,$C$23:$C$26)</f>
        <v>5.69007618020474</v>
      </c>
      <c r="AE59" s="16" t="n">
        <f aca="false">LOOKUP(O59,$E$23:$E$26,$A$23:$A$26)+LOOKUP(O59,$E$23:$E$26,$D$23:$D$26)*(O59-LOOKUP(O59,$E$23:$E$26))/LOOKUP(O59,$E$23:$E$26,$C$23:$C$26)</f>
        <v>4.11954506935081</v>
      </c>
      <c r="AF59" s="16" t="n">
        <f aca="false">LOOKUP(P59,$E$23:$E$26,$A$23:$A$26)+LOOKUP(P59,$E$23:$E$26,$D$23:$D$26)*(P59-LOOKUP(P59,$E$23:$E$26))/LOOKUP(P59,$E$23:$E$26,$C$23:$C$26)</f>
        <v>4.16376160622309</v>
      </c>
      <c r="AG59" s="16" t="n">
        <f aca="false">LOOKUP(Q59,$E$23:$E$26,$A$23:$A$26)+LOOKUP(Q59,$E$23:$E$26,$D$23:$D$26)*(Q59-LOOKUP(Q59,$E$23:$E$26))/LOOKUP(Q59,$E$23:$E$26,$C$23:$C$26)</f>
        <v>4.08957937257318</v>
      </c>
      <c r="AH59" s="16" t="n">
        <f aca="false">LOOKUP(R59,$E$23:$E$26,$A$23:$A$26)+LOOKUP(R59,$E$23:$E$26,$D$23:$D$26)*(R59-LOOKUP(R59,$E$23:$E$26))/LOOKUP(R59,$E$23:$E$26,$C$23:$C$26)</f>
        <v>4.45258606608412</v>
      </c>
      <c r="AI59" s="16" t="n">
        <f aca="false">LOOKUP(S59,$E$23:$E$26,$A$23:$A$26)+LOOKUP(S59,$E$23:$E$26,$D$23:$D$26)*(S59-LOOKUP(S59,$E$23:$E$26))/LOOKUP(S59,$E$23:$E$26,$C$23:$C$26)</f>
        <v>4.50454284567979</v>
      </c>
      <c r="AJ59" s="16" t="n">
        <f aca="false">SUM($T59:T59)</f>
        <v>4.18061047976191</v>
      </c>
      <c r="AK59" s="16" t="n">
        <f aca="false">SUM($T59:U59)</f>
        <v>9.3357128918881</v>
      </c>
      <c r="AL59" s="16" t="n">
        <f aca="false">SUM($T59:V59)</f>
        <v>13.8617556845492</v>
      </c>
      <c r="AM59" s="16" t="n">
        <f aca="false">SUM($T59:W59)</f>
        <v>18.5280853220158</v>
      </c>
      <c r="AN59" s="16" t="n">
        <f aca="false">SUM($T59:X59)</f>
        <v>23.3045221915704</v>
      </c>
      <c r="AO59" s="16" t="n">
        <f aca="false">SUM($T59:Y59)</f>
        <v>28.0958813989847</v>
      </c>
      <c r="AP59" s="16" t="n">
        <f aca="false">SUM($T59:Z59)</f>
        <v>33.0499026272838</v>
      </c>
      <c r="AQ59" s="16" t="n">
        <f aca="false">SUM($T59:AA59)</f>
        <v>37.3032744285327</v>
      </c>
      <c r="AR59" s="16" t="n">
        <f aca="false">SUM($T59:AB59)</f>
        <v>41.5970996495161</v>
      </c>
      <c r="AS59" s="16" t="n">
        <f aca="false">SUM($T59:AC59)</f>
        <v>45.7582924925461</v>
      </c>
      <c r="AT59" s="16" t="n">
        <f aca="false">SUM($T59:AD59)</f>
        <v>51.4483686727508</v>
      </c>
      <c r="AU59" s="16" t="n">
        <f aca="false">SUM($T59:AE59)</f>
        <v>55.5679137421016</v>
      </c>
      <c r="AV59" s="16" t="n">
        <f aca="false">SUM($T59:AF59)</f>
        <v>59.7316753483247</v>
      </c>
      <c r="AW59" s="16" t="n">
        <f aca="false">SUM($T59:AG59)</f>
        <v>63.8212547208979</v>
      </c>
      <c r="AX59" s="16" t="n">
        <f aca="false">SUM($T59:AH59)</f>
        <v>68.273840786982</v>
      </c>
      <c r="AY59" s="16" t="n">
        <f aca="false">SUM($T59:AI59)</f>
        <v>72.7783836326618</v>
      </c>
      <c r="AZ59" s="16" t="n">
        <f aca="false">MAX(C59-AJ59,0)</f>
        <v>60.8372736356355</v>
      </c>
      <c r="BA59" s="16" t="n">
        <f aca="false">MAX(C59-AK59,0)</f>
        <v>55.6821712235093</v>
      </c>
      <c r="BB59" s="16" t="n">
        <f aca="false">MAX(C59-AL59,0)</f>
        <v>51.1561284308482</v>
      </c>
      <c r="BC59" s="16" t="n">
        <f aca="false">MAX(C59-AM59,0)</f>
        <v>46.4897987933816</v>
      </c>
      <c r="BD59" s="16" t="n">
        <f aca="false">MAX(C59-AN59,0)</f>
        <v>41.7133619238271</v>
      </c>
      <c r="BE59" s="16" t="n">
        <f aca="false">MAX(C59-AO59,0)</f>
        <v>36.9220027164127</v>
      </c>
      <c r="BF59" s="16" t="n">
        <f aca="false">MAX(C59-AP59,0)</f>
        <v>31.9679814881136</v>
      </c>
      <c r="BG59" s="16" t="n">
        <f aca="false">MAX(C59-AQ59,0)</f>
        <v>27.7146096868647</v>
      </c>
      <c r="BH59" s="16" t="n">
        <f aca="false">MAX(C59-AR59,0)</f>
        <v>23.4207844658813</v>
      </c>
      <c r="BI59" s="16" t="n">
        <f aca="false">MAX(C59-AS59,0)</f>
        <v>19.2595916228513</v>
      </c>
      <c r="BJ59" s="16" t="n">
        <f aca="false">MAX(C59-AT59,0)</f>
        <v>13.5695154426466</v>
      </c>
      <c r="BK59" s="16" t="n">
        <f aca="false">MAX(C59-AU59,0)</f>
        <v>9.44997037329579</v>
      </c>
      <c r="BL59" s="16" t="n">
        <f aca="false">MAX(C59-AV59,0)</f>
        <v>5.2862087670727</v>
      </c>
      <c r="BM59" s="16" t="n">
        <f aca="false">MAX(C59-AW59,0)</f>
        <v>1.19662939449952</v>
      </c>
      <c r="BN59" s="16" t="n">
        <f aca="false">MAX(C59-AX59,0)</f>
        <v>0</v>
      </c>
      <c r="BO59" s="16" t="n">
        <f aca="false">MAX(C59-AY59,0)</f>
        <v>0</v>
      </c>
    </row>
    <row r="60" customFormat="false" ht="15" hidden="false" customHeight="false" outlineLevel="0" collapsed="false">
      <c r="A60" s="3" t="n">
        <v>30</v>
      </c>
      <c r="B60" s="15" t="n">
        <f aca="true">RAND()</f>
        <v>0.131963351345457</v>
      </c>
      <c r="C60" s="16" t="n">
        <f aca="false">LOOKUP(B60,$E$12:$E$17,$A$12:$A$17)+LOOKUP(B60,$E$12:$E$17,$D$12:$D$17)*(B60-LOOKUP(B60,$E$12:$E$17))/LOOKUP(B60,$E$12:$E$17,$C$12:$C$17)</f>
        <v>56.0654450448486</v>
      </c>
      <c r="D60" s="15" t="n">
        <f aca="true">RAND()</f>
        <v>0.962693297014787</v>
      </c>
      <c r="E60" s="15" t="n">
        <f aca="true">RAND()</f>
        <v>0.521190724129539</v>
      </c>
      <c r="F60" s="15" t="n">
        <f aca="true">RAND()</f>
        <v>0.890630710867048</v>
      </c>
      <c r="G60" s="15" t="n">
        <f aca="true">RAND()</f>
        <v>0.132222804946481</v>
      </c>
      <c r="H60" s="15" t="n">
        <f aca="true">RAND()</f>
        <v>0.877331625911911</v>
      </c>
      <c r="I60" s="15" t="n">
        <f aca="true">RAND()</f>
        <v>0.595542370095107</v>
      </c>
      <c r="J60" s="15" t="n">
        <f aca="true">RAND()</f>
        <v>0.654453551920392</v>
      </c>
      <c r="K60" s="15" t="n">
        <f aca="true">RAND()</f>
        <v>0.308855169566081</v>
      </c>
      <c r="L60" s="15" t="n">
        <f aca="true">RAND()</f>
        <v>0.305475865196753</v>
      </c>
      <c r="M60" s="15" t="n">
        <f aca="true">RAND()</f>
        <v>0.0554558584921744</v>
      </c>
      <c r="N60" s="15" t="n">
        <f aca="true">RAND()</f>
        <v>0.942599575293875</v>
      </c>
      <c r="O60" s="15" t="n">
        <f aca="true">RAND()</f>
        <v>0.75043331740375</v>
      </c>
      <c r="P60" s="15" t="n">
        <f aca="true">RAND()</f>
        <v>0.883911115540687</v>
      </c>
      <c r="Q60" s="15" t="n">
        <f aca="true">RAND()</f>
        <v>0.0568422232718293</v>
      </c>
      <c r="R60" s="15" t="n">
        <f aca="true">RAND()</f>
        <v>0.505071769641058</v>
      </c>
      <c r="S60" s="15" t="n">
        <f aca="true">RAND()</f>
        <v>0.177487953879782</v>
      </c>
      <c r="T60" s="16" t="n">
        <f aca="false">LOOKUP(D60,$E$23:$E$26,$A$23:$A$26)+LOOKUP(D60,$E$23:$E$26,$D$23:$D$26)*(D60-LOOKUP(D60,$E$23:$E$26))/LOOKUP(D60,$E$23:$E$26,$C$23:$C$26)</f>
        <v>5.81346648507394</v>
      </c>
      <c r="U60" s="16" t="n">
        <f aca="false">LOOKUP(E60,$E$23:$E$26,$A$23:$A$26)+LOOKUP(E60,$E$23:$E$26,$D$23:$D$26)*(E60-LOOKUP(E60,$E$23:$E$26))/LOOKUP(E60,$E$23:$E$26,$C$23:$C$26)</f>
        <v>4.77648840516192</v>
      </c>
      <c r="V60" s="16" t="n">
        <f aca="false">LOOKUP(F60,$E$23:$E$26,$A$23:$A$26)+LOOKUP(F60,$E$23:$E$26,$D$23:$D$26)*(F60-LOOKUP(F60,$E$23:$E$26))/LOOKUP(F60,$E$23:$E$26,$C$23:$C$26)</f>
        <v>5.47657677716762</v>
      </c>
      <c r="W60" s="16" t="n">
        <f aca="false">LOOKUP(G60,$E$23:$E$26,$A$23:$A$26)+LOOKUP(G60,$E$23:$E$26,$D$23:$D$26)*(G60-LOOKUP(G60,$E$23:$E$26))/LOOKUP(G60,$E$23:$E$26,$C$23:$C$26)</f>
        <v>4.22037134157747</v>
      </c>
      <c r="X60" s="16" t="n">
        <f aca="false">LOOKUP(H60,$E$23:$E$26,$A$23:$A$26)+LOOKUP(H60,$E$23:$E$26,$D$23:$D$26)*(H60-LOOKUP(H60,$E$23:$E$26))/LOOKUP(H60,$E$23:$E$26,$C$23:$C$26)</f>
        <v>5.44332906477978</v>
      </c>
      <c r="Y60" s="16" t="n">
        <f aca="false">LOOKUP(I60,$E$23:$E$26,$A$23:$A$26)+LOOKUP(I60,$E$23:$E$26,$D$23:$D$26)*(I60-LOOKUP(I60,$E$23:$E$26))/LOOKUP(I60,$E$23:$E$26,$C$23:$C$26)</f>
        <v>4.86942796261888</v>
      </c>
      <c r="Z60" s="16" t="n">
        <f aca="false">LOOKUP(J60,$E$23:$E$26,$A$23:$A$26)+LOOKUP(J60,$E$23:$E$26,$D$23:$D$26)*(J60-LOOKUP(J60,$E$23:$E$26))/LOOKUP(J60,$E$23:$E$26,$C$23:$C$26)</f>
        <v>4.94306693990049</v>
      </c>
      <c r="AA60" s="16" t="n">
        <f aca="false">LOOKUP(K60,$E$23:$E$26,$A$23:$A$26)+LOOKUP(K60,$E$23:$E$26,$D$23:$D$26)*(K60-LOOKUP(K60,$E$23:$E$26))/LOOKUP(K60,$E$23:$E$26,$C$23:$C$26)</f>
        <v>4.5110689619576</v>
      </c>
      <c r="AB60" s="16" t="n">
        <f aca="false">LOOKUP(L60,$E$23:$E$26,$A$23:$A$26)+LOOKUP(L60,$E$23:$E$26,$D$23:$D$26)*(L60-LOOKUP(L60,$E$23:$E$26))/LOOKUP(L60,$E$23:$E$26,$C$23:$C$26)</f>
        <v>4.50684483149594</v>
      </c>
      <c r="AC60" s="16" t="n">
        <f aca="false">LOOKUP(M60,$E$23:$E$26,$A$23:$A$26)+LOOKUP(M60,$E$23:$E$26,$D$23:$D$26)*(M60-LOOKUP(M60,$E$23:$E$26))/LOOKUP(M60,$E$23:$E$26,$C$23:$C$26)</f>
        <v>4.09242643082029</v>
      </c>
      <c r="AD60" s="16" t="n">
        <f aca="false">LOOKUP(N60,$E$23:$E$26,$A$23:$A$26)+LOOKUP(N60,$E$23:$E$26,$D$23:$D$26)*(N60-LOOKUP(N60,$E$23:$E$26))/LOOKUP(N60,$E$23:$E$26,$C$23:$C$26)</f>
        <v>5.71299787646938</v>
      </c>
      <c r="AE60" s="16" t="n">
        <f aca="false">LOOKUP(O60,$E$23:$E$26,$A$23:$A$26)+LOOKUP(O60,$E$23:$E$26,$D$23:$D$26)*(O60-LOOKUP(O60,$E$23:$E$26))/LOOKUP(O60,$E$23:$E$26,$C$23:$C$26)</f>
        <v>5.12608329350937</v>
      </c>
      <c r="AF60" s="16" t="n">
        <f aca="false">LOOKUP(P60,$E$23:$E$26,$A$23:$A$26)+LOOKUP(P60,$E$23:$E$26,$D$23:$D$26)*(P60-LOOKUP(P60,$E$23:$E$26))/LOOKUP(P60,$E$23:$E$26,$C$23:$C$26)</f>
        <v>5.45977778885172</v>
      </c>
      <c r="AG60" s="16" t="n">
        <f aca="false">LOOKUP(Q60,$E$23:$E$26,$A$23:$A$26)+LOOKUP(Q60,$E$23:$E$26,$D$23:$D$26)*(Q60-LOOKUP(Q60,$E$23:$E$26))/LOOKUP(Q60,$E$23:$E$26,$C$23:$C$26)</f>
        <v>4.09473703878638</v>
      </c>
      <c r="AH60" s="16" t="n">
        <f aca="false">LOOKUP(R60,$E$23:$E$26,$A$23:$A$26)+LOOKUP(R60,$E$23:$E$26,$D$23:$D$26)*(R60-LOOKUP(R60,$E$23:$E$26))/LOOKUP(R60,$E$23:$E$26,$C$23:$C$26)</f>
        <v>4.75633971205132</v>
      </c>
      <c r="AI60" s="16" t="n">
        <f aca="false">LOOKUP(S60,$E$23:$E$26,$A$23:$A$26)+LOOKUP(S60,$E$23:$E$26,$D$23:$D$26)*(S60-LOOKUP(S60,$E$23:$E$26))/LOOKUP(S60,$E$23:$E$26,$C$23:$C$26)</f>
        <v>4.2958132564663</v>
      </c>
      <c r="AJ60" s="16" t="n">
        <f aca="false">SUM($T60:T60)</f>
        <v>5.81346648507394</v>
      </c>
      <c r="AK60" s="16" t="n">
        <f aca="false">SUM($T60:U60)</f>
        <v>10.5899548902359</v>
      </c>
      <c r="AL60" s="16" t="n">
        <f aca="false">SUM($T60:V60)</f>
        <v>16.0665316674035</v>
      </c>
      <c r="AM60" s="16" t="n">
        <f aca="false">SUM($T60:W60)</f>
        <v>20.2869030089809</v>
      </c>
      <c r="AN60" s="16" t="n">
        <f aca="false">SUM($T60:X60)</f>
        <v>25.7302320737607</v>
      </c>
      <c r="AO60" s="16" t="n">
        <f aca="false">SUM($T60:Y60)</f>
        <v>30.5996600363796</v>
      </c>
      <c r="AP60" s="16" t="n">
        <f aca="false">SUM($T60:Z60)</f>
        <v>35.5427269762801</v>
      </c>
      <c r="AQ60" s="16" t="n">
        <f aca="false">SUM($T60:AA60)</f>
        <v>40.0537959382377</v>
      </c>
      <c r="AR60" s="16" t="n">
        <f aca="false">SUM($T60:AB60)</f>
        <v>44.5606407697336</v>
      </c>
      <c r="AS60" s="16" t="n">
        <f aca="false">SUM($T60:AC60)</f>
        <v>48.6530672005539</v>
      </c>
      <c r="AT60" s="16" t="n">
        <f aca="false">SUM($T60:AD60)</f>
        <v>54.3660650770233</v>
      </c>
      <c r="AU60" s="16" t="n">
        <f aca="false">SUM($T60:AE60)</f>
        <v>59.4921483705327</v>
      </c>
      <c r="AV60" s="16" t="n">
        <f aca="false">SUM($T60:AF60)</f>
        <v>64.9519261593844</v>
      </c>
      <c r="AW60" s="16" t="n">
        <f aca="false">SUM($T60:AG60)</f>
        <v>69.0466631981708</v>
      </c>
      <c r="AX60" s="16" t="n">
        <f aca="false">SUM($T60:AH60)</f>
        <v>73.8030029102221</v>
      </c>
      <c r="AY60" s="16" t="n">
        <f aca="false">SUM($T60:AI60)</f>
        <v>78.0988161666884</v>
      </c>
      <c r="AZ60" s="16" t="n">
        <f aca="false">MAX(C60-AJ60,0)</f>
        <v>50.2519785597746</v>
      </c>
      <c r="BA60" s="16" t="n">
        <f aca="false">MAX(C60-AK60,0)</f>
        <v>45.4754901546127</v>
      </c>
      <c r="BB60" s="16" t="n">
        <f aca="false">MAX(C60-AL60,0)</f>
        <v>39.9989133774451</v>
      </c>
      <c r="BC60" s="16" t="n">
        <f aca="false">MAX(C60-AM60,0)</f>
        <v>35.7785420358676</v>
      </c>
      <c r="BD60" s="16" t="n">
        <f aca="false">MAX(C60-AN60,0)</f>
        <v>30.3352129710878</v>
      </c>
      <c r="BE60" s="16" t="n">
        <f aca="false">MAX(C60-AO60,0)</f>
        <v>25.4657850084689</v>
      </c>
      <c r="BF60" s="16" t="n">
        <f aca="false">MAX(C60-AP60,0)</f>
        <v>20.5227180685685</v>
      </c>
      <c r="BG60" s="16" t="n">
        <f aca="false">MAX(C60-AQ60,0)</f>
        <v>16.0116491066109</v>
      </c>
      <c r="BH60" s="16" t="n">
        <f aca="false">MAX(C60-AR60,0)</f>
        <v>11.5048042751149</v>
      </c>
      <c r="BI60" s="16" t="n">
        <f aca="false">MAX(C60-AS60,0)</f>
        <v>7.41237784429463</v>
      </c>
      <c r="BJ60" s="16" t="n">
        <f aca="false">MAX(C60-AT60,0)</f>
        <v>1.69937996782524</v>
      </c>
      <c r="BK60" s="16" t="n">
        <f aca="false">MAX(C60-AU60,0)</f>
        <v>0</v>
      </c>
      <c r="BL60" s="16" t="n">
        <f aca="false">MAX(C60-AV60,0)</f>
        <v>0</v>
      </c>
      <c r="BM60" s="16" t="n">
        <f aca="false">MAX(C60-AW60,0)</f>
        <v>0</v>
      </c>
      <c r="BN60" s="16" t="n">
        <f aca="false">MAX(C60-AX60,0)</f>
        <v>0</v>
      </c>
      <c r="BO60" s="16" t="n">
        <f aca="false">MAX(C60-AY60,0)</f>
        <v>0</v>
      </c>
    </row>
    <row r="61" customFormat="false" ht="15" hidden="false" customHeight="false" outlineLevel="0" collapsed="false">
      <c r="A61" s="3" t="n">
        <v>31</v>
      </c>
      <c r="B61" s="15" t="n">
        <f aca="true">RAND()</f>
        <v>0.941789362525709</v>
      </c>
      <c r="C61" s="16" t="n">
        <f aca="false">LOOKUP(B61,$E$12:$E$17,$A$12:$A$17)+LOOKUP(B61,$E$12:$E$17,$D$12:$D$17)*(B61-LOOKUP(B61,$E$12:$E$17))/LOOKUP(B61,$E$12:$E$17,$C$12:$C$17)</f>
        <v>77.6118351578568</v>
      </c>
      <c r="D61" s="15" t="n">
        <f aca="true">RAND()</f>
        <v>0.488322930111345</v>
      </c>
      <c r="E61" s="15" t="n">
        <f aca="true">RAND()</f>
        <v>0.367305805714756</v>
      </c>
      <c r="F61" s="15" t="n">
        <f aca="true">RAND()</f>
        <v>0.00309134192387508</v>
      </c>
      <c r="G61" s="15" t="n">
        <f aca="true">RAND()</f>
        <v>0.514740222247256</v>
      </c>
      <c r="H61" s="15" t="n">
        <f aca="true">RAND()</f>
        <v>0.413304994716726</v>
      </c>
      <c r="I61" s="15" t="n">
        <f aca="true">RAND()</f>
        <v>0.4908680491285</v>
      </c>
      <c r="J61" s="15" t="n">
        <f aca="true">RAND()</f>
        <v>0.89523307928913</v>
      </c>
      <c r="K61" s="15" t="n">
        <f aca="true">RAND()</f>
        <v>0.530546078217705</v>
      </c>
      <c r="L61" s="15" t="n">
        <f aca="true">RAND()</f>
        <v>0.404863875530236</v>
      </c>
      <c r="M61" s="15" t="n">
        <f aca="true">RAND()</f>
        <v>0.636420600238217</v>
      </c>
      <c r="N61" s="15" t="n">
        <f aca="true">RAND()</f>
        <v>0.13254693295789</v>
      </c>
      <c r="O61" s="15" t="n">
        <f aca="true">RAND()</f>
        <v>0.392592698628119</v>
      </c>
      <c r="P61" s="15" t="n">
        <f aca="true">RAND()</f>
        <v>0.969098835265203</v>
      </c>
      <c r="Q61" s="15" t="n">
        <f aca="true">RAND()</f>
        <v>0.474842254906528</v>
      </c>
      <c r="R61" s="15" t="n">
        <f aca="true">RAND()</f>
        <v>0.405476943408195</v>
      </c>
      <c r="S61" s="15" t="n">
        <f aca="true">RAND()</f>
        <v>0.941751794144852</v>
      </c>
      <c r="T61" s="16" t="n">
        <f aca="false">LOOKUP(D61,$E$23:$E$26,$A$23:$A$26)+LOOKUP(D61,$E$23:$E$26,$D$23:$D$26)*(D61-LOOKUP(D61,$E$23:$E$26))/LOOKUP(D61,$E$23:$E$26,$C$23:$C$26)</f>
        <v>4.73540366263918</v>
      </c>
      <c r="U61" s="16" t="n">
        <f aca="false">LOOKUP(E61,$E$23:$E$26,$A$23:$A$26)+LOOKUP(E61,$E$23:$E$26,$D$23:$D$26)*(E61-LOOKUP(E61,$E$23:$E$26))/LOOKUP(E61,$E$23:$E$26,$C$23:$C$26)</f>
        <v>4.58413225714345</v>
      </c>
      <c r="V61" s="16" t="n">
        <f aca="false">LOOKUP(F61,$E$23:$E$26,$A$23:$A$26)+LOOKUP(F61,$E$23:$E$26,$D$23:$D$26)*(F61-LOOKUP(F61,$E$23:$E$26))/LOOKUP(F61,$E$23:$E$26,$C$23:$C$26)</f>
        <v>4.00515223653979</v>
      </c>
      <c r="W61" s="16" t="n">
        <f aca="false">LOOKUP(G61,$E$23:$E$26,$A$23:$A$26)+LOOKUP(G61,$E$23:$E$26,$D$23:$D$26)*(G61-LOOKUP(G61,$E$23:$E$26))/LOOKUP(G61,$E$23:$E$26,$C$23:$C$26)</f>
        <v>4.76842527780907</v>
      </c>
      <c r="X61" s="16" t="n">
        <f aca="false">LOOKUP(H61,$E$23:$E$26,$A$23:$A$26)+LOOKUP(H61,$E$23:$E$26,$D$23:$D$26)*(H61-LOOKUP(H61,$E$23:$E$26))/LOOKUP(H61,$E$23:$E$26,$C$23:$C$26)</f>
        <v>4.64163124339591</v>
      </c>
      <c r="Y61" s="16" t="n">
        <f aca="false">LOOKUP(I61,$E$23:$E$26,$A$23:$A$26)+LOOKUP(I61,$E$23:$E$26,$D$23:$D$26)*(I61-LOOKUP(I61,$E$23:$E$26))/LOOKUP(I61,$E$23:$E$26,$C$23:$C$26)</f>
        <v>4.73858506141063</v>
      </c>
      <c r="Z61" s="16" t="n">
        <f aca="false">LOOKUP(J61,$E$23:$E$26,$A$23:$A$26)+LOOKUP(J61,$E$23:$E$26,$D$23:$D$26)*(J61-LOOKUP(J61,$E$23:$E$26))/LOOKUP(J61,$E$23:$E$26,$C$23:$C$26)</f>
        <v>5.48808269822283</v>
      </c>
      <c r="AA61" s="16" t="n">
        <f aca="false">LOOKUP(K61,$E$23:$E$26,$A$23:$A$26)+LOOKUP(K61,$E$23:$E$26,$D$23:$D$26)*(K61-LOOKUP(K61,$E$23:$E$26))/LOOKUP(K61,$E$23:$E$26,$C$23:$C$26)</f>
        <v>4.78818259777213</v>
      </c>
      <c r="AB61" s="16" t="n">
        <f aca="false">LOOKUP(L61,$E$23:$E$26,$A$23:$A$26)+LOOKUP(L61,$E$23:$E$26,$D$23:$D$26)*(L61-LOOKUP(L61,$E$23:$E$26))/LOOKUP(L61,$E$23:$E$26,$C$23:$C$26)</f>
        <v>4.6310798444128</v>
      </c>
      <c r="AC61" s="16" t="n">
        <f aca="false">LOOKUP(M61,$E$23:$E$26,$A$23:$A$26)+LOOKUP(M61,$E$23:$E$26,$D$23:$D$26)*(M61-LOOKUP(M61,$E$23:$E$26))/LOOKUP(M61,$E$23:$E$26,$C$23:$C$26)</f>
        <v>4.92052575029777</v>
      </c>
      <c r="AD61" s="16" t="n">
        <f aca="false">LOOKUP(N61,$E$23:$E$26,$A$23:$A$26)+LOOKUP(N61,$E$23:$E$26,$D$23:$D$26)*(N61-LOOKUP(N61,$E$23:$E$26))/LOOKUP(N61,$E$23:$E$26,$C$23:$C$26)</f>
        <v>4.22091155492982</v>
      </c>
      <c r="AE61" s="16" t="n">
        <f aca="false">LOOKUP(O61,$E$23:$E$26,$A$23:$A$26)+LOOKUP(O61,$E$23:$E$26,$D$23:$D$26)*(O61-LOOKUP(O61,$E$23:$E$26))/LOOKUP(O61,$E$23:$E$26,$C$23:$C$26)</f>
        <v>4.61574087328515</v>
      </c>
      <c r="AF61" s="16" t="n">
        <f aca="false">LOOKUP(P61,$E$23:$E$26,$A$23:$A$26)+LOOKUP(P61,$E$23:$E$26,$D$23:$D$26)*(P61-LOOKUP(P61,$E$23:$E$26))/LOOKUP(P61,$E$23:$E$26,$C$23:$C$26)</f>
        <v>5.84549417632601</v>
      </c>
      <c r="AG61" s="16" t="n">
        <f aca="false">LOOKUP(Q61,$E$23:$E$26,$A$23:$A$26)+LOOKUP(Q61,$E$23:$E$26,$D$23:$D$26)*(Q61-LOOKUP(Q61,$E$23:$E$26))/LOOKUP(Q61,$E$23:$E$26,$C$23:$C$26)</f>
        <v>4.71855281863316</v>
      </c>
      <c r="AH61" s="16" t="n">
        <f aca="false">LOOKUP(R61,$E$23:$E$26,$A$23:$A$26)+LOOKUP(R61,$E$23:$E$26,$D$23:$D$26)*(R61-LOOKUP(R61,$E$23:$E$26))/LOOKUP(R61,$E$23:$E$26,$C$23:$C$26)</f>
        <v>4.63184617926024</v>
      </c>
      <c r="AI61" s="16" t="n">
        <f aca="false">LOOKUP(S61,$E$23:$E$26,$A$23:$A$26)+LOOKUP(S61,$E$23:$E$26,$D$23:$D$26)*(S61-LOOKUP(S61,$E$23:$E$26))/LOOKUP(S61,$E$23:$E$26,$C$23:$C$26)</f>
        <v>5.70875897072426</v>
      </c>
      <c r="AJ61" s="16" t="n">
        <f aca="false">SUM($T61:T61)</f>
        <v>4.73540366263918</v>
      </c>
      <c r="AK61" s="16" t="n">
        <f aca="false">SUM($T61:U61)</f>
        <v>9.31953591978263</v>
      </c>
      <c r="AL61" s="16" t="n">
        <f aca="false">SUM($T61:V61)</f>
        <v>13.3246881563224</v>
      </c>
      <c r="AM61" s="16" t="n">
        <f aca="false">SUM($T61:W61)</f>
        <v>18.0931134341315</v>
      </c>
      <c r="AN61" s="16" t="n">
        <f aca="false">SUM($T61:X61)</f>
        <v>22.7347446775274</v>
      </c>
      <c r="AO61" s="16" t="n">
        <f aca="false">SUM($T61:Y61)</f>
        <v>27.473329738938</v>
      </c>
      <c r="AP61" s="16" t="n">
        <f aca="false">SUM($T61:Z61)</f>
        <v>32.9614124371608</v>
      </c>
      <c r="AQ61" s="16" t="n">
        <f aca="false">SUM($T61:AA61)</f>
        <v>37.749595034933</v>
      </c>
      <c r="AR61" s="16" t="n">
        <f aca="false">SUM($T61:AB61)</f>
        <v>42.3806748793458</v>
      </c>
      <c r="AS61" s="16" t="n">
        <f aca="false">SUM($T61:AC61)</f>
        <v>47.3012006296435</v>
      </c>
      <c r="AT61" s="16" t="n">
        <f aca="false">SUM($T61:AD61)</f>
        <v>51.5221121845734</v>
      </c>
      <c r="AU61" s="16" t="n">
        <f aca="false">SUM($T61:AE61)</f>
        <v>56.1378530578585</v>
      </c>
      <c r="AV61" s="16" t="n">
        <f aca="false">SUM($T61:AF61)</f>
        <v>61.9833472341845</v>
      </c>
      <c r="AW61" s="16" t="n">
        <f aca="false">SUM($T61:AG61)</f>
        <v>66.7019000528177</v>
      </c>
      <c r="AX61" s="16" t="n">
        <f aca="false">SUM($T61:AH61)</f>
        <v>71.3337462320779</v>
      </c>
      <c r="AY61" s="16" t="n">
        <f aca="false">SUM($T61:AI61)</f>
        <v>77.0425052028022</v>
      </c>
      <c r="AZ61" s="16" t="n">
        <f aca="false">MAX(C61-AJ61,0)</f>
        <v>72.8764314952176</v>
      </c>
      <c r="BA61" s="16" t="n">
        <f aca="false">MAX(C61-AK61,0)</f>
        <v>68.2922992380742</v>
      </c>
      <c r="BB61" s="16" t="n">
        <f aca="false">MAX(C61-AL61,0)</f>
        <v>64.2871470015344</v>
      </c>
      <c r="BC61" s="16" t="n">
        <f aca="false">MAX(C61-AM61,0)</f>
        <v>59.5187217237253</v>
      </c>
      <c r="BD61" s="16" t="n">
        <f aca="false">MAX(C61-AN61,0)</f>
        <v>54.8770904803294</v>
      </c>
      <c r="BE61" s="16" t="n">
        <f aca="false">MAX(C61-AO61,0)</f>
        <v>50.1385054189188</v>
      </c>
      <c r="BF61" s="16" t="n">
        <f aca="false">MAX(C61-AP61,0)</f>
        <v>44.6504227206959</v>
      </c>
      <c r="BG61" s="16" t="n">
        <f aca="false">MAX(C61-AQ61,0)</f>
        <v>39.8622401229238</v>
      </c>
      <c r="BH61" s="16" t="n">
        <f aca="false">MAX(C61-AR61,0)</f>
        <v>35.231160278511</v>
      </c>
      <c r="BI61" s="16" t="n">
        <f aca="false">MAX(C61-AS61,0)</f>
        <v>30.3106345282132</v>
      </c>
      <c r="BJ61" s="16" t="n">
        <f aca="false">MAX(C61-AT61,0)</f>
        <v>26.0897229732834</v>
      </c>
      <c r="BK61" s="16" t="n">
        <f aca="false">MAX(C61-AU61,0)</f>
        <v>21.4739820999983</v>
      </c>
      <c r="BL61" s="16" t="n">
        <f aca="false">MAX(C61-AV61,0)</f>
        <v>15.6284879236723</v>
      </c>
      <c r="BM61" s="16" t="n">
        <f aca="false">MAX(C61-AW61,0)</f>
        <v>10.9099351050391</v>
      </c>
      <c r="BN61" s="16" t="n">
        <f aca="false">MAX(C61-AX61,0)</f>
        <v>6.27808892577885</v>
      </c>
      <c r="BO61" s="16" t="n">
        <f aca="false">MAX(C61-AY61,0)</f>
        <v>0.569329955054599</v>
      </c>
    </row>
    <row r="62" customFormat="false" ht="15" hidden="false" customHeight="false" outlineLevel="0" collapsed="false">
      <c r="A62" s="3" t="n">
        <v>32</v>
      </c>
      <c r="B62" s="15" t="n">
        <f aca="true">RAND()</f>
        <v>0.825482233144836</v>
      </c>
      <c r="C62" s="16" t="n">
        <f aca="false">LOOKUP(B62,$E$12:$E$17,$A$12:$A$17)+LOOKUP(B62,$E$12:$E$17,$D$12:$D$17)*(B62-LOOKUP(B62,$E$12:$E$17))/LOOKUP(B62,$E$12:$E$17,$C$12:$C$17)</f>
        <v>68.9354604734977</v>
      </c>
      <c r="D62" s="15" t="n">
        <f aca="true">RAND()</f>
        <v>0.897976493856651</v>
      </c>
      <c r="E62" s="15" t="n">
        <f aca="true">RAND()</f>
        <v>0.939043602225709</v>
      </c>
      <c r="F62" s="15" t="n">
        <f aca="true">RAND()</f>
        <v>0.130112764976557</v>
      </c>
      <c r="G62" s="15" t="n">
        <f aca="true">RAND()</f>
        <v>0.803027251854496</v>
      </c>
      <c r="H62" s="15" t="n">
        <f aca="true">RAND()</f>
        <v>0.627446486965838</v>
      </c>
      <c r="I62" s="15" t="n">
        <f aca="true">RAND()</f>
        <v>0.630046797453117</v>
      </c>
      <c r="J62" s="15" t="n">
        <f aca="true">RAND()</f>
        <v>0.0327599675265519</v>
      </c>
      <c r="K62" s="15" t="n">
        <f aca="true">RAND()</f>
        <v>0.731670886005628</v>
      </c>
      <c r="L62" s="15" t="n">
        <f aca="true">RAND()</f>
        <v>0.869047272968571</v>
      </c>
      <c r="M62" s="15" t="n">
        <f aca="true">RAND()</f>
        <v>0.612826064447891</v>
      </c>
      <c r="N62" s="15" t="n">
        <f aca="true">RAND()</f>
        <v>0.639939175462444</v>
      </c>
      <c r="O62" s="15" t="n">
        <f aca="true">RAND()</f>
        <v>0.929193965444045</v>
      </c>
      <c r="P62" s="15" t="n">
        <f aca="true">RAND()</f>
        <v>0.218194000378426</v>
      </c>
      <c r="Q62" s="15" t="n">
        <f aca="true">RAND()</f>
        <v>0.114568099483715</v>
      </c>
      <c r="R62" s="15" t="n">
        <f aca="true">RAND()</f>
        <v>0.929877065447397</v>
      </c>
      <c r="S62" s="15" t="n">
        <f aca="true">RAND()</f>
        <v>0.823108968980192</v>
      </c>
      <c r="T62" s="16" t="n">
        <f aca="false">LOOKUP(D62,$E$23:$E$26,$A$23:$A$26)+LOOKUP(D62,$E$23:$E$26,$D$23:$D$26)*(D62-LOOKUP(D62,$E$23:$E$26))/LOOKUP(D62,$E$23:$E$26,$C$23:$C$26)</f>
        <v>5.49494123464163</v>
      </c>
      <c r="U62" s="16" t="n">
        <f aca="false">LOOKUP(E62,$E$23:$E$26,$A$23:$A$26)+LOOKUP(E62,$E$23:$E$26,$D$23:$D$26)*(E62-LOOKUP(E62,$E$23:$E$26))/LOOKUP(E62,$E$23:$E$26,$C$23:$C$26)</f>
        <v>5.69521801112854</v>
      </c>
      <c r="V62" s="16" t="n">
        <f aca="false">LOOKUP(F62,$E$23:$E$26,$A$23:$A$26)+LOOKUP(F62,$E$23:$E$26,$D$23:$D$26)*(F62-LOOKUP(F62,$E$23:$E$26))/LOOKUP(F62,$E$23:$E$26,$C$23:$C$26)</f>
        <v>4.21685460829426</v>
      </c>
      <c r="W62" s="16" t="n">
        <f aca="false">LOOKUP(G62,$E$23:$E$26,$A$23:$A$26)+LOOKUP(G62,$E$23:$E$26,$D$23:$D$26)*(G62-LOOKUP(G62,$E$23:$E$26))/LOOKUP(G62,$E$23:$E$26,$C$23:$C$26)</f>
        <v>5.25756812963624</v>
      </c>
      <c r="X62" s="16" t="n">
        <f aca="false">LOOKUP(H62,$E$23:$E$26,$A$23:$A$26)+LOOKUP(H62,$E$23:$E$26,$D$23:$D$26)*(H62-LOOKUP(H62,$E$23:$E$26))/LOOKUP(H62,$E$23:$E$26,$C$23:$C$26)</f>
        <v>4.9093081087073</v>
      </c>
      <c r="Y62" s="16" t="n">
        <f aca="false">LOOKUP(I62,$E$23:$E$26,$A$23:$A$26)+LOOKUP(I62,$E$23:$E$26,$D$23:$D$26)*(I62-LOOKUP(I62,$E$23:$E$26))/LOOKUP(I62,$E$23:$E$26,$C$23:$C$26)</f>
        <v>4.9125584968164</v>
      </c>
      <c r="Z62" s="16" t="n">
        <f aca="false">LOOKUP(J62,$E$23:$E$26,$A$23:$A$26)+LOOKUP(J62,$E$23:$E$26,$D$23:$D$26)*(J62-LOOKUP(J62,$E$23:$E$26))/LOOKUP(J62,$E$23:$E$26,$C$23:$C$26)</f>
        <v>4.05459994587759</v>
      </c>
      <c r="AA62" s="16" t="n">
        <f aca="false">LOOKUP(K62,$E$23:$E$26,$A$23:$A$26)+LOOKUP(K62,$E$23:$E$26,$D$23:$D$26)*(K62-LOOKUP(K62,$E$23:$E$26))/LOOKUP(K62,$E$23:$E$26,$C$23:$C$26)</f>
        <v>5.07917721501407</v>
      </c>
      <c r="AB62" s="16" t="n">
        <f aca="false">LOOKUP(L62,$E$23:$E$26,$A$23:$A$26)+LOOKUP(L62,$E$23:$E$26,$D$23:$D$26)*(L62-LOOKUP(L62,$E$23:$E$26))/LOOKUP(L62,$E$23:$E$26,$C$23:$C$26)</f>
        <v>5.42261818242143</v>
      </c>
      <c r="AC62" s="16" t="n">
        <f aca="false">LOOKUP(M62,$E$23:$E$26,$A$23:$A$26)+LOOKUP(M62,$E$23:$E$26,$D$23:$D$26)*(M62-LOOKUP(M62,$E$23:$E$26))/LOOKUP(M62,$E$23:$E$26,$C$23:$C$26)</f>
        <v>4.89103258055986</v>
      </c>
      <c r="AD62" s="16" t="n">
        <f aca="false">LOOKUP(N62,$E$23:$E$26,$A$23:$A$26)+LOOKUP(N62,$E$23:$E$26,$D$23:$D$26)*(N62-LOOKUP(N62,$E$23:$E$26))/LOOKUP(N62,$E$23:$E$26,$C$23:$C$26)</f>
        <v>4.92492396932806</v>
      </c>
      <c r="AE62" s="16" t="n">
        <f aca="false">LOOKUP(O62,$E$23:$E$26,$A$23:$A$26)+LOOKUP(O62,$E$23:$E$26,$D$23:$D$26)*(O62-LOOKUP(O62,$E$23:$E$26))/LOOKUP(O62,$E$23:$E$26,$C$23:$C$26)</f>
        <v>5.64596982722023</v>
      </c>
      <c r="AF62" s="16" t="n">
        <f aca="false">LOOKUP(P62,$E$23:$E$26,$A$23:$A$26)+LOOKUP(P62,$E$23:$E$26,$D$23:$D$26)*(P62-LOOKUP(P62,$E$23:$E$26))/LOOKUP(P62,$E$23:$E$26,$C$23:$C$26)</f>
        <v>4.36365666729738</v>
      </c>
      <c r="AG62" s="16" t="n">
        <f aca="false">LOOKUP(Q62,$E$23:$E$26,$A$23:$A$26)+LOOKUP(Q62,$E$23:$E$26,$D$23:$D$26)*(Q62-LOOKUP(Q62,$E$23:$E$26))/LOOKUP(Q62,$E$23:$E$26,$C$23:$C$26)</f>
        <v>4.19094683247286</v>
      </c>
      <c r="AH62" s="16" t="n">
        <f aca="false">LOOKUP(R62,$E$23:$E$26,$A$23:$A$26)+LOOKUP(R62,$E$23:$E$26,$D$23:$D$26)*(R62-LOOKUP(R62,$E$23:$E$26))/LOOKUP(R62,$E$23:$E$26,$C$23:$C$26)</f>
        <v>5.64938532723699</v>
      </c>
      <c r="AI62" s="16" t="n">
        <f aca="false">LOOKUP(S62,$E$23:$E$26,$A$23:$A$26)+LOOKUP(S62,$E$23:$E$26,$D$23:$D$26)*(S62-LOOKUP(S62,$E$23:$E$26))/LOOKUP(S62,$E$23:$E$26,$C$23:$C$26)</f>
        <v>5.30777242245048</v>
      </c>
      <c r="AJ62" s="16" t="n">
        <f aca="false">SUM($T62:T62)</f>
        <v>5.49494123464163</v>
      </c>
      <c r="AK62" s="16" t="n">
        <f aca="false">SUM($T62:U62)</f>
        <v>11.1901592457702</v>
      </c>
      <c r="AL62" s="16" t="n">
        <f aca="false">SUM($T62:V62)</f>
        <v>15.4070138540644</v>
      </c>
      <c r="AM62" s="16" t="n">
        <f aca="false">SUM($T62:W62)</f>
        <v>20.6645819837007</v>
      </c>
      <c r="AN62" s="16" t="n">
        <f aca="false">SUM($T62:X62)</f>
        <v>25.573890092408</v>
      </c>
      <c r="AO62" s="16" t="n">
        <f aca="false">SUM($T62:Y62)</f>
        <v>30.4864485892244</v>
      </c>
      <c r="AP62" s="16" t="n">
        <f aca="false">SUM($T62:Z62)</f>
        <v>34.541048535102</v>
      </c>
      <c r="AQ62" s="16" t="n">
        <f aca="false">SUM($T62:AA62)</f>
        <v>39.620225750116</v>
      </c>
      <c r="AR62" s="16" t="n">
        <f aca="false">SUM($T62:AB62)</f>
        <v>45.0428439325375</v>
      </c>
      <c r="AS62" s="16" t="n">
        <f aca="false">SUM($T62:AC62)</f>
        <v>49.9338765130973</v>
      </c>
      <c r="AT62" s="16" t="n">
        <f aca="false">SUM($T62:AD62)</f>
        <v>54.8588004824254</v>
      </c>
      <c r="AU62" s="16" t="n">
        <f aca="false">SUM($T62:AE62)</f>
        <v>60.5047703096456</v>
      </c>
      <c r="AV62" s="16" t="n">
        <f aca="false">SUM($T62:AF62)</f>
        <v>64.868426976943</v>
      </c>
      <c r="AW62" s="16" t="n">
        <f aca="false">SUM($T62:AG62)</f>
        <v>69.0593738094158</v>
      </c>
      <c r="AX62" s="16" t="n">
        <f aca="false">SUM($T62:AH62)</f>
        <v>74.7087591366528</v>
      </c>
      <c r="AY62" s="16" t="n">
        <f aca="false">SUM($T62:AI62)</f>
        <v>80.0165315591033</v>
      </c>
      <c r="AZ62" s="16" t="n">
        <f aca="false">MAX(C62-AJ62,0)</f>
        <v>63.440519238856</v>
      </c>
      <c r="BA62" s="16" t="n">
        <f aca="false">MAX(C62-AK62,0)</f>
        <v>57.7453012277275</v>
      </c>
      <c r="BB62" s="16" t="n">
        <f aca="false">MAX(C62-AL62,0)</f>
        <v>53.5284466194332</v>
      </c>
      <c r="BC62" s="16" t="n">
        <f aca="false">MAX(C62-AM62,0)</f>
        <v>48.270878489797</v>
      </c>
      <c r="BD62" s="16" t="n">
        <f aca="false">MAX(C62-AN62,0)</f>
        <v>43.3615703810897</v>
      </c>
      <c r="BE62" s="16" t="n">
        <f aca="false">MAX(C62-AO62,0)</f>
        <v>38.4490118842733</v>
      </c>
      <c r="BF62" s="16" t="n">
        <f aca="false">MAX(C62-AP62,0)</f>
        <v>34.3944119383957</v>
      </c>
      <c r="BG62" s="16" t="n">
        <f aca="false">MAX(C62-AQ62,0)</f>
        <v>29.3152347233816</v>
      </c>
      <c r="BH62" s="16" t="n">
        <f aca="false">MAX(C62-AR62,0)</f>
        <v>23.8926165409602</v>
      </c>
      <c r="BI62" s="16" t="n">
        <f aca="false">MAX(C62-AS62,0)</f>
        <v>19.0015839604003</v>
      </c>
      <c r="BJ62" s="16" t="n">
        <f aca="false">MAX(C62-AT62,0)</f>
        <v>14.0766599910723</v>
      </c>
      <c r="BK62" s="16" t="n">
        <f aca="false">MAX(C62-AU62,0)</f>
        <v>8.43069016385206</v>
      </c>
      <c r="BL62" s="16" t="n">
        <f aca="false">MAX(C62-AV62,0)</f>
        <v>4.06703349655469</v>
      </c>
      <c r="BM62" s="16" t="n">
        <f aca="false">MAX(C62-AW62,0)</f>
        <v>0</v>
      </c>
      <c r="BN62" s="16" t="n">
        <f aca="false">MAX(C62-AX62,0)</f>
        <v>0</v>
      </c>
      <c r="BO62" s="16" t="n">
        <f aca="false">MAX(C62-AY62,0)</f>
        <v>0</v>
      </c>
    </row>
    <row r="63" customFormat="false" ht="15" hidden="false" customHeight="false" outlineLevel="0" collapsed="false">
      <c r="A63" s="3" t="n">
        <v>33</v>
      </c>
      <c r="B63" s="15" t="n">
        <f aca="true">RAND()</f>
        <v>0.0854412133464483</v>
      </c>
      <c r="C63" s="16" t="n">
        <f aca="false">LOOKUP(B63,$E$12:$E$17,$A$12:$A$17)+LOOKUP(B63,$E$12:$E$17,$D$12:$D$17)*(B63-LOOKUP(B63,$E$12:$E$17))/LOOKUP(B63,$E$12:$E$17,$C$12:$C$17)</f>
        <v>54.2720606673224</v>
      </c>
      <c r="D63" s="15" t="n">
        <f aca="true">RAND()</f>
        <v>0.823831152406763</v>
      </c>
      <c r="E63" s="15" t="n">
        <f aca="true">RAND()</f>
        <v>0.418040277915451</v>
      </c>
      <c r="F63" s="15" t="n">
        <f aca="true">RAND()</f>
        <v>0.445418404781085</v>
      </c>
      <c r="G63" s="15" t="n">
        <f aca="true">RAND()</f>
        <v>0.866991314579693</v>
      </c>
      <c r="H63" s="15" t="n">
        <f aca="true">RAND()</f>
        <v>0.542404722284362</v>
      </c>
      <c r="I63" s="15" t="n">
        <f aca="true">RAND()</f>
        <v>0.110162732311593</v>
      </c>
      <c r="J63" s="15" t="n">
        <f aca="true">RAND()</f>
        <v>0.0162121911803316</v>
      </c>
      <c r="K63" s="15" t="n">
        <f aca="true">RAND()</f>
        <v>0.504634778684676</v>
      </c>
      <c r="L63" s="15" t="n">
        <f aca="true">RAND()</f>
        <v>0.0554168372498533</v>
      </c>
      <c r="M63" s="15" t="n">
        <f aca="true">RAND()</f>
        <v>0.47635432130011</v>
      </c>
      <c r="N63" s="15" t="n">
        <f aca="true">RAND()</f>
        <v>0.969749122183444</v>
      </c>
      <c r="O63" s="15" t="n">
        <f aca="true">RAND()</f>
        <v>0.673585011742828</v>
      </c>
      <c r="P63" s="15" t="n">
        <f aca="true">RAND()</f>
        <v>0.0977638253358055</v>
      </c>
      <c r="Q63" s="15" t="n">
        <f aca="true">RAND()</f>
        <v>0.415329394498236</v>
      </c>
      <c r="R63" s="15" t="n">
        <f aca="true">RAND()</f>
        <v>0.864436955828762</v>
      </c>
      <c r="S63" s="15" t="n">
        <f aca="true">RAND()</f>
        <v>0.622699494965088</v>
      </c>
      <c r="T63" s="16" t="n">
        <f aca="false">LOOKUP(D63,$E$23:$E$26,$A$23:$A$26)+LOOKUP(D63,$E$23:$E$26,$D$23:$D$26)*(D63-LOOKUP(D63,$E$23:$E$26))/LOOKUP(D63,$E$23:$E$26,$C$23:$C$26)</f>
        <v>5.30957788101691</v>
      </c>
      <c r="U63" s="16" t="n">
        <f aca="false">LOOKUP(E63,$E$23:$E$26,$A$23:$A$26)+LOOKUP(E63,$E$23:$E$26,$D$23:$D$26)*(E63-LOOKUP(E63,$E$23:$E$26))/LOOKUP(E63,$E$23:$E$26,$C$23:$C$26)</f>
        <v>4.64755034739431</v>
      </c>
      <c r="V63" s="16" t="n">
        <f aca="false">LOOKUP(F63,$E$23:$E$26,$A$23:$A$26)+LOOKUP(F63,$E$23:$E$26,$D$23:$D$26)*(F63-LOOKUP(F63,$E$23:$E$26))/LOOKUP(F63,$E$23:$E$26,$C$23:$C$26)</f>
        <v>4.68177300597636</v>
      </c>
      <c r="W63" s="16" t="n">
        <f aca="false">LOOKUP(G63,$E$23:$E$26,$A$23:$A$26)+LOOKUP(G63,$E$23:$E$26,$D$23:$D$26)*(G63-LOOKUP(G63,$E$23:$E$26))/LOOKUP(G63,$E$23:$E$26,$C$23:$C$26)</f>
        <v>5.41747828644923</v>
      </c>
      <c r="X63" s="16" t="n">
        <f aca="false">LOOKUP(H63,$E$23:$E$26,$A$23:$A$26)+LOOKUP(H63,$E$23:$E$26,$D$23:$D$26)*(H63-LOOKUP(H63,$E$23:$E$26))/LOOKUP(H63,$E$23:$E$26,$C$23:$C$26)</f>
        <v>4.80300590285545</v>
      </c>
      <c r="Y63" s="16" t="n">
        <f aca="false">LOOKUP(I63,$E$23:$E$26,$A$23:$A$26)+LOOKUP(I63,$E$23:$E$26,$D$23:$D$26)*(I63-LOOKUP(I63,$E$23:$E$26))/LOOKUP(I63,$E$23:$E$26,$C$23:$C$26)</f>
        <v>4.18360455385265</v>
      </c>
      <c r="Z63" s="16" t="n">
        <f aca="false">LOOKUP(J63,$E$23:$E$26,$A$23:$A$26)+LOOKUP(J63,$E$23:$E$26,$D$23:$D$26)*(J63-LOOKUP(J63,$E$23:$E$26))/LOOKUP(J63,$E$23:$E$26,$C$23:$C$26)</f>
        <v>4.02702031863389</v>
      </c>
      <c r="AA63" s="16" t="n">
        <f aca="false">LOOKUP(K63,$E$23:$E$26,$A$23:$A$26)+LOOKUP(K63,$E$23:$E$26,$D$23:$D$26)*(K63-LOOKUP(K63,$E$23:$E$26))/LOOKUP(K63,$E$23:$E$26,$C$23:$C$26)</f>
        <v>4.75579347335585</v>
      </c>
      <c r="AB63" s="16" t="n">
        <f aca="false">LOOKUP(L63,$E$23:$E$26,$A$23:$A$26)+LOOKUP(L63,$E$23:$E$26,$D$23:$D$26)*(L63-LOOKUP(L63,$E$23:$E$26))/LOOKUP(L63,$E$23:$E$26,$C$23:$C$26)</f>
        <v>4.09236139541642</v>
      </c>
      <c r="AC63" s="16" t="n">
        <f aca="false">LOOKUP(M63,$E$23:$E$26,$A$23:$A$26)+LOOKUP(M63,$E$23:$E$26,$D$23:$D$26)*(M63-LOOKUP(M63,$E$23:$E$26))/LOOKUP(M63,$E$23:$E$26,$C$23:$C$26)</f>
        <v>4.72044290162514</v>
      </c>
      <c r="AD63" s="16" t="n">
        <f aca="false">LOOKUP(N63,$E$23:$E$26,$A$23:$A$26)+LOOKUP(N63,$E$23:$E$26,$D$23:$D$26)*(N63-LOOKUP(N63,$E$23:$E$26))/LOOKUP(N63,$E$23:$E$26,$C$23:$C$26)</f>
        <v>5.84874561091722</v>
      </c>
      <c r="AE63" s="16" t="n">
        <f aca="false">LOOKUP(O63,$E$23:$E$26,$A$23:$A$26)+LOOKUP(O63,$E$23:$E$26,$D$23:$D$26)*(O63-LOOKUP(O63,$E$23:$E$26))/LOOKUP(O63,$E$23:$E$26,$C$23:$C$26)</f>
        <v>4.96698126467854</v>
      </c>
      <c r="AF63" s="16" t="n">
        <f aca="false">LOOKUP(P63,$E$23:$E$26,$A$23:$A$26)+LOOKUP(P63,$E$23:$E$26,$D$23:$D$26)*(P63-LOOKUP(P63,$E$23:$E$26))/LOOKUP(P63,$E$23:$E$26,$C$23:$C$26)</f>
        <v>4.16293970889301</v>
      </c>
      <c r="AG63" s="16" t="n">
        <f aca="false">LOOKUP(Q63,$E$23:$E$26,$A$23:$A$26)+LOOKUP(Q63,$E$23:$E$26,$D$23:$D$26)*(Q63-LOOKUP(Q63,$E$23:$E$26))/LOOKUP(Q63,$E$23:$E$26,$C$23:$C$26)</f>
        <v>4.6441617431228</v>
      </c>
      <c r="AH63" s="16" t="n">
        <f aca="false">LOOKUP(R63,$E$23:$E$26,$A$23:$A$26)+LOOKUP(R63,$E$23:$E$26,$D$23:$D$26)*(R63-LOOKUP(R63,$E$23:$E$26))/LOOKUP(R63,$E$23:$E$26,$C$23:$C$26)</f>
        <v>5.4110923895719</v>
      </c>
      <c r="AI63" s="16" t="n">
        <f aca="false">LOOKUP(S63,$E$23:$E$26,$A$23:$A$26)+LOOKUP(S63,$E$23:$E$26,$D$23:$D$26)*(S63-LOOKUP(S63,$E$23:$E$26))/LOOKUP(S63,$E$23:$E$26,$C$23:$C$26)</f>
        <v>4.90337436870636</v>
      </c>
      <c r="AJ63" s="16" t="n">
        <f aca="false">SUM($T63:T63)</f>
        <v>5.30957788101691</v>
      </c>
      <c r="AK63" s="16" t="n">
        <f aca="false">SUM($T63:U63)</f>
        <v>9.95712822841122</v>
      </c>
      <c r="AL63" s="16" t="n">
        <f aca="false">SUM($T63:V63)</f>
        <v>14.6389012343876</v>
      </c>
      <c r="AM63" s="16" t="n">
        <f aca="false">SUM($T63:W63)</f>
        <v>20.0563795208368</v>
      </c>
      <c r="AN63" s="16" t="n">
        <f aca="false">SUM($T63:X63)</f>
        <v>24.8593854236923</v>
      </c>
      <c r="AO63" s="16" t="n">
        <f aca="false">SUM($T63:Y63)</f>
        <v>29.0429899775449</v>
      </c>
      <c r="AP63" s="16" t="n">
        <f aca="false">SUM($T63:Z63)</f>
        <v>33.0700102961788</v>
      </c>
      <c r="AQ63" s="16" t="n">
        <f aca="false">SUM($T63:AA63)</f>
        <v>37.8258037695346</v>
      </c>
      <c r="AR63" s="16" t="n">
        <f aca="false">SUM($T63:AB63)</f>
        <v>41.9181651649511</v>
      </c>
      <c r="AS63" s="16" t="n">
        <f aca="false">SUM($T63:AC63)</f>
        <v>46.6386080665762</v>
      </c>
      <c r="AT63" s="16" t="n">
        <f aca="false">SUM($T63:AD63)</f>
        <v>52.4873536774934</v>
      </c>
      <c r="AU63" s="16" t="n">
        <f aca="false">SUM($T63:AE63)</f>
        <v>57.454334942172</v>
      </c>
      <c r="AV63" s="16" t="n">
        <f aca="false">SUM($T63:AF63)</f>
        <v>61.617274651065</v>
      </c>
      <c r="AW63" s="16" t="n">
        <f aca="false">SUM($T63:AG63)</f>
        <v>66.2614363941878</v>
      </c>
      <c r="AX63" s="16" t="n">
        <f aca="false">SUM($T63:AH63)</f>
        <v>71.6725287837597</v>
      </c>
      <c r="AY63" s="16" t="n">
        <f aca="false">SUM($T63:AI63)</f>
        <v>76.575903152466</v>
      </c>
      <c r="AZ63" s="16" t="n">
        <f aca="false">MAX(C63-AJ63,0)</f>
        <v>48.9624827863055</v>
      </c>
      <c r="BA63" s="16" t="n">
        <f aca="false">MAX(C63-AK63,0)</f>
        <v>44.3149324389112</v>
      </c>
      <c r="BB63" s="16" t="n">
        <f aca="false">MAX(C63-AL63,0)</f>
        <v>39.6331594329348</v>
      </c>
      <c r="BC63" s="16" t="n">
        <f aca="false">MAX(C63-AM63,0)</f>
        <v>34.2156811464856</v>
      </c>
      <c r="BD63" s="16" t="n">
        <f aca="false">MAX(C63-AN63,0)</f>
        <v>29.4126752436302</v>
      </c>
      <c r="BE63" s="16" t="n">
        <f aca="false">MAX(C63-AO63,0)</f>
        <v>25.2290706897775</v>
      </c>
      <c r="BF63" s="16" t="n">
        <f aca="false">MAX(C63-AP63,0)</f>
        <v>21.2020503711436</v>
      </c>
      <c r="BG63" s="16" t="n">
        <f aca="false">MAX(C63-AQ63,0)</f>
        <v>16.4462568977878</v>
      </c>
      <c r="BH63" s="16" t="n">
        <f aca="false">MAX(C63-AR63,0)</f>
        <v>12.3538955023713</v>
      </c>
      <c r="BI63" s="16" t="n">
        <f aca="false">MAX(C63-AS63,0)</f>
        <v>7.6334526007462</v>
      </c>
      <c r="BJ63" s="16" t="n">
        <f aca="false">MAX(C63-AT63,0)</f>
        <v>1.78470698982898</v>
      </c>
      <c r="BK63" s="16" t="n">
        <f aca="false">MAX(C63-AU63,0)</f>
        <v>0</v>
      </c>
      <c r="BL63" s="16" t="n">
        <f aca="false">MAX(C63-AV63,0)</f>
        <v>0</v>
      </c>
      <c r="BM63" s="16" t="n">
        <f aca="false">MAX(C63-AW63,0)</f>
        <v>0</v>
      </c>
      <c r="BN63" s="16" t="n">
        <f aca="false">MAX(C63-AX63,0)</f>
        <v>0</v>
      </c>
      <c r="BO63" s="16" t="n">
        <f aca="false">MAX(C63-AY63,0)</f>
        <v>0</v>
      </c>
    </row>
    <row r="64" customFormat="false" ht="15" hidden="false" customHeight="false" outlineLevel="0" collapsed="false">
      <c r="A64" s="3" t="n">
        <v>34</v>
      </c>
      <c r="B64" s="15" t="n">
        <f aca="true">RAND()</f>
        <v>0.352872508237981</v>
      </c>
      <c r="C64" s="16" t="n">
        <f aca="false">LOOKUP(B64,$E$12:$E$17,$A$12:$A$17)+LOOKUP(B64,$E$12:$E$17,$D$12:$D$17)*(B64-LOOKUP(B64,$E$12:$E$17))/LOOKUP(B64,$E$12:$E$17,$C$12:$C$17)</f>
        <v>61.7145418039664</v>
      </c>
      <c r="D64" s="15" t="n">
        <f aca="true">RAND()</f>
        <v>0.7671972341787</v>
      </c>
      <c r="E64" s="15" t="n">
        <f aca="true">RAND()</f>
        <v>0.835275687968316</v>
      </c>
      <c r="F64" s="15" t="n">
        <f aca="true">RAND()</f>
        <v>0.160025505423718</v>
      </c>
      <c r="G64" s="15" t="n">
        <f aca="true">RAND()</f>
        <v>0.0223531292442812</v>
      </c>
      <c r="H64" s="15" t="n">
        <f aca="true">RAND()</f>
        <v>0.926820719568395</v>
      </c>
      <c r="I64" s="15" t="n">
        <f aca="true">RAND()</f>
        <v>0.481439351198173</v>
      </c>
      <c r="J64" s="15" t="n">
        <f aca="true">RAND()</f>
        <v>0.908668474874646</v>
      </c>
      <c r="K64" s="15" t="n">
        <f aca="true">RAND()</f>
        <v>0.304884247248977</v>
      </c>
      <c r="L64" s="15" t="n">
        <f aca="true">RAND()</f>
        <v>0.209396720612492</v>
      </c>
      <c r="M64" s="15" t="n">
        <f aca="true">RAND()</f>
        <v>0.855639998021119</v>
      </c>
      <c r="N64" s="15" t="n">
        <f aca="true">RAND()</f>
        <v>0.419923687738929</v>
      </c>
      <c r="O64" s="15" t="n">
        <f aca="true">RAND()</f>
        <v>0.92165267903169</v>
      </c>
      <c r="P64" s="15" t="n">
        <f aca="true">RAND()</f>
        <v>0.585258216640866</v>
      </c>
      <c r="Q64" s="15" t="n">
        <f aca="true">RAND()</f>
        <v>0.695012700653699</v>
      </c>
      <c r="R64" s="15" t="n">
        <f aca="true">RAND()</f>
        <v>0.965948310351913</v>
      </c>
      <c r="S64" s="15" t="n">
        <f aca="true">RAND()</f>
        <v>0.754423323616322</v>
      </c>
      <c r="T64" s="16" t="n">
        <f aca="false">LOOKUP(D64,$E$23:$E$26,$A$23:$A$26)+LOOKUP(D64,$E$23:$E$26,$D$23:$D$26)*(D64-LOOKUP(D64,$E$23:$E$26))/LOOKUP(D64,$E$23:$E$26,$C$23:$C$26)</f>
        <v>5.16799308544675</v>
      </c>
      <c r="U64" s="16" t="n">
        <f aca="false">LOOKUP(E64,$E$23:$E$26,$A$23:$A$26)+LOOKUP(E64,$E$23:$E$26,$D$23:$D$26)*(E64-LOOKUP(E64,$E$23:$E$26))/LOOKUP(E64,$E$23:$E$26,$C$23:$C$26)</f>
        <v>5.33818921992079</v>
      </c>
      <c r="V64" s="16" t="n">
        <f aca="false">LOOKUP(F64,$E$23:$E$26,$A$23:$A$26)+LOOKUP(F64,$E$23:$E$26,$D$23:$D$26)*(F64-LOOKUP(F64,$E$23:$E$26))/LOOKUP(F64,$E$23:$E$26,$C$23:$C$26)</f>
        <v>4.2667091757062</v>
      </c>
      <c r="W64" s="16" t="n">
        <f aca="false">LOOKUP(G64,$E$23:$E$26,$A$23:$A$26)+LOOKUP(G64,$E$23:$E$26,$D$23:$D$26)*(G64-LOOKUP(G64,$E$23:$E$26))/LOOKUP(G64,$E$23:$E$26,$C$23:$C$26)</f>
        <v>4.03725521540714</v>
      </c>
      <c r="X64" s="16" t="n">
        <f aca="false">LOOKUP(H64,$E$23:$E$26,$A$23:$A$26)+LOOKUP(H64,$E$23:$E$26,$D$23:$D$26)*(H64-LOOKUP(H64,$E$23:$E$26))/LOOKUP(H64,$E$23:$E$26,$C$23:$C$26)</f>
        <v>5.63410359784197</v>
      </c>
      <c r="Y64" s="16" t="n">
        <f aca="false">LOOKUP(I64,$E$23:$E$26,$A$23:$A$26)+LOOKUP(I64,$E$23:$E$26,$D$23:$D$26)*(I64-LOOKUP(I64,$E$23:$E$26))/LOOKUP(I64,$E$23:$E$26,$C$23:$C$26)</f>
        <v>4.72679918899772</v>
      </c>
      <c r="Z64" s="16" t="n">
        <f aca="false">LOOKUP(J64,$E$23:$E$26,$A$23:$A$26)+LOOKUP(J64,$E$23:$E$26,$D$23:$D$26)*(J64-LOOKUP(J64,$E$23:$E$26))/LOOKUP(J64,$E$23:$E$26,$C$23:$C$26)</f>
        <v>5.54334237437323</v>
      </c>
      <c r="AA64" s="16" t="n">
        <f aca="false">LOOKUP(K64,$E$23:$E$26,$A$23:$A$26)+LOOKUP(K64,$E$23:$E$26,$D$23:$D$26)*(K64-LOOKUP(K64,$E$23:$E$26))/LOOKUP(K64,$E$23:$E$26,$C$23:$C$26)</f>
        <v>4.50610530906122</v>
      </c>
      <c r="AB64" s="16" t="n">
        <f aca="false">LOOKUP(L64,$E$23:$E$26,$A$23:$A$26)+LOOKUP(L64,$E$23:$E$26,$D$23:$D$26)*(L64-LOOKUP(L64,$E$23:$E$26))/LOOKUP(L64,$E$23:$E$26,$C$23:$C$26)</f>
        <v>4.34899453435415</v>
      </c>
      <c r="AC64" s="16" t="n">
        <f aca="false">LOOKUP(M64,$E$23:$E$26,$A$23:$A$26)+LOOKUP(M64,$E$23:$E$26,$D$23:$D$26)*(M64-LOOKUP(M64,$E$23:$E$26))/LOOKUP(M64,$E$23:$E$26,$C$23:$C$26)</f>
        <v>5.3890999950528</v>
      </c>
      <c r="AD64" s="16" t="n">
        <f aca="false">LOOKUP(N64,$E$23:$E$26,$A$23:$A$26)+LOOKUP(N64,$E$23:$E$26,$D$23:$D$26)*(N64-LOOKUP(N64,$E$23:$E$26))/LOOKUP(N64,$E$23:$E$26,$C$23:$C$26)</f>
        <v>4.64990460967366</v>
      </c>
      <c r="AE64" s="16" t="n">
        <f aca="false">LOOKUP(O64,$E$23:$E$26,$A$23:$A$26)+LOOKUP(O64,$E$23:$E$26,$D$23:$D$26)*(O64-LOOKUP(O64,$E$23:$E$26))/LOOKUP(O64,$E$23:$E$26,$C$23:$C$26)</f>
        <v>5.60826339515845</v>
      </c>
      <c r="AF64" s="16" t="n">
        <f aca="false">LOOKUP(P64,$E$23:$E$26,$A$23:$A$26)+LOOKUP(P64,$E$23:$E$26,$D$23:$D$26)*(P64-LOOKUP(P64,$E$23:$E$26))/LOOKUP(P64,$E$23:$E$26,$C$23:$C$26)</f>
        <v>4.85657277080108</v>
      </c>
      <c r="AG64" s="16" t="n">
        <f aca="false">LOOKUP(Q64,$E$23:$E$26,$A$23:$A$26)+LOOKUP(Q64,$E$23:$E$26,$D$23:$D$26)*(Q64-LOOKUP(Q64,$E$23:$E$26))/LOOKUP(Q64,$E$23:$E$26,$C$23:$C$26)</f>
        <v>4.99376587581712</v>
      </c>
      <c r="AH64" s="16" t="n">
        <f aca="false">LOOKUP(R64,$E$23:$E$26,$A$23:$A$26)+LOOKUP(R64,$E$23:$E$26,$D$23:$D$26)*(R64-LOOKUP(R64,$E$23:$E$26))/LOOKUP(R64,$E$23:$E$26,$C$23:$C$26)</f>
        <v>5.82974155175956</v>
      </c>
      <c r="AI64" s="16" t="n">
        <f aca="false">LOOKUP(S64,$E$23:$E$26,$A$23:$A$26)+LOOKUP(S64,$E$23:$E$26,$D$23:$D$26)*(S64-LOOKUP(S64,$E$23:$E$26))/LOOKUP(S64,$E$23:$E$26,$C$23:$C$26)</f>
        <v>5.13605830904081</v>
      </c>
      <c r="AJ64" s="16" t="n">
        <f aca="false">SUM($T64:T64)</f>
        <v>5.16799308544675</v>
      </c>
      <c r="AK64" s="16" t="n">
        <f aca="false">SUM($T64:U64)</f>
        <v>10.5061823053675</v>
      </c>
      <c r="AL64" s="16" t="n">
        <f aca="false">SUM($T64:V64)</f>
        <v>14.7728914810737</v>
      </c>
      <c r="AM64" s="16" t="n">
        <f aca="false">SUM($T64:W64)</f>
        <v>18.8101466964809</v>
      </c>
      <c r="AN64" s="16" t="n">
        <f aca="false">SUM($T64:X64)</f>
        <v>24.4442502943228</v>
      </c>
      <c r="AO64" s="16" t="n">
        <f aca="false">SUM($T64:Y64)</f>
        <v>29.1710494833206</v>
      </c>
      <c r="AP64" s="16" t="n">
        <f aca="false">SUM($T64:Z64)</f>
        <v>34.7143918576938</v>
      </c>
      <c r="AQ64" s="16" t="n">
        <f aca="false">SUM($T64:AA64)</f>
        <v>39.220497166755</v>
      </c>
      <c r="AR64" s="16" t="n">
        <f aca="false">SUM($T64:AB64)</f>
        <v>43.5694917011092</v>
      </c>
      <c r="AS64" s="16" t="n">
        <f aca="false">SUM($T64:AC64)</f>
        <v>48.958591696162</v>
      </c>
      <c r="AT64" s="16" t="n">
        <f aca="false">SUM($T64:AD64)</f>
        <v>53.6084963058356</v>
      </c>
      <c r="AU64" s="16" t="n">
        <f aca="false">SUM($T64:AE64)</f>
        <v>59.2167597009941</v>
      </c>
      <c r="AV64" s="16" t="n">
        <f aca="false">SUM($T64:AF64)</f>
        <v>64.0733324717952</v>
      </c>
      <c r="AW64" s="16" t="n">
        <f aca="false">SUM($T64:AG64)</f>
        <v>69.0670983476123</v>
      </c>
      <c r="AX64" s="16" t="n">
        <f aca="false">SUM($T64:AH64)</f>
        <v>74.8968398993718</v>
      </c>
      <c r="AY64" s="16" t="n">
        <f aca="false">SUM($T64:AI64)</f>
        <v>80.0328982084127</v>
      </c>
      <c r="AZ64" s="16" t="n">
        <f aca="false">MAX(C64-AJ64,0)</f>
        <v>56.5465487185196</v>
      </c>
      <c r="BA64" s="16" t="n">
        <f aca="false">MAX(C64-AK64,0)</f>
        <v>51.2083594985988</v>
      </c>
      <c r="BB64" s="16" t="n">
        <f aca="false">MAX(C64-AL64,0)</f>
        <v>46.9416503228926</v>
      </c>
      <c r="BC64" s="16" t="n">
        <f aca="false">MAX(C64-AM64,0)</f>
        <v>42.9043951074855</v>
      </c>
      <c r="BD64" s="16" t="n">
        <f aca="false">MAX(C64-AN64,0)</f>
        <v>37.2702915096435</v>
      </c>
      <c r="BE64" s="16" t="n">
        <f aca="false">MAX(C64-AO64,0)</f>
        <v>32.5434923206458</v>
      </c>
      <c r="BF64" s="16" t="n">
        <f aca="false">MAX(C64-AP64,0)</f>
        <v>27.0001499462726</v>
      </c>
      <c r="BG64" s="16" t="n">
        <f aca="false">MAX(C64-AQ64,0)</f>
        <v>22.4940446372113</v>
      </c>
      <c r="BH64" s="16" t="n">
        <f aca="false">MAX(C64-AR64,0)</f>
        <v>18.1450501028572</v>
      </c>
      <c r="BI64" s="16" t="n">
        <f aca="false">MAX(C64-AS64,0)</f>
        <v>12.7559501078044</v>
      </c>
      <c r="BJ64" s="16" t="n">
        <f aca="false">MAX(C64-AT64,0)</f>
        <v>8.10604549813073</v>
      </c>
      <c r="BK64" s="16" t="n">
        <f aca="false">MAX(C64-AU64,0)</f>
        <v>2.49778210297228</v>
      </c>
      <c r="BL64" s="16" t="n">
        <f aca="false">MAX(C64-AV64,0)</f>
        <v>0</v>
      </c>
      <c r="BM64" s="16" t="n">
        <f aca="false">MAX(C64-AW64,0)</f>
        <v>0</v>
      </c>
      <c r="BN64" s="16" t="n">
        <f aca="false">MAX(C64-AX64,0)</f>
        <v>0</v>
      </c>
      <c r="BO64" s="16" t="n">
        <f aca="false">MAX(C64-AY64,0)</f>
        <v>0</v>
      </c>
    </row>
    <row r="65" customFormat="false" ht="15" hidden="false" customHeight="false" outlineLevel="0" collapsed="false">
      <c r="A65" s="3" t="n">
        <v>35</v>
      </c>
      <c r="B65" s="15" t="n">
        <f aca="true">RAND()</f>
        <v>0.591442228482191</v>
      </c>
      <c r="C65" s="16" t="n">
        <f aca="false">LOOKUP(B65,$E$12:$E$17,$A$12:$A$17)+LOOKUP(B65,$E$12:$E$17,$D$12:$D$17)*(B65-LOOKUP(B65,$E$12:$E$17))/LOOKUP(B65,$E$12:$E$17,$C$12:$C$17)</f>
        <v>65.5920318354599</v>
      </c>
      <c r="D65" s="15" t="n">
        <f aca="true">RAND()</f>
        <v>0.377820650724954</v>
      </c>
      <c r="E65" s="15" t="n">
        <f aca="true">RAND()</f>
        <v>0.693288987778333</v>
      </c>
      <c r="F65" s="15" t="n">
        <f aca="true">RAND()</f>
        <v>0.71002002083779</v>
      </c>
      <c r="G65" s="15" t="n">
        <f aca="true">RAND()</f>
        <v>0.604393350282747</v>
      </c>
      <c r="H65" s="15" t="n">
        <f aca="true">RAND()</f>
        <v>0.065833977417105</v>
      </c>
      <c r="I65" s="15" t="n">
        <f aca="true">RAND()</f>
        <v>0.308098436347436</v>
      </c>
      <c r="J65" s="15" t="n">
        <f aca="true">RAND()</f>
        <v>0.0201847589715847</v>
      </c>
      <c r="K65" s="15" t="n">
        <f aca="true">RAND()</f>
        <v>0.388216394922432</v>
      </c>
      <c r="L65" s="15" t="n">
        <f aca="true">RAND()</f>
        <v>0.0803708781555396</v>
      </c>
      <c r="M65" s="15" t="n">
        <f aca="true">RAND()</f>
        <v>0.94384437011442</v>
      </c>
      <c r="N65" s="15" t="n">
        <f aca="true">RAND()</f>
        <v>0.307190048119095</v>
      </c>
      <c r="O65" s="15" t="n">
        <f aca="true">RAND()</f>
        <v>0.532007181861303</v>
      </c>
      <c r="P65" s="15" t="n">
        <f aca="true">RAND()</f>
        <v>0.174915258086738</v>
      </c>
      <c r="Q65" s="15" t="n">
        <f aca="true">RAND()</f>
        <v>0.972166254014978</v>
      </c>
      <c r="R65" s="15" t="n">
        <f aca="true">RAND()</f>
        <v>0.408828876937138</v>
      </c>
      <c r="S65" s="15" t="n">
        <f aca="true">RAND()</f>
        <v>0.0283174196968724</v>
      </c>
      <c r="T65" s="16" t="n">
        <f aca="false">LOOKUP(D65,$E$23:$E$26,$A$23:$A$26)+LOOKUP(D65,$E$23:$E$26,$D$23:$D$26)*(D65-LOOKUP(D65,$E$23:$E$26))/LOOKUP(D65,$E$23:$E$26,$C$23:$C$26)</f>
        <v>4.59727581340619</v>
      </c>
      <c r="U65" s="16" t="n">
        <f aca="false">LOOKUP(E65,$E$23:$E$26,$A$23:$A$26)+LOOKUP(E65,$E$23:$E$26,$D$23:$D$26)*(E65-LOOKUP(E65,$E$23:$E$26))/LOOKUP(E65,$E$23:$E$26,$C$23:$C$26)</f>
        <v>4.99161123472292</v>
      </c>
      <c r="V65" s="16" t="n">
        <f aca="false">LOOKUP(F65,$E$23:$E$26,$A$23:$A$26)+LOOKUP(F65,$E$23:$E$26,$D$23:$D$26)*(F65-LOOKUP(F65,$E$23:$E$26))/LOOKUP(F65,$E$23:$E$26,$C$23:$C$26)</f>
        <v>5.02505005209447</v>
      </c>
      <c r="W65" s="16" t="n">
        <f aca="false">LOOKUP(G65,$E$23:$E$26,$A$23:$A$26)+LOOKUP(G65,$E$23:$E$26,$D$23:$D$26)*(G65-LOOKUP(G65,$E$23:$E$26))/LOOKUP(G65,$E$23:$E$26,$C$23:$C$26)</f>
        <v>4.88049168785343</v>
      </c>
      <c r="X65" s="16" t="n">
        <f aca="false">LOOKUP(H65,$E$23:$E$26,$A$23:$A$26)+LOOKUP(H65,$E$23:$E$26,$D$23:$D$26)*(H65-LOOKUP(H65,$E$23:$E$26))/LOOKUP(H65,$E$23:$E$26,$C$23:$C$26)</f>
        <v>4.10972329569518</v>
      </c>
      <c r="Y65" s="16" t="n">
        <f aca="false">LOOKUP(I65,$E$23:$E$26,$A$23:$A$26)+LOOKUP(I65,$E$23:$E$26,$D$23:$D$26)*(I65-LOOKUP(I65,$E$23:$E$26))/LOOKUP(I65,$E$23:$E$26,$C$23:$C$26)</f>
        <v>4.5101230454343</v>
      </c>
      <c r="Z65" s="16" t="n">
        <f aca="false">LOOKUP(J65,$E$23:$E$26,$A$23:$A$26)+LOOKUP(J65,$E$23:$E$26,$D$23:$D$26)*(J65-LOOKUP(J65,$E$23:$E$26))/LOOKUP(J65,$E$23:$E$26,$C$23:$C$26)</f>
        <v>4.03364126495264</v>
      </c>
      <c r="AA65" s="16" t="n">
        <f aca="false">LOOKUP(K65,$E$23:$E$26,$A$23:$A$26)+LOOKUP(K65,$E$23:$E$26,$D$23:$D$26)*(K65-LOOKUP(K65,$E$23:$E$26))/LOOKUP(K65,$E$23:$E$26,$C$23:$C$26)</f>
        <v>4.61027049365304</v>
      </c>
      <c r="AB65" s="16" t="n">
        <f aca="false">LOOKUP(L65,$E$23:$E$26,$A$23:$A$26)+LOOKUP(L65,$E$23:$E$26,$D$23:$D$26)*(L65-LOOKUP(L65,$E$23:$E$26))/LOOKUP(L65,$E$23:$E$26,$C$23:$C$26)</f>
        <v>4.13395146359257</v>
      </c>
      <c r="AC65" s="16" t="n">
        <f aca="false">LOOKUP(M65,$E$23:$E$26,$A$23:$A$26)+LOOKUP(M65,$E$23:$E$26,$D$23:$D$26)*(M65-LOOKUP(M65,$E$23:$E$26))/LOOKUP(M65,$E$23:$E$26,$C$23:$C$26)</f>
        <v>5.7192218505721</v>
      </c>
      <c r="AD65" s="16" t="n">
        <f aca="false">LOOKUP(N65,$E$23:$E$26,$A$23:$A$26)+LOOKUP(N65,$E$23:$E$26,$D$23:$D$26)*(N65-LOOKUP(N65,$E$23:$E$26))/LOOKUP(N65,$E$23:$E$26,$C$23:$C$26)</f>
        <v>4.50898756014887</v>
      </c>
      <c r="AE65" s="16" t="n">
        <f aca="false">LOOKUP(O65,$E$23:$E$26,$A$23:$A$26)+LOOKUP(O65,$E$23:$E$26,$D$23:$D$26)*(O65-LOOKUP(O65,$E$23:$E$26))/LOOKUP(O65,$E$23:$E$26,$C$23:$C$26)</f>
        <v>4.79000897732663</v>
      </c>
      <c r="AF65" s="16" t="n">
        <f aca="false">LOOKUP(P65,$E$23:$E$26,$A$23:$A$26)+LOOKUP(P65,$E$23:$E$26,$D$23:$D$26)*(P65-LOOKUP(P65,$E$23:$E$26))/LOOKUP(P65,$E$23:$E$26,$C$23:$C$26)</f>
        <v>4.29152543014456</v>
      </c>
      <c r="AG65" s="16" t="n">
        <f aca="false">LOOKUP(Q65,$E$23:$E$26,$A$23:$A$26)+LOOKUP(Q65,$E$23:$E$26,$D$23:$D$26)*(Q65-LOOKUP(Q65,$E$23:$E$26))/LOOKUP(Q65,$E$23:$E$26,$C$23:$C$26)</f>
        <v>5.86083127007489</v>
      </c>
      <c r="AH65" s="16" t="n">
        <f aca="false">LOOKUP(R65,$E$23:$E$26,$A$23:$A$26)+LOOKUP(R65,$E$23:$E$26,$D$23:$D$26)*(R65-LOOKUP(R65,$E$23:$E$26))/LOOKUP(R65,$E$23:$E$26,$C$23:$C$26)</f>
        <v>4.63603609617142</v>
      </c>
      <c r="AI65" s="16" t="n">
        <f aca="false">LOOKUP(S65,$E$23:$E$26,$A$23:$A$26)+LOOKUP(S65,$E$23:$E$26,$D$23:$D$26)*(S65-LOOKUP(S65,$E$23:$E$26))/LOOKUP(S65,$E$23:$E$26,$C$23:$C$26)</f>
        <v>4.04719569949479</v>
      </c>
      <c r="AJ65" s="16" t="n">
        <f aca="false">SUM($T65:T65)</f>
        <v>4.59727581340619</v>
      </c>
      <c r="AK65" s="16" t="n">
        <f aca="false">SUM($T65:U65)</f>
        <v>9.58888704812911</v>
      </c>
      <c r="AL65" s="16" t="n">
        <f aca="false">SUM($T65:V65)</f>
        <v>14.6139371002236</v>
      </c>
      <c r="AM65" s="16" t="n">
        <f aca="false">SUM($T65:W65)</f>
        <v>19.494428788077</v>
      </c>
      <c r="AN65" s="16" t="n">
        <f aca="false">SUM($T65:X65)</f>
        <v>23.6041520837722</v>
      </c>
      <c r="AO65" s="16" t="n">
        <f aca="false">SUM($T65:Y65)</f>
        <v>28.1142751292065</v>
      </c>
      <c r="AP65" s="16" t="n">
        <f aca="false">SUM($T65:Z65)</f>
        <v>32.1479163941591</v>
      </c>
      <c r="AQ65" s="16" t="n">
        <f aca="false">SUM($T65:AA65)</f>
        <v>36.7581868878122</v>
      </c>
      <c r="AR65" s="16" t="n">
        <f aca="false">SUM($T65:AB65)</f>
        <v>40.8921383514047</v>
      </c>
      <c r="AS65" s="16" t="n">
        <f aca="false">SUM($T65:AC65)</f>
        <v>46.6113602019768</v>
      </c>
      <c r="AT65" s="16" t="n">
        <f aca="false">SUM($T65:AD65)</f>
        <v>51.1203477621257</v>
      </c>
      <c r="AU65" s="16" t="n">
        <f aca="false">SUM($T65:AE65)</f>
        <v>55.9103567394523</v>
      </c>
      <c r="AV65" s="16" t="n">
        <f aca="false">SUM($T65:AF65)</f>
        <v>60.2018821695969</v>
      </c>
      <c r="AW65" s="16" t="n">
        <f aca="false">SUM($T65:AG65)</f>
        <v>66.0627134396718</v>
      </c>
      <c r="AX65" s="16" t="n">
        <f aca="false">SUM($T65:AH65)</f>
        <v>70.6987495358432</v>
      </c>
      <c r="AY65" s="16" t="n">
        <f aca="false">SUM($T65:AI65)</f>
        <v>74.745945235338</v>
      </c>
      <c r="AZ65" s="16" t="n">
        <f aca="false">MAX(C65-AJ65,0)</f>
        <v>60.9947560220537</v>
      </c>
      <c r="BA65" s="16" t="n">
        <f aca="false">MAX(C65-AK65,0)</f>
        <v>56.0031447873308</v>
      </c>
      <c r="BB65" s="16" t="n">
        <f aca="false">MAX(C65-AL65,0)</f>
        <v>50.9780947352363</v>
      </c>
      <c r="BC65" s="16" t="n">
        <f aca="false">MAX(C65-AM65,0)</f>
        <v>46.0976030473829</v>
      </c>
      <c r="BD65" s="16" t="n">
        <f aca="false">MAX(C65-AN65,0)</f>
        <v>41.9878797516877</v>
      </c>
      <c r="BE65" s="16" t="n">
        <f aca="false">MAX(C65-AO65,0)</f>
        <v>37.4777567062534</v>
      </c>
      <c r="BF65" s="16" t="n">
        <f aca="false">MAX(C65-AP65,0)</f>
        <v>33.4441154413007</v>
      </c>
      <c r="BG65" s="16" t="n">
        <f aca="false">MAX(C65-AQ65,0)</f>
        <v>28.8338449476477</v>
      </c>
      <c r="BH65" s="16" t="n">
        <f aca="false">MAX(C65-AR65,0)</f>
        <v>24.6998934840551</v>
      </c>
      <c r="BI65" s="16" t="n">
        <f aca="false">MAX(C65-AS65,0)</f>
        <v>18.980671633483</v>
      </c>
      <c r="BJ65" s="16" t="n">
        <f aca="false">MAX(C65-AT65,0)</f>
        <v>14.4716840733342</v>
      </c>
      <c r="BK65" s="16" t="n">
        <f aca="false">MAX(C65-AU65,0)</f>
        <v>9.68167509600754</v>
      </c>
      <c r="BL65" s="16" t="n">
        <f aca="false">MAX(C65-AV65,0)</f>
        <v>5.39014966586298</v>
      </c>
      <c r="BM65" s="16" t="n">
        <f aca="false">MAX(C65-AW65,0)</f>
        <v>0</v>
      </c>
      <c r="BN65" s="16" t="n">
        <f aca="false">MAX(C65-AX65,0)</f>
        <v>0</v>
      </c>
      <c r="BO65" s="16" t="n">
        <f aca="false">MAX(C65-AY65,0)</f>
        <v>0</v>
      </c>
    </row>
    <row r="66" customFormat="false" ht="15" hidden="false" customHeight="false" outlineLevel="0" collapsed="false">
      <c r="A66" s="3" t="n">
        <v>36</v>
      </c>
      <c r="B66" s="15" t="n">
        <f aca="true">RAND()</f>
        <v>0.197160213444235</v>
      </c>
      <c r="C66" s="16" t="n">
        <f aca="false">LOOKUP(B66,$E$12:$E$17,$A$12:$A$17)+LOOKUP(B66,$E$12:$E$17,$D$12:$D$17)*(B66-LOOKUP(B66,$E$12:$E$17))/LOOKUP(B66,$E$12:$E$17,$C$12:$C$17)</f>
        <v>58.2386737814745</v>
      </c>
      <c r="D66" s="15" t="n">
        <f aca="true">RAND()</f>
        <v>0.734357890066979</v>
      </c>
      <c r="E66" s="15" t="n">
        <f aca="true">RAND()</f>
        <v>0.757332282254178</v>
      </c>
      <c r="F66" s="15" t="n">
        <f aca="true">RAND()</f>
        <v>0.839356168678397</v>
      </c>
      <c r="G66" s="15" t="n">
        <f aca="true">RAND()</f>
        <v>0.780274028717564</v>
      </c>
      <c r="H66" s="15" t="n">
        <f aca="true">RAND()</f>
        <v>0.891298212012975</v>
      </c>
      <c r="I66" s="15" t="n">
        <f aca="true">RAND()</f>
        <v>0.342373467957484</v>
      </c>
      <c r="J66" s="15" t="n">
        <f aca="true">RAND()</f>
        <v>0.617145418095325</v>
      </c>
      <c r="K66" s="15" t="n">
        <f aca="true">RAND()</f>
        <v>0.577720990496655</v>
      </c>
      <c r="L66" s="15" t="n">
        <f aca="true">RAND()</f>
        <v>0.609683152479189</v>
      </c>
      <c r="M66" s="15" t="n">
        <f aca="true">RAND()</f>
        <v>0.578232134089765</v>
      </c>
      <c r="N66" s="15" t="n">
        <f aca="true">RAND()</f>
        <v>0.347933496356584</v>
      </c>
      <c r="O66" s="15" t="n">
        <f aca="true">RAND()</f>
        <v>0.782562596801815</v>
      </c>
      <c r="P66" s="15" t="n">
        <f aca="true">RAND()</f>
        <v>0.146547623114608</v>
      </c>
      <c r="Q66" s="15" t="n">
        <f aca="true">RAND()</f>
        <v>0.988461577444571</v>
      </c>
      <c r="R66" s="15" t="n">
        <f aca="true">RAND()</f>
        <v>0.976090567464861</v>
      </c>
      <c r="S66" s="15" t="n">
        <f aca="true">RAND()</f>
        <v>0.885606376804778</v>
      </c>
      <c r="T66" s="16" t="n">
        <f aca="false">LOOKUP(D66,$E$23:$E$26,$A$23:$A$26)+LOOKUP(D66,$E$23:$E$26,$D$23:$D$26)*(D66-LOOKUP(D66,$E$23:$E$26))/LOOKUP(D66,$E$23:$E$26,$C$23:$C$26)</f>
        <v>5.08589472516745</v>
      </c>
      <c r="U66" s="16" t="n">
        <f aca="false">LOOKUP(E66,$E$23:$E$26,$A$23:$A$26)+LOOKUP(E66,$E$23:$E$26,$D$23:$D$26)*(E66-LOOKUP(E66,$E$23:$E$26))/LOOKUP(E66,$E$23:$E$26,$C$23:$C$26)</f>
        <v>5.14333070563545</v>
      </c>
      <c r="V66" s="16" t="n">
        <f aca="false">LOOKUP(F66,$E$23:$E$26,$A$23:$A$26)+LOOKUP(F66,$E$23:$E$26,$D$23:$D$26)*(F66-LOOKUP(F66,$E$23:$E$26))/LOOKUP(F66,$E$23:$E$26,$C$23:$C$26)</f>
        <v>5.34839042169599</v>
      </c>
      <c r="W66" s="16" t="n">
        <f aca="false">LOOKUP(G66,$E$23:$E$26,$A$23:$A$26)+LOOKUP(G66,$E$23:$E$26,$D$23:$D$26)*(G66-LOOKUP(G66,$E$23:$E$26))/LOOKUP(G66,$E$23:$E$26,$C$23:$C$26)</f>
        <v>5.20068507179391</v>
      </c>
      <c r="X66" s="16" t="n">
        <f aca="false">LOOKUP(H66,$E$23:$E$26,$A$23:$A$26)+LOOKUP(H66,$E$23:$E$26,$D$23:$D$26)*(H66-LOOKUP(H66,$E$23:$E$26))/LOOKUP(H66,$E$23:$E$26,$C$23:$C$26)</f>
        <v>5.47824553003244</v>
      </c>
      <c r="Y66" s="16" t="n">
        <f aca="false">LOOKUP(I66,$E$23:$E$26,$A$23:$A$26)+LOOKUP(I66,$E$23:$E$26,$D$23:$D$26)*(I66-LOOKUP(I66,$E$23:$E$26))/LOOKUP(I66,$E$23:$E$26,$C$23:$C$26)</f>
        <v>4.55296683494686</v>
      </c>
      <c r="Z66" s="16" t="n">
        <f aca="false">LOOKUP(J66,$E$23:$E$26,$A$23:$A$26)+LOOKUP(J66,$E$23:$E$26,$D$23:$D$26)*(J66-LOOKUP(J66,$E$23:$E$26))/LOOKUP(J66,$E$23:$E$26,$C$23:$C$26)</f>
        <v>4.89643177261916</v>
      </c>
      <c r="AA66" s="16" t="n">
        <f aca="false">LOOKUP(K66,$E$23:$E$26,$A$23:$A$26)+LOOKUP(K66,$E$23:$E$26,$D$23:$D$26)*(K66-LOOKUP(K66,$E$23:$E$26))/LOOKUP(K66,$E$23:$E$26,$C$23:$C$26)</f>
        <v>4.84715123812082</v>
      </c>
      <c r="AB66" s="16" t="n">
        <f aca="false">LOOKUP(L66,$E$23:$E$26,$A$23:$A$26)+LOOKUP(L66,$E$23:$E$26,$D$23:$D$26)*(L66-LOOKUP(L66,$E$23:$E$26))/LOOKUP(L66,$E$23:$E$26,$C$23:$C$26)</f>
        <v>4.88710394059899</v>
      </c>
      <c r="AC66" s="16" t="n">
        <f aca="false">LOOKUP(M66,$E$23:$E$26,$A$23:$A$26)+LOOKUP(M66,$E$23:$E$26,$D$23:$D$26)*(M66-LOOKUP(M66,$E$23:$E$26))/LOOKUP(M66,$E$23:$E$26,$C$23:$C$26)</f>
        <v>4.84779016761221</v>
      </c>
      <c r="AD66" s="16" t="n">
        <f aca="false">LOOKUP(N66,$E$23:$E$26,$A$23:$A$26)+LOOKUP(N66,$E$23:$E$26,$D$23:$D$26)*(N66-LOOKUP(N66,$E$23:$E$26))/LOOKUP(N66,$E$23:$E$26,$C$23:$C$26)</f>
        <v>4.55991687044573</v>
      </c>
      <c r="AE66" s="16" t="n">
        <f aca="false">LOOKUP(O66,$E$23:$E$26,$A$23:$A$26)+LOOKUP(O66,$E$23:$E$26,$D$23:$D$26)*(O66-LOOKUP(O66,$E$23:$E$26))/LOOKUP(O66,$E$23:$E$26,$C$23:$C$26)</f>
        <v>5.20640649200454</v>
      </c>
      <c r="AF66" s="16" t="n">
        <f aca="false">LOOKUP(P66,$E$23:$E$26,$A$23:$A$26)+LOOKUP(P66,$E$23:$E$26,$D$23:$D$26)*(P66-LOOKUP(P66,$E$23:$E$26))/LOOKUP(P66,$E$23:$E$26,$C$23:$C$26)</f>
        <v>4.24424603852435</v>
      </c>
      <c r="AG66" s="16" t="n">
        <f aca="false">LOOKUP(Q66,$E$23:$E$26,$A$23:$A$26)+LOOKUP(Q66,$E$23:$E$26,$D$23:$D$26)*(Q66-LOOKUP(Q66,$E$23:$E$26))/LOOKUP(Q66,$E$23:$E$26,$C$23:$C$26)</f>
        <v>5.94230788722286</v>
      </c>
      <c r="AH66" s="16" t="n">
        <f aca="false">LOOKUP(R66,$E$23:$E$26,$A$23:$A$26)+LOOKUP(R66,$E$23:$E$26,$D$23:$D$26)*(R66-LOOKUP(R66,$E$23:$E$26))/LOOKUP(R66,$E$23:$E$26,$C$23:$C$26)</f>
        <v>5.88045283732431</v>
      </c>
      <c r="AI66" s="16" t="n">
        <f aca="false">LOOKUP(S66,$E$23:$E$26,$A$23:$A$26)+LOOKUP(S66,$E$23:$E$26,$D$23:$D$26)*(S66-LOOKUP(S66,$E$23:$E$26))/LOOKUP(S66,$E$23:$E$26,$C$23:$C$26)</f>
        <v>5.46401594201195</v>
      </c>
      <c r="AJ66" s="16" t="n">
        <f aca="false">SUM($T66:T66)</f>
        <v>5.08589472516745</v>
      </c>
      <c r="AK66" s="16" t="n">
        <f aca="false">SUM($T66:U66)</f>
        <v>10.2292254308029</v>
      </c>
      <c r="AL66" s="16" t="n">
        <f aca="false">SUM($T66:V66)</f>
        <v>15.5776158524989</v>
      </c>
      <c r="AM66" s="16" t="n">
        <f aca="false">SUM($T66:W66)</f>
        <v>20.7783009242928</v>
      </c>
      <c r="AN66" s="16" t="n">
        <f aca="false">SUM($T66:X66)</f>
        <v>26.2565464543252</v>
      </c>
      <c r="AO66" s="16" t="n">
        <f aca="false">SUM($T66:Y66)</f>
        <v>30.8095132892721</v>
      </c>
      <c r="AP66" s="16" t="n">
        <f aca="false">SUM($T66:Z66)</f>
        <v>35.7059450618912</v>
      </c>
      <c r="AQ66" s="16" t="n">
        <f aca="false">SUM($T66:AA66)</f>
        <v>40.5530963000121</v>
      </c>
      <c r="AR66" s="16" t="n">
        <f aca="false">SUM($T66:AB66)</f>
        <v>45.440200240611</v>
      </c>
      <c r="AS66" s="16" t="n">
        <f aca="false">SUM($T66:AC66)</f>
        <v>50.2879904082233</v>
      </c>
      <c r="AT66" s="16" t="n">
        <f aca="false">SUM($T66:AD66)</f>
        <v>54.847907278669</v>
      </c>
      <c r="AU66" s="16" t="n">
        <f aca="false">SUM($T66:AE66)</f>
        <v>60.0543137706735</v>
      </c>
      <c r="AV66" s="16" t="n">
        <f aca="false">SUM($T66:AF66)</f>
        <v>64.2985598091979</v>
      </c>
      <c r="AW66" s="16" t="n">
        <f aca="false">SUM($T66:AG66)</f>
        <v>70.2408676964207</v>
      </c>
      <c r="AX66" s="16" t="n">
        <f aca="false">SUM($T66:AH66)</f>
        <v>76.121320533745</v>
      </c>
      <c r="AY66" s="16" t="n">
        <f aca="false">SUM($T66:AI66)</f>
        <v>81.585336475757</v>
      </c>
      <c r="AZ66" s="16" t="n">
        <f aca="false">MAX(C66-AJ66,0)</f>
        <v>53.1527790563071</v>
      </c>
      <c r="BA66" s="16" t="n">
        <f aca="false">MAX(C66-AK66,0)</f>
        <v>48.0094483506716</v>
      </c>
      <c r="BB66" s="16" t="n">
        <f aca="false">MAX(C66-AL66,0)</f>
        <v>42.6610579289756</v>
      </c>
      <c r="BC66" s="16" t="n">
        <f aca="false">MAX(C66-AM66,0)</f>
        <v>37.4603728571817</v>
      </c>
      <c r="BD66" s="16" t="n">
        <f aca="false">MAX(C66-AN66,0)</f>
        <v>31.9821273271493</v>
      </c>
      <c r="BE66" s="16" t="n">
        <f aca="false">MAX(C66-AO66,0)</f>
        <v>27.4291604922024</v>
      </c>
      <c r="BF66" s="16" t="n">
        <f aca="false">MAX(C66-AP66,0)</f>
        <v>22.5327287195833</v>
      </c>
      <c r="BG66" s="16" t="n">
        <f aca="false">MAX(C66-AQ66,0)</f>
        <v>17.6855774814624</v>
      </c>
      <c r="BH66" s="16" t="n">
        <f aca="false">MAX(C66-AR66,0)</f>
        <v>12.7984735408635</v>
      </c>
      <c r="BI66" s="16" t="n">
        <f aca="false">MAX(C66-AS66,0)</f>
        <v>7.95068337325125</v>
      </c>
      <c r="BJ66" s="16" t="n">
        <f aca="false">MAX(C66-AT66,0)</f>
        <v>3.39076650280552</v>
      </c>
      <c r="BK66" s="16" t="n">
        <f aca="false">MAX(C66-AU66,0)</f>
        <v>0</v>
      </c>
      <c r="BL66" s="16" t="n">
        <f aca="false">MAX(C66-AV66,0)</f>
        <v>0</v>
      </c>
      <c r="BM66" s="16" t="n">
        <f aca="false">MAX(C66-AW66,0)</f>
        <v>0</v>
      </c>
      <c r="BN66" s="16" t="n">
        <f aca="false">MAX(C66-AX66,0)</f>
        <v>0</v>
      </c>
      <c r="BO66" s="16" t="n">
        <f aca="false">MAX(C66-AY66,0)</f>
        <v>0</v>
      </c>
    </row>
    <row r="67" customFormat="false" ht="15" hidden="false" customHeight="false" outlineLevel="0" collapsed="false">
      <c r="A67" s="3" t="n">
        <v>37</v>
      </c>
      <c r="B67" s="15" t="n">
        <f aca="true">RAND()</f>
        <v>0.945813737733579</v>
      </c>
      <c r="C67" s="16" t="n">
        <f aca="false">LOOKUP(B67,$E$12:$E$17,$A$12:$A$17)+LOOKUP(B67,$E$12:$E$17,$D$12:$D$17)*(B67-LOOKUP(B67,$E$12:$E$17))/LOOKUP(B67,$E$12:$E$17,$C$12:$C$17)</f>
        <v>77.8633586083487</v>
      </c>
      <c r="D67" s="15" t="n">
        <f aca="true">RAND()</f>
        <v>0.542346085818361</v>
      </c>
      <c r="E67" s="15" t="n">
        <f aca="true">RAND()</f>
        <v>0.78977745018021</v>
      </c>
      <c r="F67" s="15" t="n">
        <f aca="true">RAND()</f>
        <v>0.619426630911167</v>
      </c>
      <c r="G67" s="15" t="n">
        <f aca="true">RAND()</f>
        <v>0.774324804092772</v>
      </c>
      <c r="H67" s="15" t="n">
        <f aca="true">RAND()</f>
        <v>0.415360189012317</v>
      </c>
      <c r="I67" s="15" t="n">
        <f aca="true">RAND()</f>
        <v>0.330415237167367</v>
      </c>
      <c r="J67" s="15" t="n">
        <f aca="true">RAND()</f>
        <v>0.132911099032647</v>
      </c>
      <c r="K67" s="15" t="n">
        <f aca="true">RAND()</f>
        <v>0.74227857239166</v>
      </c>
      <c r="L67" s="15" t="n">
        <f aca="true">RAND()</f>
        <v>0.919594275192142</v>
      </c>
      <c r="M67" s="15" t="n">
        <f aca="true">RAND()</f>
        <v>0.276367782156225</v>
      </c>
      <c r="N67" s="15" t="n">
        <f aca="true">RAND()</f>
        <v>0.625692840444961</v>
      </c>
      <c r="O67" s="15" t="n">
        <f aca="true">RAND()</f>
        <v>0.518294285945416</v>
      </c>
      <c r="P67" s="15" t="n">
        <f aca="true">RAND()</f>
        <v>0.884902162034145</v>
      </c>
      <c r="Q67" s="15" t="n">
        <f aca="true">RAND()</f>
        <v>0.61935363772501</v>
      </c>
      <c r="R67" s="15" t="n">
        <f aca="true">RAND()</f>
        <v>0.0407565128533241</v>
      </c>
      <c r="S67" s="15" t="n">
        <f aca="true">RAND()</f>
        <v>0.579653099115697</v>
      </c>
      <c r="T67" s="16" t="n">
        <f aca="false">LOOKUP(D67,$E$23:$E$26,$A$23:$A$26)+LOOKUP(D67,$E$23:$E$26,$D$23:$D$26)*(D67-LOOKUP(D67,$E$23:$E$26))/LOOKUP(D67,$E$23:$E$26,$C$23:$C$26)</f>
        <v>4.80293260727295</v>
      </c>
      <c r="U67" s="16" t="n">
        <f aca="false">LOOKUP(E67,$E$23:$E$26,$A$23:$A$26)+LOOKUP(E67,$E$23:$E$26,$D$23:$D$26)*(E67-LOOKUP(E67,$E$23:$E$26))/LOOKUP(E67,$E$23:$E$26,$C$23:$C$26)</f>
        <v>5.22444362545053</v>
      </c>
      <c r="V67" s="16" t="n">
        <f aca="false">LOOKUP(F67,$E$23:$E$26,$A$23:$A$26)+LOOKUP(F67,$E$23:$E$26,$D$23:$D$26)*(F67-LOOKUP(F67,$E$23:$E$26))/LOOKUP(F67,$E$23:$E$26,$C$23:$C$26)</f>
        <v>4.89928328863896</v>
      </c>
      <c r="W67" s="16" t="n">
        <f aca="false">LOOKUP(G67,$E$23:$E$26,$A$23:$A$26)+LOOKUP(G67,$E$23:$E$26,$D$23:$D$26)*(G67-LOOKUP(G67,$E$23:$E$26))/LOOKUP(G67,$E$23:$E$26,$C$23:$C$26)</f>
        <v>5.18581201023193</v>
      </c>
      <c r="X67" s="16" t="n">
        <f aca="false">LOOKUP(H67,$E$23:$E$26,$A$23:$A$26)+LOOKUP(H67,$E$23:$E$26,$D$23:$D$26)*(H67-LOOKUP(H67,$E$23:$E$26))/LOOKUP(H67,$E$23:$E$26,$C$23:$C$26)</f>
        <v>4.6442002362654</v>
      </c>
      <c r="Y67" s="16" t="n">
        <f aca="false">LOOKUP(I67,$E$23:$E$26,$A$23:$A$26)+LOOKUP(I67,$E$23:$E$26,$D$23:$D$26)*(I67-LOOKUP(I67,$E$23:$E$26))/LOOKUP(I67,$E$23:$E$26,$C$23:$C$26)</f>
        <v>4.53801904645921</v>
      </c>
      <c r="Z67" s="16" t="n">
        <f aca="false">LOOKUP(J67,$E$23:$E$26,$A$23:$A$26)+LOOKUP(J67,$E$23:$E$26,$D$23:$D$26)*(J67-LOOKUP(J67,$E$23:$E$26))/LOOKUP(J67,$E$23:$E$26,$C$23:$C$26)</f>
        <v>4.22151849838775</v>
      </c>
      <c r="AA67" s="16" t="n">
        <f aca="false">LOOKUP(K67,$E$23:$E$26,$A$23:$A$26)+LOOKUP(K67,$E$23:$E$26,$D$23:$D$26)*(K67-LOOKUP(K67,$E$23:$E$26))/LOOKUP(K67,$E$23:$E$26,$C$23:$C$26)</f>
        <v>5.10569643097915</v>
      </c>
      <c r="AB67" s="16" t="n">
        <f aca="false">LOOKUP(L67,$E$23:$E$26,$A$23:$A$26)+LOOKUP(L67,$E$23:$E$26,$D$23:$D$26)*(L67-LOOKUP(L67,$E$23:$E$26))/LOOKUP(L67,$E$23:$E$26,$C$23:$C$26)</f>
        <v>5.59797137596071</v>
      </c>
      <c r="AC67" s="16" t="n">
        <f aca="false">LOOKUP(M67,$E$23:$E$26,$A$23:$A$26)+LOOKUP(M67,$E$23:$E$26,$D$23:$D$26)*(M67-LOOKUP(M67,$E$23:$E$26))/LOOKUP(M67,$E$23:$E$26,$C$23:$C$26)</f>
        <v>4.46061297026037</v>
      </c>
      <c r="AD67" s="16" t="n">
        <f aca="false">LOOKUP(N67,$E$23:$E$26,$A$23:$A$26)+LOOKUP(N67,$E$23:$E$26,$D$23:$D$26)*(N67-LOOKUP(N67,$E$23:$E$26))/LOOKUP(N67,$E$23:$E$26,$C$23:$C$26)</f>
        <v>4.9071160505562</v>
      </c>
      <c r="AE67" s="16" t="n">
        <f aca="false">LOOKUP(O67,$E$23:$E$26,$A$23:$A$26)+LOOKUP(O67,$E$23:$E$26,$D$23:$D$26)*(O67-LOOKUP(O67,$E$23:$E$26))/LOOKUP(O67,$E$23:$E$26,$C$23:$C$26)</f>
        <v>4.77286785743177</v>
      </c>
      <c r="AF67" s="16" t="n">
        <f aca="false">LOOKUP(P67,$E$23:$E$26,$A$23:$A$26)+LOOKUP(P67,$E$23:$E$26,$D$23:$D$26)*(P67-LOOKUP(P67,$E$23:$E$26))/LOOKUP(P67,$E$23:$E$26,$C$23:$C$26)</f>
        <v>5.46225540508536</v>
      </c>
      <c r="AG67" s="16" t="n">
        <f aca="false">LOOKUP(Q67,$E$23:$E$26,$A$23:$A$26)+LOOKUP(Q67,$E$23:$E$26,$D$23:$D$26)*(Q67-LOOKUP(Q67,$E$23:$E$26))/LOOKUP(Q67,$E$23:$E$26,$C$23:$C$26)</f>
        <v>4.89919204715626</v>
      </c>
      <c r="AH67" s="16" t="n">
        <f aca="false">LOOKUP(R67,$E$23:$E$26,$A$23:$A$26)+LOOKUP(R67,$E$23:$E$26,$D$23:$D$26)*(R67-LOOKUP(R67,$E$23:$E$26))/LOOKUP(R67,$E$23:$E$26,$C$23:$C$26)</f>
        <v>4.06792752142221</v>
      </c>
      <c r="AI67" s="16" t="n">
        <f aca="false">LOOKUP(S67,$E$23:$E$26,$A$23:$A$26)+LOOKUP(S67,$E$23:$E$26,$D$23:$D$26)*(S67-LOOKUP(S67,$E$23:$E$26))/LOOKUP(S67,$E$23:$E$26,$C$23:$C$26)</f>
        <v>4.84956637389462</v>
      </c>
      <c r="AJ67" s="16" t="n">
        <f aca="false">SUM($T67:T67)</f>
        <v>4.80293260727295</v>
      </c>
      <c r="AK67" s="16" t="n">
        <f aca="false">SUM($T67:U67)</f>
        <v>10.0273762327235</v>
      </c>
      <c r="AL67" s="16" t="n">
        <f aca="false">SUM($T67:V67)</f>
        <v>14.9266595213624</v>
      </c>
      <c r="AM67" s="16" t="n">
        <f aca="false">SUM($T67:W67)</f>
        <v>20.1124715315944</v>
      </c>
      <c r="AN67" s="16" t="n">
        <f aca="false">SUM($T67:X67)</f>
        <v>24.7566717678598</v>
      </c>
      <c r="AO67" s="16" t="n">
        <f aca="false">SUM($T67:Y67)</f>
        <v>29.294690814319</v>
      </c>
      <c r="AP67" s="16" t="n">
        <f aca="false">SUM($T67:Z67)</f>
        <v>33.5162093127067</v>
      </c>
      <c r="AQ67" s="16" t="n">
        <f aca="false">SUM($T67:AA67)</f>
        <v>38.6219057436859</v>
      </c>
      <c r="AR67" s="16" t="n">
        <f aca="false">SUM($T67:AB67)</f>
        <v>44.2198771196466</v>
      </c>
      <c r="AS67" s="16" t="n">
        <f aca="false">SUM($T67:AC67)</f>
        <v>48.680490089907</v>
      </c>
      <c r="AT67" s="16" t="n">
        <f aca="false">SUM($T67:AD67)</f>
        <v>53.5876061404632</v>
      </c>
      <c r="AU67" s="16" t="n">
        <f aca="false">SUM($T67:AE67)</f>
        <v>58.3604739978949</v>
      </c>
      <c r="AV67" s="16" t="n">
        <f aca="false">SUM($T67:AF67)</f>
        <v>63.8227294029803</v>
      </c>
      <c r="AW67" s="16" t="n">
        <f aca="false">SUM($T67:AG67)</f>
        <v>68.7219214501366</v>
      </c>
      <c r="AX67" s="16" t="n">
        <f aca="false">SUM($T67:AH67)</f>
        <v>72.7898489715588</v>
      </c>
      <c r="AY67" s="16" t="n">
        <f aca="false">SUM($T67:AI67)</f>
        <v>77.6394153454534</v>
      </c>
      <c r="AZ67" s="16" t="n">
        <f aca="false">MAX(C67-AJ67,0)</f>
        <v>73.0604260010757</v>
      </c>
      <c r="BA67" s="16" t="n">
        <f aca="false">MAX(C67-AK67,0)</f>
        <v>67.8359823756252</v>
      </c>
      <c r="BB67" s="16" t="n">
        <f aca="false">MAX(C67-AL67,0)</f>
        <v>62.9366990869863</v>
      </c>
      <c r="BC67" s="16" t="n">
        <f aca="false">MAX(C67-AM67,0)</f>
        <v>57.7508870767543</v>
      </c>
      <c r="BD67" s="16" t="n">
        <f aca="false">MAX(C67-AN67,0)</f>
        <v>53.1066868404889</v>
      </c>
      <c r="BE67" s="16" t="n">
        <f aca="false">MAX(C67-AO67,0)</f>
        <v>48.5686677940297</v>
      </c>
      <c r="BF67" s="16" t="n">
        <f aca="false">MAX(C67-AP67,0)</f>
        <v>44.347149295642</v>
      </c>
      <c r="BG67" s="16" t="n">
        <f aca="false">MAX(C67-AQ67,0)</f>
        <v>39.2414528646628</v>
      </c>
      <c r="BH67" s="16" t="n">
        <f aca="false">MAX(C67-AR67,0)</f>
        <v>33.6434814887021</v>
      </c>
      <c r="BI67" s="16" t="n">
        <f aca="false">MAX(C67-AS67,0)</f>
        <v>29.1828685184417</v>
      </c>
      <c r="BJ67" s="16" t="n">
        <f aca="false">MAX(C67-AT67,0)</f>
        <v>24.2757524678855</v>
      </c>
      <c r="BK67" s="16" t="n">
        <f aca="false">MAX(C67-AU67,0)</f>
        <v>19.5028846104538</v>
      </c>
      <c r="BL67" s="16" t="n">
        <f aca="false">MAX(C67-AV67,0)</f>
        <v>14.0406292053684</v>
      </c>
      <c r="BM67" s="16" t="n">
        <f aca="false">MAX(C67-AW67,0)</f>
        <v>9.14143715821214</v>
      </c>
      <c r="BN67" s="16" t="n">
        <f aca="false">MAX(C67-AX67,0)</f>
        <v>5.07350963678994</v>
      </c>
      <c r="BO67" s="16" t="n">
        <f aca="false">MAX(C67-AY67,0)</f>
        <v>0.223943262895318</v>
      </c>
    </row>
    <row r="68" customFormat="false" ht="15" hidden="false" customHeight="false" outlineLevel="0" collapsed="false">
      <c r="A68" s="3" t="n">
        <v>38</v>
      </c>
      <c r="B68" s="15" t="n">
        <f aca="true">RAND()</f>
        <v>0.630375617926476</v>
      </c>
      <c r="C68" s="16" t="n">
        <f aca="false">LOOKUP(B68,$E$12:$E$17,$A$12:$A$17)+LOOKUP(B68,$E$12:$E$17,$D$12:$D$17)*(B68-LOOKUP(B68,$E$12:$E$17))/LOOKUP(B68,$E$12:$E$17,$C$12:$C$17)</f>
        <v>66.1482231132354</v>
      </c>
      <c r="D68" s="15" t="n">
        <f aca="true">RAND()</f>
        <v>0.159089526578291</v>
      </c>
      <c r="E68" s="15" t="n">
        <f aca="true">RAND()</f>
        <v>0.914711901587603</v>
      </c>
      <c r="F68" s="15" t="n">
        <f aca="true">RAND()</f>
        <v>0.647460973612493</v>
      </c>
      <c r="G68" s="15" t="n">
        <f aca="true">RAND()</f>
        <v>0.029377506562674</v>
      </c>
      <c r="H68" s="15" t="n">
        <f aca="true">RAND()</f>
        <v>0.833702942413807</v>
      </c>
      <c r="I68" s="15" t="n">
        <f aca="true">RAND()</f>
        <v>0.348981915743746</v>
      </c>
      <c r="J68" s="15" t="n">
        <f aca="true">RAND()</f>
        <v>0.976679665113413</v>
      </c>
      <c r="K68" s="15" t="n">
        <f aca="true">RAND()</f>
        <v>0.864592129431706</v>
      </c>
      <c r="L68" s="15" t="n">
        <f aca="true">RAND()</f>
        <v>0.698547430634969</v>
      </c>
      <c r="M68" s="15" t="n">
        <f aca="true">RAND()</f>
        <v>0.139495283652035</v>
      </c>
      <c r="N68" s="15" t="n">
        <f aca="true">RAND()</f>
        <v>0.788600438885557</v>
      </c>
      <c r="O68" s="15" t="n">
        <f aca="true">RAND()</f>
        <v>0.798932138396159</v>
      </c>
      <c r="P68" s="15" t="n">
        <f aca="true">RAND()</f>
        <v>0.1581406036171</v>
      </c>
      <c r="Q68" s="15" t="n">
        <f aca="true">RAND()</f>
        <v>0.822954879583319</v>
      </c>
      <c r="R68" s="15" t="n">
        <f aca="true">RAND()</f>
        <v>0.557842924939901</v>
      </c>
      <c r="S68" s="15" t="n">
        <f aca="true">RAND()</f>
        <v>0.867238044079432</v>
      </c>
      <c r="T68" s="16" t="n">
        <f aca="false">LOOKUP(D68,$E$23:$E$26,$A$23:$A$26)+LOOKUP(D68,$E$23:$E$26,$D$23:$D$26)*(D68-LOOKUP(D68,$E$23:$E$26))/LOOKUP(D68,$E$23:$E$26,$C$23:$C$26)</f>
        <v>4.26514921096382</v>
      </c>
      <c r="U68" s="16" t="n">
        <f aca="false">LOOKUP(E68,$E$23:$E$26,$A$23:$A$26)+LOOKUP(E68,$E$23:$E$26,$D$23:$D$26)*(E68-LOOKUP(E68,$E$23:$E$26))/LOOKUP(E68,$E$23:$E$26,$C$23:$C$26)</f>
        <v>5.57355950793802</v>
      </c>
      <c r="V68" s="16" t="n">
        <f aca="false">LOOKUP(F68,$E$23:$E$26,$A$23:$A$26)+LOOKUP(F68,$E$23:$E$26,$D$23:$D$26)*(F68-LOOKUP(F68,$E$23:$E$26))/LOOKUP(F68,$E$23:$E$26,$C$23:$C$26)</f>
        <v>4.93432621701562</v>
      </c>
      <c r="W68" s="16" t="n">
        <f aca="false">LOOKUP(G68,$E$23:$E$26,$A$23:$A$26)+LOOKUP(G68,$E$23:$E$26,$D$23:$D$26)*(G68-LOOKUP(G68,$E$23:$E$26))/LOOKUP(G68,$E$23:$E$26,$C$23:$C$26)</f>
        <v>4.04896251093779</v>
      </c>
      <c r="X68" s="16" t="n">
        <f aca="false">LOOKUP(H68,$E$23:$E$26,$A$23:$A$26)+LOOKUP(H68,$E$23:$E$26,$D$23:$D$26)*(H68-LOOKUP(H68,$E$23:$E$26))/LOOKUP(H68,$E$23:$E$26,$C$23:$C$26)</f>
        <v>5.33425735603452</v>
      </c>
      <c r="Y68" s="16" t="n">
        <f aca="false">LOOKUP(I68,$E$23:$E$26,$A$23:$A$26)+LOOKUP(I68,$E$23:$E$26,$D$23:$D$26)*(I68-LOOKUP(I68,$E$23:$E$26))/LOOKUP(I68,$E$23:$E$26,$C$23:$C$26)</f>
        <v>4.56122739467968</v>
      </c>
      <c r="Z68" s="16" t="n">
        <f aca="false">LOOKUP(J68,$E$23:$E$26,$A$23:$A$26)+LOOKUP(J68,$E$23:$E$26,$D$23:$D$26)*(J68-LOOKUP(J68,$E$23:$E$26))/LOOKUP(J68,$E$23:$E$26,$C$23:$C$26)</f>
        <v>5.88339832556706</v>
      </c>
      <c r="AA68" s="16" t="n">
        <f aca="false">LOOKUP(K68,$E$23:$E$26,$A$23:$A$26)+LOOKUP(K68,$E$23:$E$26,$D$23:$D$26)*(K68-LOOKUP(K68,$E$23:$E$26))/LOOKUP(K68,$E$23:$E$26,$C$23:$C$26)</f>
        <v>5.41148032357927</v>
      </c>
      <c r="AB68" s="16" t="n">
        <f aca="false">LOOKUP(L68,$E$23:$E$26,$A$23:$A$26)+LOOKUP(L68,$E$23:$E$26,$D$23:$D$26)*(L68-LOOKUP(L68,$E$23:$E$26))/LOOKUP(L68,$E$23:$E$26,$C$23:$C$26)</f>
        <v>4.99818428829371</v>
      </c>
      <c r="AC68" s="16" t="n">
        <f aca="false">LOOKUP(M68,$E$23:$E$26,$A$23:$A$26)+LOOKUP(M68,$E$23:$E$26,$D$23:$D$26)*(M68-LOOKUP(M68,$E$23:$E$26))/LOOKUP(M68,$E$23:$E$26,$C$23:$C$26)</f>
        <v>4.23249213942006</v>
      </c>
      <c r="AD68" s="16" t="n">
        <f aca="false">LOOKUP(N68,$E$23:$E$26,$A$23:$A$26)+LOOKUP(N68,$E$23:$E$26,$D$23:$D$26)*(N68-LOOKUP(N68,$E$23:$E$26))/LOOKUP(N68,$E$23:$E$26,$C$23:$C$26)</f>
        <v>5.22150109721389</v>
      </c>
      <c r="AE68" s="16" t="n">
        <f aca="false">LOOKUP(O68,$E$23:$E$26,$A$23:$A$26)+LOOKUP(O68,$E$23:$E$26,$D$23:$D$26)*(O68-LOOKUP(O68,$E$23:$E$26))/LOOKUP(O68,$E$23:$E$26,$C$23:$C$26)</f>
        <v>5.2473303459904</v>
      </c>
      <c r="AF68" s="16" t="n">
        <f aca="false">LOOKUP(P68,$E$23:$E$26,$A$23:$A$26)+LOOKUP(P68,$E$23:$E$26,$D$23:$D$26)*(P68-LOOKUP(P68,$E$23:$E$26))/LOOKUP(P68,$E$23:$E$26,$C$23:$C$26)</f>
        <v>4.26356767269517</v>
      </c>
      <c r="AG68" s="16" t="n">
        <f aca="false">LOOKUP(Q68,$E$23:$E$26,$A$23:$A$26)+LOOKUP(Q68,$E$23:$E$26,$D$23:$D$26)*(Q68-LOOKUP(Q68,$E$23:$E$26))/LOOKUP(Q68,$E$23:$E$26,$C$23:$C$26)</f>
        <v>5.3073871989583</v>
      </c>
      <c r="AH68" s="16" t="n">
        <f aca="false">LOOKUP(R68,$E$23:$E$26,$A$23:$A$26)+LOOKUP(R68,$E$23:$E$26,$D$23:$D$26)*(R68-LOOKUP(R68,$E$23:$E$26))/LOOKUP(R68,$E$23:$E$26,$C$23:$C$26)</f>
        <v>4.82230365617488</v>
      </c>
      <c r="AI68" s="16" t="n">
        <f aca="false">LOOKUP(S68,$E$23:$E$26,$A$23:$A$26)+LOOKUP(S68,$E$23:$E$26,$D$23:$D$26)*(S68-LOOKUP(S68,$E$23:$E$26))/LOOKUP(S68,$E$23:$E$26,$C$23:$C$26)</f>
        <v>5.41809511019858</v>
      </c>
      <c r="AJ68" s="16" t="n">
        <f aca="false">SUM($T68:T68)</f>
        <v>4.26514921096382</v>
      </c>
      <c r="AK68" s="16" t="n">
        <f aca="false">SUM($T68:U68)</f>
        <v>9.83870871890184</v>
      </c>
      <c r="AL68" s="16" t="n">
        <f aca="false">SUM($T68:V68)</f>
        <v>14.7730349359175</v>
      </c>
      <c r="AM68" s="16" t="n">
        <f aca="false">SUM($T68:W68)</f>
        <v>18.8219974468552</v>
      </c>
      <c r="AN68" s="16" t="n">
        <f aca="false">SUM($T68:X68)</f>
        <v>24.1562548028898</v>
      </c>
      <c r="AO68" s="16" t="n">
        <f aca="false">SUM($T68:Y68)</f>
        <v>28.7174821975694</v>
      </c>
      <c r="AP68" s="16" t="n">
        <f aca="false">SUM($T68:Z68)</f>
        <v>34.6008805231365</v>
      </c>
      <c r="AQ68" s="16" t="n">
        <f aca="false">SUM($T68:AA68)</f>
        <v>40.0123608467158</v>
      </c>
      <c r="AR68" s="16" t="n">
        <f aca="false">SUM($T68:AB68)</f>
        <v>45.0105451350095</v>
      </c>
      <c r="AS68" s="16" t="n">
        <f aca="false">SUM($T68:AC68)</f>
        <v>49.2430372744295</v>
      </c>
      <c r="AT68" s="16" t="n">
        <f aca="false">SUM($T68:AD68)</f>
        <v>54.4645383716434</v>
      </c>
      <c r="AU68" s="16" t="n">
        <f aca="false">SUM($T68:AE68)</f>
        <v>59.7118687176338</v>
      </c>
      <c r="AV68" s="16" t="n">
        <f aca="false">SUM($T68:AF68)</f>
        <v>63.975436390329</v>
      </c>
      <c r="AW68" s="16" t="n">
        <f aca="false">SUM($T68:AG68)</f>
        <v>69.2828235892873</v>
      </c>
      <c r="AX68" s="16" t="n">
        <f aca="false">SUM($T68:AH68)</f>
        <v>74.1051272454622</v>
      </c>
      <c r="AY68" s="16" t="n">
        <f aca="false">SUM($T68:AI68)</f>
        <v>79.5232223556608</v>
      </c>
      <c r="AZ68" s="16" t="n">
        <f aca="false">MAX(C68-AJ68,0)</f>
        <v>61.8830739022716</v>
      </c>
      <c r="BA68" s="16" t="n">
        <f aca="false">MAX(C68-AK68,0)</f>
        <v>56.3095143943335</v>
      </c>
      <c r="BB68" s="16" t="n">
        <f aca="false">MAX(C68-AL68,0)</f>
        <v>51.3751881773179</v>
      </c>
      <c r="BC68" s="16" t="n">
        <f aca="false">MAX(C68-AM68,0)</f>
        <v>47.3262256663801</v>
      </c>
      <c r="BD68" s="16" t="n">
        <f aca="false">MAX(C68-AN68,0)</f>
        <v>41.9919683103456</v>
      </c>
      <c r="BE68" s="16" t="n">
        <f aca="false">MAX(C68-AO68,0)</f>
        <v>37.4307409156659</v>
      </c>
      <c r="BF68" s="16" t="n">
        <f aca="false">MAX(C68-AP68,0)</f>
        <v>31.5473425900989</v>
      </c>
      <c r="BG68" s="16" t="n">
        <f aca="false">MAX(C68-AQ68,0)</f>
        <v>26.1358622665196</v>
      </c>
      <c r="BH68" s="16" t="n">
        <f aca="false">MAX(C68-AR68,0)</f>
        <v>21.1376779782259</v>
      </c>
      <c r="BI68" s="16" t="n">
        <f aca="false">MAX(C68-AS68,0)</f>
        <v>16.9051858388058</v>
      </c>
      <c r="BJ68" s="16" t="n">
        <f aca="false">MAX(C68-AT68,0)</f>
        <v>11.6836847415919</v>
      </c>
      <c r="BK68" s="16" t="n">
        <f aca="false">MAX(C68-AU68,0)</f>
        <v>6.43635439560155</v>
      </c>
      <c r="BL68" s="16" t="n">
        <f aca="false">MAX(C68-AV68,0)</f>
        <v>2.17278672290638</v>
      </c>
      <c r="BM68" s="16" t="n">
        <f aca="false">MAX(C68-AW68,0)</f>
        <v>0</v>
      </c>
      <c r="BN68" s="16" t="n">
        <f aca="false">MAX(C68-AX68,0)</f>
        <v>0</v>
      </c>
      <c r="BO68" s="16" t="n">
        <f aca="false">MAX(C68-AY68,0)</f>
        <v>0</v>
      </c>
    </row>
    <row r="69" customFormat="false" ht="15" hidden="false" customHeight="false" outlineLevel="0" collapsed="false">
      <c r="A69" s="3" t="n">
        <v>39</v>
      </c>
      <c r="B69" s="15" t="n">
        <f aca="true">RAND()</f>
        <v>0.696210064114958</v>
      </c>
      <c r="C69" s="16" t="n">
        <f aca="false">LOOKUP(B69,$E$12:$E$17,$A$12:$A$17)+LOOKUP(B69,$E$12:$E$17,$D$12:$D$17)*(B69-LOOKUP(B69,$E$12:$E$17))/LOOKUP(B69,$E$12:$E$17,$C$12:$C$17)</f>
        <v>67.0887152016423</v>
      </c>
      <c r="D69" s="15" t="n">
        <f aca="true">RAND()</f>
        <v>0.281280139827304</v>
      </c>
      <c r="E69" s="15" t="n">
        <f aca="true">RAND()</f>
        <v>0.0277913395476864</v>
      </c>
      <c r="F69" s="15" t="n">
        <f aca="true">RAND()</f>
        <v>0.634510348116072</v>
      </c>
      <c r="G69" s="15" t="n">
        <f aca="true">RAND()</f>
        <v>0.533907845124579</v>
      </c>
      <c r="H69" s="15" t="n">
        <f aca="true">RAND()</f>
        <v>0.811912118885394</v>
      </c>
      <c r="I69" s="15" t="n">
        <f aca="true">RAND()</f>
        <v>0.976782324688831</v>
      </c>
      <c r="J69" s="15" t="n">
        <f aca="true">RAND()</f>
        <v>0.931728446090605</v>
      </c>
      <c r="K69" s="15" t="n">
        <f aca="true">RAND()</f>
        <v>0.840071792312875</v>
      </c>
      <c r="L69" s="15" t="n">
        <f aca="true">RAND()</f>
        <v>0.0465867801762258</v>
      </c>
      <c r="M69" s="15" t="n">
        <f aca="true">RAND()</f>
        <v>0.103017701352517</v>
      </c>
      <c r="N69" s="15" t="n">
        <f aca="true">RAND()</f>
        <v>0.163479744866796</v>
      </c>
      <c r="O69" s="15" t="n">
        <f aca="true">RAND()</f>
        <v>0.864151929489824</v>
      </c>
      <c r="P69" s="15" t="n">
        <f aca="true">RAND()</f>
        <v>0.0964757702547081</v>
      </c>
      <c r="Q69" s="15" t="n">
        <f aca="true">RAND()</f>
        <v>0.757856404797288</v>
      </c>
      <c r="R69" s="15" t="n">
        <f aca="true">RAND()</f>
        <v>0.315144466857232</v>
      </c>
      <c r="S69" s="15" t="n">
        <f aca="true">RAND()</f>
        <v>0.708372368604651</v>
      </c>
      <c r="T69" s="16" t="n">
        <f aca="false">LOOKUP(D69,$E$23:$E$26,$A$23:$A$26)+LOOKUP(D69,$E$23:$E$26,$D$23:$D$26)*(D69-LOOKUP(D69,$E$23:$E$26))/LOOKUP(D69,$E$23:$E$26,$C$23:$C$26)</f>
        <v>4.46880023304551</v>
      </c>
      <c r="U69" s="16" t="n">
        <f aca="false">LOOKUP(E69,$E$23:$E$26,$A$23:$A$26)+LOOKUP(E69,$E$23:$E$26,$D$23:$D$26)*(E69-LOOKUP(E69,$E$23:$E$26))/LOOKUP(E69,$E$23:$E$26,$C$23:$C$26)</f>
        <v>4.04631889924614</v>
      </c>
      <c r="V69" s="16" t="n">
        <f aca="false">LOOKUP(F69,$E$23:$E$26,$A$23:$A$26)+LOOKUP(F69,$E$23:$E$26,$D$23:$D$26)*(F69-LOOKUP(F69,$E$23:$E$26))/LOOKUP(F69,$E$23:$E$26,$C$23:$C$26)</f>
        <v>4.91813793514509</v>
      </c>
      <c r="W69" s="16" t="n">
        <f aca="false">LOOKUP(G69,$E$23:$E$26,$A$23:$A$26)+LOOKUP(G69,$E$23:$E$26,$D$23:$D$26)*(G69-LOOKUP(G69,$E$23:$E$26))/LOOKUP(G69,$E$23:$E$26,$C$23:$C$26)</f>
        <v>4.79238480640572</v>
      </c>
      <c r="X69" s="16" t="n">
        <f aca="false">LOOKUP(H69,$E$23:$E$26,$A$23:$A$26)+LOOKUP(H69,$E$23:$E$26,$D$23:$D$26)*(H69-LOOKUP(H69,$E$23:$E$26))/LOOKUP(H69,$E$23:$E$26,$C$23:$C$26)</f>
        <v>5.27978029721348</v>
      </c>
      <c r="Y69" s="16" t="n">
        <f aca="false">LOOKUP(I69,$E$23:$E$26,$A$23:$A$26)+LOOKUP(I69,$E$23:$E$26,$D$23:$D$26)*(I69-LOOKUP(I69,$E$23:$E$26))/LOOKUP(I69,$E$23:$E$26,$C$23:$C$26)</f>
        <v>5.88391162344416</v>
      </c>
      <c r="Z69" s="16" t="n">
        <f aca="false">LOOKUP(J69,$E$23:$E$26,$A$23:$A$26)+LOOKUP(J69,$E$23:$E$26,$D$23:$D$26)*(J69-LOOKUP(J69,$E$23:$E$26))/LOOKUP(J69,$E$23:$E$26,$C$23:$C$26)</f>
        <v>5.65864223045302</v>
      </c>
      <c r="AA69" s="16" t="n">
        <f aca="false">LOOKUP(K69,$E$23:$E$26,$A$23:$A$26)+LOOKUP(K69,$E$23:$E$26,$D$23:$D$26)*(K69-LOOKUP(K69,$E$23:$E$26))/LOOKUP(K69,$E$23:$E$26,$C$23:$C$26)</f>
        <v>5.35017948078219</v>
      </c>
      <c r="AB69" s="16" t="n">
        <f aca="false">LOOKUP(L69,$E$23:$E$26,$A$23:$A$26)+LOOKUP(L69,$E$23:$E$26,$D$23:$D$26)*(L69-LOOKUP(L69,$E$23:$E$26))/LOOKUP(L69,$E$23:$E$26,$C$23:$C$26)</f>
        <v>4.07764463362704</v>
      </c>
      <c r="AC69" s="16" t="n">
        <f aca="false">LOOKUP(M69,$E$23:$E$26,$A$23:$A$26)+LOOKUP(M69,$E$23:$E$26,$D$23:$D$26)*(M69-LOOKUP(M69,$E$23:$E$26))/LOOKUP(M69,$E$23:$E$26,$C$23:$C$26)</f>
        <v>4.17169616892086</v>
      </c>
      <c r="AD69" s="16" t="n">
        <f aca="false">LOOKUP(N69,$E$23:$E$26,$A$23:$A$26)+LOOKUP(N69,$E$23:$E$26,$D$23:$D$26)*(N69-LOOKUP(N69,$E$23:$E$26))/LOOKUP(N69,$E$23:$E$26,$C$23:$C$26)</f>
        <v>4.27246624144466</v>
      </c>
      <c r="AE69" s="16" t="n">
        <f aca="false">LOOKUP(O69,$E$23:$E$26,$A$23:$A$26)+LOOKUP(O69,$E$23:$E$26,$D$23:$D$26)*(O69-LOOKUP(O69,$E$23:$E$26))/LOOKUP(O69,$E$23:$E$26,$C$23:$C$26)</f>
        <v>5.41037982372456</v>
      </c>
      <c r="AF69" s="16" t="n">
        <f aca="false">LOOKUP(P69,$E$23:$E$26,$A$23:$A$26)+LOOKUP(P69,$E$23:$E$26,$D$23:$D$26)*(P69-LOOKUP(P69,$E$23:$E$26))/LOOKUP(P69,$E$23:$E$26,$C$23:$C$26)</f>
        <v>4.16079295042451</v>
      </c>
      <c r="AG69" s="16" t="n">
        <f aca="false">LOOKUP(Q69,$E$23:$E$26,$A$23:$A$26)+LOOKUP(Q69,$E$23:$E$26,$D$23:$D$26)*(Q69-LOOKUP(Q69,$E$23:$E$26))/LOOKUP(Q69,$E$23:$E$26,$C$23:$C$26)</f>
        <v>5.14464101199322</v>
      </c>
      <c r="AH69" s="16" t="n">
        <f aca="false">LOOKUP(R69,$E$23:$E$26,$A$23:$A$26)+LOOKUP(R69,$E$23:$E$26,$D$23:$D$26)*(R69-LOOKUP(R69,$E$23:$E$26))/LOOKUP(R69,$E$23:$E$26,$C$23:$C$26)</f>
        <v>4.51893058357154</v>
      </c>
      <c r="AI69" s="16" t="n">
        <f aca="false">LOOKUP(S69,$E$23:$E$26,$A$23:$A$26)+LOOKUP(S69,$E$23:$E$26,$D$23:$D$26)*(S69-LOOKUP(S69,$E$23:$E$26))/LOOKUP(S69,$E$23:$E$26,$C$23:$C$26)</f>
        <v>5.02093092151163</v>
      </c>
      <c r="AJ69" s="16" t="n">
        <f aca="false">SUM($T69:T69)</f>
        <v>4.46880023304551</v>
      </c>
      <c r="AK69" s="16" t="n">
        <f aca="false">SUM($T69:U69)</f>
        <v>8.51511913229165</v>
      </c>
      <c r="AL69" s="16" t="n">
        <f aca="false">SUM($T69:V69)</f>
        <v>13.4332570674367</v>
      </c>
      <c r="AM69" s="16" t="n">
        <f aca="false">SUM($T69:W69)</f>
        <v>18.2256418738425</v>
      </c>
      <c r="AN69" s="16" t="n">
        <f aca="false">SUM($T69:X69)</f>
        <v>23.5054221710559</v>
      </c>
      <c r="AO69" s="16" t="n">
        <f aca="false">SUM($T69:Y69)</f>
        <v>29.3893337945001</v>
      </c>
      <c r="AP69" s="16" t="n">
        <f aca="false">SUM($T69:Z69)</f>
        <v>35.0479760249531</v>
      </c>
      <c r="AQ69" s="16" t="n">
        <f aca="false">SUM($T69:AA69)</f>
        <v>40.3981555057353</v>
      </c>
      <c r="AR69" s="16" t="n">
        <f aca="false">SUM($T69:AB69)</f>
        <v>44.4758001393624</v>
      </c>
      <c r="AS69" s="16" t="n">
        <f aca="false">SUM($T69:AC69)</f>
        <v>48.6474963082832</v>
      </c>
      <c r="AT69" s="16" t="n">
        <f aca="false">SUM($T69:AD69)</f>
        <v>52.9199625497279</v>
      </c>
      <c r="AU69" s="16" t="n">
        <f aca="false">SUM($T69:AE69)</f>
        <v>58.3303423734524</v>
      </c>
      <c r="AV69" s="16" t="n">
        <f aca="false">SUM($T69:AF69)</f>
        <v>62.491135323877</v>
      </c>
      <c r="AW69" s="16" t="n">
        <f aca="false">SUM($T69:AG69)</f>
        <v>67.6357763358702</v>
      </c>
      <c r="AX69" s="16" t="n">
        <f aca="false">SUM($T69:AH69)</f>
        <v>72.1547069194417</v>
      </c>
      <c r="AY69" s="16" t="n">
        <f aca="false">SUM($T69:AI69)</f>
        <v>77.1756378409533</v>
      </c>
      <c r="AZ69" s="16" t="n">
        <f aca="false">MAX(C69-AJ69,0)</f>
        <v>62.6199149685968</v>
      </c>
      <c r="BA69" s="16" t="n">
        <f aca="false">MAX(C69-AK69,0)</f>
        <v>58.5735960693506</v>
      </c>
      <c r="BB69" s="16" t="n">
        <f aca="false">MAX(C69-AL69,0)</f>
        <v>53.6554581342055</v>
      </c>
      <c r="BC69" s="16" t="n">
        <f aca="false">MAX(C69-AM69,0)</f>
        <v>48.8630733277998</v>
      </c>
      <c r="BD69" s="16" t="n">
        <f aca="false">MAX(C69-AN69,0)</f>
        <v>43.5832930305863</v>
      </c>
      <c r="BE69" s="16" t="n">
        <f aca="false">MAX(C69-AO69,0)</f>
        <v>37.6993814071422</v>
      </c>
      <c r="BF69" s="16" t="n">
        <f aca="false">MAX(C69-AP69,0)</f>
        <v>32.0407391766891</v>
      </c>
      <c r="BG69" s="16" t="n">
        <f aca="false">MAX(C69-AQ69,0)</f>
        <v>26.690559695907</v>
      </c>
      <c r="BH69" s="16" t="n">
        <f aca="false">MAX(C69-AR69,0)</f>
        <v>22.6129150622799</v>
      </c>
      <c r="BI69" s="16" t="n">
        <f aca="false">MAX(C69-AS69,0)</f>
        <v>18.441218893359</v>
      </c>
      <c r="BJ69" s="16" t="n">
        <f aca="false">MAX(C69-AT69,0)</f>
        <v>14.1687526519144</v>
      </c>
      <c r="BK69" s="16" t="n">
        <f aca="false">MAX(C69-AU69,0)</f>
        <v>8.75837282818982</v>
      </c>
      <c r="BL69" s="16" t="n">
        <f aca="false">MAX(C69-AV69,0)</f>
        <v>4.59757987776531</v>
      </c>
      <c r="BM69" s="16" t="n">
        <f aca="false">MAX(C69-AW69,0)</f>
        <v>0</v>
      </c>
      <c r="BN69" s="16" t="n">
        <f aca="false">MAX(C69-AX69,0)</f>
        <v>0</v>
      </c>
      <c r="BO69" s="16" t="n">
        <f aca="false">MAX(C69-AY69,0)</f>
        <v>0</v>
      </c>
    </row>
    <row r="70" customFormat="false" ht="15" hidden="false" customHeight="false" outlineLevel="0" collapsed="false">
      <c r="A70" s="3" t="n">
        <v>40</v>
      </c>
      <c r="B70" s="15" t="n">
        <f aca="true">RAND()</f>
        <v>0.106816636049477</v>
      </c>
      <c r="C70" s="16" t="n">
        <f aca="false">LOOKUP(B70,$E$12:$E$17,$A$12:$A$17)+LOOKUP(B70,$E$12:$E$17,$D$12:$D$17)*(B70-LOOKUP(B70,$E$12:$E$17))/LOOKUP(B70,$E$12:$E$17,$C$12:$C$17)</f>
        <v>55.2272212016492</v>
      </c>
      <c r="D70" s="15" t="n">
        <f aca="true">RAND()</f>
        <v>0.270546016302415</v>
      </c>
      <c r="E70" s="15" t="n">
        <f aca="true">RAND()</f>
        <v>0.883930547597925</v>
      </c>
      <c r="F70" s="15" t="n">
        <f aca="true">RAND()</f>
        <v>0.328428695556168</v>
      </c>
      <c r="G70" s="15" t="n">
        <f aca="true">RAND()</f>
        <v>0.810350668150781</v>
      </c>
      <c r="H70" s="15" t="n">
        <f aca="true">RAND()</f>
        <v>0.257894430381516</v>
      </c>
      <c r="I70" s="15" t="n">
        <f aca="true">RAND()</f>
        <v>0.0742197771860981</v>
      </c>
      <c r="J70" s="15" t="n">
        <f aca="true">RAND()</f>
        <v>0.726736441906945</v>
      </c>
      <c r="K70" s="15" t="n">
        <f aca="true">RAND()</f>
        <v>0.372792449975967</v>
      </c>
      <c r="L70" s="15" t="n">
        <f aca="true">RAND()</f>
        <v>0.30350789114561</v>
      </c>
      <c r="M70" s="15" t="n">
        <f aca="true">RAND()</f>
        <v>0.854217075507328</v>
      </c>
      <c r="N70" s="15" t="n">
        <f aca="true">RAND()</f>
        <v>0.236484121071653</v>
      </c>
      <c r="O70" s="15" t="n">
        <f aca="true">RAND()</f>
        <v>0.125732024676437</v>
      </c>
      <c r="P70" s="15" t="n">
        <f aca="true">RAND()</f>
        <v>0.805705686410164</v>
      </c>
      <c r="Q70" s="15" t="n">
        <f aca="true">RAND()</f>
        <v>0.155189435412158</v>
      </c>
      <c r="R70" s="15" t="n">
        <f aca="true">RAND()</f>
        <v>0.475471467931953</v>
      </c>
      <c r="S70" s="15" t="n">
        <f aca="true">RAND()</f>
        <v>0.51583768102132</v>
      </c>
      <c r="T70" s="16" t="n">
        <f aca="false">LOOKUP(D70,$E$23:$E$26,$A$23:$A$26)+LOOKUP(D70,$E$23:$E$26,$D$23:$D$26)*(D70-LOOKUP(D70,$E$23:$E$26))/LOOKUP(D70,$E$23:$E$26,$C$23:$C$26)</f>
        <v>4.45091002717069</v>
      </c>
      <c r="U70" s="16" t="n">
        <f aca="false">LOOKUP(E70,$E$23:$E$26,$A$23:$A$26)+LOOKUP(E70,$E$23:$E$26,$D$23:$D$26)*(E70-LOOKUP(E70,$E$23:$E$26))/LOOKUP(E70,$E$23:$E$26,$C$23:$C$26)</f>
        <v>5.45982636899481</v>
      </c>
      <c r="V70" s="16" t="n">
        <f aca="false">LOOKUP(F70,$E$23:$E$26,$A$23:$A$26)+LOOKUP(F70,$E$23:$E$26,$D$23:$D$26)*(F70-LOOKUP(F70,$E$23:$E$26))/LOOKUP(F70,$E$23:$E$26,$C$23:$C$26)</f>
        <v>4.53553586944521</v>
      </c>
      <c r="W70" s="16" t="n">
        <f aca="false">LOOKUP(G70,$E$23:$E$26,$A$23:$A$26)+LOOKUP(G70,$E$23:$E$26,$D$23:$D$26)*(G70-LOOKUP(G70,$E$23:$E$26))/LOOKUP(G70,$E$23:$E$26,$C$23:$C$26)</f>
        <v>5.27587667037695</v>
      </c>
      <c r="X70" s="16" t="n">
        <f aca="false">LOOKUP(H70,$E$23:$E$26,$A$23:$A$26)+LOOKUP(H70,$E$23:$E$26,$D$23:$D$26)*(H70-LOOKUP(H70,$E$23:$E$26))/LOOKUP(H70,$E$23:$E$26,$C$23:$C$26)</f>
        <v>4.42982405063586</v>
      </c>
      <c r="Y70" s="16" t="n">
        <f aca="false">LOOKUP(I70,$E$23:$E$26,$A$23:$A$26)+LOOKUP(I70,$E$23:$E$26,$D$23:$D$26)*(I70-LOOKUP(I70,$E$23:$E$26))/LOOKUP(I70,$E$23:$E$26,$C$23:$C$26)</f>
        <v>4.1236996286435</v>
      </c>
      <c r="Z70" s="16" t="n">
        <f aca="false">LOOKUP(J70,$E$23:$E$26,$A$23:$A$26)+LOOKUP(J70,$E$23:$E$26,$D$23:$D$26)*(J70-LOOKUP(J70,$E$23:$E$26))/LOOKUP(J70,$E$23:$E$26,$C$23:$C$26)</f>
        <v>5.06684110476736</v>
      </c>
      <c r="AA70" s="16" t="n">
        <f aca="false">LOOKUP(K70,$E$23:$E$26,$A$23:$A$26)+LOOKUP(K70,$E$23:$E$26,$D$23:$D$26)*(K70-LOOKUP(K70,$E$23:$E$26))/LOOKUP(K70,$E$23:$E$26,$C$23:$C$26)</f>
        <v>4.59099056246996</v>
      </c>
      <c r="AB70" s="16" t="n">
        <f aca="false">LOOKUP(L70,$E$23:$E$26,$A$23:$A$26)+LOOKUP(L70,$E$23:$E$26,$D$23:$D$26)*(L70-LOOKUP(L70,$E$23:$E$26))/LOOKUP(L70,$E$23:$E$26,$C$23:$C$26)</f>
        <v>4.50438486393201</v>
      </c>
      <c r="AC70" s="16" t="n">
        <f aca="false">LOOKUP(M70,$E$23:$E$26,$A$23:$A$26)+LOOKUP(M70,$E$23:$E$26,$D$23:$D$26)*(M70-LOOKUP(M70,$E$23:$E$26))/LOOKUP(M70,$E$23:$E$26,$C$23:$C$26)</f>
        <v>5.38554268876832</v>
      </c>
      <c r="AD70" s="16" t="n">
        <f aca="false">LOOKUP(N70,$E$23:$E$26,$A$23:$A$26)+LOOKUP(N70,$E$23:$E$26,$D$23:$D$26)*(N70-LOOKUP(N70,$E$23:$E$26))/LOOKUP(N70,$E$23:$E$26,$C$23:$C$26)</f>
        <v>4.39414020178609</v>
      </c>
      <c r="AE70" s="16" t="n">
        <f aca="false">LOOKUP(O70,$E$23:$E$26,$A$23:$A$26)+LOOKUP(O70,$E$23:$E$26,$D$23:$D$26)*(O70-LOOKUP(O70,$E$23:$E$26))/LOOKUP(O70,$E$23:$E$26,$C$23:$C$26)</f>
        <v>4.20955337446073</v>
      </c>
      <c r="AF70" s="16" t="n">
        <f aca="false">LOOKUP(P70,$E$23:$E$26,$A$23:$A$26)+LOOKUP(P70,$E$23:$E$26,$D$23:$D$26)*(P70-LOOKUP(P70,$E$23:$E$26))/LOOKUP(P70,$E$23:$E$26,$C$23:$C$26)</f>
        <v>5.26426421602541</v>
      </c>
      <c r="AG70" s="16" t="n">
        <f aca="false">LOOKUP(Q70,$E$23:$E$26,$A$23:$A$26)+LOOKUP(Q70,$E$23:$E$26,$D$23:$D$26)*(Q70-LOOKUP(Q70,$E$23:$E$26))/LOOKUP(Q70,$E$23:$E$26,$C$23:$C$26)</f>
        <v>4.25864905902026</v>
      </c>
      <c r="AH70" s="16" t="n">
        <f aca="false">LOOKUP(R70,$E$23:$E$26,$A$23:$A$26)+LOOKUP(R70,$E$23:$E$26,$D$23:$D$26)*(R70-LOOKUP(R70,$E$23:$E$26))/LOOKUP(R70,$E$23:$E$26,$C$23:$C$26)</f>
        <v>4.71933933491494</v>
      </c>
      <c r="AI70" s="16" t="n">
        <f aca="false">LOOKUP(S70,$E$23:$E$26,$A$23:$A$26)+LOOKUP(S70,$E$23:$E$26,$D$23:$D$26)*(S70-LOOKUP(S70,$E$23:$E$26))/LOOKUP(S70,$E$23:$E$26,$C$23:$C$26)</f>
        <v>4.76979710127665</v>
      </c>
      <c r="AJ70" s="16" t="n">
        <f aca="false">SUM($T70:T70)</f>
        <v>4.45091002717069</v>
      </c>
      <c r="AK70" s="16" t="n">
        <f aca="false">SUM($T70:U70)</f>
        <v>9.9107363961655</v>
      </c>
      <c r="AL70" s="16" t="n">
        <f aca="false">SUM($T70:V70)</f>
        <v>14.4462722656107</v>
      </c>
      <c r="AM70" s="16" t="n">
        <f aca="false">SUM($T70:W70)</f>
        <v>19.7221489359877</v>
      </c>
      <c r="AN70" s="16" t="n">
        <f aca="false">SUM($T70:X70)</f>
        <v>24.1519729866235</v>
      </c>
      <c r="AO70" s="16" t="n">
        <f aca="false">SUM($T70:Y70)</f>
        <v>28.275672615267</v>
      </c>
      <c r="AP70" s="16" t="n">
        <f aca="false">SUM($T70:Z70)</f>
        <v>33.3425137200344</v>
      </c>
      <c r="AQ70" s="16" t="n">
        <f aca="false">SUM($T70:AA70)</f>
        <v>37.9335042825043</v>
      </c>
      <c r="AR70" s="16" t="n">
        <f aca="false">SUM($T70:AB70)</f>
        <v>42.4378891464364</v>
      </c>
      <c r="AS70" s="16" t="n">
        <f aca="false">SUM($T70:AC70)</f>
        <v>47.8234318352047</v>
      </c>
      <c r="AT70" s="16" t="n">
        <f aca="false">SUM($T70:AD70)</f>
        <v>52.2175720369908</v>
      </c>
      <c r="AU70" s="16" t="n">
        <f aca="false">SUM($T70:AE70)</f>
        <v>56.4271254114515</v>
      </c>
      <c r="AV70" s="16" t="n">
        <f aca="false">SUM($T70:AF70)</f>
        <v>61.6913896274769</v>
      </c>
      <c r="AW70" s="16" t="n">
        <f aca="false">SUM($T70:AG70)</f>
        <v>65.9500386864972</v>
      </c>
      <c r="AX70" s="16" t="n">
        <f aca="false">SUM($T70:AH70)</f>
        <v>70.6693780214121</v>
      </c>
      <c r="AY70" s="16" t="n">
        <f aca="false">SUM($T70:AI70)</f>
        <v>75.4391751226888</v>
      </c>
      <c r="AZ70" s="16" t="n">
        <f aca="false">MAX(C70-AJ70,0)</f>
        <v>50.7763111744785</v>
      </c>
      <c r="BA70" s="16" t="n">
        <f aca="false">MAX(C70-AK70,0)</f>
        <v>45.3164848054837</v>
      </c>
      <c r="BB70" s="16" t="n">
        <f aca="false">MAX(C70-AL70,0)</f>
        <v>40.7809489360385</v>
      </c>
      <c r="BC70" s="16" t="n">
        <f aca="false">MAX(C70-AM70,0)</f>
        <v>35.5050722656616</v>
      </c>
      <c r="BD70" s="16" t="n">
        <f aca="false">MAX(C70-AN70,0)</f>
        <v>31.0752482150257</v>
      </c>
      <c r="BE70" s="16" t="n">
        <f aca="false">MAX(C70-AO70,0)</f>
        <v>26.9515485863822</v>
      </c>
      <c r="BF70" s="16" t="n">
        <f aca="false">MAX(C70-AP70,0)</f>
        <v>21.8847074816149</v>
      </c>
      <c r="BG70" s="16" t="n">
        <f aca="false">MAX(C70-AQ70,0)</f>
        <v>17.2937169191449</v>
      </c>
      <c r="BH70" s="16" t="n">
        <f aca="false">MAX(C70-AR70,0)</f>
        <v>12.7893320552129</v>
      </c>
      <c r="BI70" s="16" t="n">
        <f aca="false">MAX(C70-AS70,0)</f>
        <v>7.40378936644456</v>
      </c>
      <c r="BJ70" s="16" t="n">
        <f aca="false">MAX(C70-AT70,0)</f>
        <v>3.00964916465847</v>
      </c>
      <c r="BK70" s="16" t="n">
        <f aca="false">MAX(C70-AU70,0)</f>
        <v>0</v>
      </c>
      <c r="BL70" s="16" t="n">
        <f aca="false">MAX(C70-AV70,0)</f>
        <v>0</v>
      </c>
      <c r="BM70" s="16" t="n">
        <f aca="false">MAX(C70-AW70,0)</f>
        <v>0</v>
      </c>
      <c r="BN70" s="16" t="n">
        <f aca="false">MAX(C70-AX70,0)</f>
        <v>0</v>
      </c>
      <c r="BO70" s="16" t="n">
        <f aca="false">MAX(C70-AY70,0)</f>
        <v>0</v>
      </c>
    </row>
    <row r="71" customFormat="false" ht="15" hidden="false" customHeight="false" outlineLevel="0" collapsed="false">
      <c r="A71" s="3" t="n">
        <v>41</v>
      </c>
      <c r="B71" s="15" t="n">
        <f aca="true">RAND()</f>
        <v>0.988951605994436</v>
      </c>
      <c r="C71" s="16" t="n">
        <f aca="false">LOOKUP(B71,$E$12:$E$17,$A$12:$A$17)+LOOKUP(B71,$E$12:$E$17,$D$12:$D$17)*(B71-LOOKUP(B71,$E$12:$E$17))/LOOKUP(B71,$E$12:$E$17,$C$12:$C$17)</f>
        <v>82.2379014986089</v>
      </c>
      <c r="D71" s="15" t="n">
        <f aca="true">RAND()</f>
        <v>0.374727877868757</v>
      </c>
      <c r="E71" s="15" t="n">
        <f aca="true">RAND()</f>
        <v>0.862839669310661</v>
      </c>
      <c r="F71" s="15" t="n">
        <f aca="true">RAND()</f>
        <v>0.869394186050069</v>
      </c>
      <c r="G71" s="15" t="n">
        <f aca="true">RAND()</f>
        <v>0.694521327402092</v>
      </c>
      <c r="H71" s="15" t="n">
        <f aca="true">RAND()</f>
        <v>0.38073237192018</v>
      </c>
      <c r="I71" s="15" t="n">
        <f aca="true">RAND()</f>
        <v>0.430709385665114</v>
      </c>
      <c r="J71" s="15" t="n">
        <f aca="true">RAND()</f>
        <v>0.57012381960714</v>
      </c>
      <c r="K71" s="15" t="n">
        <f aca="true">RAND()</f>
        <v>0.560558373317174</v>
      </c>
      <c r="L71" s="15" t="n">
        <f aca="true">RAND()</f>
        <v>0.855179174783734</v>
      </c>
      <c r="M71" s="15" t="n">
        <f aca="true">RAND()</f>
        <v>0.703559534437915</v>
      </c>
      <c r="N71" s="15" t="n">
        <f aca="true">RAND()</f>
        <v>0.631338553980353</v>
      </c>
      <c r="O71" s="15" t="n">
        <f aca="true">RAND()</f>
        <v>0.344604873408377</v>
      </c>
      <c r="P71" s="15" t="n">
        <f aca="true">RAND()</f>
        <v>0.892598508367692</v>
      </c>
      <c r="Q71" s="15" t="n">
        <f aca="true">RAND()</f>
        <v>0.0239200997074365</v>
      </c>
      <c r="R71" s="15" t="n">
        <f aca="true">RAND()</f>
        <v>0.151249999652523</v>
      </c>
      <c r="S71" s="15" t="n">
        <f aca="true">RAND()</f>
        <v>0.373549346307896</v>
      </c>
      <c r="T71" s="16" t="n">
        <f aca="false">LOOKUP(D71,$E$23:$E$26,$A$23:$A$26)+LOOKUP(D71,$E$23:$E$26,$D$23:$D$26)*(D71-LOOKUP(D71,$E$23:$E$26))/LOOKUP(D71,$E$23:$E$26,$C$23:$C$26)</f>
        <v>4.59340984733595</v>
      </c>
      <c r="U71" s="16" t="n">
        <f aca="false">LOOKUP(E71,$E$23:$E$26,$A$23:$A$26)+LOOKUP(E71,$E$23:$E$26,$D$23:$D$26)*(E71-LOOKUP(E71,$E$23:$E$26))/LOOKUP(E71,$E$23:$E$26,$C$23:$C$26)</f>
        <v>5.40709917327665</v>
      </c>
      <c r="V71" s="16" t="n">
        <f aca="false">LOOKUP(F71,$E$23:$E$26,$A$23:$A$26)+LOOKUP(F71,$E$23:$E$26,$D$23:$D$26)*(F71-LOOKUP(F71,$E$23:$E$26))/LOOKUP(F71,$E$23:$E$26,$C$23:$C$26)</f>
        <v>5.42348546512517</v>
      </c>
      <c r="W71" s="16" t="n">
        <f aca="false">LOOKUP(G71,$E$23:$E$26,$A$23:$A$26)+LOOKUP(G71,$E$23:$E$26,$D$23:$D$26)*(G71-LOOKUP(G71,$E$23:$E$26))/LOOKUP(G71,$E$23:$E$26,$C$23:$C$26)</f>
        <v>4.99315165925262</v>
      </c>
      <c r="X71" s="16" t="n">
        <f aca="false">LOOKUP(H71,$E$23:$E$26,$A$23:$A$26)+LOOKUP(H71,$E$23:$E$26,$D$23:$D$26)*(H71-LOOKUP(H71,$E$23:$E$26))/LOOKUP(H71,$E$23:$E$26,$C$23:$C$26)</f>
        <v>4.60091546490023</v>
      </c>
      <c r="Y71" s="16" t="n">
        <f aca="false">LOOKUP(I71,$E$23:$E$26,$A$23:$A$26)+LOOKUP(I71,$E$23:$E$26,$D$23:$D$26)*(I71-LOOKUP(I71,$E$23:$E$26))/LOOKUP(I71,$E$23:$E$26,$C$23:$C$26)</f>
        <v>4.66338673208139</v>
      </c>
      <c r="Z71" s="16" t="n">
        <f aca="false">LOOKUP(J71,$E$23:$E$26,$A$23:$A$26)+LOOKUP(J71,$E$23:$E$26,$D$23:$D$26)*(J71-LOOKUP(J71,$E$23:$E$26))/LOOKUP(J71,$E$23:$E$26,$C$23:$C$26)</f>
        <v>4.83765477450893</v>
      </c>
      <c r="AA71" s="16" t="n">
        <f aca="false">LOOKUP(K71,$E$23:$E$26,$A$23:$A$26)+LOOKUP(K71,$E$23:$E$26,$D$23:$D$26)*(K71-LOOKUP(K71,$E$23:$E$26))/LOOKUP(K71,$E$23:$E$26,$C$23:$C$26)</f>
        <v>4.82569796664647</v>
      </c>
      <c r="AB71" s="16" t="n">
        <f aca="false">LOOKUP(L71,$E$23:$E$26,$A$23:$A$26)+LOOKUP(L71,$E$23:$E$26,$D$23:$D$26)*(L71-LOOKUP(L71,$E$23:$E$26))/LOOKUP(L71,$E$23:$E$26,$C$23:$C$26)</f>
        <v>5.38794793695933</v>
      </c>
      <c r="AC71" s="16" t="n">
        <f aca="false">LOOKUP(M71,$E$23:$E$26,$A$23:$A$26)+LOOKUP(M71,$E$23:$E$26,$D$23:$D$26)*(M71-LOOKUP(M71,$E$23:$E$26))/LOOKUP(M71,$E$23:$E$26,$C$23:$C$26)</f>
        <v>5.00889883609479</v>
      </c>
      <c r="AD71" s="16" t="n">
        <f aca="false">LOOKUP(N71,$E$23:$E$26,$A$23:$A$26)+LOOKUP(N71,$E$23:$E$26,$D$23:$D$26)*(N71-LOOKUP(N71,$E$23:$E$26))/LOOKUP(N71,$E$23:$E$26,$C$23:$C$26)</f>
        <v>4.91417319247544</v>
      </c>
      <c r="AE71" s="16" t="n">
        <f aca="false">LOOKUP(O71,$E$23:$E$26,$A$23:$A$26)+LOOKUP(O71,$E$23:$E$26,$D$23:$D$26)*(O71-LOOKUP(O71,$E$23:$E$26))/LOOKUP(O71,$E$23:$E$26,$C$23:$C$26)</f>
        <v>4.55575609176047</v>
      </c>
      <c r="AF71" s="16" t="n">
        <f aca="false">LOOKUP(P71,$E$23:$E$26,$A$23:$A$26)+LOOKUP(P71,$E$23:$E$26,$D$23:$D$26)*(P71-LOOKUP(P71,$E$23:$E$26))/LOOKUP(P71,$E$23:$E$26,$C$23:$C$26)</f>
        <v>5.48149627091923</v>
      </c>
      <c r="AG71" s="16" t="n">
        <f aca="false">LOOKUP(Q71,$E$23:$E$26,$A$23:$A$26)+LOOKUP(Q71,$E$23:$E$26,$D$23:$D$26)*(Q71-LOOKUP(Q71,$E$23:$E$26))/LOOKUP(Q71,$E$23:$E$26,$C$23:$C$26)</f>
        <v>4.03986683284573</v>
      </c>
      <c r="AH71" s="16" t="n">
        <f aca="false">LOOKUP(R71,$E$23:$E$26,$A$23:$A$26)+LOOKUP(R71,$E$23:$E$26,$D$23:$D$26)*(R71-LOOKUP(R71,$E$23:$E$26))/LOOKUP(R71,$E$23:$E$26,$C$23:$C$26)</f>
        <v>4.25208333275421</v>
      </c>
      <c r="AI71" s="16" t="n">
        <f aca="false">LOOKUP(S71,$E$23:$E$26,$A$23:$A$26)+LOOKUP(S71,$E$23:$E$26,$D$23:$D$26)*(S71-LOOKUP(S71,$E$23:$E$26))/LOOKUP(S71,$E$23:$E$26,$C$23:$C$26)</f>
        <v>4.59193668288487</v>
      </c>
      <c r="AJ71" s="16" t="n">
        <f aca="false">SUM($T71:T71)</f>
        <v>4.59340984733595</v>
      </c>
      <c r="AK71" s="16" t="n">
        <f aca="false">SUM($T71:U71)</f>
        <v>10.0005090206126</v>
      </c>
      <c r="AL71" s="16" t="n">
        <f aca="false">SUM($T71:V71)</f>
        <v>15.4239944857378</v>
      </c>
      <c r="AM71" s="16" t="n">
        <f aca="false">SUM($T71:W71)</f>
        <v>20.4171461449904</v>
      </c>
      <c r="AN71" s="16" t="n">
        <f aca="false">SUM($T71:X71)</f>
        <v>25.0180616098906</v>
      </c>
      <c r="AO71" s="16" t="n">
        <f aca="false">SUM($T71:Y71)</f>
        <v>29.681448341972</v>
      </c>
      <c r="AP71" s="16" t="n">
        <f aca="false">SUM($T71:Z71)</f>
        <v>34.5191031164809</v>
      </c>
      <c r="AQ71" s="16" t="n">
        <f aca="false">SUM($T71:AA71)</f>
        <v>39.3448010831274</v>
      </c>
      <c r="AR71" s="16" t="n">
        <f aca="false">SUM($T71:AB71)</f>
        <v>44.7327490200867</v>
      </c>
      <c r="AS71" s="16" t="n">
        <f aca="false">SUM($T71:AC71)</f>
        <v>49.7416478561815</v>
      </c>
      <c r="AT71" s="16" t="n">
        <f aca="false">SUM($T71:AD71)</f>
        <v>54.655821048657</v>
      </c>
      <c r="AU71" s="16" t="n">
        <f aca="false">SUM($T71:AE71)</f>
        <v>59.2115771404174</v>
      </c>
      <c r="AV71" s="16" t="n">
        <f aca="false">SUM($T71:AF71)</f>
        <v>64.6930734113367</v>
      </c>
      <c r="AW71" s="16" t="n">
        <f aca="false">SUM($T71:AG71)</f>
        <v>68.7329402441824</v>
      </c>
      <c r="AX71" s="16" t="n">
        <f aca="false">SUM($T71:AH71)</f>
        <v>72.9850235769366</v>
      </c>
      <c r="AY71" s="16" t="n">
        <f aca="false">SUM($T71:AI71)</f>
        <v>77.5769602598215</v>
      </c>
      <c r="AZ71" s="16" t="n">
        <f aca="false">MAX(C71-AJ71,0)</f>
        <v>77.6444916512729</v>
      </c>
      <c r="BA71" s="16" t="n">
        <f aca="false">MAX(C71-AK71,0)</f>
        <v>72.2373924779963</v>
      </c>
      <c r="BB71" s="16" t="n">
        <f aca="false">MAX(C71-AL71,0)</f>
        <v>66.8139070128711</v>
      </c>
      <c r="BC71" s="16" t="n">
        <f aca="false">MAX(C71-AM71,0)</f>
        <v>61.8207553536185</v>
      </c>
      <c r="BD71" s="16" t="n">
        <f aca="false">MAX(C71-AN71,0)</f>
        <v>57.2198398887183</v>
      </c>
      <c r="BE71" s="16" t="n">
        <f aca="false">MAX(C71-AO71,0)</f>
        <v>52.5564531566369</v>
      </c>
      <c r="BF71" s="16" t="n">
        <f aca="false">MAX(C71-AP71,0)</f>
        <v>47.718798382128</v>
      </c>
      <c r="BG71" s="16" t="n">
        <f aca="false">MAX(C71-AQ71,0)</f>
        <v>42.8931004154815</v>
      </c>
      <c r="BH71" s="16" t="n">
        <f aca="false">MAX(C71-AR71,0)</f>
        <v>37.5051524785222</v>
      </c>
      <c r="BI71" s="16" t="n">
        <f aca="false">MAX(C71-AS71,0)</f>
        <v>32.4962536424274</v>
      </c>
      <c r="BJ71" s="16" t="n">
        <f aca="false">MAX(C71-AT71,0)</f>
        <v>27.5820804499519</v>
      </c>
      <c r="BK71" s="16" t="n">
        <f aca="false">MAX(C71-AU71,0)</f>
        <v>23.0263243581915</v>
      </c>
      <c r="BL71" s="16" t="n">
        <f aca="false">MAX(C71-AV71,0)</f>
        <v>17.5448280872722</v>
      </c>
      <c r="BM71" s="16" t="n">
        <f aca="false">MAX(C71-AW71,0)</f>
        <v>13.5049612544265</v>
      </c>
      <c r="BN71" s="16" t="n">
        <f aca="false">MAX(C71-AX71,0)</f>
        <v>9.25287792167229</v>
      </c>
      <c r="BO71" s="16" t="n">
        <f aca="false">MAX(C71-AY71,0)</f>
        <v>4.66094123878744</v>
      </c>
    </row>
    <row r="72" customFormat="false" ht="15" hidden="false" customHeight="false" outlineLevel="0" collapsed="false">
      <c r="A72" s="3" t="n">
        <v>42</v>
      </c>
      <c r="B72" s="15" t="n">
        <f aca="true">RAND()</f>
        <v>0.271764208671846</v>
      </c>
      <c r="C72" s="16" t="n">
        <f aca="false">LOOKUP(B72,$E$12:$E$17,$A$12:$A$17)+LOOKUP(B72,$E$12:$E$17,$D$12:$D$17)*(B72-LOOKUP(B72,$E$12:$E$17))/LOOKUP(B72,$E$12:$E$17,$C$12:$C$17)</f>
        <v>60.3627368111974</v>
      </c>
      <c r="D72" s="15" t="n">
        <f aca="true">RAND()</f>
        <v>0.53844989657223</v>
      </c>
      <c r="E72" s="15" t="n">
        <f aca="true">RAND()</f>
        <v>0.195613417192908</v>
      </c>
      <c r="F72" s="15" t="n">
        <f aca="true">RAND()</f>
        <v>0.828956497378263</v>
      </c>
      <c r="G72" s="15" t="n">
        <f aca="true">RAND()</f>
        <v>0.159441661249802</v>
      </c>
      <c r="H72" s="15" t="n">
        <f aca="true">RAND()</f>
        <v>0.055946337528722</v>
      </c>
      <c r="I72" s="15" t="n">
        <f aca="true">RAND()</f>
        <v>0.565723981927708</v>
      </c>
      <c r="J72" s="15" t="n">
        <f aca="true">RAND()</f>
        <v>0.356501954960171</v>
      </c>
      <c r="K72" s="15" t="n">
        <f aca="true">RAND()</f>
        <v>0.205341490519157</v>
      </c>
      <c r="L72" s="15" t="n">
        <f aca="true">RAND()</f>
        <v>0.409864752186282</v>
      </c>
      <c r="M72" s="15" t="n">
        <f aca="true">RAND()</f>
        <v>0.859858819598589</v>
      </c>
      <c r="N72" s="15" t="n">
        <f aca="true">RAND()</f>
        <v>0.929386024053764</v>
      </c>
      <c r="O72" s="15" t="n">
        <f aca="true">RAND()</f>
        <v>0.617901622845949</v>
      </c>
      <c r="P72" s="15" t="n">
        <f aca="true">RAND()</f>
        <v>0.500553110861576</v>
      </c>
      <c r="Q72" s="15" t="n">
        <f aca="true">RAND()</f>
        <v>0.717269521959517</v>
      </c>
      <c r="R72" s="15" t="n">
        <f aca="true">RAND()</f>
        <v>0.295627156537958</v>
      </c>
      <c r="S72" s="15" t="n">
        <f aca="true">RAND()</f>
        <v>0.190734690572564</v>
      </c>
      <c r="T72" s="16" t="n">
        <f aca="false">LOOKUP(D72,$E$23:$E$26,$A$23:$A$26)+LOOKUP(D72,$E$23:$E$26,$D$23:$D$26)*(D72-LOOKUP(D72,$E$23:$E$26))/LOOKUP(D72,$E$23:$E$26,$C$23:$C$26)</f>
        <v>4.79806237071529</v>
      </c>
      <c r="U72" s="16" t="n">
        <f aca="false">LOOKUP(E72,$E$23:$E$26,$A$23:$A$26)+LOOKUP(E72,$E$23:$E$26,$D$23:$D$26)*(E72-LOOKUP(E72,$E$23:$E$26))/LOOKUP(E72,$E$23:$E$26,$C$23:$C$26)</f>
        <v>4.32602236198818</v>
      </c>
      <c r="V72" s="16" t="n">
        <f aca="false">LOOKUP(F72,$E$23:$E$26,$A$23:$A$26)+LOOKUP(F72,$E$23:$E$26,$D$23:$D$26)*(F72-LOOKUP(F72,$E$23:$E$26))/LOOKUP(F72,$E$23:$E$26,$C$23:$C$26)</f>
        <v>5.32239124344566</v>
      </c>
      <c r="W72" s="16" t="n">
        <f aca="false">LOOKUP(G72,$E$23:$E$26,$A$23:$A$26)+LOOKUP(G72,$E$23:$E$26,$D$23:$D$26)*(G72-LOOKUP(G72,$E$23:$E$26))/LOOKUP(G72,$E$23:$E$26,$C$23:$C$26)</f>
        <v>4.265736102083</v>
      </c>
      <c r="X72" s="16" t="n">
        <f aca="false">LOOKUP(H72,$E$23:$E$26,$A$23:$A$26)+LOOKUP(H72,$E$23:$E$26,$D$23:$D$26)*(H72-LOOKUP(H72,$E$23:$E$26))/LOOKUP(H72,$E$23:$E$26,$C$23:$C$26)</f>
        <v>4.0932438958812</v>
      </c>
      <c r="Y72" s="16" t="n">
        <f aca="false">LOOKUP(I72,$E$23:$E$26,$A$23:$A$26)+LOOKUP(I72,$E$23:$E$26,$D$23:$D$26)*(I72-LOOKUP(I72,$E$23:$E$26))/LOOKUP(I72,$E$23:$E$26,$C$23:$C$26)</f>
        <v>4.83215497740964</v>
      </c>
      <c r="Z72" s="16" t="n">
        <f aca="false">LOOKUP(J72,$E$23:$E$26,$A$23:$A$26)+LOOKUP(J72,$E$23:$E$26,$D$23:$D$26)*(J72-LOOKUP(J72,$E$23:$E$26))/LOOKUP(J72,$E$23:$E$26,$C$23:$C$26)</f>
        <v>4.57062744370021</v>
      </c>
      <c r="AA72" s="16" t="n">
        <f aca="false">LOOKUP(K72,$E$23:$E$26,$A$23:$A$26)+LOOKUP(K72,$E$23:$E$26,$D$23:$D$26)*(K72-LOOKUP(K72,$E$23:$E$26))/LOOKUP(K72,$E$23:$E$26,$C$23:$C$26)</f>
        <v>4.34223581753193</v>
      </c>
      <c r="AB72" s="16" t="n">
        <f aca="false">LOOKUP(L72,$E$23:$E$26,$A$23:$A$26)+LOOKUP(L72,$E$23:$E$26,$D$23:$D$26)*(L72-LOOKUP(L72,$E$23:$E$26))/LOOKUP(L72,$E$23:$E$26,$C$23:$C$26)</f>
        <v>4.63733094023285</v>
      </c>
      <c r="AC72" s="16" t="n">
        <f aca="false">LOOKUP(M72,$E$23:$E$26,$A$23:$A$26)+LOOKUP(M72,$E$23:$E$26,$D$23:$D$26)*(M72-LOOKUP(M72,$E$23:$E$26))/LOOKUP(M72,$E$23:$E$26,$C$23:$C$26)</f>
        <v>5.39964704899647</v>
      </c>
      <c r="AD72" s="16" t="n">
        <f aca="false">LOOKUP(N72,$E$23:$E$26,$A$23:$A$26)+LOOKUP(N72,$E$23:$E$26,$D$23:$D$26)*(N72-LOOKUP(N72,$E$23:$E$26))/LOOKUP(N72,$E$23:$E$26,$C$23:$C$26)</f>
        <v>5.64693012026882</v>
      </c>
      <c r="AE72" s="16" t="n">
        <f aca="false">LOOKUP(O72,$E$23:$E$26,$A$23:$A$26)+LOOKUP(O72,$E$23:$E$26,$D$23:$D$26)*(O72-LOOKUP(O72,$E$23:$E$26))/LOOKUP(O72,$E$23:$E$26,$C$23:$C$26)</f>
        <v>4.89737702855744</v>
      </c>
      <c r="AF72" s="16" t="n">
        <f aca="false">LOOKUP(P72,$E$23:$E$26,$A$23:$A$26)+LOOKUP(P72,$E$23:$E$26,$D$23:$D$26)*(P72-LOOKUP(P72,$E$23:$E$26))/LOOKUP(P72,$E$23:$E$26,$C$23:$C$26)</f>
        <v>4.75069138857697</v>
      </c>
      <c r="AG72" s="16" t="n">
        <f aca="false">LOOKUP(Q72,$E$23:$E$26,$A$23:$A$26)+LOOKUP(Q72,$E$23:$E$26,$D$23:$D$26)*(Q72-LOOKUP(Q72,$E$23:$E$26))/LOOKUP(Q72,$E$23:$E$26,$C$23:$C$26)</f>
        <v>5.04317380489879</v>
      </c>
      <c r="AH72" s="16" t="n">
        <f aca="false">LOOKUP(R72,$E$23:$E$26,$A$23:$A$26)+LOOKUP(R72,$E$23:$E$26,$D$23:$D$26)*(R72-LOOKUP(R72,$E$23:$E$26))/LOOKUP(R72,$E$23:$E$26,$C$23:$C$26)</f>
        <v>4.49271192756326</v>
      </c>
      <c r="AI72" s="16" t="n">
        <f aca="false">LOOKUP(S72,$E$23:$E$26,$A$23:$A$26)+LOOKUP(S72,$E$23:$E$26,$D$23:$D$26)*(S72-LOOKUP(S72,$E$23:$E$26))/LOOKUP(S72,$E$23:$E$26,$C$23:$C$26)</f>
        <v>4.31789115095427</v>
      </c>
      <c r="AJ72" s="16" t="n">
        <f aca="false">SUM($T72:T72)</f>
        <v>4.79806237071529</v>
      </c>
      <c r="AK72" s="16" t="n">
        <f aca="false">SUM($T72:U72)</f>
        <v>9.12408473270347</v>
      </c>
      <c r="AL72" s="16" t="n">
        <f aca="false">SUM($T72:V72)</f>
        <v>14.4464759761491</v>
      </c>
      <c r="AM72" s="16" t="n">
        <f aca="false">SUM($T72:W72)</f>
        <v>18.7122120782321</v>
      </c>
      <c r="AN72" s="16" t="n">
        <f aca="false">SUM($T72:X72)</f>
        <v>22.8054559741133</v>
      </c>
      <c r="AO72" s="16" t="n">
        <f aca="false">SUM($T72:Y72)</f>
        <v>27.637610951523</v>
      </c>
      <c r="AP72" s="16" t="n">
        <f aca="false">SUM($T72:Z72)</f>
        <v>32.2082383952232</v>
      </c>
      <c r="AQ72" s="16" t="n">
        <f aca="false">SUM($T72:AA72)</f>
        <v>36.5504742127551</v>
      </c>
      <c r="AR72" s="16" t="n">
        <f aca="false">SUM($T72:AB72)</f>
        <v>41.187805152988</v>
      </c>
      <c r="AS72" s="16" t="n">
        <f aca="false">SUM($T72:AC72)</f>
        <v>46.5874522019844</v>
      </c>
      <c r="AT72" s="16" t="n">
        <f aca="false">SUM($T72:AD72)</f>
        <v>52.2343823222533</v>
      </c>
      <c r="AU72" s="16" t="n">
        <f aca="false">SUM($T72:AE72)</f>
        <v>57.1317593508107</v>
      </c>
      <c r="AV72" s="16" t="n">
        <f aca="false">SUM($T72:AF72)</f>
        <v>61.8824507393877</v>
      </c>
      <c r="AW72" s="16" t="n">
        <f aca="false">SUM($T72:AG72)</f>
        <v>66.9256245442865</v>
      </c>
      <c r="AX72" s="16" t="n">
        <f aca="false">SUM($T72:AH72)</f>
        <v>71.4183364718497</v>
      </c>
      <c r="AY72" s="16" t="n">
        <f aca="false">SUM($T72:AI72)</f>
        <v>75.736227622804</v>
      </c>
      <c r="AZ72" s="16" t="n">
        <f aca="false">MAX(C72-AJ72,0)</f>
        <v>55.5646744404822</v>
      </c>
      <c r="BA72" s="16" t="n">
        <f aca="false">MAX(C72-AK72,0)</f>
        <v>51.238652078494</v>
      </c>
      <c r="BB72" s="16" t="n">
        <f aca="false">MAX(C72-AL72,0)</f>
        <v>45.9162608350483</v>
      </c>
      <c r="BC72" s="16" t="n">
        <f aca="false">MAX(C72-AM72,0)</f>
        <v>41.6505247329653</v>
      </c>
      <c r="BD72" s="16" t="n">
        <f aca="false">MAX(C72-AN72,0)</f>
        <v>37.5572808370841</v>
      </c>
      <c r="BE72" s="16" t="n">
        <f aca="false">MAX(C72-AO72,0)</f>
        <v>32.7251258596745</v>
      </c>
      <c r="BF72" s="16" t="n">
        <f aca="false">MAX(C72-AP72,0)</f>
        <v>28.1544984159743</v>
      </c>
      <c r="BG72" s="16" t="n">
        <f aca="false">MAX(C72-AQ72,0)</f>
        <v>23.8122625984423</v>
      </c>
      <c r="BH72" s="16" t="n">
        <f aca="false">MAX(C72-AR72,0)</f>
        <v>19.1749316582095</v>
      </c>
      <c r="BI72" s="16" t="n">
        <f aca="false">MAX(C72-AS72,0)</f>
        <v>13.775284609213</v>
      </c>
      <c r="BJ72" s="16" t="n">
        <f aca="false">MAX(C72-AT72,0)</f>
        <v>8.12835448894418</v>
      </c>
      <c r="BK72" s="16" t="n">
        <f aca="false">MAX(C72-AU72,0)</f>
        <v>3.23097746038675</v>
      </c>
      <c r="BL72" s="16" t="n">
        <f aca="false">MAX(C72-AV72,0)</f>
        <v>0</v>
      </c>
      <c r="BM72" s="16" t="n">
        <f aca="false">MAX(C72-AW72,0)</f>
        <v>0</v>
      </c>
      <c r="BN72" s="16" t="n">
        <f aca="false">MAX(C72-AX72,0)</f>
        <v>0</v>
      </c>
      <c r="BO72" s="16" t="n">
        <f aca="false">MAX(C72-AY72,0)</f>
        <v>0</v>
      </c>
    </row>
    <row r="73" customFormat="false" ht="15" hidden="false" customHeight="false" outlineLevel="0" collapsed="false">
      <c r="A73" s="3" t="n">
        <v>43</v>
      </c>
      <c r="B73" s="15" t="n">
        <f aca="true">RAND()</f>
        <v>0.142253769664364</v>
      </c>
      <c r="C73" s="16" t="n">
        <f aca="false">LOOKUP(B73,$E$12:$E$17,$A$12:$A$17)+LOOKUP(B73,$E$12:$E$17,$D$12:$D$17)*(B73-LOOKUP(B73,$E$12:$E$17))/LOOKUP(B73,$E$12:$E$17,$C$12:$C$17)</f>
        <v>56.4084589888121</v>
      </c>
      <c r="D73" s="15" t="n">
        <f aca="true">RAND()</f>
        <v>0.369223155009079</v>
      </c>
      <c r="E73" s="15" t="n">
        <f aca="true">RAND()</f>
        <v>0.802936782492085</v>
      </c>
      <c r="F73" s="15" t="n">
        <f aca="true">RAND()</f>
        <v>0.562283837286131</v>
      </c>
      <c r="G73" s="15" t="n">
        <f aca="true">RAND()</f>
        <v>0.457604117480194</v>
      </c>
      <c r="H73" s="15" t="n">
        <f aca="true">RAND()</f>
        <v>0.756869555185762</v>
      </c>
      <c r="I73" s="15" t="n">
        <f aca="true">RAND()</f>
        <v>0.0702822826861998</v>
      </c>
      <c r="J73" s="15" t="n">
        <f aca="true">RAND()</f>
        <v>0.56750369980576</v>
      </c>
      <c r="K73" s="15" t="n">
        <f aca="true">RAND()</f>
        <v>0.916758582222134</v>
      </c>
      <c r="L73" s="15" t="n">
        <f aca="true">RAND()</f>
        <v>0.00610453337545479</v>
      </c>
      <c r="M73" s="15" t="n">
        <f aca="true">RAND()</f>
        <v>0.0798696593858459</v>
      </c>
      <c r="N73" s="15" t="n">
        <f aca="true">RAND()</f>
        <v>0.687763793424897</v>
      </c>
      <c r="O73" s="15" t="n">
        <f aca="true">RAND()</f>
        <v>0.330365549207278</v>
      </c>
      <c r="P73" s="15" t="n">
        <f aca="true">RAND()</f>
        <v>0.568712686569671</v>
      </c>
      <c r="Q73" s="15" t="n">
        <f aca="true">RAND()</f>
        <v>0.86473349102131</v>
      </c>
      <c r="R73" s="15" t="n">
        <f aca="true">RAND()</f>
        <v>0.174782641668201</v>
      </c>
      <c r="S73" s="15" t="n">
        <f aca="true">RAND()</f>
        <v>0.0903202484537332</v>
      </c>
      <c r="T73" s="16" t="n">
        <f aca="false">LOOKUP(D73,$E$23:$E$26,$A$23:$A$26)+LOOKUP(D73,$E$23:$E$26,$D$23:$D$26)*(D73-LOOKUP(D73,$E$23:$E$26))/LOOKUP(D73,$E$23:$E$26,$C$23:$C$26)</f>
        <v>4.58652894376135</v>
      </c>
      <c r="U73" s="16" t="n">
        <f aca="false">LOOKUP(E73,$E$23:$E$26,$A$23:$A$26)+LOOKUP(E73,$E$23:$E$26,$D$23:$D$26)*(E73-LOOKUP(E73,$E$23:$E$26))/LOOKUP(E73,$E$23:$E$26,$C$23:$C$26)</f>
        <v>5.25734195623021</v>
      </c>
      <c r="V73" s="16" t="n">
        <f aca="false">LOOKUP(F73,$E$23:$E$26,$A$23:$A$26)+LOOKUP(F73,$E$23:$E$26,$D$23:$D$26)*(F73-LOOKUP(F73,$E$23:$E$26))/LOOKUP(F73,$E$23:$E$26,$C$23:$C$26)</f>
        <v>4.82785479660766</v>
      </c>
      <c r="W73" s="16" t="n">
        <f aca="false">LOOKUP(G73,$E$23:$E$26,$A$23:$A$26)+LOOKUP(G73,$E$23:$E$26,$D$23:$D$26)*(G73-LOOKUP(G73,$E$23:$E$26))/LOOKUP(G73,$E$23:$E$26,$C$23:$C$26)</f>
        <v>4.69700514685024</v>
      </c>
      <c r="X73" s="16" t="n">
        <f aca="false">LOOKUP(H73,$E$23:$E$26,$A$23:$A$26)+LOOKUP(H73,$E$23:$E$26,$D$23:$D$26)*(H73-LOOKUP(H73,$E$23:$E$26))/LOOKUP(H73,$E$23:$E$26,$C$23:$C$26)</f>
        <v>5.14217388796441</v>
      </c>
      <c r="Y73" s="16" t="n">
        <f aca="false">LOOKUP(I73,$E$23:$E$26,$A$23:$A$26)+LOOKUP(I73,$E$23:$E$26,$D$23:$D$26)*(I73-LOOKUP(I73,$E$23:$E$26))/LOOKUP(I73,$E$23:$E$26,$C$23:$C$26)</f>
        <v>4.11713713781033</v>
      </c>
      <c r="Z73" s="16" t="n">
        <f aca="false">LOOKUP(J73,$E$23:$E$26,$A$23:$A$26)+LOOKUP(J73,$E$23:$E$26,$D$23:$D$26)*(J73-LOOKUP(J73,$E$23:$E$26))/LOOKUP(J73,$E$23:$E$26,$C$23:$C$26)</f>
        <v>4.8343796247572</v>
      </c>
      <c r="AA73" s="16" t="n">
        <f aca="false">LOOKUP(K73,$E$23:$E$26,$A$23:$A$26)+LOOKUP(K73,$E$23:$E$26,$D$23:$D$26)*(K73-LOOKUP(K73,$E$23:$E$26))/LOOKUP(K73,$E$23:$E$26,$C$23:$C$26)</f>
        <v>5.58379291111067</v>
      </c>
      <c r="AB73" s="16" t="n">
        <f aca="false">LOOKUP(L73,$E$23:$E$26,$A$23:$A$26)+LOOKUP(L73,$E$23:$E$26,$D$23:$D$26)*(L73-LOOKUP(L73,$E$23:$E$26))/LOOKUP(L73,$E$23:$E$26,$C$23:$C$26)</f>
        <v>4.01017422229243</v>
      </c>
      <c r="AC73" s="16" t="n">
        <f aca="false">LOOKUP(M73,$E$23:$E$26,$A$23:$A$26)+LOOKUP(M73,$E$23:$E$26,$D$23:$D$26)*(M73-LOOKUP(M73,$E$23:$E$26))/LOOKUP(M73,$E$23:$E$26,$C$23:$C$26)</f>
        <v>4.13311609897641</v>
      </c>
      <c r="AD73" s="16" t="n">
        <f aca="false">LOOKUP(N73,$E$23:$E$26,$A$23:$A$26)+LOOKUP(N73,$E$23:$E$26,$D$23:$D$26)*(N73-LOOKUP(N73,$E$23:$E$26))/LOOKUP(N73,$E$23:$E$26,$C$23:$C$26)</f>
        <v>4.98470474178112</v>
      </c>
      <c r="AE73" s="16" t="n">
        <f aca="false">LOOKUP(O73,$E$23:$E$26,$A$23:$A$26)+LOOKUP(O73,$E$23:$E$26,$D$23:$D$26)*(O73-LOOKUP(O73,$E$23:$E$26))/LOOKUP(O73,$E$23:$E$26,$C$23:$C$26)</f>
        <v>4.5379569365091</v>
      </c>
      <c r="AF73" s="16" t="n">
        <f aca="false">LOOKUP(P73,$E$23:$E$26,$A$23:$A$26)+LOOKUP(P73,$E$23:$E$26,$D$23:$D$26)*(P73-LOOKUP(P73,$E$23:$E$26))/LOOKUP(P73,$E$23:$E$26,$C$23:$C$26)</f>
        <v>4.83589085821209</v>
      </c>
      <c r="AG73" s="16" t="n">
        <f aca="false">LOOKUP(Q73,$E$23:$E$26,$A$23:$A$26)+LOOKUP(Q73,$E$23:$E$26,$D$23:$D$26)*(Q73-LOOKUP(Q73,$E$23:$E$26))/LOOKUP(Q73,$E$23:$E$26,$C$23:$C$26)</f>
        <v>5.41183372755328</v>
      </c>
      <c r="AH73" s="16" t="n">
        <f aca="false">LOOKUP(R73,$E$23:$E$26,$A$23:$A$26)+LOOKUP(R73,$E$23:$E$26,$D$23:$D$26)*(R73-LOOKUP(R73,$E$23:$E$26))/LOOKUP(R73,$E$23:$E$26,$C$23:$C$26)</f>
        <v>4.29130440278034</v>
      </c>
      <c r="AI73" s="16" t="n">
        <f aca="false">LOOKUP(S73,$E$23:$E$26,$A$23:$A$26)+LOOKUP(S73,$E$23:$E$26,$D$23:$D$26)*(S73-LOOKUP(S73,$E$23:$E$26))/LOOKUP(S73,$E$23:$E$26,$C$23:$C$26)</f>
        <v>4.15053374742289</v>
      </c>
      <c r="AJ73" s="16" t="n">
        <f aca="false">SUM($T73:T73)</f>
        <v>4.58652894376135</v>
      </c>
      <c r="AK73" s="16" t="n">
        <f aca="false">SUM($T73:U73)</f>
        <v>9.84387089999156</v>
      </c>
      <c r="AL73" s="16" t="n">
        <f aca="false">SUM($T73:V73)</f>
        <v>14.6717256965992</v>
      </c>
      <c r="AM73" s="16" t="n">
        <f aca="false">SUM($T73:W73)</f>
        <v>19.3687308434495</v>
      </c>
      <c r="AN73" s="16" t="n">
        <f aca="false">SUM($T73:X73)</f>
        <v>24.5109047314139</v>
      </c>
      <c r="AO73" s="16" t="n">
        <f aca="false">SUM($T73:Y73)</f>
        <v>28.6280418692242</v>
      </c>
      <c r="AP73" s="16" t="n">
        <f aca="false">SUM($T73:Z73)</f>
        <v>33.4624214939814</v>
      </c>
      <c r="AQ73" s="16" t="n">
        <f aca="false">SUM($T73:AA73)</f>
        <v>39.0462144050921</v>
      </c>
      <c r="AR73" s="16" t="n">
        <f aca="false">SUM($T73:AB73)</f>
        <v>43.0563886273845</v>
      </c>
      <c r="AS73" s="16" t="n">
        <f aca="false">SUM($T73:AC73)</f>
        <v>47.1895047263609</v>
      </c>
      <c r="AT73" s="16" t="n">
        <f aca="false">SUM($T73:AD73)</f>
        <v>52.174209468142</v>
      </c>
      <c r="AU73" s="16" t="n">
        <f aca="false">SUM($T73:AE73)</f>
        <v>56.7121664046511</v>
      </c>
      <c r="AV73" s="16" t="n">
        <f aca="false">SUM($T73:AF73)</f>
        <v>61.5480572628632</v>
      </c>
      <c r="AW73" s="16" t="n">
        <f aca="false">SUM($T73:AG73)</f>
        <v>66.9598909904165</v>
      </c>
      <c r="AX73" s="16" t="n">
        <f aca="false">SUM($T73:AH73)</f>
        <v>71.2511953931968</v>
      </c>
      <c r="AY73" s="16" t="n">
        <f aca="false">SUM($T73:AI73)</f>
        <v>75.4017291406197</v>
      </c>
      <c r="AZ73" s="16" t="n">
        <f aca="false">MAX(C73-AJ73,0)</f>
        <v>51.8219300450508</v>
      </c>
      <c r="BA73" s="16" t="n">
        <f aca="false">MAX(C73-AK73,0)</f>
        <v>46.5645880888206</v>
      </c>
      <c r="BB73" s="16" t="n">
        <f aca="false">MAX(C73-AL73,0)</f>
        <v>41.7367332922129</v>
      </c>
      <c r="BC73" s="16" t="n">
        <f aca="false">MAX(C73-AM73,0)</f>
        <v>37.0397281453627</v>
      </c>
      <c r="BD73" s="16" t="n">
        <f aca="false">MAX(C73-AN73,0)</f>
        <v>31.8975542573983</v>
      </c>
      <c r="BE73" s="16" t="n">
        <f aca="false">MAX(C73-AO73,0)</f>
        <v>27.7804171195879</v>
      </c>
      <c r="BF73" s="16" t="n">
        <f aca="false">MAX(C73-AP73,0)</f>
        <v>22.9460374948307</v>
      </c>
      <c r="BG73" s="16" t="n">
        <f aca="false">MAX(C73-AQ73,0)</f>
        <v>17.3622445837201</v>
      </c>
      <c r="BH73" s="16" t="n">
        <f aca="false">MAX(C73-AR73,0)</f>
        <v>13.3520703614276</v>
      </c>
      <c r="BI73" s="16" t="n">
        <f aca="false">MAX(C73-AS73,0)</f>
        <v>9.21895426245123</v>
      </c>
      <c r="BJ73" s="16" t="n">
        <f aca="false">MAX(C73-AT73,0)</f>
        <v>4.23424952067011</v>
      </c>
      <c r="BK73" s="16" t="n">
        <f aca="false">MAX(C73-AU73,0)</f>
        <v>0</v>
      </c>
      <c r="BL73" s="16" t="n">
        <f aca="false">MAX(C73-AV73,0)</f>
        <v>0</v>
      </c>
      <c r="BM73" s="16" t="n">
        <f aca="false">MAX(C73-AW73,0)</f>
        <v>0</v>
      </c>
      <c r="BN73" s="16" t="n">
        <f aca="false">MAX(C73-AX73,0)</f>
        <v>0</v>
      </c>
      <c r="BO73" s="16" t="n">
        <f aca="false">MAX(C73-AY73,0)</f>
        <v>0</v>
      </c>
    </row>
    <row r="74" customFormat="false" ht="15" hidden="false" customHeight="false" outlineLevel="0" collapsed="false">
      <c r="A74" s="3" t="n">
        <v>44</v>
      </c>
      <c r="B74" s="15" t="n">
        <f aca="true">RAND()</f>
        <v>0.587683723516655</v>
      </c>
      <c r="C74" s="16" t="n">
        <f aca="false">LOOKUP(B74,$E$12:$E$17,$A$12:$A$17)+LOOKUP(B74,$E$12:$E$17,$D$12:$D$17)*(B74-LOOKUP(B74,$E$12:$E$17))/LOOKUP(B74,$E$12:$E$17,$C$12:$C$17)</f>
        <v>65.5383389073808</v>
      </c>
      <c r="D74" s="15" t="n">
        <f aca="true">RAND()</f>
        <v>0.0908652562195986</v>
      </c>
      <c r="E74" s="15" t="n">
        <f aca="true">RAND()</f>
        <v>0.736850976655637</v>
      </c>
      <c r="F74" s="15" t="n">
        <f aca="true">RAND()</f>
        <v>0.102659500562901</v>
      </c>
      <c r="G74" s="15" t="n">
        <f aca="true">RAND()</f>
        <v>0.0518056086936407</v>
      </c>
      <c r="H74" s="15" t="n">
        <f aca="true">RAND()</f>
        <v>0.344696776255695</v>
      </c>
      <c r="I74" s="15" t="n">
        <f aca="true">RAND()</f>
        <v>0.837294301102649</v>
      </c>
      <c r="J74" s="15" t="n">
        <f aca="true">RAND()</f>
        <v>0.930434515802172</v>
      </c>
      <c r="K74" s="15" t="n">
        <f aca="true">RAND()</f>
        <v>0.898085191612388</v>
      </c>
      <c r="L74" s="15" t="n">
        <f aca="true">RAND()</f>
        <v>0.0452271074704857</v>
      </c>
      <c r="M74" s="15" t="n">
        <f aca="true">RAND()</f>
        <v>0.976376892553342</v>
      </c>
      <c r="N74" s="15" t="n">
        <f aca="true">RAND()</f>
        <v>0.872150040453658</v>
      </c>
      <c r="O74" s="15" t="n">
        <f aca="true">RAND()</f>
        <v>0.995533905767595</v>
      </c>
      <c r="P74" s="15" t="n">
        <f aca="true">RAND()</f>
        <v>0.910507501323209</v>
      </c>
      <c r="Q74" s="15" t="n">
        <f aca="true">RAND()</f>
        <v>0.208774956859799</v>
      </c>
      <c r="R74" s="15" t="n">
        <f aca="true">RAND()</f>
        <v>0.16819926325606</v>
      </c>
      <c r="S74" s="15" t="n">
        <f aca="true">RAND()</f>
        <v>0.585280596256888</v>
      </c>
      <c r="T74" s="16" t="n">
        <f aca="false">LOOKUP(D74,$E$23:$E$26,$A$23:$A$26)+LOOKUP(D74,$E$23:$E$26,$D$23:$D$26)*(D74-LOOKUP(D74,$E$23:$E$26))/LOOKUP(D74,$E$23:$E$26,$C$23:$C$26)</f>
        <v>4.15144209369933</v>
      </c>
      <c r="U74" s="16" t="n">
        <f aca="false">LOOKUP(E74,$E$23:$E$26,$A$23:$A$26)+LOOKUP(E74,$E$23:$E$26,$D$23:$D$26)*(E74-LOOKUP(E74,$E$23:$E$26))/LOOKUP(E74,$E$23:$E$26,$C$23:$C$26)</f>
        <v>5.09212744163909</v>
      </c>
      <c r="V74" s="16" t="n">
        <f aca="false">LOOKUP(F74,$E$23:$E$26,$A$23:$A$26)+LOOKUP(F74,$E$23:$E$26,$D$23:$D$26)*(F74-LOOKUP(F74,$E$23:$E$26))/LOOKUP(F74,$E$23:$E$26,$C$23:$C$26)</f>
        <v>4.17109916760483</v>
      </c>
      <c r="W74" s="16" t="n">
        <f aca="false">LOOKUP(G74,$E$23:$E$26,$A$23:$A$26)+LOOKUP(G74,$E$23:$E$26,$D$23:$D$26)*(G74-LOOKUP(G74,$E$23:$E$26))/LOOKUP(G74,$E$23:$E$26,$C$23:$C$26)</f>
        <v>4.08634268115607</v>
      </c>
      <c r="X74" s="16" t="n">
        <f aca="false">LOOKUP(H74,$E$23:$E$26,$A$23:$A$26)+LOOKUP(H74,$E$23:$E$26,$D$23:$D$26)*(H74-LOOKUP(H74,$E$23:$E$26))/LOOKUP(H74,$E$23:$E$26,$C$23:$C$26)</f>
        <v>4.55587097031962</v>
      </c>
      <c r="Y74" s="16" t="n">
        <f aca="false">LOOKUP(I74,$E$23:$E$26,$A$23:$A$26)+LOOKUP(I74,$E$23:$E$26,$D$23:$D$26)*(I74-LOOKUP(I74,$E$23:$E$26))/LOOKUP(I74,$E$23:$E$26,$C$23:$C$26)</f>
        <v>5.34323575275662</v>
      </c>
      <c r="Z74" s="16" t="n">
        <f aca="false">LOOKUP(J74,$E$23:$E$26,$A$23:$A$26)+LOOKUP(J74,$E$23:$E$26,$D$23:$D$26)*(J74-LOOKUP(J74,$E$23:$E$26))/LOOKUP(J74,$E$23:$E$26,$C$23:$C$26)</f>
        <v>5.65217257901086</v>
      </c>
      <c r="AA74" s="16" t="n">
        <f aca="false">LOOKUP(K74,$E$23:$E$26,$A$23:$A$26)+LOOKUP(K74,$E$23:$E$26,$D$23:$D$26)*(K74-LOOKUP(K74,$E$23:$E$26))/LOOKUP(K74,$E$23:$E$26,$C$23:$C$26)</f>
        <v>5.49521297903097</v>
      </c>
      <c r="AB74" s="16" t="n">
        <f aca="false">LOOKUP(L74,$E$23:$E$26,$A$23:$A$26)+LOOKUP(L74,$E$23:$E$26,$D$23:$D$26)*(L74-LOOKUP(L74,$E$23:$E$26))/LOOKUP(L74,$E$23:$E$26,$C$23:$C$26)</f>
        <v>4.07537851245081</v>
      </c>
      <c r="AC74" s="16" t="n">
        <f aca="false">LOOKUP(M74,$E$23:$E$26,$A$23:$A$26)+LOOKUP(M74,$E$23:$E$26,$D$23:$D$26)*(M74-LOOKUP(M74,$E$23:$E$26))/LOOKUP(M74,$E$23:$E$26,$C$23:$C$26)</f>
        <v>5.88188446276671</v>
      </c>
      <c r="AD74" s="16" t="n">
        <f aca="false">LOOKUP(N74,$E$23:$E$26,$A$23:$A$26)+LOOKUP(N74,$E$23:$E$26,$D$23:$D$26)*(N74-LOOKUP(N74,$E$23:$E$26))/LOOKUP(N74,$E$23:$E$26,$C$23:$C$26)</f>
        <v>5.43037510113415</v>
      </c>
      <c r="AE74" s="16" t="n">
        <f aca="false">LOOKUP(O74,$E$23:$E$26,$A$23:$A$26)+LOOKUP(O74,$E$23:$E$26,$D$23:$D$26)*(O74-LOOKUP(O74,$E$23:$E$26))/LOOKUP(O74,$E$23:$E$26,$C$23:$C$26)</f>
        <v>5.97766952883797</v>
      </c>
      <c r="AF74" s="16" t="n">
        <f aca="false">LOOKUP(P74,$E$23:$E$26,$A$23:$A$26)+LOOKUP(P74,$E$23:$E$26,$D$23:$D$26)*(P74-LOOKUP(P74,$E$23:$E$26))/LOOKUP(P74,$E$23:$E$26,$C$23:$C$26)</f>
        <v>5.55253750661604</v>
      </c>
      <c r="AG74" s="16" t="n">
        <f aca="false">LOOKUP(Q74,$E$23:$E$26,$A$23:$A$26)+LOOKUP(Q74,$E$23:$E$26,$D$23:$D$26)*(Q74-LOOKUP(Q74,$E$23:$E$26))/LOOKUP(Q74,$E$23:$E$26,$C$23:$C$26)</f>
        <v>4.347958261433</v>
      </c>
      <c r="AH74" s="16" t="n">
        <f aca="false">LOOKUP(R74,$E$23:$E$26,$A$23:$A$26)+LOOKUP(R74,$E$23:$E$26,$D$23:$D$26)*(R74-LOOKUP(R74,$E$23:$E$26))/LOOKUP(R74,$E$23:$E$26,$C$23:$C$26)</f>
        <v>4.28033210542677</v>
      </c>
      <c r="AI74" s="16" t="n">
        <f aca="false">LOOKUP(S74,$E$23:$E$26,$A$23:$A$26)+LOOKUP(S74,$E$23:$E$26,$D$23:$D$26)*(S74-LOOKUP(S74,$E$23:$E$26))/LOOKUP(S74,$E$23:$E$26,$C$23:$C$26)</f>
        <v>4.85660074532111</v>
      </c>
      <c r="AJ74" s="16" t="n">
        <f aca="false">SUM($T74:T74)</f>
        <v>4.15144209369933</v>
      </c>
      <c r="AK74" s="16" t="n">
        <f aca="false">SUM($T74:U74)</f>
        <v>9.24356953533843</v>
      </c>
      <c r="AL74" s="16" t="n">
        <f aca="false">SUM($T74:V74)</f>
        <v>13.4146687029433</v>
      </c>
      <c r="AM74" s="16" t="n">
        <f aca="false">SUM($T74:W74)</f>
        <v>17.5010113840993</v>
      </c>
      <c r="AN74" s="16" t="n">
        <f aca="false">SUM($T74:X74)</f>
        <v>22.0568823544189</v>
      </c>
      <c r="AO74" s="16" t="n">
        <f aca="false">SUM($T74:Y74)</f>
        <v>27.4001181071756</v>
      </c>
      <c r="AP74" s="16" t="n">
        <f aca="false">SUM($T74:Z74)</f>
        <v>33.0522906861864</v>
      </c>
      <c r="AQ74" s="16" t="n">
        <f aca="false">SUM($T74:AA74)</f>
        <v>38.5475036652174</v>
      </c>
      <c r="AR74" s="16" t="n">
        <f aca="false">SUM($T74:AB74)</f>
        <v>42.6228821776682</v>
      </c>
      <c r="AS74" s="16" t="n">
        <f aca="false">SUM($T74:AC74)</f>
        <v>48.5047666404349</v>
      </c>
      <c r="AT74" s="16" t="n">
        <f aca="false">SUM($T74:AD74)</f>
        <v>53.9351417415691</v>
      </c>
      <c r="AU74" s="16" t="n">
        <f aca="false">SUM($T74:AE74)</f>
        <v>59.912811270407</v>
      </c>
      <c r="AV74" s="16" t="n">
        <f aca="false">SUM($T74:AF74)</f>
        <v>65.4653487770231</v>
      </c>
      <c r="AW74" s="16" t="n">
        <f aca="false">SUM($T74:AG74)</f>
        <v>69.8133070384561</v>
      </c>
      <c r="AX74" s="16" t="n">
        <f aca="false">SUM($T74:AH74)</f>
        <v>74.0936391438828</v>
      </c>
      <c r="AY74" s="16" t="n">
        <f aca="false">SUM($T74:AI74)</f>
        <v>78.9502398892039</v>
      </c>
      <c r="AZ74" s="16" t="n">
        <f aca="false">MAX(C74-AJ74,0)</f>
        <v>61.3868968136815</v>
      </c>
      <c r="BA74" s="16" t="n">
        <f aca="false">MAX(C74-AK74,0)</f>
        <v>56.2947693720424</v>
      </c>
      <c r="BB74" s="16" t="n">
        <f aca="false">MAX(C74-AL74,0)</f>
        <v>52.1236702044375</v>
      </c>
      <c r="BC74" s="16" t="n">
        <f aca="false">MAX(C74-AM74,0)</f>
        <v>48.0373275232815</v>
      </c>
      <c r="BD74" s="16" t="n">
        <f aca="false">MAX(C74-AN74,0)</f>
        <v>43.4814565529618</v>
      </c>
      <c r="BE74" s="16" t="n">
        <f aca="false">MAX(C74-AO74,0)</f>
        <v>38.1382208002052</v>
      </c>
      <c r="BF74" s="16" t="n">
        <f aca="false">MAX(C74-AP74,0)</f>
        <v>32.4860482211944</v>
      </c>
      <c r="BG74" s="16" t="n">
        <f aca="false">MAX(C74-AQ74,0)</f>
        <v>26.9908352421634</v>
      </c>
      <c r="BH74" s="16" t="n">
        <f aca="false">MAX(C74-AR74,0)</f>
        <v>22.9154567297126</v>
      </c>
      <c r="BI74" s="16" t="n">
        <f aca="false">MAX(C74-AS74,0)</f>
        <v>17.0335722669459</v>
      </c>
      <c r="BJ74" s="16" t="n">
        <f aca="false">MAX(C74-AT74,0)</f>
        <v>11.6031971658117</v>
      </c>
      <c r="BK74" s="16" t="n">
        <f aca="false">MAX(C74-AU74,0)</f>
        <v>5.62552763697376</v>
      </c>
      <c r="BL74" s="16" t="n">
        <f aca="false">MAX(C74-AV74,0)</f>
        <v>0.0729901303577094</v>
      </c>
      <c r="BM74" s="16" t="n">
        <f aca="false">MAX(C74-AW74,0)</f>
        <v>0</v>
      </c>
      <c r="BN74" s="16" t="n">
        <f aca="false">MAX(C74-AX74,0)</f>
        <v>0</v>
      </c>
      <c r="BO74" s="16" t="n">
        <f aca="false">MAX(C74-AY74,0)</f>
        <v>0</v>
      </c>
    </row>
    <row r="75" customFormat="false" ht="15" hidden="false" customHeight="false" outlineLevel="0" collapsed="false">
      <c r="A75" s="3" t="n">
        <v>45</v>
      </c>
      <c r="B75" s="15" t="n">
        <f aca="true">RAND()</f>
        <v>0.37809779701251</v>
      </c>
      <c r="C75" s="16" t="n">
        <f aca="false">LOOKUP(B75,$E$12:$E$17,$A$12:$A$17)+LOOKUP(B75,$E$12:$E$17,$D$12:$D$17)*(B75-LOOKUP(B75,$E$12:$E$17))/LOOKUP(B75,$E$12:$E$17,$C$12:$C$17)</f>
        <v>62.1349632835418</v>
      </c>
      <c r="D75" s="15" t="n">
        <f aca="true">RAND()</f>
        <v>0.751132612726371</v>
      </c>
      <c r="E75" s="15" t="n">
        <f aca="true">RAND()</f>
        <v>0.622635371997599</v>
      </c>
      <c r="F75" s="15" t="n">
        <f aca="true">RAND()</f>
        <v>0.0202478580481222</v>
      </c>
      <c r="G75" s="15" t="n">
        <f aca="true">RAND()</f>
        <v>0.594737812148371</v>
      </c>
      <c r="H75" s="15" t="n">
        <f aca="true">RAND()</f>
        <v>0.91564429105822</v>
      </c>
      <c r="I75" s="15" t="n">
        <f aca="true">RAND()</f>
        <v>0.902929720345237</v>
      </c>
      <c r="J75" s="15" t="n">
        <f aca="true">RAND()</f>
        <v>0.893421375469338</v>
      </c>
      <c r="K75" s="15" t="n">
        <f aca="true">RAND()</f>
        <v>0.577708961060651</v>
      </c>
      <c r="L75" s="15" t="n">
        <f aca="true">RAND()</f>
        <v>0.545533079878862</v>
      </c>
      <c r="M75" s="15" t="n">
        <f aca="true">RAND()</f>
        <v>0.0381587592132788</v>
      </c>
      <c r="N75" s="15" t="n">
        <f aca="true">RAND()</f>
        <v>0.272871698878611</v>
      </c>
      <c r="O75" s="15" t="n">
        <f aca="true">RAND()</f>
        <v>0.0791270340597213</v>
      </c>
      <c r="P75" s="15" t="n">
        <f aca="true">RAND()</f>
        <v>0.452141532643244</v>
      </c>
      <c r="Q75" s="15" t="n">
        <f aca="true">RAND()</f>
        <v>0.719012609907841</v>
      </c>
      <c r="R75" s="15" t="n">
        <f aca="true">RAND()</f>
        <v>0.649591371676142</v>
      </c>
      <c r="S75" s="15" t="n">
        <f aca="true">RAND()</f>
        <v>0.249897680266004</v>
      </c>
      <c r="T75" s="16" t="n">
        <f aca="false">LOOKUP(D75,$E$23:$E$26,$A$23:$A$26)+LOOKUP(D75,$E$23:$E$26,$D$23:$D$26)*(D75-LOOKUP(D75,$E$23:$E$26))/LOOKUP(D75,$E$23:$E$26,$C$23:$C$26)</f>
        <v>5.12783153181593</v>
      </c>
      <c r="U75" s="16" t="n">
        <f aca="false">LOOKUP(E75,$E$23:$E$26,$A$23:$A$26)+LOOKUP(E75,$E$23:$E$26,$D$23:$D$26)*(E75-LOOKUP(E75,$E$23:$E$26))/LOOKUP(E75,$E$23:$E$26,$C$23:$C$26)</f>
        <v>4.903294214997</v>
      </c>
      <c r="V75" s="16" t="n">
        <f aca="false">LOOKUP(F75,$E$23:$E$26,$A$23:$A$26)+LOOKUP(F75,$E$23:$E$26,$D$23:$D$26)*(F75-LOOKUP(F75,$E$23:$E$26))/LOOKUP(F75,$E$23:$E$26,$C$23:$C$26)</f>
        <v>4.0337464300802</v>
      </c>
      <c r="W75" s="16" t="n">
        <f aca="false">LOOKUP(G75,$E$23:$E$26,$A$23:$A$26)+LOOKUP(G75,$E$23:$E$26,$D$23:$D$26)*(G75-LOOKUP(G75,$E$23:$E$26))/LOOKUP(G75,$E$23:$E$26,$C$23:$C$26)</f>
        <v>4.86842226518546</v>
      </c>
      <c r="X75" s="16" t="n">
        <f aca="false">LOOKUP(H75,$E$23:$E$26,$A$23:$A$26)+LOOKUP(H75,$E$23:$E$26,$D$23:$D$26)*(H75-LOOKUP(H75,$E$23:$E$26))/LOOKUP(H75,$E$23:$E$26,$C$23:$C$26)</f>
        <v>5.5782214552911</v>
      </c>
      <c r="Y75" s="16" t="n">
        <f aca="false">LOOKUP(I75,$E$23:$E$26,$A$23:$A$26)+LOOKUP(I75,$E$23:$E$26,$D$23:$D$26)*(I75-LOOKUP(I75,$E$23:$E$26))/LOOKUP(I75,$E$23:$E$26,$C$23:$C$26)</f>
        <v>5.51464860172619</v>
      </c>
      <c r="Z75" s="16" t="n">
        <f aca="false">LOOKUP(J75,$E$23:$E$26,$A$23:$A$26)+LOOKUP(J75,$E$23:$E$26,$D$23:$D$26)*(J75-LOOKUP(J75,$E$23:$E$26))/LOOKUP(J75,$E$23:$E$26,$C$23:$C$26)</f>
        <v>5.48355343867335</v>
      </c>
      <c r="AA75" s="16" t="n">
        <f aca="false">LOOKUP(K75,$E$23:$E$26,$A$23:$A$26)+LOOKUP(K75,$E$23:$E$26,$D$23:$D$26)*(K75-LOOKUP(K75,$E$23:$E$26))/LOOKUP(K75,$E$23:$E$26,$C$23:$C$26)</f>
        <v>4.84713620132581</v>
      </c>
      <c r="AB75" s="16" t="n">
        <f aca="false">LOOKUP(L75,$E$23:$E$26,$A$23:$A$26)+LOOKUP(L75,$E$23:$E$26,$D$23:$D$26)*(L75-LOOKUP(L75,$E$23:$E$26))/LOOKUP(L75,$E$23:$E$26,$C$23:$C$26)</f>
        <v>4.80691634984858</v>
      </c>
      <c r="AC75" s="16" t="n">
        <f aca="false">LOOKUP(M75,$E$23:$E$26,$A$23:$A$26)+LOOKUP(M75,$E$23:$E$26,$D$23:$D$26)*(M75-LOOKUP(M75,$E$23:$E$26))/LOOKUP(M75,$E$23:$E$26,$C$23:$C$26)</f>
        <v>4.06359793202213</v>
      </c>
      <c r="AD75" s="16" t="n">
        <f aca="false">LOOKUP(N75,$E$23:$E$26,$A$23:$A$26)+LOOKUP(N75,$E$23:$E$26,$D$23:$D$26)*(N75-LOOKUP(N75,$E$23:$E$26))/LOOKUP(N75,$E$23:$E$26,$C$23:$C$26)</f>
        <v>4.45478616479768</v>
      </c>
      <c r="AE75" s="16" t="n">
        <f aca="false">LOOKUP(O75,$E$23:$E$26,$A$23:$A$26)+LOOKUP(O75,$E$23:$E$26,$D$23:$D$26)*(O75-LOOKUP(O75,$E$23:$E$26))/LOOKUP(O75,$E$23:$E$26,$C$23:$C$26)</f>
        <v>4.13187839009954</v>
      </c>
      <c r="AF75" s="16" t="n">
        <f aca="false">LOOKUP(P75,$E$23:$E$26,$A$23:$A$26)+LOOKUP(P75,$E$23:$E$26,$D$23:$D$26)*(P75-LOOKUP(P75,$E$23:$E$26))/LOOKUP(P75,$E$23:$E$26,$C$23:$C$26)</f>
        <v>4.69017691580406</v>
      </c>
      <c r="AG75" s="16" t="n">
        <f aca="false">LOOKUP(Q75,$E$23:$E$26,$A$23:$A$26)+LOOKUP(Q75,$E$23:$E$26,$D$23:$D$26)*(Q75-LOOKUP(Q75,$E$23:$E$26))/LOOKUP(Q75,$E$23:$E$26,$C$23:$C$26)</f>
        <v>5.0475315247696</v>
      </c>
      <c r="AH75" s="16" t="n">
        <f aca="false">LOOKUP(R75,$E$23:$E$26,$A$23:$A$26)+LOOKUP(R75,$E$23:$E$26,$D$23:$D$26)*(R75-LOOKUP(R75,$E$23:$E$26))/LOOKUP(R75,$E$23:$E$26,$C$23:$C$26)</f>
        <v>4.93698921459518</v>
      </c>
      <c r="AI75" s="16" t="n">
        <f aca="false">LOOKUP(S75,$E$23:$E$26,$A$23:$A$26)+LOOKUP(S75,$E$23:$E$26,$D$23:$D$26)*(S75-LOOKUP(S75,$E$23:$E$26))/LOOKUP(S75,$E$23:$E$26,$C$23:$C$26)</f>
        <v>4.41649613377667</v>
      </c>
      <c r="AJ75" s="16" t="n">
        <f aca="false">SUM($T75:T75)</f>
        <v>5.12783153181593</v>
      </c>
      <c r="AK75" s="16" t="n">
        <f aca="false">SUM($T75:U75)</f>
        <v>10.0311257468129</v>
      </c>
      <c r="AL75" s="16" t="n">
        <f aca="false">SUM($T75:V75)</f>
        <v>14.0648721768931</v>
      </c>
      <c r="AM75" s="16" t="n">
        <f aca="false">SUM($T75:W75)</f>
        <v>18.9332944420786</v>
      </c>
      <c r="AN75" s="16" t="n">
        <f aca="false">SUM($T75:X75)</f>
        <v>24.5115158973697</v>
      </c>
      <c r="AO75" s="16" t="n">
        <f aca="false">SUM($T75:Y75)</f>
        <v>30.0261644990959</v>
      </c>
      <c r="AP75" s="16" t="n">
        <f aca="false">SUM($T75:Z75)</f>
        <v>35.5097179377692</v>
      </c>
      <c r="AQ75" s="16" t="n">
        <f aca="false">SUM($T75:AA75)</f>
        <v>40.356854139095</v>
      </c>
      <c r="AR75" s="16" t="n">
        <f aca="false">SUM($T75:AB75)</f>
        <v>45.1637704889436</v>
      </c>
      <c r="AS75" s="16" t="n">
        <f aca="false">SUM($T75:AC75)</f>
        <v>49.2273684209657</v>
      </c>
      <c r="AT75" s="16" t="n">
        <f aca="false">SUM($T75:AD75)</f>
        <v>53.6821545857634</v>
      </c>
      <c r="AU75" s="16" t="n">
        <f aca="false">SUM($T75:AE75)</f>
        <v>57.814032975863</v>
      </c>
      <c r="AV75" s="16" t="n">
        <f aca="false">SUM($T75:AF75)</f>
        <v>62.504209891667</v>
      </c>
      <c r="AW75" s="16" t="n">
        <f aca="false">SUM($T75:AG75)</f>
        <v>67.5517414164366</v>
      </c>
      <c r="AX75" s="16" t="n">
        <f aca="false">SUM($T75:AH75)</f>
        <v>72.4887306310318</v>
      </c>
      <c r="AY75" s="16" t="n">
        <f aca="false">SUM($T75:AI75)</f>
        <v>76.9052267648085</v>
      </c>
      <c r="AZ75" s="16" t="n">
        <f aca="false">MAX(C75-AJ75,0)</f>
        <v>57.0071317517259</v>
      </c>
      <c r="BA75" s="16" t="n">
        <f aca="false">MAX(C75-AK75,0)</f>
        <v>52.1038375367289</v>
      </c>
      <c r="BB75" s="16" t="n">
        <f aca="false">MAX(C75-AL75,0)</f>
        <v>48.0700911066487</v>
      </c>
      <c r="BC75" s="16" t="n">
        <f aca="false">MAX(C75-AM75,0)</f>
        <v>43.2016688414632</v>
      </c>
      <c r="BD75" s="16" t="n">
        <f aca="false">MAX(C75-AN75,0)</f>
        <v>37.6234473861721</v>
      </c>
      <c r="BE75" s="16" t="n">
        <f aca="false">MAX(C75-AO75,0)</f>
        <v>32.108798784446</v>
      </c>
      <c r="BF75" s="16" t="n">
        <f aca="false">MAX(C75-AP75,0)</f>
        <v>26.6252453457726</v>
      </c>
      <c r="BG75" s="16" t="n">
        <f aca="false">MAX(C75-AQ75,0)</f>
        <v>21.7781091444468</v>
      </c>
      <c r="BH75" s="16" t="n">
        <f aca="false">MAX(C75-AR75,0)</f>
        <v>16.9711927945982</v>
      </c>
      <c r="BI75" s="16" t="n">
        <f aca="false">MAX(C75-AS75,0)</f>
        <v>12.9075948625761</v>
      </c>
      <c r="BJ75" s="16" t="n">
        <f aca="false">MAX(C75-AT75,0)</f>
        <v>8.4528086977784</v>
      </c>
      <c r="BK75" s="16" t="n">
        <f aca="false">MAX(C75-AU75,0)</f>
        <v>4.32093030767886</v>
      </c>
      <c r="BL75" s="16" t="n">
        <f aca="false">MAX(C75-AV75,0)</f>
        <v>0</v>
      </c>
      <c r="BM75" s="16" t="n">
        <f aca="false">MAX(C75-AW75,0)</f>
        <v>0</v>
      </c>
      <c r="BN75" s="16" t="n">
        <f aca="false">MAX(C75-AX75,0)</f>
        <v>0</v>
      </c>
      <c r="BO75" s="16" t="n">
        <f aca="false">MAX(C75-AY75,0)</f>
        <v>0</v>
      </c>
    </row>
    <row r="76" customFormat="false" ht="15" hidden="false" customHeight="false" outlineLevel="0" collapsed="false">
      <c r="A76" s="3" t="n">
        <v>46</v>
      </c>
      <c r="B76" s="15" t="n">
        <f aca="true">RAND()</f>
        <v>0.247486252289745</v>
      </c>
      <c r="C76" s="16" t="n">
        <f aca="false">LOOKUP(B76,$E$12:$E$17,$A$12:$A$17)+LOOKUP(B76,$E$12:$E$17,$D$12:$D$17)*(B76-LOOKUP(B76,$E$12:$E$17))/LOOKUP(B76,$E$12:$E$17,$C$12:$C$17)</f>
        <v>59.9162084096582</v>
      </c>
      <c r="D76" s="15" t="n">
        <f aca="true">RAND()</f>
        <v>0.540961435435</v>
      </c>
      <c r="E76" s="15" t="n">
        <f aca="true">RAND()</f>
        <v>0.600285802875134</v>
      </c>
      <c r="F76" s="15" t="n">
        <f aca="true">RAND()</f>
        <v>0.166769338334832</v>
      </c>
      <c r="G76" s="15" t="n">
        <f aca="true">RAND()</f>
        <v>0.156377379980927</v>
      </c>
      <c r="H76" s="15" t="n">
        <f aca="true">RAND()</f>
        <v>0.726518041115437</v>
      </c>
      <c r="I76" s="15" t="n">
        <f aca="true">RAND()</f>
        <v>0.538073335092803</v>
      </c>
      <c r="J76" s="15" t="n">
        <f aca="true">RAND()</f>
        <v>0.246413420560176</v>
      </c>
      <c r="K76" s="15" t="n">
        <f aca="true">RAND()</f>
        <v>0.769037817566679</v>
      </c>
      <c r="L76" s="15" t="n">
        <f aca="true">RAND()</f>
        <v>0.411483689975762</v>
      </c>
      <c r="M76" s="15" t="n">
        <f aca="true">RAND()</f>
        <v>0.472700765425567</v>
      </c>
      <c r="N76" s="15" t="n">
        <f aca="true">RAND()</f>
        <v>0.0869722220691494</v>
      </c>
      <c r="O76" s="15" t="n">
        <f aca="true">RAND()</f>
        <v>0.0473522414279192</v>
      </c>
      <c r="P76" s="15" t="n">
        <f aca="true">RAND()</f>
        <v>0.636231257155526</v>
      </c>
      <c r="Q76" s="15" t="n">
        <f aca="true">RAND()</f>
        <v>0.126164683143495</v>
      </c>
      <c r="R76" s="15" t="n">
        <f aca="true">RAND()</f>
        <v>0.876551259187671</v>
      </c>
      <c r="S76" s="15" t="n">
        <f aca="true">RAND()</f>
        <v>0.578853506344378</v>
      </c>
      <c r="T76" s="16" t="n">
        <f aca="false">LOOKUP(D76,$E$23:$E$26,$A$23:$A$26)+LOOKUP(D76,$E$23:$E$26,$D$23:$D$26)*(D76-LOOKUP(D76,$E$23:$E$26))/LOOKUP(D76,$E$23:$E$26,$C$23:$C$26)</f>
        <v>4.80120179429375</v>
      </c>
      <c r="U76" s="16" t="n">
        <f aca="false">LOOKUP(E76,$E$23:$E$26,$A$23:$A$26)+LOOKUP(E76,$E$23:$E$26,$D$23:$D$26)*(E76-LOOKUP(E76,$E$23:$E$26))/LOOKUP(E76,$E$23:$E$26,$C$23:$C$26)</f>
        <v>4.87535725359392</v>
      </c>
      <c r="V76" s="16" t="n">
        <f aca="false">LOOKUP(F76,$E$23:$E$26,$A$23:$A$26)+LOOKUP(F76,$E$23:$E$26,$D$23:$D$26)*(F76-LOOKUP(F76,$E$23:$E$26))/LOOKUP(F76,$E$23:$E$26,$C$23:$C$26)</f>
        <v>4.27794889722472</v>
      </c>
      <c r="W76" s="16" t="n">
        <f aca="false">LOOKUP(G76,$E$23:$E$26,$A$23:$A$26)+LOOKUP(G76,$E$23:$E$26,$D$23:$D$26)*(G76-LOOKUP(G76,$E$23:$E$26))/LOOKUP(G76,$E$23:$E$26,$C$23:$C$26)</f>
        <v>4.26062896663488</v>
      </c>
      <c r="X76" s="16" t="n">
        <f aca="false">LOOKUP(H76,$E$23:$E$26,$A$23:$A$26)+LOOKUP(H76,$E$23:$E$26,$D$23:$D$26)*(H76-LOOKUP(H76,$E$23:$E$26))/LOOKUP(H76,$E$23:$E$26,$C$23:$C$26)</f>
        <v>5.06629510278859</v>
      </c>
      <c r="Y76" s="16" t="n">
        <f aca="false">LOOKUP(I76,$E$23:$E$26,$A$23:$A$26)+LOOKUP(I76,$E$23:$E$26,$D$23:$D$26)*(I76-LOOKUP(I76,$E$23:$E$26))/LOOKUP(I76,$E$23:$E$26,$C$23:$C$26)</f>
        <v>4.797591668866</v>
      </c>
      <c r="Z76" s="16" t="n">
        <f aca="false">LOOKUP(J76,$E$23:$E$26,$A$23:$A$26)+LOOKUP(J76,$E$23:$E$26,$D$23:$D$26)*(J76-LOOKUP(J76,$E$23:$E$26))/LOOKUP(J76,$E$23:$E$26,$C$23:$C$26)</f>
        <v>4.41068903426696</v>
      </c>
      <c r="AA76" s="16" t="n">
        <f aca="false">LOOKUP(K76,$E$23:$E$26,$A$23:$A$26)+LOOKUP(K76,$E$23:$E$26,$D$23:$D$26)*(K76-LOOKUP(K76,$E$23:$E$26))/LOOKUP(K76,$E$23:$E$26,$C$23:$C$26)</f>
        <v>5.1725945439167</v>
      </c>
      <c r="AB76" s="16" t="n">
        <f aca="false">LOOKUP(L76,$E$23:$E$26,$A$23:$A$26)+LOOKUP(L76,$E$23:$E$26,$D$23:$D$26)*(L76-LOOKUP(L76,$E$23:$E$26))/LOOKUP(L76,$E$23:$E$26,$C$23:$C$26)</f>
        <v>4.6393546124697</v>
      </c>
      <c r="AC76" s="16" t="n">
        <f aca="false">LOOKUP(M76,$E$23:$E$26,$A$23:$A$26)+LOOKUP(M76,$E$23:$E$26,$D$23:$D$26)*(M76-LOOKUP(M76,$E$23:$E$26))/LOOKUP(M76,$E$23:$E$26,$C$23:$C$26)</f>
        <v>4.71587595678196</v>
      </c>
      <c r="AD76" s="16" t="n">
        <f aca="false">LOOKUP(N76,$E$23:$E$26,$A$23:$A$26)+LOOKUP(N76,$E$23:$E$26,$D$23:$D$26)*(N76-LOOKUP(N76,$E$23:$E$26))/LOOKUP(N76,$E$23:$E$26,$C$23:$C$26)</f>
        <v>4.14495370344858</v>
      </c>
      <c r="AE76" s="16" t="n">
        <f aca="false">LOOKUP(O76,$E$23:$E$26,$A$23:$A$26)+LOOKUP(O76,$E$23:$E$26,$D$23:$D$26)*(O76-LOOKUP(O76,$E$23:$E$26))/LOOKUP(O76,$E$23:$E$26,$C$23:$C$26)</f>
        <v>4.07892040237987</v>
      </c>
      <c r="AF76" s="16" t="n">
        <f aca="false">LOOKUP(P76,$E$23:$E$26,$A$23:$A$26)+LOOKUP(P76,$E$23:$E$26,$D$23:$D$26)*(P76-LOOKUP(P76,$E$23:$E$26))/LOOKUP(P76,$E$23:$E$26,$C$23:$C$26)</f>
        <v>4.92028907144441</v>
      </c>
      <c r="AG76" s="16" t="n">
        <f aca="false">LOOKUP(Q76,$E$23:$E$26,$A$23:$A$26)+LOOKUP(Q76,$E$23:$E$26,$D$23:$D$26)*(Q76-LOOKUP(Q76,$E$23:$E$26))/LOOKUP(Q76,$E$23:$E$26,$C$23:$C$26)</f>
        <v>4.21027447190583</v>
      </c>
      <c r="AH76" s="16" t="n">
        <f aca="false">LOOKUP(R76,$E$23:$E$26,$A$23:$A$26)+LOOKUP(R76,$E$23:$E$26,$D$23:$D$26)*(R76-LOOKUP(R76,$E$23:$E$26))/LOOKUP(R76,$E$23:$E$26,$C$23:$C$26)</f>
        <v>5.44137814796918</v>
      </c>
      <c r="AI76" s="16" t="n">
        <f aca="false">LOOKUP(S76,$E$23:$E$26,$A$23:$A$26)+LOOKUP(S76,$E$23:$E$26,$D$23:$D$26)*(S76-LOOKUP(S76,$E$23:$E$26))/LOOKUP(S76,$E$23:$E$26,$C$23:$C$26)</f>
        <v>4.84856688293047</v>
      </c>
      <c r="AJ76" s="16" t="n">
        <f aca="false">SUM($T76:T76)</f>
        <v>4.80120179429375</v>
      </c>
      <c r="AK76" s="16" t="n">
        <f aca="false">SUM($T76:U76)</f>
        <v>9.67655904788767</v>
      </c>
      <c r="AL76" s="16" t="n">
        <f aca="false">SUM($T76:V76)</f>
        <v>13.9545079451124</v>
      </c>
      <c r="AM76" s="16" t="n">
        <f aca="false">SUM($T76:W76)</f>
        <v>18.2151369117473</v>
      </c>
      <c r="AN76" s="16" t="n">
        <f aca="false">SUM($T76:X76)</f>
        <v>23.2814320145359</v>
      </c>
      <c r="AO76" s="16" t="n">
        <f aca="false">SUM($T76:Y76)</f>
        <v>28.0790236834019</v>
      </c>
      <c r="AP76" s="16" t="n">
        <f aca="false">SUM($T76:Z76)</f>
        <v>32.4897127176688</v>
      </c>
      <c r="AQ76" s="16" t="n">
        <f aca="false">SUM($T76:AA76)</f>
        <v>37.6623072615855</v>
      </c>
      <c r="AR76" s="16" t="n">
        <f aca="false">SUM($T76:AB76)</f>
        <v>42.3016618740552</v>
      </c>
      <c r="AS76" s="16" t="n">
        <f aca="false">SUM($T76:AC76)</f>
        <v>47.0175378308372</v>
      </c>
      <c r="AT76" s="16" t="n">
        <f aca="false">SUM($T76:AD76)</f>
        <v>51.1624915342858</v>
      </c>
      <c r="AU76" s="16" t="n">
        <f aca="false">SUM($T76:AE76)</f>
        <v>55.2414119366656</v>
      </c>
      <c r="AV76" s="16" t="n">
        <f aca="false">SUM($T76:AF76)</f>
        <v>60.16170100811</v>
      </c>
      <c r="AW76" s="16" t="n">
        <f aca="false">SUM($T76:AG76)</f>
        <v>64.3719754800159</v>
      </c>
      <c r="AX76" s="16" t="n">
        <f aca="false">SUM($T76:AH76)</f>
        <v>69.813353627985</v>
      </c>
      <c r="AY76" s="16" t="n">
        <f aca="false">SUM($T76:AI76)</f>
        <v>74.6619205109155</v>
      </c>
      <c r="AZ76" s="16" t="n">
        <f aca="false">MAX(C76-AJ76,0)</f>
        <v>55.1150066153644</v>
      </c>
      <c r="BA76" s="16" t="n">
        <f aca="false">MAX(C76-AK76,0)</f>
        <v>50.2396493617705</v>
      </c>
      <c r="BB76" s="16" t="n">
        <f aca="false">MAX(C76-AL76,0)</f>
        <v>45.9617004645458</v>
      </c>
      <c r="BC76" s="16" t="n">
        <f aca="false">MAX(C76-AM76,0)</f>
        <v>41.7010714979109</v>
      </c>
      <c r="BD76" s="16" t="n">
        <f aca="false">MAX(C76-AN76,0)</f>
        <v>36.6347763951223</v>
      </c>
      <c r="BE76" s="16" t="n">
        <f aca="false">MAX(C76-AO76,0)</f>
        <v>31.8371847262563</v>
      </c>
      <c r="BF76" s="16" t="n">
        <f aca="false">MAX(C76-AP76,0)</f>
        <v>27.4264956919893</v>
      </c>
      <c r="BG76" s="16" t="n">
        <f aca="false">MAX(C76-AQ76,0)</f>
        <v>22.2539011480726</v>
      </c>
      <c r="BH76" s="16" t="n">
        <f aca="false">MAX(C76-AR76,0)</f>
        <v>17.6145465356029</v>
      </c>
      <c r="BI76" s="16" t="n">
        <f aca="false">MAX(C76-AS76,0)</f>
        <v>12.898670578821</v>
      </c>
      <c r="BJ76" s="16" t="n">
        <f aca="false">MAX(C76-AT76,0)</f>
        <v>8.7537168753724</v>
      </c>
      <c r="BK76" s="16" t="n">
        <f aca="false">MAX(C76-AU76,0)</f>
        <v>4.67479647299253</v>
      </c>
      <c r="BL76" s="16" t="n">
        <f aca="false">MAX(C76-AV76,0)</f>
        <v>0</v>
      </c>
      <c r="BM76" s="16" t="n">
        <f aca="false">MAX(C76-AW76,0)</f>
        <v>0</v>
      </c>
      <c r="BN76" s="16" t="n">
        <f aca="false">MAX(C76-AX76,0)</f>
        <v>0</v>
      </c>
      <c r="BO76" s="16" t="n">
        <f aca="false">MAX(C76-AY76,0)</f>
        <v>0</v>
      </c>
    </row>
    <row r="77" customFormat="false" ht="15" hidden="false" customHeight="false" outlineLevel="0" collapsed="false">
      <c r="A77" s="3" t="n">
        <v>47</v>
      </c>
      <c r="B77" s="15" t="n">
        <f aca="true">RAND()</f>
        <v>0.884174106773234</v>
      </c>
      <c r="C77" s="16" t="n">
        <f aca="false">LOOKUP(B77,$E$12:$E$17,$A$12:$A$17)+LOOKUP(B77,$E$12:$E$17,$D$12:$D$17)*(B77-LOOKUP(B77,$E$12:$E$17))/LOOKUP(B77,$E$12:$E$17,$C$12:$C$17)</f>
        <v>69.7739158110462</v>
      </c>
      <c r="D77" s="15" t="n">
        <f aca="true">RAND()</f>
        <v>0.757460254349664</v>
      </c>
      <c r="E77" s="15" t="n">
        <f aca="true">RAND()</f>
        <v>0.795161021165768</v>
      </c>
      <c r="F77" s="15" t="n">
        <f aca="true">RAND()</f>
        <v>0.233208571640007</v>
      </c>
      <c r="G77" s="15" t="n">
        <f aca="true">RAND()</f>
        <v>0.786691631491154</v>
      </c>
      <c r="H77" s="15" t="n">
        <f aca="true">RAND()</f>
        <v>0.460109018092207</v>
      </c>
      <c r="I77" s="15" t="n">
        <f aca="true">RAND()</f>
        <v>0.584315402705224</v>
      </c>
      <c r="J77" s="15" t="n">
        <f aca="true">RAND()</f>
        <v>0.108636283367659</v>
      </c>
      <c r="K77" s="15" t="n">
        <f aca="true">RAND()</f>
        <v>0.845931737582213</v>
      </c>
      <c r="L77" s="15" t="n">
        <f aca="true">RAND()</f>
        <v>0.651642207559261</v>
      </c>
      <c r="M77" s="15" t="n">
        <f aca="true">RAND()</f>
        <v>0.86745294790205</v>
      </c>
      <c r="N77" s="15" t="n">
        <f aca="true">RAND()</f>
        <v>0.487745599727168</v>
      </c>
      <c r="O77" s="15" t="n">
        <f aca="true">RAND()</f>
        <v>0.637850012419961</v>
      </c>
      <c r="P77" s="15" t="n">
        <f aca="true">RAND()</f>
        <v>0.0258103634484194</v>
      </c>
      <c r="Q77" s="15" t="n">
        <f aca="true">RAND()</f>
        <v>0.717144212536801</v>
      </c>
      <c r="R77" s="15" t="n">
        <f aca="true">RAND()</f>
        <v>0.412532308509206</v>
      </c>
      <c r="S77" s="15" t="n">
        <f aca="true">RAND()</f>
        <v>0.179458855895373</v>
      </c>
      <c r="T77" s="16" t="n">
        <f aca="false">LOOKUP(D77,$E$23:$E$26,$A$23:$A$26)+LOOKUP(D77,$E$23:$E$26,$D$23:$D$26)*(D77-LOOKUP(D77,$E$23:$E$26))/LOOKUP(D77,$E$23:$E$26,$C$23:$C$26)</f>
        <v>5.14365063587416</v>
      </c>
      <c r="U77" s="16" t="n">
        <f aca="false">LOOKUP(E77,$E$23:$E$26,$A$23:$A$26)+LOOKUP(E77,$E$23:$E$26,$D$23:$D$26)*(E77-LOOKUP(E77,$E$23:$E$26))/LOOKUP(E77,$E$23:$E$26,$C$23:$C$26)</f>
        <v>5.23790255291442</v>
      </c>
      <c r="V77" s="16" t="n">
        <f aca="false">LOOKUP(F77,$E$23:$E$26,$A$23:$A$26)+LOOKUP(F77,$E$23:$E$26,$D$23:$D$26)*(F77-LOOKUP(F77,$E$23:$E$26))/LOOKUP(F77,$E$23:$E$26,$C$23:$C$26)</f>
        <v>4.38868095273335</v>
      </c>
      <c r="W77" s="16" t="n">
        <f aca="false">LOOKUP(G77,$E$23:$E$26,$A$23:$A$26)+LOOKUP(G77,$E$23:$E$26,$D$23:$D$26)*(G77-LOOKUP(G77,$E$23:$E$26))/LOOKUP(G77,$E$23:$E$26,$C$23:$C$26)</f>
        <v>5.21672907872789</v>
      </c>
      <c r="X77" s="16" t="n">
        <f aca="false">LOOKUP(H77,$E$23:$E$26,$A$23:$A$26)+LOOKUP(H77,$E$23:$E$26,$D$23:$D$26)*(H77-LOOKUP(H77,$E$23:$E$26))/LOOKUP(H77,$E$23:$E$26,$C$23:$C$26)</f>
        <v>4.70013627261526</v>
      </c>
      <c r="Y77" s="16" t="n">
        <f aca="false">LOOKUP(I77,$E$23:$E$26,$A$23:$A$26)+LOOKUP(I77,$E$23:$E$26,$D$23:$D$26)*(I77-LOOKUP(I77,$E$23:$E$26))/LOOKUP(I77,$E$23:$E$26,$C$23:$C$26)</f>
        <v>4.85539425338153</v>
      </c>
      <c r="Z77" s="16" t="n">
        <f aca="false">LOOKUP(J77,$E$23:$E$26,$A$23:$A$26)+LOOKUP(J77,$E$23:$E$26,$D$23:$D$26)*(J77-LOOKUP(J77,$E$23:$E$26))/LOOKUP(J77,$E$23:$E$26,$C$23:$C$26)</f>
        <v>4.18106047227943</v>
      </c>
      <c r="AA77" s="16" t="n">
        <f aca="false">LOOKUP(K77,$E$23:$E$26,$A$23:$A$26)+LOOKUP(K77,$E$23:$E$26,$D$23:$D$26)*(K77-LOOKUP(K77,$E$23:$E$26))/LOOKUP(K77,$E$23:$E$26,$C$23:$C$26)</f>
        <v>5.36482934395553</v>
      </c>
      <c r="AB77" s="16" t="n">
        <f aca="false">LOOKUP(L77,$E$23:$E$26,$A$23:$A$26)+LOOKUP(L77,$E$23:$E$26,$D$23:$D$26)*(L77-LOOKUP(L77,$E$23:$E$26))/LOOKUP(L77,$E$23:$E$26,$C$23:$C$26)</f>
        <v>4.93955275944908</v>
      </c>
      <c r="AC77" s="16" t="n">
        <f aca="false">LOOKUP(M77,$E$23:$E$26,$A$23:$A$26)+LOOKUP(M77,$E$23:$E$26,$D$23:$D$26)*(M77-LOOKUP(M77,$E$23:$E$26))/LOOKUP(M77,$E$23:$E$26,$C$23:$C$26)</f>
        <v>5.41863236975512</v>
      </c>
      <c r="AD77" s="16" t="n">
        <f aca="false">LOOKUP(N77,$E$23:$E$26,$A$23:$A$26)+LOOKUP(N77,$E$23:$E$26,$D$23:$D$26)*(N77-LOOKUP(N77,$E$23:$E$26))/LOOKUP(N77,$E$23:$E$26,$C$23:$C$26)</f>
        <v>4.73468199965896</v>
      </c>
      <c r="AE77" s="16" t="n">
        <f aca="false">LOOKUP(O77,$E$23:$E$26,$A$23:$A$26)+LOOKUP(O77,$E$23:$E$26,$D$23:$D$26)*(O77-LOOKUP(O77,$E$23:$E$26))/LOOKUP(O77,$E$23:$E$26,$C$23:$C$26)</f>
        <v>4.92231251552495</v>
      </c>
      <c r="AF77" s="16" t="n">
        <f aca="false">LOOKUP(P77,$E$23:$E$26,$A$23:$A$26)+LOOKUP(P77,$E$23:$E$26,$D$23:$D$26)*(P77-LOOKUP(P77,$E$23:$E$26))/LOOKUP(P77,$E$23:$E$26,$C$23:$C$26)</f>
        <v>4.04301727241403</v>
      </c>
      <c r="AG77" s="16" t="n">
        <f aca="false">LOOKUP(Q77,$E$23:$E$26,$A$23:$A$26)+LOOKUP(Q77,$E$23:$E$26,$D$23:$D$26)*(Q77-LOOKUP(Q77,$E$23:$E$26))/LOOKUP(Q77,$E$23:$E$26,$C$23:$C$26)</f>
        <v>5.042860531342</v>
      </c>
      <c r="AH77" s="16" t="n">
        <f aca="false">LOOKUP(R77,$E$23:$E$26,$A$23:$A$26)+LOOKUP(R77,$E$23:$E$26,$D$23:$D$26)*(R77-LOOKUP(R77,$E$23:$E$26))/LOOKUP(R77,$E$23:$E$26,$C$23:$C$26)</f>
        <v>4.64066538563651</v>
      </c>
      <c r="AI77" s="16" t="n">
        <f aca="false">LOOKUP(S77,$E$23:$E$26,$A$23:$A$26)+LOOKUP(S77,$E$23:$E$26,$D$23:$D$26)*(S77-LOOKUP(S77,$E$23:$E$26))/LOOKUP(S77,$E$23:$E$26,$C$23:$C$26)</f>
        <v>4.29909809315896</v>
      </c>
      <c r="AJ77" s="16" t="n">
        <f aca="false">SUM($T77:T77)</f>
        <v>5.14365063587416</v>
      </c>
      <c r="AK77" s="16" t="n">
        <f aca="false">SUM($T77:U77)</f>
        <v>10.3815531887886</v>
      </c>
      <c r="AL77" s="16" t="n">
        <f aca="false">SUM($T77:V77)</f>
        <v>14.7702341415219</v>
      </c>
      <c r="AM77" s="16" t="n">
        <f aca="false">SUM($T77:W77)</f>
        <v>19.9869632202498</v>
      </c>
      <c r="AN77" s="16" t="n">
        <f aca="false">SUM($T77:X77)</f>
        <v>24.6870994928651</v>
      </c>
      <c r="AO77" s="16" t="n">
        <f aca="false">SUM($T77:Y77)</f>
        <v>29.5424937462466</v>
      </c>
      <c r="AP77" s="16" t="n">
        <f aca="false">SUM($T77:Z77)</f>
        <v>33.723554218526</v>
      </c>
      <c r="AQ77" s="16" t="n">
        <f aca="false">SUM($T77:AA77)</f>
        <v>39.0883835624816</v>
      </c>
      <c r="AR77" s="16" t="n">
        <f aca="false">SUM($T77:AB77)</f>
        <v>44.0279363219306</v>
      </c>
      <c r="AS77" s="16" t="n">
        <f aca="false">SUM($T77:AC77)</f>
        <v>49.4465686916858</v>
      </c>
      <c r="AT77" s="16" t="n">
        <f aca="false">SUM($T77:AD77)</f>
        <v>54.1812506913447</v>
      </c>
      <c r="AU77" s="16" t="n">
        <f aca="false">SUM($T77:AE77)</f>
        <v>59.1035632068697</v>
      </c>
      <c r="AV77" s="16" t="n">
        <f aca="false">SUM($T77:AF77)</f>
        <v>63.1465804792837</v>
      </c>
      <c r="AW77" s="16" t="n">
        <f aca="false">SUM($T77:AG77)</f>
        <v>68.1894410106257</v>
      </c>
      <c r="AX77" s="16" t="n">
        <f aca="false">SUM($T77:AH77)</f>
        <v>72.8301063962622</v>
      </c>
      <c r="AY77" s="16" t="n">
        <f aca="false">SUM($T77:AI77)</f>
        <v>77.1292044894212</v>
      </c>
      <c r="AZ77" s="16" t="n">
        <f aca="false">MAX(C77-AJ77,0)</f>
        <v>64.630265175172</v>
      </c>
      <c r="BA77" s="16" t="n">
        <f aca="false">MAX(C77-AK77,0)</f>
        <v>59.3923626222576</v>
      </c>
      <c r="BB77" s="16" t="n">
        <f aca="false">MAX(C77-AL77,0)</f>
        <v>55.0036816695243</v>
      </c>
      <c r="BC77" s="16" t="n">
        <f aca="false">MAX(C77-AM77,0)</f>
        <v>49.7869525907964</v>
      </c>
      <c r="BD77" s="16" t="n">
        <f aca="false">MAX(C77-AN77,0)</f>
        <v>45.0868163181811</v>
      </c>
      <c r="BE77" s="16" t="n">
        <f aca="false">MAX(C77-AO77,0)</f>
        <v>40.2314220647996</v>
      </c>
      <c r="BF77" s="16" t="n">
        <f aca="false">MAX(C77-AP77,0)</f>
        <v>36.0503615925202</v>
      </c>
      <c r="BG77" s="16" t="n">
        <f aca="false">MAX(C77-AQ77,0)</f>
        <v>30.6855322485646</v>
      </c>
      <c r="BH77" s="16" t="n">
        <f aca="false">MAX(C77-AR77,0)</f>
        <v>25.7459794891156</v>
      </c>
      <c r="BI77" s="16" t="n">
        <f aca="false">MAX(C77-AS77,0)</f>
        <v>20.3273471193604</v>
      </c>
      <c r="BJ77" s="16" t="n">
        <f aca="false">MAX(C77-AT77,0)</f>
        <v>15.5926651197015</v>
      </c>
      <c r="BK77" s="16" t="n">
        <f aca="false">MAX(C77-AU77,0)</f>
        <v>10.6703526041765</v>
      </c>
      <c r="BL77" s="16" t="n">
        <f aca="false">MAX(C77-AV77,0)</f>
        <v>6.62733533176248</v>
      </c>
      <c r="BM77" s="16" t="n">
        <f aca="false">MAX(C77-AW77,0)</f>
        <v>1.58447480042048</v>
      </c>
      <c r="BN77" s="16" t="n">
        <f aca="false">MAX(C77-AX77,0)</f>
        <v>0</v>
      </c>
      <c r="BO77" s="16" t="n">
        <f aca="false">MAX(C77-AY77,0)</f>
        <v>0</v>
      </c>
    </row>
    <row r="78" customFormat="false" ht="15" hidden="false" customHeight="false" outlineLevel="0" collapsed="false">
      <c r="A78" s="3" t="n">
        <v>48</v>
      </c>
      <c r="B78" s="15" t="n">
        <f aca="true">RAND()</f>
        <v>0.762206007105743</v>
      </c>
      <c r="C78" s="16" t="n">
        <f aca="false">LOOKUP(B78,$E$12:$E$17,$A$12:$A$17)+LOOKUP(B78,$E$12:$E$17,$D$12:$D$17)*(B78-LOOKUP(B78,$E$12:$E$17))/LOOKUP(B78,$E$12:$E$17,$C$12:$C$17)</f>
        <v>68.0315143872249</v>
      </c>
      <c r="D78" s="15" t="n">
        <f aca="true">RAND()</f>
        <v>0.818358640190929</v>
      </c>
      <c r="E78" s="15" t="n">
        <f aca="true">RAND()</f>
        <v>0.477266462031635</v>
      </c>
      <c r="F78" s="15" t="n">
        <f aca="true">RAND()</f>
        <v>0.787930126868096</v>
      </c>
      <c r="G78" s="15" t="n">
        <f aca="true">RAND()</f>
        <v>0.814074672224724</v>
      </c>
      <c r="H78" s="15" t="n">
        <f aca="true">RAND()</f>
        <v>0.661332526066532</v>
      </c>
      <c r="I78" s="15" t="n">
        <f aca="true">RAND()</f>
        <v>0.594549484140232</v>
      </c>
      <c r="J78" s="15" t="n">
        <f aca="true">RAND()</f>
        <v>0.290796268585813</v>
      </c>
      <c r="K78" s="15" t="n">
        <f aca="true">RAND()</f>
        <v>0.0621784305149854</v>
      </c>
      <c r="L78" s="15" t="n">
        <f aca="true">RAND()</f>
        <v>0.0525370033371253</v>
      </c>
      <c r="M78" s="15" t="n">
        <f aca="true">RAND()</f>
        <v>0.119463082015483</v>
      </c>
      <c r="N78" s="15" t="n">
        <f aca="true">RAND()</f>
        <v>0.0259838784550368</v>
      </c>
      <c r="O78" s="15" t="n">
        <f aca="true">RAND()</f>
        <v>0.88260592316082</v>
      </c>
      <c r="P78" s="15" t="n">
        <f aca="true">RAND()</f>
        <v>0.672922639481525</v>
      </c>
      <c r="Q78" s="15" t="n">
        <f aca="true">RAND()</f>
        <v>0.427125986253139</v>
      </c>
      <c r="R78" s="15" t="n">
        <f aca="true">RAND()</f>
        <v>0.000168984048476209</v>
      </c>
      <c r="S78" s="15" t="n">
        <f aca="true">RAND()</f>
        <v>0.370442680024922</v>
      </c>
      <c r="T78" s="16" t="n">
        <f aca="false">LOOKUP(D78,$E$23:$E$26,$A$23:$A$26)+LOOKUP(D78,$E$23:$E$26,$D$23:$D$26)*(D78-LOOKUP(D78,$E$23:$E$26))/LOOKUP(D78,$E$23:$E$26,$C$23:$C$26)</f>
        <v>5.29589660047732</v>
      </c>
      <c r="U78" s="16" t="n">
        <f aca="false">LOOKUP(E78,$E$23:$E$26,$A$23:$A$26)+LOOKUP(E78,$E$23:$E$26,$D$23:$D$26)*(E78-LOOKUP(E78,$E$23:$E$26))/LOOKUP(E78,$E$23:$E$26,$C$23:$C$26)</f>
        <v>4.72158307753954</v>
      </c>
      <c r="V78" s="16" t="n">
        <f aca="false">LOOKUP(F78,$E$23:$E$26,$A$23:$A$26)+LOOKUP(F78,$E$23:$E$26,$D$23:$D$26)*(F78-LOOKUP(F78,$E$23:$E$26))/LOOKUP(F78,$E$23:$E$26,$C$23:$C$26)</f>
        <v>5.21982531717024</v>
      </c>
      <c r="W78" s="16" t="n">
        <f aca="false">LOOKUP(G78,$E$23:$E$26,$A$23:$A$26)+LOOKUP(G78,$E$23:$E$26,$D$23:$D$26)*(G78-LOOKUP(G78,$E$23:$E$26))/LOOKUP(G78,$E$23:$E$26,$C$23:$C$26)</f>
        <v>5.28518668056181</v>
      </c>
      <c r="X78" s="16" t="n">
        <f aca="false">LOOKUP(H78,$E$23:$E$26,$A$23:$A$26)+LOOKUP(H78,$E$23:$E$26,$D$23:$D$26)*(H78-LOOKUP(H78,$E$23:$E$26))/LOOKUP(H78,$E$23:$E$26,$C$23:$C$26)</f>
        <v>4.95166565758317</v>
      </c>
      <c r="Y78" s="16" t="n">
        <f aca="false">LOOKUP(I78,$E$23:$E$26,$A$23:$A$26)+LOOKUP(I78,$E$23:$E$26,$D$23:$D$26)*(I78-LOOKUP(I78,$E$23:$E$26))/LOOKUP(I78,$E$23:$E$26,$C$23:$C$26)</f>
        <v>4.86818685517529</v>
      </c>
      <c r="Z78" s="16" t="n">
        <f aca="false">LOOKUP(J78,$E$23:$E$26,$A$23:$A$26)+LOOKUP(J78,$E$23:$E$26,$D$23:$D$26)*(J78-LOOKUP(J78,$E$23:$E$26))/LOOKUP(J78,$E$23:$E$26,$C$23:$C$26)</f>
        <v>4.48466044764302</v>
      </c>
      <c r="AA78" s="16" t="n">
        <f aca="false">LOOKUP(K78,$E$23:$E$26,$A$23:$A$26)+LOOKUP(K78,$E$23:$E$26,$D$23:$D$26)*(K78-LOOKUP(K78,$E$23:$E$26))/LOOKUP(K78,$E$23:$E$26,$C$23:$C$26)</f>
        <v>4.10363071752498</v>
      </c>
      <c r="AB78" s="16" t="n">
        <f aca="false">LOOKUP(L78,$E$23:$E$26,$A$23:$A$26)+LOOKUP(L78,$E$23:$E$26,$D$23:$D$26)*(L78-LOOKUP(L78,$E$23:$E$26))/LOOKUP(L78,$E$23:$E$26,$C$23:$C$26)</f>
        <v>4.08756167222854</v>
      </c>
      <c r="AC78" s="16" t="n">
        <f aca="false">LOOKUP(M78,$E$23:$E$26,$A$23:$A$26)+LOOKUP(M78,$E$23:$E$26,$D$23:$D$26)*(M78-LOOKUP(M78,$E$23:$E$26))/LOOKUP(M78,$E$23:$E$26,$C$23:$C$26)</f>
        <v>4.19910513669247</v>
      </c>
      <c r="AD78" s="16" t="n">
        <f aca="false">LOOKUP(N78,$E$23:$E$26,$A$23:$A$26)+LOOKUP(N78,$E$23:$E$26,$D$23:$D$26)*(N78-LOOKUP(N78,$E$23:$E$26))/LOOKUP(N78,$E$23:$E$26,$C$23:$C$26)</f>
        <v>4.04330646409173</v>
      </c>
      <c r="AE78" s="16" t="n">
        <f aca="false">LOOKUP(O78,$E$23:$E$26,$A$23:$A$26)+LOOKUP(O78,$E$23:$E$26,$D$23:$D$26)*(O78-LOOKUP(O78,$E$23:$E$26))/LOOKUP(O78,$E$23:$E$26,$C$23:$C$26)</f>
        <v>5.45651480790205</v>
      </c>
      <c r="AF78" s="16" t="n">
        <f aca="false">LOOKUP(P78,$E$23:$E$26,$A$23:$A$26)+LOOKUP(P78,$E$23:$E$26,$D$23:$D$26)*(P78-LOOKUP(P78,$E$23:$E$26))/LOOKUP(P78,$E$23:$E$26,$C$23:$C$26)</f>
        <v>4.96615329935191</v>
      </c>
      <c r="AG78" s="16" t="n">
        <f aca="false">LOOKUP(Q78,$E$23:$E$26,$A$23:$A$26)+LOOKUP(Q78,$E$23:$E$26,$D$23:$D$26)*(Q78-LOOKUP(Q78,$E$23:$E$26))/LOOKUP(Q78,$E$23:$E$26,$C$23:$C$26)</f>
        <v>4.65890748281642</v>
      </c>
      <c r="AH78" s="16" t="n">
        <f aca="false">LOOKUP(R78,$E$23:$E$26,$A$23:$A$26)+LOOKUP(R78,$E$23:$E$26,$D$23:$D$26)*(R78-LOOKUP(R78,$E$23:$E$26))/LOOKUP(R78,$E$23:$E$26,$C$23:$C$26)</f>
        <v>4.00028164008079</v>
      </c>
      <c r="AI78" s="16" t="n">
        <f aca="false">LOOKUP(S78,$E$23:$E$26,$A$23:$A$26)+LOOKUP(S78,$E$23:$E$26,$D$23:$D$26)*(S78-LOOKUP(S78,$E$23:$E$26))/LOOKUP(S78,$E$23:$E$26,$C$23:$C$26)</f>
        <v>4.58805335003115</v>
      </c>
      <c r="AJ78" s="16" t="n">
        <f aca="false">SUM($T78:T78)</f>
        <v>5.29589660047732</v>
      </c>
      <c r="AK78" s="16" t="n">
        <f aca="false">SUM($T78:U78)</f>
        <v>10.0174796780169</v>
      </c>
      <c r="AL78" s="16" t="n">
        <f aca="false">SUM($T78:V78)</f>
        <v>15.2373049951871</v>
      </c>
      <c r="AM78" s="16" t="n">
        <f aca="false">SUM($T78:W78)</f>
        <v>20.5224916757489</v>
      </c>
      <c r="AN78" s="16" t="n">
        <f aca="false">SUM($T78:X78)</f>
        <v>25.4741573333321</v>
      </c>
      <c r="AO78" s="16" t="n">
        <f aca="false">SUM($T78:Y78)</f>
        <v>30.3423441885074</v>
      </c>
      <c r="AP78" s="16" t="n">
        <f aca="false">SUM($T78:Z78)</f>
        <v>34.8270046361504</v>
      </c>
      <c r="AQ78" s="16" t="n">
        <f aca="false">SUM($T78:AA78)</f>
        <v>38.9306353536754</v>
      </c>
      <c r="AR78" s="16" t="n">
        <f aca="false">SUM($T78:AB78)</f>
        <v>43.0181970259039</v>
      </c>
      <c r="AS78" s="16" t="n">
        <f aca="false">SUM($T78:AC78)</f>
        <v>47.2173021625964</v>
      </c>
      <c r="AT78" s="16" t="n">
        <f aca="false">SUM($T78:AD78)</f>
        <v>51.2606086266881</v>
      </c>
      <c r="AU78" s="16" t="n">
        <f aca="false">SUM($T78:AE78)</f>
        <v>56.7171234345902</v>
      </c>
      <c r="AV78" s="16" t="n">
        <f aca="false">SUM($T78:AF78)</f>
        <v>61.6832767339421</v>
      </c>
      <c r="AW78" s="16" t="n">
        <f aca="false">SUM($T78:AG78)</f>
        <v>66.3421842167585</v>
      </c>
      <c r="AX78" s="16" t="n">
        <f aca="false">SUM($T78:AH78)</f>
        <v>70.3424658568393</v>
      </c>
      <c r="AY78" s="16" t="n">
        <f aca="false">SUM($T78:AI78)</f>
        <v>74.9305192068704</v>
      </c>
      <c r="AZ78" s="16" t="n">
        <f aca="false">MAX(C78-AJ78,0)</f>
        <v>62.7356177867476</v>
      </c>
      <c r="BA78" s="16" t="n">
        <f aca="false">MAX(C78-AK78,0)</f>
        <v>58.014034709208</v>
      </c>
      <c r="BB78" s="16" t="n">
        <f aca="false">MAX(C78-AL78,0)</f>
        <v>52.7942093920378</v>
      </c>
      <c r="BC78" s="16" t="n">
        <f aca="false">MAX(C78-AM78,0)</f>
        <v>47.509022711476</v>
      </c>
      <c r="BD78" s="16" t="n">
        <f aca="false">MAX(C78-AN78,0)</f>
        <v>42.5573570538928</v>
      </c>
      <c r="BE78" s="16" t="n">
        <f aca="false">MAX(C78-AO78,0)</f>
        <v>37.6891701987175</v>
      </c>
      <c r="BF78" s="16" t="n">
        <f aca="false">MAX(C78-AP78,0)</f>
        <v>33.2045097510745</v>
      </c>
      <c r="BG78" s="16" t="n">
        <f aca="false">MAX(C78-AQ78,0)</f>
        <v>29.1008790335495</v>
      </c>
      <c r="BH78" s="16" t="n">
        <f aca="false">MAX(C78-AR78,0)</f>
        <v>25.013317361321</v>
      </c>
      <c r="BI78" s="16" t="n">
        <f aca="false">MAX(C78-AS78,0)</f>
        <v>20.8142122246285</v>
      </c>
      <c r="BJ78" s="16" t="n">
        <f aca="false">MAX(C78-AT78,0)</f>
        <v>16.7709057605368</v>
      </c>
      <c r="BK78" s="16" t="n">
        <f aca="false">MAX(C78-AU78,0)</f>
        <v>11.3143909526347</v>
      </c>
      <c r="BL78" s="16" t="n">
        <f aca="false">MAX(C78-AV78,0)</f>
        <v>6.34823765328283</v>
      </c>
      <c r="BM78" s="16" t="n">
        <f aca="false">MAX(C78-AW78,0)</f>
        <v>1.68933017046642</v>
      </c>
      <c r="BN78" s="16" t="n">
        <f aca="false">MAX(C78-AX78,0)</f>
        <v>0</v>
      </c>
      <c r="BO78" s="16" t="n">
        <f aca="false">MAX(C78-AY78,0)</f>
        <v>0</v>
      </c>
    </row>
    <row r="79" customFormat="false" ht="15" hidden="false" customHeight="false" outlineLevel="0" collapsed="false">
      <c r="A79" s="3" t="n">
        <v>49</v>
      </c>
      <c r="B79" s="15" t="n">
        <f aca="true">RAND()</f>
        <v>0.271945646877533</v>
      </c>
      <c r="C79" s="16" t="n">
        <f aca="false">LOOKUP(B79,$E$12:$E$17,$A$12:$A$17)+LOOKUP(B79,$E$12:$E$17,$D$12:$D$17)*(B79-LOOKUP(B79,$E$12:$E$17))/LOOKUP(B79,$E$12:$E$17,$C$12:$C$17)</f>
        <v>60.3657607812922</v>
      </c>
      <c r="D79" s="15" t="n">
        <f aca="true">RAND()</f>
        <v>0.70956098250173</v>
      </c>
      <c r="E79" s="15" t="n">
        <f aca="true">RAND()</f>
        <v>0.302163966154583</v>
      </c>
      <c r="F79" s="15" t="n">
        <f aca="true">RAND()</f>
        <v>0.571065994652293</v>
      </c>
      <c r="G79" s="15" t="n">
        <f aca="true">RAND()</f>
        <v>0.465416200742449</v>
      </c>
      <c r="H79" s="15" t="n">
        <f aca="true">RAND()</f>
        <v>0.584535858257128</v>
      </c>
      <c r="I79" s="15" t="n">
        <f aca="true">RAND()</f>
        <v>0.226561949541178</v>
      </c>
      <c r="J79" s="15" t="n">
        <f aca="true">RAND()</f>
        <v>0.910071094437099</v>
      </c>
      <c r="K79" s="15" t="n">
        <f aca="true">RAND()</f>
        <v>0.680637148008788</v>
      </c>
      <c r="L79" s="15" t="n">
        <f aca="true">RAND()</f>
        <v>0.852712364089269</v>
      </c>
      <c r="M79" s="15" t="n">
        <f aca="true">RAND()</f>
        <v>0.573381841224515</v>
      </c>
      <c r="N79" s="15" t="n">
        <f aca="true">RAND()</f>
        <v>0.58016884760156</v>
      </c>
      <c r="O79" s="15" t="n">
        <f aca="true">RAND()</f>
        <v>0.871202386177615</v>
      </c>
      <c r="P79" s="15" t="n">
        <f aca="true">RAND()</f>
        <v>0.0910566686345845</v>
      </c>
      <c r="Q79" s="15" t="n">
        <f aca="true">RAND()</f>
        <v>0.88545437186447</v>
      </c>
      <c r="R79" s="15" t="n">
        <f aca="true">RAND()</f>
        <v>0.467393502109483</v>
      </c>
      <c r="S79" s="15" t="n">
        <f aca="true">RAND()</f>
        <v>0.658309413509321</v>
      </c>
      <c r="T79" s="16" t="n">
        <f aca="false">LOOKUP(D79,$E$23:$E$26,$A$23:$A$26)+LOOKUP(D79,$E$23:$E$26,$D$23:$D$26)*(D79-LOOKUP(D79,$E$23:$E$26))/LOOKUP(D79,$E$23:$E$26,$C$23:$C$26)</f>
        <v>5.02390245625433</v>
      </c>
      <c r="U79" s="16" t="n">
        <f aca="false">LOOKUP(E79,$E$23:$E$26,$A$23:$A$26)+LOOKUP(E79,$E$23:$E$26,$D$23:$D$26)*(E79-LOOKUP(E79,$E$23:$E$26))/LOOKUP(E79,$E$23:$E$26,$C$23:$C$26)</f>
        <v>4.50270495769323</v>
      </c>
      <c r="V79" s="16" t="n">
        <f aca="false">LOOKUP(F79,$E$23:$E$26,$A$23:$A$26)+LOOKUP(F79,$E$23:$E$26,$D$23:$D$26)*(F79-LOOKUP(F79,$E$23:$E$26))/LOOKUP(F79,$E$23:$E$26,$C$23:$C$26)</f>
        <v>4.83883249331537</v>
      </c>
      <c r="W79" s="16" t="n">
        <f aca="false">LOOKUP(G79,$E$23:$E$26,$A$23:$A$26)+LOOKUP(G79,$E$23:$E$26,$D$23:$D$26)*(G79-LOOKUP(G79,$E$23:$E$26))/LOOKUP(G79,$E$23:$E$26,$C$23:$C$26)</f>
        <v>4.70677025092806</v>
      </c>
      <c r="X79" s="16" t="n">
        <f aca="false">LOOKUP(H79,$E$23:$E$26,$A$23:$A$26)+LOOKUP(H79,$E$23:$E$26,$D$23:$D$26)*(H79-LOOKUP(H79,$E$23:$E$26))/LOOKUP(H79,$E$23:$E$26,$C$23:$C$26)</f>
        <v>4.85566982282141</v>
      </c>
      <c r="Y79" s="16" t="n">
        <f aca="false">LOOKUP(I79,$E$23:$E$26,$A$23:$A$26)+LOOKUP(I79,$E$23:$E$26,$D$23:$D$26)*(I79-LOOKUP(I79,$E$23:$E$26))/LOOKUP(I79,$E$23:$E$26,$C$23:$C$26)</f>
        <v>4.3776032492353</v>
      </c>
      <c r="Z79" s="16" t="n">
        <f aca="false">LOOKUP(J79,$E$23:$E$26,$A$23:$A$26)+LOOKUP(J79,$E$23:$E$26,$D$23:$D$26)*(J79-LOOKUP(J79,$E$23:$E$26))/LOOKUP(J79,$E$23:$E$26,$C$23:$C$26)</f>
        <v>5.5503554721855</v>
      </c>
      <c r="AA79" s="16" t="n">
        <f aca="false">LOOKUP(K79,$E$23:$E$26,$A$23:$A$26)+LOOKUP(K79,$E$23:$E$26,$D$23:$D$26)*(K79-LOOKUP(K79,$E$23:$E$26))/LOOKUP(K79,$E$23:$E$26,$C$23:$C$26)</f>
        <v>4.97579643501099</v>
      </c>
      <c r="AB79" s="16" t="n">
        <f aca="false">LOOKUP(L79,$E$23:$E$26,$A$23:$A$26)+LOOKUP(L79,$E$23:$E$26,$D$23:$D$26)*(L79-LOOKUP(L79,$E$23:$E$26))/LOOKUP(L79,$E$23:$E$26,$C$23:$C$26)</f>
        <v>5.38178091022317</v>
      </c>
      <c r="AC79" s="16" t="n">
        <f aca="false">LOOKUP(M79,$E$23:$E$26,$A$23:$A$26)+LOOKUP(M79,$E$23:$E$26,$D$23:$D$26)*(M79-LOOKUP(M79,$E$23:$E$26))/LOOKUP(M79,$E$23:$E$26,$C$23:$C$26)</f>
        <v>4.84172730153064</v>
      </c>
      <c r="AD79" s="16" t="n">
        <f aca="false">LOOKUP(N79,$E$23:$E$26,$A$23:$A$26)+LOOKUP(N79,$E$23:$E$26,$D$23:$D$26)*(N79-LOOKUP(N79,$E$23:$E$26))/LOOKUP(N79,$E$23:$E$26,$C$23:$C$26)</f>
        <v>4.85021105950195</v>
      </c>
      <c r="AE79" s="16" t="n">
        <f aca="false">LOOKUP(O79,$E$23:$E$26,$A$23:$A$26)+LOOKUP(O79,$E$23:$E$26,$D$23:$D$26)*(O79-LOOKUP(O79,$E$23:$E$26))/LOOKUP(O79,$E$23:$E$26,$C$23:$C$26)</f>
        <v>5.42800596544404</v>
      </c>
      <c r="AF79" s="16" t="n">
        <f aca="false">LOOKUP(P79,$E$23:$E$26,$A$23:$A$26)+LOOKUP(P79,$E$23:$E$26,$D$23:$D$26)*(P79-LOOKUP(P79,$E$23:$E$26))/LOOKUP(P79,$E$23:$E$26,$C$23:$C$26)</f>
        <v>4.15176111439097</v>
      </c>
      <c r="AG79" s="16" t="n">
        <f aca="false">LOOKUP(Q79,$E$23:$E$26,$A$23:$A$26)+LOOKUP(Q79,$E$23:$E$26,$D$23:$D$26)*(Q79-LOOKUP(Q79,$E$23:$E$26))/LOOKUP(Q79,$E$23:$E$26,$C$23:$C$26)</f>
        <v>5.46363592966118</v>
      </c>
      <c r="AH79" s="16" t="n">
        <f aca="false">LOOKUP(R79,$E$23:$E$26,$A$23:$A$26)+LOOKUP(R79,$E$23:$E$26,$D$23:$D$26)*(R79-LOOKUP(R79,$E$23:$E$26))/LOOKUP(R79,$E$23:$E$26,$C$23:$C$26)</f>
        <v>4.70924187763685</v>
      </c>
      <c r="AI79" s="16" t="n">
        <f aca="false">LOOKUP(S79,$E$23:$E$26,$A$23:$A$26)+LOOKUP(S79,$E$23:$E$26,$D$23:$D$26)*(S79-LOOKUP(S79,$E$23:$E$26))/LOOKUP(S79,$E$23:$E$26,$C$23:$C$26)</f>
        <v>4.94788676688665</v>
      </c>
      <c r="AJ79" s="16" t="n">
        <f aca="false">SUM($T79:T79)</f>
        <v>5.02390245625433</v>
      </c>
      <c r="AK79" s="16" t="n">
        <f aca="false">SUM($T79:U79)</f>
        <v>9.52660741394756</v>
      </c>
      <c r="AL79" s="16" t="n">
        <f aca="false">SUM($T79:V79)</f>
        <v>14.3654399072629</v>
      </c>
      <c r="AM79" s="16" t="n">
        <f aca="false">SUM($T79:W79)</f>
        <v>19.072210158191</v>
      </c>
      <c r="AN79" s="16" t="n">
        <f aca="false">SUM($T79:X79)</f>
        <v>23.9278799810124</v>
      </c>
      <c r="AO79" s="16" t="n">
        <f aca="false">SUM($T79:Y79)</f>
        <v>28.3054832302477</v>
      </c>
      <c r="AP79" s="16" t="n">
        <f aca="false">SUM($T79:Z79)</f>
        <v>33.8558387024332</v>
      </c>
      <c r="AQ79" s="16" t="n">
        <f aca="false">SUM($T79:AA79)</f>
        <v>38.8316351374442</v>
      </c>
      <c r="AR79" s="16" t="n">
        <f aca="false">SUM($T79:AB79)</f>
        <v>44.2134160476673</v>
      </c>
      <c r="AS79" s="16" t="n">
        <f aca="false">SUM($T79:AC79)</f>
        <v>49.055143349198</v>
      </c>
      <c r="AT79" s="16" t="n">
        <f aca="false">SUM($T79:AD79)</f>
        <v>53.9053544086999</v>
      </c>
      <c r="AU79" s="16" t="n">
        <f aca="false">SUM($T79:AE79)</f>
        <v>59.333360374144</v>
      </c>
      <c r="AV79" s="16" t="n">
        <f aca="false">SUM($T79:AF79)</f>
        <v>63.4851214885349</v>
      </c>
      <c r="AW79" s="16" t="n">
        <f aca="false">SUM($T79:AG79)</f>
        <v>68.9487574181961</v>
      </c>
      <c r="AX79" s="16" t="n">
        <f aca="false">SUM($T79:AH79)</f>
        <v>73.657999295833</v>
      </c>
      <c r="AY79" s="16" t="n">
        <f aca="false">SUM($T79:AI79)</f>
        <v>78.6058860627196</v>
      </c>
      <c r="AZ79" s="16" t="n">
        <f aca="false">MAX(C79-AJ79,0)</f>
        <v>55.3418583250379</v>
      </c>
      <c r="BA79" s="16" t="n">
        <f aca="false">MAX(C79-AK79,0)</f>
        <v>50.8391533673447</v>
      </c>
      <c r="BB79" s="16" t="n">
        <f aca="false">MAX(C79-AL79,0)</f>
        <v>46.0003208740293</v>
      </c>
      <c r="BC79" s="16" t="n">
        <f aca="false">MAX(C79-AM79,0)</f>
        <v>41.2935506231012</v>
      </c>
      <c r="BD79" s="16" t="n">
        <f aca="false">MAX(C79-AN79,0)</f>
        <v>36.4378808002798</v>
      </c>
      <c r="BE79" s="16" t="n">
        <f aca="false">MAX(C79-AO79,0)</f>
        <v>32.0602775510445</v>
      </c>
      <c r="BF79" s="16" t="n">
        <f aca="false">MAX(C79-AP79,0)</f>
        <v>26.509922078859</v>
      </c>
      <c r="BG79" s="16" t="n">
        <f aca="false">MAX(C79-AQ79,0)</f>
        <v>21.5341256438481</v>
      </c>
      <c r="BH79" s="16" t="n">
        <f aca="false">MAX(C79-AR79,0)</f>
        <v>16.1523447336249</v>
      </c>
      <c r="BI79" s="16" t="n">
        <f aca="false">MAX(C79-AS79,0)</f>
        <v>11.3106174320942</v>
      </c>
      <c r="BJ79" s="16" t="n">
        <f aca="false">MAX(C79-AT79,0)</f>
        <v>6.46040637259229</v>
      </c>
      <c r="BK79" s="16" t="n">
        <f aca="false">MAX(C79-AU79,0)</f>
        <v>1.03240040714825</v>
      </c>
      <c r="BL79" s="16" t="n">
        <f aca="false">MAX(C79-AV79,0)</f>
        <v>0</v>
      </c>
      <c r="BM79" s="16" t="n">
        <f aca="false">MAX(C79-AW79,0)</f>
        <v>0</v>
      </c>
      <c r="BN79" s="16" t="n">
        <f aca="false">MAX(C79-AX79,0)</f>
        <v>0</v>
      </c>
      <c r="BO79" s="16" t="n">
        <f aca="false">MAX(C79-AY79,0)</f>
        <v>0</v>
      </c>
    </row>
    <row r="80" customFormat="false" ht="15" hidden="false" customHeight="false" outlineLevel="0" collapsed="false">
      <c r="A80" s="3" t="n">
        <v>50</v>
      </c>
      <c r="B80" s="15" t="n">
        <f aca="true">RAND()</f>
        <v>0.120170712666934</v>
      </c>
      <c r="C80" s="16" t="n">
        <f aca="false">LOOKUP(B80,$E$12:$E$17,$A$12:$A$17)+LOOKUP(B80,$E$12:$E$17,$D$12:$D$17)*(B80-LOOKUP(B80,$E$12:$E$17))/LOOKUP(B80,$E$12:$E$17,$C$12:$C$17)</f>
        <v>55.6723570888978</v>
      </c>
      <c r="D80" s="15" t="n">
        <f aca="true">RAND()</f>
        <v>0.543318244721658</v>
      </c>
      <c r="E80" s="15" t="n">
        <f aca="true">RAND()</f>
        <v>0.681529702426694</v>
      </c>
      <c r="F80" s="15" t="n">
        <f aca="true">RAND()</f>
        <v>0.11908496042496</v>
      </c>
      <c r="G80" s="15" t="n">
        <f aca="true">RAND()</f>
        <v>0.99606937035199</v>
      </c>
      <c r="H80" s="15" t="n">
        <f aca="true">RAND()</f>
        <v>0.305457995850266</v>
      </c>
      <c r="I80" s="15" t="n">
        <f aca="true">RAND()</f>
        <v>0.0513007052915574</v>
      </c>
      <c r="J80" s="15" t="n">
        <f aca="true">RAND()</f>
        <v>0.758078173452826</v>
      </c>
      <c r="K80" s="15" t="n">
        <f aca="true">RAND()</f>
        <v>0.177312625750716</v>
      </c>
      <c r="L80" s="15" t="n">
        <f aca="true">RAND()</f>
        <v>0.500125366185321</v>
      </c>
      <c r="M80" s="15" t="n">
        <f aca="true">RAND()</f>
        <v>0.18097397842194</v>
      </c>
      <c r="N80" s="15" t="n">
        <f aca="true">RAND()</f>
        <v>0.538810592446736</v>
      </c>
      <c r="O80" s="15" t="n">
        <f aca="true">RAND()</f>
        <v>0.542226622558664</v>
      </c>
      <c r="P80" s="15" t="n">
        <f aca="true">RAND()</f>
        <v>0.48810548426652</v>
      </c>
      <c r="Q80" s="15" t="n">
        <f aca="true">RAND()</f>
        <v>0.886876835385435</v>
      </c>
      <c r="R80" s="15" t="n">
        <f aca="true">RAND()</f>
        <v>0.0444879059580109</v>
      </c>
      <c r="S80" s="15" t="n">
        <f aca="true">RAND()</f>
        <v>0.718214479145656</v>
      </c>
      <c r="T80" s="16" t="n">
        <f aca="false">LOOKUP(D80,$E$23:$E$26,$A$23:$A$26)+LOOKUP(D80,$E$23:$E$26,$D$23:$D$26)*(D80-LOOKUP(D80,$E$23:$E$26))/LOOKUP(D80,$E$23:$E$26,$C$23:$C$26)</f>
        <v>4.80414780590207</v>
      </c>
      <c r="U80" s="16" t="n">
        <f aca="false">LOOKUP(E80,$E$23:$E$26,$A$23:$A$26)+LOOKUP(E80,$E$23:$E$26,$D$23:$D$26)*(E80-LOOKUP(E80,$E$23:$E$26))/LOOKUP(E80,$E$23:$E$26,$C$23:$C$26)</f>
        <v>4.97691212803337</v>
      </c>
      <c r="V80" s="16" t="n">
        <f aca="false">LOOKUP(F80,$E$23:$E$26,$A$23:$A$26)+LOOKUP(F80,$E$23:$E$26,$D$23:$D$26)*(F80-LOOKUP(F80,$E$23:$E$26))/LOOKUP(F80,$E$23:$E$26,$C$23:$C$26)</f>
        <v>4.1984749340416</v>
      </c>
      <c r="W80" s="16" t="n">
        <f aca="false">LOOKUP(G80,$E$23:$E$26,$A$23:$A$26)+LOOKUP(G80,$E$23:$E$26,$D$23:$D$26)*(G80-LOOKUP(G80,$E$23:$E$26))/LOOKUP(G80,$E$23:$E$26,$C$23:$C$26)</f>
        <v>5.98034685175995</v>
      </c>
      <c r="X80" s="16" t="n">
        <f aca="false">LOOKUP(H80,$E$23:$E$26,$A$23:$A$26)+LOOKUP(H80,$E$23:$E$26,$D$23:$D$26)*(H80-LOOKUP(H80,$E$23:$E$26))/LOOKUP(H80,$E$23:$E$26,$C$23:$C$26)</f>
        <v>4.50682249481283</v>
      </c>
      <c r="Y80" s="16" t="n">
        <f aca="false">LOOKUP(I80,$E$23:$E$26,$A$23:$A$26)+LOOKUP(I80,$E$23:$E$26,$D$23:$D$26)*(I80-LOOKUP(I80,$E$23:$E$26))/LOOKUP(I80,$E$23:$E$26,$C$23:$C$26)</f>
        <v>4.08550117548593</v>
      </c>
      <c r="Z80" s="16" t="n">
        <f aca="false">LOOKUP(J80,$E$23:$E$26,$A$23:$A$26)+LOOKUP(J80,$E$23:$E$26,$D$23:$D$26)*(J80-LOOKUP(J80,$E$23:$E$26))/LOOKUP(J80,$E$23:$E$26,$C$23:$C$26)</f>
        <v>5.14519543363207</v>
      </c>
      <c r="AA80" s="16" t="n">
        <f aca="false">LOOKUP(K80,$E$23:$E$26,$A$23:$A$26)+LOOKUP(K80,$E$23:$E$26,$D$23:$D$26)*(K80-LOOKUP(K80,$E$23:$E$26))/LOOKUP(K80,$E$23:$E$26,$C$23:$C$26)</f>
        <v>4.29552104291786</v>
      </c>
      <c r="AB80" s="16" t="n">
        <f aca="false">LOOKUP(L80,$E$23:$E$26,$A$23:$A$26)+LOOKUP(L80,$E$23:$E$26,$D$23:$D$26)*(L80-LOOKUP(L80,$E$23:$E$26))/LOOKUP(L80,$E$23:$E$26,$C$23:$C$26)</f>
        <v>4.75015670773165</v>
      </c>
      <c r="AC80" s="16" t="n">
        <f aca="false">LOOKUP(M80,$E$23:$E$26,$A$23:$A$26)+LOOKUP(M80,$E$23:$E$26,$D$23:$D$26)*(M80-LOOKUP(M80,$E$23:$E$26))/LOOKUP(M80,$E$23:$E$26,$C$23:$C$26)</f>
        <v>4.3016232973699</v>
      </c>
      <c r="AD80" s="16" t="n">
        <f aca="false">LOOKUP(N80,$E$23:$E$26,$A$23:$A$26)+LOOKUP(N80,$E$23:$E$26,$D$23:$D$26)*(N80-LOOKUP(N80,$E$23:$E$26))/LOOKUP(N80,$E$23:$E$26,$C$23:$C$26)</f>
        <v>4.79851324055842</v>
      </c>
      <c r="AE80" s="16" t="n">
        <f aca="false">LOOKUP(O80,$E$23:$E$26,$A$23:$A$26)+LOOKUP(O80,$E$23:$E$26,$D$23:$D$26)*(O80-LOOKUP(O80,$E$23:$E$26))/LOOKUP(O80,$E$23:$E$26,$C$23:$C$26)</f>
        <v>4.80278327819833</v>
      </c>
      <c r="AF80" s="16" t="n">
        <f aca="false">LOOKUP(P80,$E$23:$E$26,$A$23:$A$26)+LOOKUP(P80,$E$23:$E$26,$D$23:$D$26)*(P80-LOOKUP(P80,$E$23:$E$26))/LOOKUP(P80,$E$23:$E$26,$C$23:$C$26)</f>
        <v>4.73513185533315</v>
      </c>
      <c r="AG80" s="16" t="n">
        <f aca="false">LOOKUP(Q80,$E$23:$E$26,$A$23:$A$26)+LOOKUP(Q80,$E$23:$E$26,$D$23:$D$26)*(Q80-LOOKUP(Q80,$E$23:$E$26))/LOOKUP(Q80,$E$23:$E$26,$C$23:$C$26)</f>
        <v>5.46719208846359</v>
      </c>
      <c r="AH80" s="16" t="n">
        <f aca="false">LOOKUP(R80,$E$23:$E$26,$A$23:$A$26)+LOOKUP(R80,$E$23:$E$26,$D$23:$D$26)*(R80-LOOKUP(R80,$E$23:$E$26))/LOOKUP(R80,$E$23:$E$26,$C$23:$C$26)</f>
        <v>4.07414650993002</v>
      </c>
      <c r="AI80" s="16" t="n">
        <f aca="false">LOOKUP(S80,$E$23:$E$26,$A$23:$A$26)+LOOKUP(S80,$E$23:$E$26,$D$23:$D$26)*(S80-LOOKUP(S80,$E$23:$E$26))/LOOKUP(S80,$E$23:$E$26,$C$23:$C$26)</f>
        <v>5.04553619786414</v>
      </c>
      <c r="AJ80" s="16" t="n">
        <f aca="false">SUM($T80:T80)</f>
        <v>4.80414780590207</v>
      </c>
      <c r="AK80" s="16" t="n">
        <f aca="false">SUM($T80:U80)</f>
        <v>9.78105993393544</v>
      </c>
      <c r="AL80" s="16" t="n">
        <f aca="false">SUM($T80:V80)</f>
        <v>13.979534867977</v>
      </c>
      <c r="AM80" s="16" t="n">
        <f aca="false">SUM($T80:W80)</f>
        <v>19.959881719737</v>
      </c>
      <c r="AN80" s="16" t="n">
        <f aca="false">SUM($T80:X80)</f>
        <v>24.4667042145498</v>
      </c>
      <c r="AO80" s="16" t="n">
        <f aca="false">SUM($T80:Y80)</f>
        <v>28.5522053900358</v>
      </c>
      <c r="AP80" s="16" t="n">
        <f aca="false">SUM($T80:Z80)</f>
        <v>33.6974008236678</v>
      </c>
      <c r="AQ80" s="16" t="n">
        <f aca="false">SUM($T80:AA80)</f>
        <v>37.9929218665857</v>
      </c>
      <c r="AR80" s="16" t="n">
        <f aca="false">SUM($T80:AB80)</f>
        <v>42.7430785743173</v>
      </c>
      <c r="AS80" s="16" t="n">
        <f aca="false">SUM($T80:AC80)</f>
        <v>47.0447018716872</v>
      </c>
      <c r="AT80" s="16" t="n">
        <f aca="false">SUM($T80:AD80)</f>
        <v>51.8432151122456</v>
      </c>
      <c r="AU80" s="16" t="n">
        <f aca="false">SUM($T80:AE80)</f>
        <v>56.645998390444</v>
      </c>
      <c r="AV80" s="16" t="n">
        <f aca="false">SUM($T80:AF80)</f>
        <v>61.3811302457771</v>
      </c>
      <c r="AW80" s="16" t="n">
        <f aca="false">SUM($T80:AG80)</f>
        <v>66.8483223342407</v>
      </c>
      <c r="AX80" s="16" t="n">
        <f aca="false">SUM($T80:AH80)</f>
        <v>70.9224688441707</v>
      </c>
      <c r="AY80" s="16" t="n">
        <f aca="false">SUM($T80:AI80)</f>
        <v>75.9680050420349</v>
      </c>
      <c r="AZ80" s="16" t="n">
        <f aca="false">MAX(C80-AJ80,0)</f>
        <v>50.8682092829957</v>
      </c>
      <c r="BA80" s="16" t="n">
        <f aca="false">MAX(C80-AK80,0)</f>
        <v>45.8912971549624</v>
      </c>
      <c r="BB80" s="16" t="n">
        <f aca="false">MAX(C80-AL80,0)</f>
        <v>41.6928222209208</v>
      </c>
      <c r="BC80" s="16" t="n">
        <f aca="false">MAX(C80-AM80,0)</f>
        <v>35.7124753691608</v>
      </c>
      <c r="BD80" s="16" t="n">
        <f aca="false">MAX(C80-AN80,0)</f>
        <v>31.205652874348</v>
      </c>
      <c r="BE80" s="16" t="n">
        <f aca="false">MAX(C80-AO80,0)</f>
        <v>27.1201516988621</v>
      </c>
      <c r="BF80" s="16" t="n">
        <f aca="false">MAX(C80-AP80,0)</f>
        <v>21.97495626523</v>
      </c>
      <c r="BG80" s="16" t="n">
        <f aca="false">MAX(C80-AQ80,0)</f>
        <v>17.6794352223121</v>
      </c>
      <c r="BH80" s="16" t="n">
        <f aca="false">MAX(C80-AR80,0)</f>
        <v>12.9292785145805</v>
      </c>
      <c r="BI80" s="16" t="n">
        <f aca="false">MAX(C80-AS80,0)</f>
        <v>8.62765521721057</v>
      </c>
      <c r="BJ80" s="16" t="n">
        <f aca="false">MAX(C80-AT80,0)</f>
        <v>3.82914197665216</v>
      </c>
      <c r="BK80" s="16" t="n">
        <f aca="false">MAX(C80-AU80,0)</f>
        <v>0</v>
      </c>
      <c r="BL80" s="16" t="n">
        <f aca="false">MAX(C80-AV80,0)</f>
        <v>0</v>
      </c>
      <c r="BM80" s="16" t="n">
        <f aca="false">MAX(C80-AW80,0)</f>
        <v>0</v>
      </c>
      <c r="BN80" s="16" t="n">
        <f aca="false">MAX(C80-AX80,0)</f>
        <v>0</v>
      </c>
      <c r="BO80" s="16" t="n">
        <f aca="false">MAX(C80-AY80,0)</f>
        <v>0</v>
      </c>
    </row>
    <row r="81" customFormat="false" ht="15" hidden="false" customHeight="false" outlineLevel="0" collapsed="false">
      <c r="A81" s="3" t="n">
        <v>51</v>
      </c>
      <c r="B81" s="15" t="n">
        <f aca="true">RAND()</f>
        <v>0.170618362284854</v>
      </c>
      <c r="C81" s="16" t="n">
        <f aca="false">LOOKUP(B81,$E$12:$E$17,$A$12:$A$17)+LOOKUP(B81,$E$12:$E$17,$D$12:$D$17)*(B81-LOOKUP(B81,$E$12:$E$17))/LOOKUP(B81,$E$12:$E$17,$C$12:$C$17)</f>
        <v>57.3539454094952</v>
      </c>
      <c r="D81" s="15" t="n">
        <f aca="true">RAND()</f>
        <v>0.324855288848801</v>
      </c>
      <c r="E81" s="15" t="n">
        <f aca="true">RAND()</f>
        <v>0.720669692191768</v>
      </c>
      <c r="F81" s="15" t="n">
        <f aca="true">RAND()</f>
        <v>0.360075012039942</v>
      </c>
      <c r="G81" s="15" t="n">
        <f aca="true">RAND()</f>
        <v>0.749271776232885</v>
      </c>
      <c r="H81" s="15" t="n">
        <f aca="true">RAND()</f>
        <v>0.83134430979894</v>
      </c>
      <c r="I81" s="15" t="n">
        <f aca="true">RAND()</f>
        <v>0.971985182897384</v>
      </c>
      <c r="J81" s="15" t="n">
        <f aca="true">RAND()</f>
        <v>0.377003786944363</v>
      </c>
      <c r="K81" s="15" t="n">
        <f aca="true">RAND()</f>
        <v>0.438118315762942</v>
      </c>
      <c r="L81" s="15" t="n">
        <f aca="true">RAND()</f>
        <v>0.406548918457376</v>
      </c>
      <c r="M81" s="15" t="n">
        <f aca="true">RAND()</f>
        <v>0.698420441572698</v>
      </c>
      <c r="N81" s="15" t="n">
        <f aca="true">RAND()</f>
        <v>0.0731062649359782</v>
      </c>
      <c r="O81" s="15" t="n">
        <f aca="true">RAND()</f>
        <v>0.630286500649608</v>
      </c>
      <c r="P81" s="15" t="n">
        <f aca="true">RAND()</f>
        <v>0.347959495582371</v>
      </c>
      <c r="Q81" s="15" t="n">
        <f aca="true">RAND()</f>
        <v>0.828759535948354</v>
      </c>
      <c r="R81" s="15" t="n">
        <f aca="true">RAND()</f>
        <v>0.869546825836049</v>
      </c>
      <c r="S81" s="15" t="n">
        <f aca="true">RAND()</f>
        <v>0.609419518919397</v>
      </c>
      <c r="T81" s="16" t="n">
        <f aca="false">LOOKUP(D81,$E$23:$E$26,$A$23:$A$26)+LOOKUP(D81,$E$23:$E$26,$D$23:$D$26)*(D81-LOOKUP(D81,$E$23:$E$26))/LOOKUP(D81,$E$23:$E$26,$C$23:$C$26)</f>
        <v>4.531069111061</v>
      </c>
      <c r="U81" s="16" t="n">
        <f aca="false">LOOKUP(E81,$E$23:$E$26,$A$23:$A$26)+LOOKUP(E81,$E$23:$E$26,$D$23:$D$26)*(E81-LOOKUP(E81,$E$23:$E$26))/LOOKUP(E81,$E$23:$E$26,$C$23:$C$26)</f>
        <v>5.05167423047942</v>
      </c>
      <c r="V81" s="16" t="n">
        <f aca="false">LOOKUP(F81,$E$23:$E$26,$A$23:$A$26)+LOOKUP(F81,$E$23:$E$26,$D$23:$D$26)*(F81-LOOKUP(F81,$E$23:$E$26))/LOOKUP(F81,$E$23:$E$26,$C$23:$C$26)</f>
        <v>4.57509376504993</v>
      </c>
      <c r="W81" s="16" t="n">
        <f aca="false">LOOKUP(G81,$E$23:$E$26,$A$23:$A$26)+LOOKUP(G81,$E$23:$E$26,$D$23:$D$26)*(G81-LOOKUP(G81,$E$23:$E$26))/LOOKUP(G81,$E$23:$E$26,$C$23:$C$26)</f>
        <v>5.12317944058221</v>
      </c>
      <c r="X81" s="16" t="n">
        <f aca="false">LOOKUP(H81,$E$23:$E$26,$A$23:$A$26)+LOOKUP(H81,$E$23:$E$26,$D$23:$D$26)*(H81-LOOKUP(H81,$E$23:$E$26))/LOOKUP(H81,$E$23:$E$26,$C$23:$C$26)</f>
        <v>5.32836077449735</v>
      </c>
      <c r="Y81" s="16" t="n">
        <f aca="false">LOOKUP(I81,$E$23:$E$26,$A$23:$A$26)+LOOKUP(I81,$E$23:$E$26,$D$23:$D$26)*(I81-LOOKUP(I81,$E$23:$E$26))/LOOKUP(I81,$E$23:$E$26,$C$23:$C$26)</f>
        <v>5.85992591448692</v>
      </c>
      <c r="Z81" s="16" t="n">
        <f aca="false">LOOKUP(J81,$E$23:$E$26,$A$23:$A$26)+LOOKUP(J81,$E$23:$E$26,$D$23:$D$26)*(J81-LOOKUP(J81,$E$23:$E$26))/LOOKUP(J81,$E$23:$E$26,$C$23:$C$26)</f>
        <v>4.59625473368045</v>
      </c>
      <c r="AA81" s="16" t="n">
        <f aca="false">LOOKUP(K81,$E$23:$E$26,$A$23:$A$26)+LOOKUP(K81,$E$23:$E$26,$D$23:$D$26)*(K81-LOOKUP(K81,$E$23:$E$26))/LOOKUP(K81,$E$23:$E$26,$C$23:$C$26)</f>
        <v>4.67264789470368</v>
      </c>
      <c r="AB81" s="16" t="n">
        <f aca="false">LOOKUP(L81,$E$23:$E$26,$A$23:$A$26)+LOOKUP(L81,$E$23:$E$26,$D$23:$D$26)*(L81-LOOKUP(L81,$E$23:$E$26))/LOOKUP(L81,$E$23:$E$26,$C$23:$C$26)</f>
        <v>4.63318614807172</v>
      </c>
      <c r="AC81" s="16" t="n">
        <f aca="false">LOOKUP(M81,$E$23:$E$26,$A$23:$A$26)+LOOKUP(M81,$E$23:$E$26,$D$23:$D$26)*(M81-LOOKUP(M81,$E$23:$E$26))/LOOKUP(M81,$E$23:$E$26,$C$23:$C$26)</f>
        <v>4.99802555196587</v>
      </c>
      <c r="AD81" s="16" t="n">
        <f aca="false">LOOKUP(N81,$E$23:$E$26,$A$23:$A$26)+LOOKUP(N81,$E$23:$E$26,$D$23:$D$26)*(N81-LOOKUP(N81,$E$23:$E$26))/LOOKUP(N81,$E$23:$E$26,$C$23:$C$26)</f>
        <v>4.1218437748933</v>
      </c>
      <c r="AE81" s="16" t="n">
        <f aca="false">LOOKUP(O81,$E$23:$E$26,$A$23:$A$26)+LOOKUP(O81,$E$23:$E$26,$D$23:$D$26)*(O81-LOOKUP(O81,$E$23:$E$26))/LOOKUP(O81,$E$23:$E$26,$C$23:$C$26)</f>
        <v>4.91285812581201</v>
      </c>
      <c r="AF81" s="16" t="n">
        <f aca="false">LOOKUP(P81,$E$23:$E$26,$A$23:$A$26)+LOOKUP(P81,$E$23:$E$26,$D$23:$D$26)*(P81-LOOKUP(P81,$E$23:$E$26))/LOOKUP(P81,$E$23:$E$26,$C$23:$C$26)</f>
        <v>4.55994936947796</v>
      </c>
      <c r="AG81" s="16" t="n">
        <f aca="false">LOOKUP(Q81,$E$23:$E$26,$A$23:$A$26)+LOOKUP(Q81,$E$23:$E$26,$D$23:$D$26)*(Q81-LOOKUP(Q81,$E$23:$E$26))/LOOKUP(Q81,$E$23:$E$26,$C$23:$C$26)</f>
        <v>5.32189883987088</v>
      </c>
      <c r="AH81" s="16" t="n">
        <f aca="false">LOOKUP(R81,$E$23:$E$26,$A$23:$A$26)+LOOKUP(R81,$E$23:$E$26,$D$23:$D$26)*(R81-LOOKUP(R81,$E$23:$E$26))/LOOKUP(R81,$E$23:$E$26,$C$23:$C$26)</f>
        <v>5.42386706459012</v>
      </c>
      <c r="AI81" s="16" t="n">
        <f aca="false">LOOKUP(S81,$E$23:$E$26,$A$23:$A$26)+LOOKUP(S81,$E$23:$E$26,$D$23:$D$26)*(S81-LOOKUP(S81,$E$23:$E$26))/LOOKUP(S81,$E$23:$E$26,$C$23:$C$26)</f>
        <v>4.88677439864925</v>
      </c>
      <c r="AJ81" s="16" t="n">
        <f aca="false">SUM($T81:T81)</f>
        <v>4.531069111061</v>
      </c>
      <c r="AK81" s="16" t="n">
        <f aca="false">SUM($T81:U81)</f>
        <v>9.58274334154042</v>
      </c>
      <c r="AL81" s="16" t="n">
        <f aca="false">SUM($T81:V81)</f>
        <v>14.1578371065904</v>
      </c>
      <c r="AM81" s="16" t="n">
        <f aca="false">SUM($T81:W81)</f>
        <v>19.2810165471726</v>
      </c>
      <c r="AN81" s="16" t="n">
        <f aca="false">SUM($T81:X81)</f>
        <v>24.6093773216699</v>
      </c>
      <c r="AO81" s="16" t="n">
        <f aca="false">SUM($T81:Y81)</f>
        <v>30.4693032361568</v>
      </c>
      <c r="AP81" s="16" t="n">
        <f aca="false">SUM($T81:Z81)</f>
        <v>35.0655579698373</v>
      </c>
      <c r="AQ81" s="16" t="n">
        <f aca="false">SUM($T81:AA81)</f>
        <v>39.738205864541</v>
      </c>
      <c r="AR81" s="16" t="n">
        <f aca="false">SUM($T81:AB81)</f>
        <v>44.3713920126127</v>
      </c>
      <c r="AS81" s="16" t="n">
        <f aca="false">SUM($T81:AC81)</f>
        <v>49.3694175645786</v>
      </c>
      <c r="AT81" s="16" t="n">
        <f aca="false">SUM($T81:AD81)</f>
        <v>53.4912613394719</v>
      </c>
      <c r="AU81" s="16" t="n">
        <f aca="false">SUM($T81:AE81)</f>
        <v>58.4041194652839</v>
      </c>
      <c r="AV81" s="16" t="n">
        <f aca="false">SUM($T81:AF81)</f>
        <v>62.9640688347618</v>
      </c>
      <c r="AW81" s="16" t="n">
        <f aca="false">SUM($T81:AG81)</f>
        <v>68.2859676746327</v>
      </c>
      <c r="AX81" s="16" t="n">
        <f aca="false">SUM($T81:AH81)</f>
        <v>73.7098347392228</v>
      </c>
      <c r="AY81" s="16" t="n">
        <f aca="false">SUM($T81:AI81)</f>
        <v>78.5966091378721</v>
      </c>
      <c r="AZ81" s="16" t="n">
        <f aca="false">MAX(C81-AJ81,0)</f>
        <v>52.8228762984341</v>
      </c>
      <c r="BA81" s="16" t="n">
        <f aca="false">MAX(C81-AK81,0)</f>
        <v>47.7712020679547</v>
      </c>
      <c r="BB81" s="16" t="n">
        <f aca="false">MAX(C81-AL81,0)</f>
        <v>43.1961083029048</v>
      </c>
      <c r="BC81" s="16" t="n">
        <f aca="false">MAX(C81-AM81,0)</f>
        <v>38.0729288623226</v>
      </c>
      <c r="BD81" s="16" t="n">
        <f aca="false">MAX(C81-AN81,0)</f>
        <v>32.7445680878252</v>
      </c>
      <c r="BE81" s="16" t="n">
        <f aca="false">MAX(C81-AO81,0)</f>
        <v>26.8846421733383</v>
      </c>
      <c r="BF81" s="16" t="n">
        <f aca="false">MAX(C81-AP81,0)</f>
        <v>22.2883874396579</v>
      </c>
      <c r="BG81" s="16" t="n">
        <f aca="false">MAX(C81-AQ81,0)</f>
        <v>17.6157395449542</v>
      </c>
      <c r="BH81" s="16" t="n">
        <f aca="false">MAX(C81-AR81,0)</f>
        <v>12.9825533968825</v>
      </c>
      <c r="BI81" s="16" t="n">
        <f aca="false">MAX(C81-AS81,0)</f>
        <v>7.98452784491659</v>
      </c>
      <c r="BJ81" s="16" t="n">
        <f aca="false">MAX(C81-AT81,0)</f>
        <v>3.86268407002329</v>
      </c>
      <c r="BK81" s="16" t="n">
        <f aca="false">MAX(C81-AU81,0)</f>
        <v>0</v>
      </c>
      <c r="BL81" s="16" t="n">
        <f aca="false">MAX(C81-AV81,0)</f>
        <v>0</v>
      </c>
      <c r="BM81" s="16" t="n">
        <f aca="false">MAX(C81-AW81,0)</f>
        <v>0</v>
      </c>
      <c r="BN81" s="16" t="n">
        <f aca="false">MAX(C81-AX81,0)</f>
        <v>0</v>
      </c>
      <c r="BO81" s="16" t="n">
        <f aca="false">MAX(C81-AY81,0)</f>
        <v>0</v>
      </c>
    </row>
    <row r="82" customFormat="false" ht="15" hidden="false" customHeight="false" outlineLevel="0" collapsed="false">
      <c r="A82" s="3" t="n">
        <v>52</v>
      </c>
      <c r="B82" s="15" t="n">
        <f aca="true">RAND()</f>
        <v>0.646720447415015</v>
      </c>
      <c r="C82" s="16" t="n">
        <f aca="false">LOOKUP(B82,$E$12:$E$17,$A$12:$A$17)+LOOKUP(B82,$E$12:$E$17,$D$12:$D$17)*(B82-LOOKUP(B82,$E$12:$E$17))/LOOKUP(B82,$E$12:$E$17,$C$12:$C$17)</f>
        <v>66.3817206773574</v>
      </c>
      <c r="D82" s="15" t="n">
        <f aca="true">RAND()</f>
        <v>0.643657400533722</v>
      </c>
      <c r="E82" s="15" t="n">
        <f aca="true">RAND()</f>
        <v>0.821734916382185</v>
      </c>
      <c r="F82" s="15" t="n">
        <f aca="true">RAND()</f>
        <v>0.641356017289175</v>
      </c>
      <c r="G82" s="15" t="n">
        <f aca="true">RAND()</f>
        <v>0.134654131143586</v>
      </c>
      <c r="H82" s="15" t="n">
        <f aca="true">RAND()</f>
        <v>0.0873714987234368</v>
      </c>
      <c r="I82" s="15" t="n">
        <f aca="true">RAND()</f>
        <v>0.292268269359615</v>
      </c>
      <c r="J82" s="15" t="n">
        <f aca="true">RAND()</f>
        <v>0.636350663163418</v>
      </c>
      <c r="K82" s="15" t="n">
        <f aca="true">RAND()</f>
        <v>0.266710204766726</v>
      </c>
      <c r="L82" s="15" t="n">
        <f aca="true">RAND()</f>
        <v>0.360662950780613</v>
      </c>
      <c r="M82" s="15" t="n">
        <f aca="true">RAND()</f>
        <v>0.147547828089129</v>
      </c>
      <c r="N82" s="15" t="n">
        <f aca="true">RAND()</f>
        <v>0.336867416602566</v>
      </c>
      <c r="O82" s="15" t="n">
        <f aca="true">RAND()</f>
        <v>0.730108593310432</v>
      </c>
      <c r="P82" s="15" t="n">
        <f aca="true">RAND()</f>
        <v>0.0639942316813202</v>
      </c>
      <c r="Q82" s="15" t="n">
        <f aca="true">RAND()</f>
        <v>0.392203436065099</v>
      </c>
      <c r="R82" s="15" t="n">
        <f aca="true">RAND()</f>
        <v>0.429868250084927</v>
      </c>
      <c r="S82" s="15" t="n">
        <f aca="true">RAND()</f>
        <v>0.605876434474056</v>
      </c>
      <c r="T82" s="16" t="n">
        <f aca="false">LOOKUP(D82,$E$23:$E$26,$A$23:$A$26)+LOOKUP(D82,$E$23:$E$26,$D$23:$D$26)*(D82-LOOKUP(D82,$E$23:$E$26))/LOOKUP(D82,$E$23:$E$26,$C$23:$C$26)</f>
        <v>4.92957175066715</v>
      </c>
      <c r="U82" s="16" t="n">
        <f aca="false">LOOKUP(E82,$E$23:$E$26,$A$23:$A$26)+LOOKUP(E82,$E$23:$E$26,$D$23:$D$26)*(E82-LOOKUP(E82,$E$23:$E$26))/LOOKUP(E82,$E$23:$E$26,$C$23:$C$26)</f>
        <v>5.30433729095546</v>
      </c>
      <c r="V82" s="16" t="n">
        <f aca="false">LOOKUP(F82,$E$23:$E$26,$A$23:$A$26)+LOOKUP(F82,$E$23:$E$26,$D$23:$D$26)*(F82-LOOKUP(F82,$E$23:$E$26))/LOOKUP(F82,$E$23:$E$26,$C$23:$C$26)</f>
        <v>4.92669502161147</v>
      </c>
      <c r="W82" s="16" t="n">
        <f aca="false">LOOKUP(G82,$E$23:$E$26,$A$23:$A$26)+LOOKUP(G82,$E$23:$E$26,$D$23:$D$26)*(G82-LOOKUP(G82,$E$23:$E$26))/LOOKUP(G82,$E$23:$E$26,$C$23:$C$26)</f>
        <v>4.22442355190598</v>
      </c>
      <c r="X82" s="16" t="n">
        <f aca="false">LOOKUP(H82,$E$23:$E$26,$A$23:$A$26)+LOOKUP(H82,$E$23:$E$26,$D$23:$D$26)*(H82-LOOKUP(H82,$E$23:$E$26))/LOOKUP(H82,$E$23:$E$26,$C$23:$C$26)</f>
        <v>4.14561916453906</v>
      </c>
      <c r="Y82" s="16" t="n">
        <f aca="false">LOOKUP(I82,$E$23:$E$26,$A$23:$A$26)+LOOKUP(I82,$E$23:$E$26,$D$23:$D$26)*(I82-LOOKUP(I82,$E$23:$E$26))/LOOKUP(I82,$E$23:$E$26,$C$23:$C$26)</f>
        <v>4.48711378226602</v>
      </c>
      <c r="Z82" s="16" t="n">
        <f aca="false">LOOKUP(J82,$E$23:$E$26,$A$23:$A$26)+LOOKUP(J82,$E$23:$E$26,$D$23:$D$26)*(J82-LOOKUP(J82,$E$23:$E$26))/LOOKUP(J82,$E$23:$E$26,$C$23:$C$26)</f>
        <v>4.92043832895427</v>
      </c>
      <c r="AA82" s="16" t="n">
        <f aca="false">LOOKUP(K82,$E$23:$E$26,$A$23:$A$26)+LOOKUP(K82,$E$23:$E$26,$D$23:$D$26)*(K82-LOOKUP(K82,$E$23:$E$26))/LOOKUP(K82,$E$23:$E$26,$C$23:$C$26)</f>
        <v>4.44451700794454</v>
      </c>
      <c r="AB82" s="16" t="n">
        <f aca="false">LOOKUP(L82,$E$23:$E$26,$A$23:$A$26)+LOOKUP(L82,$E$23:$E$26,$D$23:$D$26)*(L82-LOOKUP(L82,$E$23:$E$26))/LOOKUP(L82,$E$23:$E$26,$C$23:$C$26)</f>
        <v>4.57582868847577</v>
      </c>
      <c r="AC82" s="16" t="n">
        <f aca="false">LOOKUP(M82,$E$23:$E$26,$A$23:$A$26)+LOOKUP(M82,$E$23:$E$26,$D$23:$D$26)*(M82-LOOKUP(M82,$E$23:$E$26))/LOOKUP(M82,$E$23:$E$26,$C$23:$C$26)</f>
        <v>4.24591304681522</v>
      </c>
      <c r="AD82" s="16" t="n">
        <f aca="false">LOOKUP(N82,$E$23:$E$26,$A$23:$A$26)+LOOKUP(N82,$E$23:$E$26,$D$23:$D$26)*(N82-LOOKUP(N82,$E$23:$E$26))/LOOKUP(N82,$E$23:$E$26,$C$23:$C$26)</f>
        <v>4.54608427075321</v>
      </c>
      <c r="AE82" s="16" t="n">
        <f aca="false">LOOKUP(O82,$E$23:$E$26,$A$23:$A$26)+LOOKUP(O82,$E$23:$E$26,$D$23:$D$26)*(O82-LOOKUP(O82,$E$23:$E$26))/LOOKUP(O82,$E$23:$E$26,$C$23:$C$26)</f>
        <v>5.07527148327608</v>
      </c>
      <c r="AF82" s="16" t="n">
        <f aca="false">LOOKUP(P82,$E$23:$E$26,$A$23:$A$26)+LOOKUP(P82,$E$23:$E$26,$D$23:$D$26)*(P82-LOOKUP(P82,$E$23:$E$26))/LOOKUP(P82,$E$23:$E$26,$C$23:$C$26)</f>
        <v>4.1066570528022</v>
      </c>
      <c r="AG82" s="16" t="n">
        <f aca="false">LOOKUP(Q82,$E$23:$E$26,$A$23:$A$26)+LOOKUP(Q82,$E$23:$E$26,$D$23:$D$26)*(Q82-LOOKUP(Q82,$E$23:$E$26))/LOOKUP(Q82,$E$23:$E$26,$C$23:$C$26)</f>
        <v>4.61525429508137</v>
      </c>
      <c r="AH82" s="16" t="n">
        <f aca="false">LOOKUP(R82,$E$23:$E$26,$A$23:$A$26)+LOOKUP(R82,$E$23:$E$26,$D$23:$D$26)*(R82-LOOKUP(R82,$E$23:$E$26))/LOOKUP(R82,$E$23:$E$26,$C$23:$C$26)</f>
        <v>4.66233531260616</v>
      </c>
      <c r="AI82" s="16" t="n">
        <f aca="false">LOOKUP(S82,$E$23:$E$26,$A$23:$A$26)+LOOKUP(S82,$E$23:$E$26,$D$23:$D$26)*(S82-LOOKUP(S82,$E$23:$E$26))/LOOKUP(S82,$E$23:$E$26,$C$23:$C$26)</f>
        <v>4.88234554309257</v>
      </c>
      <c r="AJ82" s="16" t="n">
        <f aca="false">SUM($T82:T82)</f>
        <v>4.92957175066715</v>
      </c>
      <c r="AK82" s="16" t="n">
        <f aca="false">SUM($T82:U82)</f>
        <v>10.2339090416226</v>
      </c>
      <c r="AL82" s="16" t="n">
        <f aca="false">SUM($T82:V82)</f>
        <v>15.1606040632341</v>
      </c>
      <c r="AM82" s="16" t="n">
        <f aca="false">SUM($T82:W82)</f>
        <v>19.3850276151401</v>
      </c>
      <c r="AN82" s="16" t="n">
        <f aca="false">SUM($T82:X82)</f>
        <v>23.5306467796791</v>
      </c>
      <c r="AO82" s="16" t="n">
        <f aca="false">SUM($T82:Y82)</f>
        <v>28.0177605619451</v>
      </c>
      <c r="AP82" s="16" t="n">
        <f aca="false">SUM($T82:Z82)</f>
        <v>32.9381988908994</v>
      </c>
      <c r="AQ82" s="16" t="n">
        <f aca="false">SUM($T82:AA82)</f>
        <v>37.382715898844</v>
      </c>
      <c r="AR82" s="16" t="n">
        <f aca="false">SUM($T82:AB82)</f>
        <v>41.9585445873197</v>
      </c>
      <c r="AS82" s="16" t="n">
        <f aca="false">SUM($T82:AC82)</f>
        <v>46.2044576341349</v>
      </c>
      <c r="AT82" s="16" t="n">
        <f aca="false">SUM($T82:AD82)</f>
        <v>50.7505419048881</v>
      </c>
      <c r="AU82" s="16" t="n">
        <f aca="false">SUM($T82:AE82)</f>
        <v>55.8258133881642</v>
      </c>
      <c r="AV82" s="16" t="n">
        <f aca="false">SUM($T82:AF82)</f>
        <v>59.9324704409664</v>
      </c>
      <c r="AW82" s="16" t="n">
        <f aca="false">SUM($T82:AG82)</f>
        <v>64.5477247360478</v>
      </c>
      <c r="AX82" s="16" t="n">
        <f aca="false">SUM($T82:AH82)</f>
        <v>69.210060048654</v>
      </c>
      <c r="AY82" s="16" t="n">
        <f aca="false">SUM($T82:AI82)</f>
        <v>74.0924055917465</v>
      </c>
      <c r="AZ82" s="16" t="n">
        <f aca="false">MAX(C82-AJ82,0)</f>
        <v>61.4521489266902</v>
      </c>
      <c r="BA82" s="16" t="n">
        <f aca="false">MAX(C82-AK82,0)</f>
        <v>56.1478116357348</v>
      </c>
      <c r="BB82" s="16" t="n">
        <f aca="false">MAX(C82-AL82,0)</f>
        <v>51.2211166141233</v>
      </c>
      <c r="BC82" s="16" t="n">
        <f aca="false">MAX(C82-AM82,0)</f>
        <v>46.9966930622173</v>
      </c>
      <c r="BD82" s="16" t="n">
        <f aca="false">MAX(C82-AN82,0)</f>
        <v>42.8510738976782</v>
      </c>
      <c r="BE82" s="16" t="n">
        <f aca="false">MAX(C82-AO82,0)</f>
        <v>38.3639601154122</v>
      </c>
      <c r="BF82" s="16" t="n">
        <f aca="false">MAX(C82-AP82,0)</f>
        <v>33.443521786458</v>
      </c>
      <c r="BG82" s="16" t="n">
        <f aca="false">MAX(C82-AQ82,0)</f>
        <v>28.9990047785134</v>
      </c>
      <c r="BH82" s="16" t="n">
        <f aca="false">MAX(C82-AR82,0)</f>
        <v>24.4231760900376</v>
      </c>
      <c r="BI82" s="16" t="n">
        <f aca="false">MAX(C82-AS82,0)</f>
        <v>20.1772630432224</v>
      </c>
      <c r="BJ82" s="16" t="n">
        <f aca="false">MAX(C82-AT82,0)</f>
        <v>15.6311787724692</v>
      </c>
      <c r="BK82" s="16" t="n">
        <f aca="false">MAX(C82-AU82,0)</f>
        <v>10.5559072891931</v>
      </c>
      <c r="BL82" s="16" t="n">
        <f aca="false">MAX(C82-AV82,0)</f>
        <v>6.44925023639094</v>
      </c>
      <c r="BM82" s="16" t="n">
        <f aca="false">MAX(C82-AW82,0)</f>
        <v>1.83399594130957</v>
      </c>
      <c r="BN82" s="16" t="n">
        <f aca="false">MAX(C82-AX82,0)</f>
        <v>0</v>
      </c>
      <c r="BO82" s="16" t="n">
        <f aca="false">MAX(C82-AY82,0)</f>
        <v>0</v>
      </c>
    </row>
    <row r="83" customFormat="false" ht="15" hidden="false" customHeight="false" outlineLevel="0" collapsed="false">
      <c r="A83" s="3" t="n">
        <v>53</v>
      </c>
      <c r="B83" s="15" t="n">
        <f aca="true">RAND()</f>
        <v>0.772762742830041</v>
      </c>
      <c r="C83" s="16" t="n">
        <f aca="false">LOOKUP(B83,$E$12:$E$17,$A$12:$A$17)+LOOKUP(B83,$E$12:$E$17,$D$12:$D$17)*(B83-LOOKUP(B83,$E$12:$E$17))/LOOKUP(B83,$E$12:$E$17,$C$12:$C$17)</f>
        <v>68.182324897572</v>
      </c>
      <c r="D83" s="15" t="n">
        <f aca="true">RAND()</f>
        <v>0.381838376858286</v>
      </c>
      <c r="E83" s="15" t="n">
        <f aca="true">RAND()</f>
        <v>0.610299823003446</v>
      </c>
      <c r="F83" s="15" t="n">
        <f aca="true">RAND()</f>
        <v>0.0267999151071537</v>
      </c>
      <c r="G83" s="15" t="n">
        <f aca="true">RAND()</f>
        <v>0.801460376192966</v>
      </c>
      <c r="H83" s="15" t="n">
        <f aca="true">RAND()</f>
        <v>0.361230074070052</v>
      </c>
      <c r="I83" s="15" t="n">
        <f aca="true">RAND()</f>
        <v>0.972499328884113</v>
      </c>
      <c r="J83" s="15" t="n">
        <f aca="true">RAND()</f>
        <v>0.284605010301467</v>
      </c>
      <c r="K83" s="15" t="n">
        <f aca="true">RAND()</f>
        <v>0.38798293556478</v>
      </c>
      <c r="L83" s="15" t="n">
        <f aca="true">RAND()</f>
        <v>0.504718025286201</v>
      </c>
      <c r="M83" s="15" t="n">
        <f aca="true">RAND()</f>
        <v>0.223732832990548</v>
      </c>
      <c r="N83" s="15" t="n">
        <f aca="true">RAND()</f>
        <v>0.455073228363251</v>
      </c>
      <c r="O83" s="15" t="n">
        <f aca="true">RAND()</f>
        <v>0.314577453581451</v>
      </c>
      <c r="P83" s="15" t="n">
        <f aca="true">RAND()</f>
        <v>0.186632300892713</v>
      </c>
      <c r="Q83" s="15" t="n">
        <f aca="true">RAND()</f>
        <v>0.345654640880851</v>
      </c>
      <c r="R83" s="15" t="n">
        <f aca="true">RAND()</f>
        <v>0.895549767255315</v>
      </c>
      <c r="S83" s="15" t="n">
        <f aca="true">RAND()</f>
        <v>0.217777811915226</v>
      </c>
      <c r="T83" s="16" t="n">
        <f aca="false">LOOKUP(D83,$E$23:$E$26,$A$23:$A$26)+LOOKUP(D83,$E$23:$E$26,$D$23:$D$26)*(D83-LOOKUP(D83,$E$23:$E$26))/LOOKUP(D83,$E$23:$E$26,$C$23:$C$26)</f>
        <v>4.60229797107286</v>
      </c>
      <c r="U83" s="16" t="n">
        <f aca="false">LOOKUP(E83,$E$23:$E$26,$A$23:$A$26)+LOOKUP(E83,$E$23:$E$26,$D$23:$D$26)*(E83-LOOKUP(E83,$E$23:$E$26))/LOOKUP(E83,$E$23:$E$26,$C$23:$C$26)</f>
        <v>4.88787477875431</v>
      </c>
      <c r="V83" s="16" t="n">
        <f aca="false">LOOKUP(F83,$E$23:$E$26,$A$23:$A$26)+LOOKUP(F83,$E$23:$E$26,$D$23:$D$26)*(F83-LOOKUP(F83,$E$23:$E$26))/LOOKUP(F83,$E$23:$E$26,$C$23:$C$26)</f>
        <v>4.04466652517859</v>
      </c>
      <c r="W83" s="16" t="n">
        <f aca="false">LOOKUP(G83,$E$23:$E$26,$A$23:$A$26)+LOOKUP(G83,$E$23:$E$26,$D$23:$D$26)*(G83-LOOKUP(G83,$E$23:$E$26))/LOOKUP(G83,$E$23:$E$26,$C$23:$C$26)</f>
        <v>5.25365094048242</v>
      </c>
      <c r="X83" s="16" t="n">
        <f aca="false">LOOKUP(H83,$E$23:$E$26,$A$23:$A$26)+LOOKUP(H83,$E$23:$E$26,$D$23:$D$26)*(H83-LOOKUP(H83,$E$23:$E$26))/LOOKUP(H83,$E$23:$E$26,$C$23:$C$26)</f>
        <v>4.57653759258757</v>
      </c>
      <c r="Y83" s="16" t="n">
        <f aca="false">LOOKUP(I83,$E$23:$E$26,$A$23:$A$26)+LOOKUP(I83,$E$23:$E$26,$D$23:$D$26)*(I83-LOOKUP(I83,$E$23:$E$26))/LOOKUP(I83,$E$23:$E$26,$C$23:$C$26)</f>
        <v>5.86249664442057</v>
      </c>
      <c r="Z83" s="16" t="n">
        <f aca="false">LOOKUP(J83,$E$23:$E$26,$A$23:$A$26)+LOOKUP(J83,$E$23:$E$26,$D$23:$D$26)*(J83-LOOKUP(J83,$E$23:$E$26))/LOOKUP(J83,$E$23:$E$26,$C$23:$C$26)</f>
        <v>4.47434168383578</v>
      </c>
      <c r="AA83" s="16" t="n">
        <f aca="false">LOOKUP(K83,$E$23:$E$26,$A$23:$A$26)+LOOKUP(K83,$E$23:$E$26,$D$23:$D$26)*(K83-LOOKUP(K83,$E$23:$E$26))/LOOKUP(K83,$E$23:$E$26,$C$23:$C$26)</f>
        <v>4.60997866945598</v>
      </c>
      <c r="AB83" s="16" t="n">
        <f aca="false">LOOKUP(L83,$E$23:$E$26,$A$23:$A$26)+LOOKUP(L83,$E$23:$E$26,$D$23:$D$26)*(L83-LOOKUP(L83,$E$23:$E$26))/LOOKUP(L83,$E$23:$E$26,$C$23:$C$26)</f>
        <v>4.75589753160775</v>
      </c>
      <c r="AC83" s="16" t="n">
        <f aca="false">LOOKUP(M83,$E$23:$E$26,$A$23:$A$26)+LOOKUP(M83,$E$23:$E$26,$D$23:$D$26)*(M83-LOOKUP(M83,$E$23:$E$26))/LOOKUP(M83,$E$23:$E$26,$C$23:$C$26)</f>
        <v>4.37288805498425</v>
      </c>
      <c r="AD83" s="16" t="n">
        <f aca="false">LOOKUP(N83,$E$23:$E$26,$A$23:$A$26)+LOOKUP(N83,$E$23:$E$26,$D$23:$D$26)*(N83-LOOKUP(N83,$E$23:$E$26))/LOOKUP(N83,$E$23:$E$26,$C$23:$C$26)</f>
        <v>4.69384153545406</v>
      </c>
      <c r="AE83" s="16" t="n">
        <f aca="false">LOOKUP(O83,$E$23:$E$26,$A$23:$A$26)+LOOKUP(O83,$E$23:$E$26,$D$23:$D$26)*(O83-LOOKUP(O83,$E$23:$E$26))/LOOKUP(O83,$E$23:$E$26,$C$23:$C$26)</f>
        <v>4.51822181697681</v>
      </c>
      <c r="AF83" s="16" t="n">
        <f aca="false">LOOKUP(P83,$E$23:$E$26,$A$23:$A$26)+LOOKUP(P83,$E$23:$E$26,$D$23:$D$26)*(P83-LOOKUP(P83,$E$23:$E$26))/LOOKUP(P83,$E$23:$E$26,$C$23:$C$26)</f>
        <v>4.31105383482119</v>
      </c>
      <c r="AG83" s="16" t="n">
        <f aca="false">LOOKUP(Q83,$E$23:$E$26,$A$23:$A$26)+LOOKUP(Q83,$E$23:$E$26,$D$23:$D$26)*(Q83-LOOKUP(Q83,$E$23:$E$26))/LOOKUP(Q83,$E$23:$E$26,$C$23:$C$26)</f>
        <v>4.55706830110106</v>
      </c>
      <c r="AH83" s="16" t="n">
        <f aca="false">LOOKUP(R83,$E$23:$E$26,$A$23:$A$26)+LOOKUP(R83,$E$23:$E$26,$D$23:$D$26)*(R83-LOOKUP(R83,$E$23:$E$26))/LOOKUP(R83,$E$23:$E$26,$C$23:$C$26)</f>
        <v>5.48887441813829</v>
      </c>
      <c r="AI83" s="16" t="n">
        <f aca="false">LOOKUP(S83,$E$23:$E$26,$A$23:$A$26)+LOOKUP(S83,$E$23:$E$26,$D$23:$D$26)*(S83-LOOKUP(S83,$E$23:$E$26))/LOOKUP(S83,$E$23:$E$26,$C$23:$C$26)</f>
        <v>4.36296301985871</v>
      </c>
      <c r="AJ83" s="16" t="n">
        <f aca="false">SUM($T83:T83)</f>
        <v>4.60229797107286</v>
      </c>
      <c r="AK83" s="16" t="n">
        <f aca="false">SUM($T83:U83)</f>
        <v>9.49017274982717</v>
      </c>
      <c r="AL83" s="16" t="n">
        <f aca="false">SUM($T83:V83)</f>
        <v>13.5348392750058</v>
      </c>
      <c r="AM83" s="16" t="n">
        <f aca="false">SUM($T83:W83)</f>
        <v>18.7884902154882</v>
      </c>
      <c r="AN83" s="16" t="n">
        <f aca="false">SUM($T83:X83)</f>
        <v>23.3650278080757</v>
      </c>
      <c r="AO83" s="16" t="n">
        <f aca="false">SUM($T83:Y83)</f>
        <v>29.2275244524963</v>
      </c>
      <c r="AP83" s="16" t="n">
        <f aca="false">SUM($T83:Z83)</f>
        <v>33.7018661363321</v>
      </c>
      <c r="AQ83" s="16" t="n">
        <f aca="false">SUM($T83:AA83)</f>
        <v>38.3118448057881</v>
      </c>
      <c r="AR83" s="16" t="n">
        <f aca="false">SUM($T83:AB83)</f>
        <v>43.0677423373958</v>
      </c>
      <c r="AS83" s="16" t="n">
        <f aca="false">SUM($T83:AC83)</f>
        <v>47.4406303923801</v>
      </c>
      <c r="AT83" s="16" t="n">
        <f aca="false">SUM($T83:AD83)</f>
        <v>52.1344719278341</v>
      </c>
      <c r="AU83" s="16" t="n">
        <f aca="false">SUM($T83:AE83)</f>
        <v>56.6526937448109</v>
      </c>
      <c r="AV83" s="16" t="n">
        <f aca="false">SUM($T83:AF83)</f>
        <v>60.9637475796321</v>
      </c>
      <c r="AW83" s="16" t="n">
        <f aca="false">SUM($T83:AG83)</f>
        <v>65.5208158807332</v>
      </c>
      <c r="AX83" s="16" t="n">
        <f aca="false">SUM($T83:AH83)</f>
        <v>71.0096902988715</v>
      </c>
      <c r="AY83" s="16" t="n">
        <f aca="false">SUM($T83:AI83)</f>
        <v>75.3726533187302</v>
      </c>
      <c r="AZ83" s="16" t="n">
        <f aca="false">MAX(C83-AJ83,0)</f>
        <v>63.5800269264992</v>
      </c>
      <c r="BA83" s="16" t="n">
        <f aca="false">MAX(C83-AK83,0)</f>
        <v>58.6921521477449</v>
      </c>
      <c r="BB83" s="16" t="n">
        <f aca="false">MAX(C83-AL83,0)</f>
        <v>54.6474856225663</v>
      </c>
      <c r="BC83" s="16" t="n">
        <f aca="false">MAX(C83-AM83,0)</f>
        <v>49.3938346820839</v>
      </c>
      <c r="BD83" s="16" t="n">
        <f aca="false">MAX(C83-AN83,0)</f>
        <v>44.8172970894963</v>
      </c>
      <c r="BE83" s="16" t="n">
        <f aca="false">MAX(C83-AO83,0)</f>
        <v>38.9548004450757</v>
      </c>
      <c r="BF83" s="16" t="n">
        <f aca="false">MAX(C83-AP83,0)</f>
        <v>34.4804587612399</v>
      </c>
      <c r="BG83" s="16" t="n">
        <f aca="false">MAX(C83-AQ83,0)</f>
        <v>29.870480091784</v>
      </c>
      <c r="BH83" s="16" t="n">
        <f aca="false">MAX(C83-AR83,0)</f>
        <v>25.1145825601762</v>
      </c>
      <c r="BI83" s="16" t="n">
        <f aca="false">MAX(C83-AS83,0)</f>
        <v>20.741694505192</v>
      </c>
      <c r="BJ83" s="16" t="n">
        <f aca="false">MAX(C83-AT83,0)</f>
        <v>16.0478529697379</v>
      </c>
      <c r="BK83" s="16" t="n">
        <f aca="false">MAX(C83-AU83,0)</f>
        <v>11.5296311527611</v>
      </c>
      <c r="BL83" s="16" t="n">
        <f aca="false">MAX(C83-AV83,0)</f>
        <v>7.2185773179399</v>
      </c>
      <c r="BM83" s="16" t="n">
        <f aca="false">MAX(C83-AW83,0)</f>
        <v>2.66150901683884</v>
      </c>
      <c r="BN83" s="16" t="n">
        <f aca="false">MAX(C83-AX83,0)</f>
        <v>0</v>
      </c>
      <c r="BO83" s="16" t="n">
        <f aca="false">MAX(C83-AY83,0)</f>
        <v>0</v>
      </c>
    </row>
    <row r="84" customFormat="false" ht="15" hidden="false" customHeight="false" outlineLevel="0" collapsed="false">
      <c r="A84" s="3" t="n">
        <v>54</v>
      </c>
      <c r="B84" s="15" t="n">
        <f aca="true">RAND()</f>
        <v>0.272570860909312</v>
      </c>
      <c r="C84" s="16" t="n">
        <f aca="false">LOOKUP(B84,$E$12:$E$17,$A$12:$A$17)+LOOKUP(B84,$E$12:$E$17,$D$12:$D$17)*(B84-LOOKUP(B84,$E$12:$E$17))/LOOKUP(B84,$E$12:$E$17,$C$12:$C$17)</f>
        <v>60.3761810151552</v>
      </c>
      <c r="D84" s="15" t="n">
        <f aca="true">RAND()</f>
        <v>0.499862492499215</v>
      </c>
      <c r="E84" s="15" t="n">
        <f aca="true">RAND()</f>
        <v>0.983147207555306</v>
      </c>
      <c r="F84" s="15" t="n">
        <f aca="true">RAND()</f>
        <v>0.531717108196793</v>
      </c>
      <c r="G84" s="15" t="n">
        <f aca="true">RAND()</f>
        <v>0.0532545920532342</v>
      </c>
      <c r="H84" s="15" t="n">
        <f aca="true">RAND()</f>
        <v>0.0671108144511841</v>
      </c>
      <c r="I84" s="15" t="n">
        <f aca="true">RAND()</f>
        <v>0.766514394416945</v>
      </c>
      <c r="J84" s="15" t="n">
        <f aca="true">RAND()</f>
        <v>0.618270033825606</v>
      </c>
      <c r="K84" s="15" t="n">
        <f aca="true">RAND()</f>
        <v>0.738411648187667</v>
      </c>
      <c r="L84" s="15" t="n">
        <f aca="true">RAND()</f>
        <v>0.138562640656742</v>
      </c>
      <c r="M84" s="15" t="n">
        <f aca="true">RAND()</f>
        <v>0.419250944782697</v>
      </c>
      <c r="N84" s="15" t="n">
        <f aca="true">RAND()</f>
        <v>0.757858876651613</v>
      </c>
      <c r="O84" s="15" t="n">
        <f aca="true">RAND()</f>
        <v>0.236068470017833</v>
      </c>
      <c r="P84" s="15" t="n">
        <f aca="true">RAND()</f>
        <v>0.43118376199356</v>
      </c>
      <c r="Q84" s="15" t="n">
        <f aca="true">RAND()</f>
        <v>0.679386859489306</v>
      </c>
      <c r="R84" s="15" t="n">
        <f aca="true">RAND()</f>
        <v>0.809175672947274</v>
      </c>
      <c r="S84" s="15" t="n">
        <f aca="true">RAND()</f>
        <v>0.342363568103133</v>
      </c>
      <c r="T84" s="16" t="n">
        <f aca="false">LOOKUP(D84,$E$23:$E$26,$A$23:$A$26)+LOOKUP(D84,$E$23:$E$26,$D$23:$D$26)*(D84-LOOKUP(D84,$E$23:$E$26))/LOOKUP(D84,$E$23:$E$26,$C$23:$C$26)</f>
        <v>4.74982811562402</v>
      </c>
      <c r="U84" s="16" t="n">
        <f aca="false">LOOKUP(E84,$E$23:$E$26,$A$23:$A$26)+LOOKUP(E84,$E$23:$E$26,$D$23:$D$26)*(E84-LOOKUP(E84,$E$23:$E$26))/LOOKUP(E84,$E$23:$E$26,$C$23:$C$26)</f>
        <v>5.91573603777653</v>
      </c>
      <c r="V84" s="16" t="n">
        <f aca="false">LOOKUP(F84,$E$23:$E$26,$A$23:$A$26)+LOOKUP(F84,$E$23:$E$26,$D$23:$D$26)*(F84-LOOKUP(F84,$E$23:$E$26))/LOOKUP(F84,$E$23:$E$26,$C$23:$C$26)</f>
        <v>4.78964638524599</v>
      </c>
      <c r="W84" s="16" t="n">
        <f aca="false">LOOKUP(G84,$E$23:$E$26,$A$23:$A$26)+LOOKUP(G84,$E$23:$E$26,$D$23:$D$26)*(G84-LOOKUP(G84,$E$23:$E$26))/LOOKUP(G84,$E$23:$E$26,$C$23:$C$26)</f>
        <v>4.08875765342206</v>
      </c>
      <c r="X84" s="16" t="n">
        <f aca="false">LOOKUP(H84,$E$23:$E$26,$A$23:$A$26)+LOOKUP(H84,$E$23:$E$26,$D$23:$D$26)*(H84-LOOKUP(H84,$E$23:$E$26))/LOOKUP(H84,$E$23:$E$26,$C$23:$C$26)</f>
        <v>4.11185135741864</v>
      </c>
      <c r="Y84" s="16" t="n">
        <f aca="false">LOOKUP(I84,$E$23:$E$26,$A$23:$A$26)+LOOKUP(I84,$E$23:$E$26,$D$23:$D$26)*(I84-LOOKUP(I84,$E$23:$E$26))/LOOKUP(I84,$E$23:$E$26,$C$23:$C$26)</f>
        <v>5.16628598604236</v>
      </c>
      <c r="Z84" s="16" t="n">
        <f aca="false">LOOKUP(J84,$E$23:$E$26,$A$23:$A$26)+LOOKUP(J84,$E$23:$E$26,$D$23:$D$26)*(J84-LOOKUP(J84,$E$23:$E$26))/LOOKUP(J84,$E$23:$E$26,$C$23:$C$26)</f>
        <v>4.89783754228201</v>
      </c>
      <c r="AA84" s="16" t="n">
        <f aca="false">LOOKUP(K84,$E$23:$E$26,$A$23:$A$26)+LOOKUP(K84,$E$23:$E$26,$D$23:$D$26)*(K84-LOOKUP(K84,$E$23:$E$26))/LOOKUP(K84,$E$23:$E$26,$C$23:$C$26)</f>
        <v>5.09602912046917</v>
      </c>
      <c r="AB84" s="16" t="n">
        <f aca="false">LOOKUP(L84,$E$23:$E$26,$A$23:$A$26)+LOOKUP(L84,$E$23:$E$26,$D$23:$D$26)*(L84-LOOKUP(L84,$E$23:$E$26))/LOOKUP(L84,$E$23:$E$26,$C$23:$C$26)</f>
        <v>4.2309377344279</v>
      </c>
      <c r="AC84" s="16" t="n">
        <f aca="false">LOOKUP(M84,$E$23:$E$26,$A$23:$A$26)+LOOKUP(M84,$E$23:$E$26,$D$23:$D$26)*(M84-LOOKUP(M84,$E$23:$E$26))/LOOKUP(M84,$E$23:$E$26,$C$23:$C$26)</f>
        <v>4.64906368097837</v>
      </c>
      <c r="AD84" s="16" t="n">
        <f aca="false">LOOKUP(N84,$E$23:$E$26,$A$23:$A$26)+LOOKUP(N84,$E$23:$E$26,$D$23:$D$26)*(N84-LOOKUP(N84,$E$23:$E$26))/LOOKUP(N84,$E$23:$E$26,$C$23:$C$26)</f>
        <v>5.14464719162903</v>
      </c>
      <c r="AE84" s="16" t="n">
        <f aca="false">LOOKUP(O84,$E$23:$E$26,$A$23:$A$26)+LOOKUP(O84,$E$23:$E$26,$D$23:$D$26)*(O84-LOOKUP(O84,$E$23:$E$26))/LOOKUP(O84,$E$23:$E$26,$C$23:$C$26)</f>
        <v>4.39344745002972</v>
      </c>
      <c r="AF84" s="16" t="n">
        <f aca="false">LOOKUP(P84,$E$23:$E$26,$A$23:$A$26)+LOOKUP(P84,$E$23:$E$26,$D$23:$D$26)*(P84-LOOKUP(P84,$E$23:$E$26))/LOOKUP(P84,$E$23:$E$26,$C$23:$C$26)</f>
        <v>4.66397970249195</v>
      </c>
      <c r="AG84" s="16" t="n">
        <f aca="false">LOOKUP(Q84,$E$23:$E$26,$A$23:$A$26)+LOOKUP(Q84,$E$23:$E$26,$D$23:$D$26)*(Q84-LOOKUP(Q84,$E$23:$E$26))/LOOKUP(Q84,$E$23:$E$26,$C$23:$C$26)</f>
        <v>4.97423357436163</v>
      </c>
      <c r="AH84" s="16" t="n">
        <f aca="false">LOOKUP(R84,$E$23:$E$26,$A$23:$A$26)+LOOKUP(R84,$E$23:$E$26,$D$23:$D$26)*(R84-LOOKUP(R84,$E$23:$E$26))/LOOKUP(R84,$E$23:$E$26,$C$23:$C$26)</f>
        <v>5.27293918236819</v>
      </c>
      <c r="AI84" s="16" t="n">
        <f aca="false">LOOKUP(S84,$E$23:$E$26,$A$23:$A$26)+LOOKUP(S84,$E$23:$E$26,$D$23:$D$26)*(S84-LOOKUP(S84,$E$23:$E$26))/LOOKUP(S84,$E$23:$E$26,$C$23:$C$26)</f>
        <v>4.55295446012892</v>
      </c>
      <c r="AJ84" s="16" t="n">
        <f aca="false">SUM($T84:T84)</f>
        <v>4.74982811562402</v>
      </c>
      <c r="AK84" s="16" t="n">
        <f aca="false">SUM($T84:U84)</f>
        <v>10.6655641534005</v>
      </c>
      <c r="AL84" s="16" t="n">
        <f aca="false">SUM($T84:V84)</f>
        <v>15.4552105386465</v>
      </c>
      <c r="AM84" s="16" t="n">
        <f aca="false">SUM($T84:W84)</f>
        <v>19.5439681920686</v>
      </c>
      <c r="AN84" s="16" t="n">
        <f aca="false">SUM($T84:X84)</f>
        <v>23.6558195494872</v>
      </c>
      <c r="AO84" s="16" t="n">
        <f aca="false">SUM($T84:Y84)</f>
        <v>28.8221055355296</v>
      </c>
      <c r="AP84" s="16" t="n">
        <f aca="false">SUM($T84:Z84)</f>
        <v>33.7199430778116</v>
      </c>
      <c r="AQ84" s="16" t="n">
        <f aca="false">SUM($T84:AA84)</f>
        <v>38.8159721982808</v>
      </c>
      <c r="AR84" s="16" t="n">
        <f aca="false">SUM($T84:AB84)</f>
        <v>43.0469099327087</v>
      </c>
      <c r="AS84" s="16" t="n">
        <f aca="false">SUM($T84:AC84)</f>
        <v>47.695973613687</v>
      </c>
      <c r="AT84" s="16" t="n">
        <f aca="false">SUM($T84:AD84)</f>
        <v>52.8406208053161</v>
      </c>
      <c r="AU84" s="16" t="n">
        <f aca="false">SUM($T84:AE84)</f>
        <v>57.2340682553458</v>
      </c>
      <c r="AV84" s="16" t="n">
        <f aca="false">SUM($T84:AF84)</f>
        <v>61.8980479578378</v>
      </c>
      <c r="AW84" s="16" t="n">
        <f aca="false">SUM($T84:AG84)</f>
        <v>66.8722815321994</v>
      </c>
      <c r="AX84" s="16" t="n">
        <f aca="false">SUM($T84:AH84)</f>
        <v>72.1452207145676</v>
      </c>
      <c r="AY84" s="16" t="n">
        <f aca="false">SUM($T84:AI84)</f>
        <v>76.6981751746965</v>
      </c>
      <c r="AZ84" s="16" t="n">
        <f aca="false">MAX(C84-AJ84,0)</f>
        <v>55.6263528995312</v>
      </c>
      <c r="BA84" s="16" t="n">
        <f aca="false">MAX(C84-AK84,0)</f>
        <v>49.7106168617547</v>
      </c>
      <c r="BB84" s="16" t="n">
        <f aca="false">MAX(C84-AL84,0)</f>
        <v>44.9209704765087</v>
      </c>
      <c r="BC84" s="16" t="n">
        <f aca="false">MAX(C84-AM84,0)</f>
        <v>40.8322128230866</v>
      </c>
      <c r="BD84" s="16" t="n">
        <f aca="false">MAX(C84-AN84,0)</f>
        <v>36.720361465668</v>
      </c>
      <c r="BE84" s="16" t="n">
        <f aca="false">MAX(C84-AO84,0)</f>
        <v>31.5540754796256</v>
      </c>
      <c r="BF84" s="16" t="n">
        <f aca="false">MAX(C84-AP84,0)</f>
        <v>26.6562379373436</v>
      </c>
      <c r="BG84" s="16" t="n">
        <f aca="false">MAX(C84-AQ84,0)</f>
        <v>21.5602088168744</v>
      </c>
      <c r="BH84" s="16" t="n">
        <f aca="false">MAX(C84-AR84,0)</f>
        <v>17.3292710824465</v>
      </c>
      <c r="BI84" s="16" t="n">
        <f aca="false">MAX(C84-AS84,0)</f>
        <v>12.6802074014682</v>
      </c>
      <c r="BJ84" s="16" t="n">
        <f aca="false">MAX(C84-AT84,0)</f>
        <v>7.53556020983913</v>
      </c>
      <c r="BK84" s="16" t="n">
        <f aca="false">MAX(C84-AU84,0)</f>
        <v>3.1421127598094</v>
      </c>
      <c r="BL84" s="16" t="n">
        <f aca="false">MAX(C84-AV84,0)</f>
        <v>0</v>
      </c>
      <c r="BM84" s="16" t="n">
        <f aca="false">MAX(C84-AW84,0)</f>
        <v>0</v>
      </c>
      <c r="BN84" s="16" t="n">
        <f aca="false">MAX(C84-AX84,0)</f>
        <v>0</v>
      </c>
      <c r="BO84" s="16" t="n">
        <f aca="false">MAX(C84-AY84,0)</f>
        <v>0</v>
      </c>
    </row>
    <row r="85" customFormat="false" ht="15" hidden="false" customHeight="false" outlineLevel="0" collapsed="false">
      <c r="A85" s="3" t="n">
        <v>55</v>
      </c>
      <c r="B85" s="15" t="n">
        <f aca="true">RAND()</f>
        <v>0.418074401791996</v>
      </c>
      <c r="C85" s="16" t="n">
        <f aca="false">LOOKUP(B85,$E$12:$E$17,$A$12:$A$17)+LOOKUP(B85,$E$12:$E$17,$D$12:$D$17)*(B85-LOOKUP(B85,$E$12:$E$17))/LOOKUP(B85,$E$12:$E$17,$C$12:$C$17)</f>
        <v>62.8012400298666</v>
      </c>
      <c r="D85" s="15" t="n">
        <f aca="true">RAND()</f>
        <v>0.766020888666824</v>
      </c>
      <c r="E85" s="15" t="n">
        <f aca="true">RAND()</f>
        <v>0.600376371285365</v>
      </c>
      <c r="F85" s="15" t="n">
        <f aca="true">RAND()</f>
        <v>0.711353243207537</v>
      </c>
      <c r="G85" s="15" t="n">
        <f aca="true">RAND()</f>
        <v>0.534054198124146</v>
      </c>
      <c r="H85" s="15" t="n">
        <f aca="true">RAND()</f>
        <v>0.858714273295596</v>
      </c>
      <c r="I85" s="15" t="n">
        <f aca="true">RAND()</f>
        <v>0.253156867044757</v>
      </c>
      <c r="J85" s="15" t="n">
        <f aca="true">RAND()</f>
        <v>0.479192788264662</v>
      </c>
      <c r="K85" s="15" t="n">
        <f aca="true">RAND()</f>
        <v>0.754979070294765</v>
      </c>
      <c r="L85" s="15" t="n">
        <f aca="true">RAND()</f>
        <v>0.0556640441884965</v>
      </c>
      <c r="M85" s="15" t="n">
        <f aca="true">RAND()</f>
        <v>0.970546827007173</v>
      </c>
      <c r="N85" s="15" t="n">
        <f aca="true">RAND()</f>
        <v>0.586866482157857</v>
      </c>
      <c r="O85" s="15" t="n">
        <f aca="true">RAND()</f>
        <v>0.413735524987821</v>
      </c>
      <c r="P85" s="15" t="n">
        <f aca="true">RAND()</f>
        <v>0.63583610554322</v>
      </c>
      <c r="Q85" s="15" t="n">
        <f aca="true">RAND()</f>
        <v>0.964646516327554</v>
      </c>
      <c r="R85" s="15" t="n">
        <f aca="true">RAND()</f>
        <v>0.330265524105158</v>
      </c>
      <c r="S85" s="15" t="n">
        <f aca="true">RAND()</f>
        <v>0.130923904917031</v>
      </c>
      <c r="T85" s="16" t="n">
        <f aca="false">LOOKUP(D85,$E$23:$E$26,$A$23:$A$26)+LOOKUP(D85,$E$23:$E$26,$D$23:$D$26)*(D85-LOOKUP(D85,$E$23:$E$26))/LOOKUP(D85,$E$23:$E$26,$C$23:$C$26)</f>
        <v>5.16505222166706</v>
      </c>
      <c r="U85" s="16" t="n">
        <f aca="false">LOOKUP(E85,$E$23:$E$26,$A$23:$A$26)+LOOKUP(E85,$E$23:$E$26,$D$23:$D$26)*(E85-LOOKUP(E85,$E$23:$E$26))/LOOKUP(E85,$E$23:$E$26,$C$23:$C$26)</f>
        <v>4.87547046410671</v>
      </c>
      <c r="V85" s="16" t="n">
        <f aca="false">LOOKUP(F85,$E$23:$E$26,$A$23:$A$26)+LOOKUP(F85,$E$23:$E$26,$D$23:$D$26)*(F85-LOOKUP(F85,$E$23:$E$26))/LOOKUP(F85,$E$23:$E$26,$C$23:$C$26)</f>
        <v>5.02838310801884</v>
      </c>
      <c r="W85" s="16" t="n">
        <f aca="false">LOOKUP(G85,$E$23:$E$26,$A$23:$A$26)+LOOKUP(G85,$E$23:$E$26,$D$23:$D$26)*(G85-LOOKUP(G85,$E$23:$E$26))/LOOKUP(G85,$E$23:$E$26,$C$23:$C$26)</f>
        <v>4.79256774765518</v>
      </c>
      <c r="X85" s="16" t="n">
        <f aca="false">LOOKUP(H85,$E$23:$E$26,$A$23:$A$26)+LOOKUP(H85,$E$23:$E$26,$D$23:$D$26)*(H85-LOOKUP(H85,$E$23:$E$26))/LOOKUP(H85,$E$23:$E$26,$C$23:$C$26)</f>
        <v>5.39678568323899</v>
      </c>
      <c r="Y85" s="16" t="n">
        <f aca="false">LOOKUP(I85,$E$23:$E$26,$A$23:$A$26)+LOOKUP(I85,$E$23:$E$26,$D$23:$D$26)*(I85-LOOKUP(I85,$E$23:$E$26))/LOOKUP(I85,$E$23:$E$26,$C$23:$C$26)</f>
        <v>4.42192811174126</v>
      </c>
      <c r="Z85" s="16" t="n">
        <f aca="false">LOOKUP(J85,$E$23:$E$26,$A$23:$A$26)+LOOKUP(J85,$E$23:$E$26,$D$23:$D$26)*(J85-LOOKUP(J85,$E$23:$E$26))/LOOKUP(J85,$E$23:$E$26,$C$23:$C$26)</f>
        <v>4.72399098533083</v>
      </c>
      <c r="AA85" s="16" t="n">
        <f aca="false">LOOKUP(K85,$E$23:$E$26,$A$23:$A$26)+LOOKUP(K85,$E$23:$E$26,$D$23:$D$26)*(K85-LOOKUP(K85,$E$23:$E$26))/LOOKUP(K85,$E$23:$E$26,$C$23:$C$26)</f>
        <v>5.13744767573691</v>
      </c>
      <c r="AB85" s="16" t="n">
        <f aca="false">LOOKUP(L85,$E$23:$E$26,$A$23:$A$26)+LOOKUP(L85,$E$23:$E$26,$D$23:$D$26)*(L85-LOOKUP(L85,$E$23:$E$26))/LOOKUP(L85,$E$23:$E$26,$C$23:$C$26)</f>
        <v>4.09277340698083</v>
      </c>
      <c r="AC85" s="16" t="n">
        <f aca="false">LOOKUP(M85,$E$23:$E$26,$A$23:$A$26)+LOOKUP(M85,$E$23:$E$26,$D$23:$D$26)*(M85-LOOKUP(M85,$E$23:$E$26))/LOOKUP(M85,$E$23:$E$26,$C$23:$C$26)</f>
        <v>5.85273413503587</v>
      </c>
      <c r="AD85" s="16" t="n">
        <f aca="false">LOOKUP(N85,$E$23:$E$26,$A$23:$A$26)+LOOKUP(N85,$E$23:$E$26,$D$23:$D$26)*(N85-LOOKUP(N85,$E$23:$E$26))/LOOKUP(N85,$E$23:$E$26,$C$23:$C$26)</f>
        <v>4.85858310269732</v>
      </c>
      <c r="AE85" s="16" t="n">
        <f aca="false">LOOKUP(O85,$E$23:$E$26,$A$23:$A$26)+LOOKUP(O85,$E$23:$E$26,$D$23:$D$26)*(O85-LOOKUP(O85,$E$23:$E$26))/LOOKUP(O85,$E$23:$E$26,$C$23:$C$26)</f>
        <v>4.64216940623478</v>
      </c>
      <c r="AF85" s="16" t="n">
        <f aca="false">LOOKUP(P85,$E$23:$E$26,$A$23:$A$26)+LOOKUP(P85,$E$23:$E$26,$D$23:$D$26)*(P85-LOOKUP(P85,$E$23:$E$26))/LOOKUP(P85,$E$23:$E$26,$C$23:$C$26)</f>
        <v>4.91979513192903</v>
      </c>
      <c r="AG85" s="16" t="n">
        <f aca="false">LOOKUP(Q85,$E$23:$E$26,$A$23:$A$26)+LOOKUP(Q85,$E$23:$E$26,$D$23:$D$26)*(Q85-LOOKUP(Q85,$E$23:$E$26))/LOOKUP(Q85,$E$23:$E$26,$C$23:$C$26)</f>
        <v>5.82323258163777</v>
      </c>
      <c r="AH85" s="16" t="n">
        <f aca="false">LOOKUP(R85,$E$23:$E$26,$A$23:$A$26)+LOOKUP(R85,$E$23:$E$26,$D$23:$D$26)*(R85-LOOKUP(R85,$E$23:$E$26))/LOOKUP(R85,$E$23:$E$26,$C$23:$C$26)</f>
        <v>4.53783190513145</v>
      </c>
      <c r="AI85" s="16" t="n">
        <f aca="false">LOOKUP(S85,$E$23:$E$26,$A$23:$A$26)+LOOKUP(S85,$E$23:$E$26,$D$23:$D$26)*(S85-LOOKUP(S85,$E$23:$E$26))/LOOKUP(S85,$E$23:$E$26,$C$23:$C$26)</f>
        <v>4.21820650819505</v>
      </c>
      <c r="AJ85" s="16" t="n">
        <f aca="false">SUM($T85:T85)</f>
        <v>5.16505222166706</v>
      </c>
      <c r="AK85" s="16" t="n">
        <f aca="false">SUM($T85:U85)</f>
        <v>10.0405226857738</v>
      </c>
      <c r="AL85" s="16" t="n">
        <f aca="false">SUM($T85:V85)</f>
        <v>15.0689057937926</v>
      </c>
      <c r="AM85" s="16" t="n">
        <f aca="false">SUM($T85:W85)</f>
        <v>19.8614735414478</v>
      </c>
      <c r="AN85" s="16" t="n">
        <f aca="false">SUM($T85:X85)</f>
        <v>25.2582592246868</v>
      </c>
      <c r="AO85" s="16" t="n">
        <f aca="false">SUM($T85:Y85)</f>
        <v>29.680187336428</v>
      </c>
      <c r="AP85" s="16" t="n">
        <f aca="false">SUM($T85:Z85)</f>
        <v>34.4041783217589</v>
      </c>
      <c r="AQ85" s="16" t="n">
        <f aca="false">SUM($T85:AA85)</f>
        <v>39.5416259974958</v>
      </c>
      <c r="AR85" s="16" t="n">
        <f aca="false">SUM($T85:AB85)</f>
        <v>43.6343994044766</v>
      </c>
      <c r="AS85" s="16" t="n">
        <f aca="false">SUM($T85:AC85)</f>
        <v>49.4871335395125</v>
      </c>
      <c r="AT85" s="16" t="n">
        <f aca="false">SUM($T85:AD85)</f>
        <v>54.3457166422098</v>
      </c>
      <c r="AU85" s="16" t="n">
        <f aca="false">SUM($T85:AE85)</f>
        <v>58.9878860484446</v>
      </c>
      <c r="AV85" s="16" t="n">
        <f aca="false">SUM($T85:AF85)</f>
        <v>63.9076811803736</v>
      </c>
      <c r="AW85" s="16" t="n">
        <f aca="false">SUM($T85:AG85)</f>
        <v>69.7309137620114</v>
      </c>
      <c r="AX85" s="16" t="n">
        <f aca="false">SUM($T85:AH85)</f>
        <v>74.2687456671428</v>
      </c>
      <c r="AY85" s="16" t="n">
        <f aca="false">SUM($T85:AI85)</f>
        <v>78.4869521753379</v>
      </c>
      <c r="AZ85" s="16" t="n">
        <f aca="false">MAX(C85-AJ85,0)</f>
        <v>57.6361878081995</v>
      </c>
      <c r="BA85" s="16" t="n">
        <f aca="false">MAX(C85-AK85,0)</f>
        <v>52.7607173440928</v>
      </c>
      <c r="BB85" s="16" t="n">
        <f aca="false">MAX(C85-AL85,0)</f>
        <v>47.732334236074</v>
      </c>
      <c r="BC85" s="16" t="n">
        <f aca="false">MAX(C85-AM85,0)</f>
        <v>42.9397664884188</v>
      </c>
      <c r="BD85" s="16" t="n">
        <f aca="false">MAX(C85-AN85,0)</f>
        <v>37.5429808051798</v>
      </c>
      <c r="BE85" s="16" t="n">
        <f aca="false">MAX(C85-AO85,0)</f>
        <v>33.1210526934386</v>
      </c>
      <c r="BF85" s="16" t="n">
        <f aca="false">MAX(C85-AP85,0)</f>
        <v>28.3970617081077</v>
      </c>
      <c r="BG85" s="16" t="n">
        <f aca="false">MAX(C85-AQ85,0)</f>
        <v>23.2596140323708</v>
      </c>
      <c r="BH85" s="16" t="n">
        <f aca="false">MAX(C85-AR85,0)</f>
        <v>19.16684062539</v>
      </c>
      <c r="BI85" s="16" t="n">
        <f aca="false">MAX(C85-AS85,0)</f>
        <v>13.3141064903541</v>
      </c>
      <c r="BJ85" s="16" t="n">
        <f aca="false">MAX(C85-AT85,0)</f>
        <v>8.4555233876568</v>
      </c>
      <c r="BK85" s="16" t="n">
        <f aca="false">MAX(C85-AU85,0)</f>
        <v>3.81335398142203</v>
      </c>
      <c r="BL85" s="16" t="n">
        <f aca="false">MAX(C85-AV85,0)</f>
        <v>0</v>
      </c>
      <c r="BM85" s="16" t="n">
        <f aca="false">MAX(C85-AW85,0)</f>
        <v>0</v>
      </c>
      <c r="BN85" s="16" t="n">
        <f aca="false">MAX(C85-AX85,0)</f>
        <v>0</v>
      </c>
      <c r="BO85" s="16" t="n">
        <f aca="false">MAX(C85-AY85,0)</f>
        <v>0</v>
      </c>
    </row>
    <row r="86" customFormat="false" ht="15" hidden="false" customHeight="false" outlineLevel="0" collapsed="false">
      <c r="A86" s="3" t="n">
        <v>56</v>
      </c>
      <c r="B86" s="15" t="n">
        <f aca="true">RAND()</f>
        <v>0.461749301677213</v>
      </c>
      <c r="C86" s="16" t="n">
        <f aca="false">LOOKUP(B86,$E$12:$E$17,$A$12:$A$17)+LOOKUP(B86,$E$12:$E$17,$D$12:$D$17)*(B86-LOOKUP(B86,$E$12:$E$17))/LOOKUP(B86,$E$12:$E$17,$C$12:$C$17)</f>
        <v>63.5291550279535</v>
      </c>
      <c r="D86" s="15" t="n">
        <f aca="true">RAND()</f>
        <v>0.693026804465453</v>
      </c>
      <c r="E86" s="15" t="n">
        <f aca="true">RAND()</f>
        <v>0.222368274650284</v>
      </c>
      <c r="F86" s="15" t="n">
        <f aca="true">RAND()</f>
        <v>0.902488420650802</v>
      </c>
      <c r="G86" s="15" t="n">
        <f aca="true">RAND()</f>
        <v>0.483290748025655</v>
      </c>
      <c r="H86" s="15" t="n">
        <f aca="true">RAND()</f>
        <v>0.844646839869689</v>
      </c>
      <c r="I86" s="15" t="n">
        <f aca="true">RAND()</f>
        <v>0.224228933688745</v>
      </c>
      <c r="J86" s="15" t="n">
        <f aca="true">RAND()</f>
        <v>0.937834299374428</v>
      </c>
      <c r="K86" s="15" t="n">
        <f aca="true">RAND()</f>
        <v>0.544287762570754</v>
      </c>
      <c r="L86" s="15" t="n">
        <f aca="true">RAND()</f>
        <v>0.812499143264124</v>
      </c>
      <c r="M86" s="15" t="n">
        <f aca="true">RAND()</f>
        <v>0.538379671065571</v>
      </c>
      <c r="N86" s="15" t="n">
        <f aca="true">RAND()</f>
        <v>0.637977352033532</v>
      </c>
      <c r="O86" s="15" t="n">
        <f aca="true">RAND()</f>
        <v>0.804208466583424</v>
      </c>
      <c r="P86" s="15" t="n">
        <f aca="true">RAND()</f>
        <v>0.0314571541270587</v>
      </c>
      <c r="Q86" s="15" t="n">
        <f aca="true">RAND()</f>
        <v>0.474600468346814</v>
      </c>
      <c r="R86" s="15" t="n">
        <f aca="true">RAND()</f>
        <v>0.593225907567636</v>
      </c>
      <c r="S86" s="15" t="n">
        <f aca="true">RAND()</f>
        <v>0.21224578565518</v>
      </c>
      <c r="T86" s="16" t="n">
        <f aca="false">LOOKUP(D86,$E$23:$E$26,$A$23:$A$26)+LOOKUP(D86,$E$23:$E$26,$D$23:$D$26)*(D86-LOOKUP(D86,$E$23:$E$26))/LOOKUP(D86,$E$23:$E$26,$C$23:$C$26)</f>
        <v>4.99128350558182</v>
      </c>
      <c r="U86" s="16" t="n">
        <f aca="false">LOOKUP(E86,$E$23:$E$26,$A$23:$A$26)+LOOKUP(E86,$E$23:$E$26,$D$23:$D$26)*(E86-LOOKUP(E86,$E$23:$E$26))/LOOKUP(E86,$E$23:$E$26,$C$23:$C$26)</f>
        <v>4.37061379108381</v>
      </c>
      <c r="V86" s="16" t="n">
        <f aca="false">LOOKUP(F86,$E$23:$E$26,$A$23:$A$26)+LOOKUP(F86,$E$23:$E$26,$D$23:$D$26)*(F86-LOOKUP(F86,$E$23:$E$26))/LOOKUP(F86,$E$23:$E$26,$C$23:$C$26)</f>
        <v>5.51244210325401</v>
      </c>
      <c r="W86" s="16" t="n">
        <f aca="false">LOOKUP(G86,$E$23:$E$26,$A$23:$A$26)+LOOKUP(G86,$E$23:$E$26,$D$23:$D$26)*(G86-LOOKUP(G86,$E$23:$E$26))/LOOKUP(G86,$E$23:$E$26,$C$23:$C$26)</f>
        <v>4.72911343503207</v>
      </c>
      <c r="X86" s="16" t="n">
        <f aca="false">LOOKUP(H86,$E$23:$E$26,$A$23:$A$26)+LOOKUP(H86,$E$23:$E$26,$D$23:$D$26)*(H86-LOOKUP(H86,$E$23:$E$26))/LOOKUP(H86,$E$23:$E$26,$C$23:$C$26)</f>
        <v>5.36161709967422</v>
      </c>
      <c r="Y86" s="16" t="n">
        <f aca="false">LOOKUP(I86,$E$23:$E$26,$A$23:$A$26)+LOOKUP(I86,$E$23:$E$26,$D$23:$D$26)*(I86-LOOKUP(I86,$E$23:$E$26))/LOOKUP(I86,$E$23:$E$26,$C$23:$C$26)</f>
        <v>4.37371488948124</v>
      </c>
      <c r="Z86" s="16" t="n">
        <f aca="false">LOOKUP(J86,$E$23:$E$26,$A$23:$A$26)+LOOKUP(J86,$E$23:$E$26,$D$23:$D$26)*(J86-LOOKUP(J86,$E$23:$E$26))/LOOKUP(J86,$E$23:$E$26,$C$23:$C$26)</f>
        <v>5.68917149687214</v>
      </c>
      <c r="AA86" s="16" t="n">
        <f aca="false">LOOKUP(K86,$E$23:$E$26,$A$23:$A$26)+LOOKUP(K86,$E$23:$E$26,$D$23:$D$26)*(K86-LOOKUP(K86,$E$23:$E$26))/LOOKUP(K86,$E$23:$E$26,$C$23:$C$26)</f>
        <v>4.80535970321344</v>
      </c>
      <c r="AB86" s="16" t="n">
        <f aca="false">LOOKUP(L86,$E$23:$E$26,$A$23:$A$26)+LOOKUP(L86,$E$23:$E$26,$D$23:$D$26)*(L86-LOOKUP(L86,$E$23:$E$26))/LOOKUP(L86,$E$23:$E$26,$C$23:$C$26)</f>
        <v>5.28124785816031</v>
      </c>
      <c r="AC86" s="16" t="n">
        <f aca="false">LOOKUP(M86,$E$23:$E$26,$A$23:$A$26)+LOOKUP(M86,$E$23:$E$26,$D$23:$D$26)*(M86-LOOKUP(M86,$E$23:$E$26))/LOOKUP(M86,$E$23:$E$26,$C$23:$C$26)</f>
        <v>4.79797458883196</v>
      </c>
      <c r="AD86" s="16" t="n">
        <f aca="false">LOOKUP(N86,$E$23:$E$26,$A$23:$A$26)+LOOKUP(N86,$E$23:$E$26,$D$23:$D$26)*(N86-LOOKUP(N86,$E$23:$E$26))/LOOKUP(N86,$E$23:$E$26,$C$23:$C$26)</f>
        <v>4.92247169004192</v>
      </c>
      <c r="AE86" s="16" t="n">
        <f aca="false">LOOKUP(O86,$E$23:$E$26,$A$23:$A$26)+LOOKUP(O86,$E$23:$E$26,$D$23:$D$26)*(O86-LOOKUP(O86,$E$23:$E$26))/LOOKUP(O86,$E$23:$E$26,$C$23:$C$26)</f>
        <v>5.26052116645856</v>
      </c>
      <c r="AF86" s="16" t="n">
        <f aca="false">LOOKUP(P86,$E$23:$E$26,$A$23:$A$26)+LOOKUP(P86,$E$23:$E$26,$D$23:$D$26)*(P86-LOOKUP(P86,$E$23:$E$26))/LOOKUP(P86,$E$23:$E$26,$C$23:$C$26)</f>
        <v>4.05242859021177</v>
      </c>
      <c r="AG86" s="16" t="n">
        <f aca="false">LOOKUP(Q86,$E$23:$E$26,$A$23:$A$26)+LOOKUP(Q86,$E$23:$E$26,$D$23:$D$26)*(Q86-LOOKUP(Q86,$E$23:$E$26))/LOOKUP(Q86,$E$23:$E$26,$C$23:$C$26)</f>
        <v>4.71825058543352</v>
      </c>
      <c r="AH86" s="16" t="n">
        <f aca="false">LOOKUP(R86,$E$23:$E$26,$A$23:$A$26)+LOOKUP(R86,$E$23:$E$26,$D$23:$D$26)*(R86-LOOKUP(R86,$E$23:$E$26))/LOOKUP(R86,$E$23:$E$26,$C$23:$C$26)</f>
        <v>4.86653238445954</v>
      </c>
      <c r="AI86" s="16" t="n">
        <f aca="false">LOOKUP(S86,$E$23:$E$26,$A$23:$A$26)+LOOKUP(S86,$E$23:$E$26,$D$23:$D$26)*(S86-LOOKUP(S86,$E$23:$E$26))/LOOKUP(S86,$E$23:$E$26,$C$23:$C$26)</f>
        <v>4.35374297609197</v>
      </c>
      <c r="AJ86" s="16" t="n">
        <f aca="false">SUM($T86:T86)</f>
        <v>4.99128350558182</v>
      </c>
      <c r="AK86" s="16" t="n">
        <f aca="false">SUM($T86:U86)</f>
        <v>9.36189729666562</v>
      </c>
      <c r="AL86" s="16" t="n">
        <f aca="false">SUM($T86:V86)</f>
        <v>14.8743393999196</v>
      </c>
      <c r="AM86" s="16" t="n">
        <f aca="false">SUM($T86:W86)</f>
        <v>19.6034528349517</v>
      </c>
      <c r="AN86" s="16" t="n">
        <f aca="false">SUM($T86:X86)</f>
        <v>24.9650699346259</v>
      </c>
      <c r="AO86" s="16" t="n">
        <f aca="false">SUM($T86:Y86)</f>
        <v>29.3387848241072</v>
      </c>
      <c r="AP86" s="16" t="n">
        <f aca="false">SUM($T86:Z86)</f>
        <v>35.0279563209793</v>
      </c>
      <c r="AQ86" s="16" t="n">
        <f aca="false">SUM($T86:AA86)</f>
        <v>39.8333160241928</v>
      </c>
      <c r="AR86" s="16" t="n">
        <f aca="false">SUM($T86:AB86)</f>
        <v>45.1145638823531</v>
      </c>
      <c r="AS86" s="16" t="n">
        <f aca="false">SUM($T86:AC86)</f>
        <v>49.912538471185</v>
      </c>
      <c r="AT86" s="16" t="n">
        <f aca="false">SUM($T86:AD86)</f>
        <v>54.8350101612269</v>
      </c>
      <c r="AU86" s="16" t="n">
        <f aca="false">SUM($T86:AE86)</f>
        <v>60.0955313276855</v>
      </c>
      <c r="AV86" s="16" t="n">
        <f aca="false">SUM($T86:AF86)</f>
        <v>64.1479599178973</v>
      </c>
      <c r="AW86" s="16" t="n">
        <f aca="false">SUM($T86:AG86)</f>
        <v>68.8662105033308</v>
      </c>
      <c r="AX86" s="16" t="n">
        <f aca="false">SUM($T86:AH86)</f>
        <v>73.7327428877903</v>
      </c>
      <c r="AY86" s="16" t="n">
        <f aca="false">SUM($T86:AI86)</f>
        <v>78.0864858638823</v>
      </c>
      <c r="AZ86" s="16" t="n">
        <f aca="false">MAX(C86-AJ86,0)</f>
        <v>58.5378715223717</v>
      </c>
      <c r="BA86" s="16" t="n">
        <f aca="false">MAX(C86-AK86,0)</f>
        <v>54.1672577312879</v>
      </c>
      <c r="BB86" s="16" t="n">
        <f aca="false">MAX(C86-AL86,0)</f>
        <v>48.6548156280339</v>
      </c>
      <c r="BC86" s="16" t="n">
        <f aca="false">MAX(C86-AM86,0)</f>
        <v>43.9257021930018</v>
      </c>
      <c r="BD86" s="16" t="n">
        <f aca="false">MAX(C86-AN86,0)</f>
        <v>38.5640850933276</v>
      </c>
      <c r="BE86" s="16" t="n">
        <f aca="false">MAX(C86-AO86,0)</f>
        <v>34.1903702038464</v>
      </c>
      <c r="BF86" s="16" t="n">
        <f aca="false">MAX(C86-AP86,0)</f>
        <v>28.5011987069742</v>
      </c>
      <c r="BG86" s="16" t="n">
        <f aca="false">MAX(C86-AQ86,0)</f>
        <v>23.6958390037608</v>
      </c>
      <c r="BH86" s="16" t="n">
        <f aca="false">MAX(C86-AR86,0)</f>
        <v>18.4145911456005</v>
      </c>
      <c r="BI86" s="16" t="n">
        <f aca="false">MAX(C86-AS86,0)</f>
        <v>13.6166165567685</v>
      </c>
      <c r="BJ86" s="16" t="n">
        <f aca="false">MAX(C86-AT86,0)</f>
        <v>8.6941448667266</v>
      </c>
      <c r="BK86" s="16" t="n">
        <f aca="false">MAX(C86-AU86,0)</f>
        <v>3.43362370026805</v>
      </c>
      <c r="BL86" s="16" t="n">
        <f aca="false">MAX(C86-AV86,0)</f>
        <v>0</v>
      </c>
      <c r="BM86" s="16" t="n">
        <f aca="false">MAX(C86-AW86,0)</f>
        <v>0</v>
      </c>
      <c r="BN86" s="16" t="n">
        <f aca="false">MAX(C86-AX86,0)</f>
        <v>0</v>
      </c>
      <c r="BO86" s="16" t="n">
        <f aca="false">MAX(C86-AY86,0)</f>
        <v>0</v>
      </c>
    </row>
    <row r="87" customFormat="false" ht="15" hidden="false" customHeight="false" outlineLevel="0" collapsed="false">
      <c r="A87" s="3" t="n">
        <v>57</v>
      </c>
      <c r="B87" s="15" t="n">
        <f aca="true">RAND()</f>
        <v>0.717287339415991</v>
      </c>
      <c r="C87" s="16" t="n">
        <f aca="false">LOOKUP(B87,$E$12:$E$17,$A$12:$A$17)+LOOKUP(B87,$E$12:$E$17,$D$12:$D$17)*(B87-LOOKUP(B87,$E$12:$E$17))/LOOKUP(B87,$E$12:$E$17,$C$12:$C$17)</f>
        <v>67.3898191345142</v>
      </c>
      <c r="D87" s="15" t="n">
        <f aca="true">RAND()</f>
        <v>0.206088190426015</v>
      </c>
      <c r="E87" s="15" t="n">
        <f aca="true">RAND()</f>
        <v>0.455172292055784</v>
      </c>
      <c r="F87" s="15" t="n">
        <f aca="true">RAND()</f>
        <v>0.603380897947513</v>
      </c>
      <c r="G87" s="15" t="n">
        <f aca="true">RAND()</f>
        <v>0.92742290883676</v>
      </c>
      <c r="H87" s="15" t="n">
        <f aca="true">RAND()</f>
        <v>0.454868564243629</v>
      </c>
      <c r="I87" s="15" t="n">
        <f aca="true">RAND()</f>
        <v>0.110150120121591</v>
      </c>
      <c r="J87" s="15" t="n">
        <f aca="true">RAND()</f>
        <v>0.272446686361627</v>
      </c>
      <c r="K87" s="15" t="n">
        <f aca="true">RAND()</f>
        <v>0.87520050667933</v>
      </c>
      <c r="L87" s="15" t="n">
        <f aca="true">RAND()</f>
        <v>0.49120119555845</v>
      </c>
      <c r="M87" s="15" t="n">
        <f aca="true">RAND()</f>
        <v>0.651046413863973</v>
      </c>
      <c r="N87" s="15" t="n">
        <f aca="true">RAND()</f>
        <v>0.311717949983332</v>
      </c>
      <c r="O87" s="15" t="n">
        <f aca="true">RAND()</f>
        <v>0.909547640269649</v>
      </c>
      <c r="P87" s="15" t="n">
        <f aca="true">RAND()</f>
        <v>0.956271418193654</v>
      </c>
      <c r="Q87" s="15" t="n">
        <f aca="true">RAND()</f>
        <v>0.00483522900133743</v>
      </c>
      <c r="R87" s="15" t="n">
        <f aca="true">RAND()</f>
        <v>0.364777320458763</v>
      </c>
      <c r="S87" s="15" t="n">
        <f aca="true">RAND()</f>
        <v>0.93878441444744</v>
      </c>
      <c r="T87" s="16" t="n">
        <f aca="false">LOOKUP(D87,$E$23:$E$26,$A$23:$A$26)+LOOKUP(D87,$E$23:$E$26,$D$23:$D$26)*(D87-LOOKUP(D87,$E$23:$E$26))/LOOKUP(D87,$E$23:$E$26,$C$23:$C$26)</f>
        <v>4.34348031737669</v>
      </c>
      <c r="U87" s="16" t="n">
        <f aca="false">LOOKUP(E87,$E$23:$E$26,$A$23:$A$26)+LOOKUP(E87,$E$23:$E$26,$D$23:$D$26)*(E87-LOOKUP(E87,$E$23:$E$26))/LOOKUP(E87,$E$23:$E$26,$C$23:$C$26)</f>
        <v>4.69396536506973</v>
      </c>
      <c r="V87" s="16" t="n">
        <f aca="false">LOOKUP(F87,$E$23:$E$26,$A$23:$A$26)+LOOKUP(F87,$E$23:$E$26,$D$23:$D$26)*(F87-LOOKUP(F87,$E$23:$E$26))/LOOKUP(F87,$E$23:$E$26,$C$23:$C$26)</f>
        <v>4.87922612243439</v>
      </c>
      <c r="W87" s="16" t="n">
        <f aca="false">LOOKUP(G87,$E$23:$E$26,$A$23:$A$26)+LOOKUP(G87,$E$23:$E$26,$D$23:$D$26)*(G87-LOOKUP(G87,$E$23:$E$26))/LOOKUP(G87,$E$23:$E$26,$C$23:$C$26)</f>
        <v>5.6371145441838</v>
      </c>
      <c r="X87" s="16" t="n">
        <f aca="false">LOOKUP(H87,$E$23:$E$26,$A$23:$A$26)+LOOKUP(H87,$E$23:$E$26,$D$23:$D$26)*(H87-LOOKUP(H87,$E$23:$E$26))/LOOKUP(H87,$E$23:$E$26,$C$23:$C$26)</f>
        <v>4.69358570530454</v>
      </c>
      <c r="Y87" s="16" t="n">
        <f aca="false">LOOKUP(I87,$E$23:$E$26,$A$23:$A$26)+LOOKUP(I87,$E$23:$E$26,$D$23:$D$26)*(I87-LOOKUP(I87,$E$23:$E$26))/LOOKUP(I87,$E$23:$E$26,$C$23:$C$26)</f>
        <v>4.18358353353599</v>
      </c>
      <c r="Z87" s="16" t="n">
        <f aca="false">LOOKUP(J87,$E$23:$E$26,$A$23:$A$26)+LOOKUP(J87,$E$23:$E$26,$D$23:$D$26)*(J87-LOOKUP(J87,$E$23:$E$26))/LOOKUP(J87,$E$23:$E$26,$C$23:$C$26)</f>
        <v>4.45407781060271</v>
      </c>
      <c r="AA87" s="16" t="n">
        <f aca="false">LOOKUP(K87,$E$23:$E$26,$A$23:$A$26)+LOOKUP(K87,$E$23:$E$26,$D$23:$D$26)*(K87-LOOKUP(K87,$E$23:$E$26))/LOOKUP(K87,$E$23:$E$26,$C$23:$C$26)</f>
        <v>5.43800126669833</v>
      </c>
      <c r="AB87" s="16" t="n">
        <f aca="false">LOOKUP(L87,$E$23:$E$26,$A$23:$A$26)+LOOKUP(L87,$E$23:$E$26,$D$23:$D$26)*(L87-LOOKUP(L87,$E$23:$E$26))/LOOKUP(L87,$E$23:$E$26,$C$23:$C$26)</f>
        <v>4.73900149444806</v>
      </c>
      <c r="AC87" s="16" t="n">
        <f aca="false">LOOKUP(M87,$E$23:$E$26,$A$23:$A$26)+LOOKUP(M87,$E$23:$E$26,$D$23:$D$26)*(M87-LOOKUP(M87,$E$23:$E$26))/LOOKUP(M87,$E$23:$E$26,$C$23:$C$26)</f>
        <v>4.93880801732997</v>
      </c>
      <c r="AD87" s="16" t="n">
        <f aca="false">LOOKUP(N87,$E$23:$E$26,$A$23:$A$26)+LOOKUP(N87,$E$23:$E$26,$D$23:$D$26)*(N87-LOOKUP(N87,$E$23:$E$26))/LOOKUP(N87,$E$23:$E$26,$C$23:$C$26)</f>
        <v>4.51464743747917</v>
      </c>
      <c r="AE87" s="16" t="n">
        <f aca="false">LOOKUP(O87,$E$23:$E$26,$A$23:$A$26)+LOOKUP(O87,$E$23:$E$26,$D$23:$D$26)*(O87-LOOKUP(O87,$E$23:$E$26))/LOOKUP(O87,$E$23:$E$26,$C$23:$C$26)</f>
        <v>5.54773820134824</v>
      </c>
      <c r="AF87" s="16" t="n">
        <f aca="false">LOOKUP(P87,$E$23:$E$26,$A$23:$A$26)+LOOKUP(P87,$E$23:$E$26,$D$23:$D$26)*(P87-LOOKUP(P87,$E$23:$E$26))/LOOKUP(P87,$E$23:$E$26,$C$23:$C$26)</f>
        <v>5.78135709096827</v>
      </c>
      <c r="AG87" s="16" t="n">
        <f aca="false">LOOKUP(Q87,$E$23:$E$26,$A$23:$A$26)+LOOKUP(Q87,$E$23:$E$26,$D$23:$D$26)*(Q87-LOOKUP(Q87,$E$23:$E$26))/LOOKUP(Q87,$E$23:$E$26,$C$23:$C$26)</f>
        <v>4.00805871500223</v>
      </c>
      <c r="AH87" s="16" t="n">
        <f aca="false">LOOKUP(R87,$E$23:$E$26,$A$23:$A$26)+LOOKUP(R87,$E$23:$E$26,$D$23:$D$26)*(R87-LOOKUP(R87,$E$23:$E$26))/LOOKUP(R87,$E$23:$E$26,$C$23:$C$26)</f>
        <v>4.58097165057345</v>
      </c>
      <c r="AI87" s="16" t="n">
        <f aca="false">LOOKUP(S87,$E$23:$E$26,$A$23:$A$26)+LOOKUP(S87,$E$23:$E$26,$D$23:$D$26)*(S87-LOOKUP(S87,$E$23:$E$26))/LOOKUP(S87,$E$23:$E$26,$C$23:$C$26)</f>
        <v>5.6939220722372</v>
      </c>
      <c r="AJ87" s="16" t="n">
        <f aca="false">SUM($T87:T87)</f>
        <v>4.34348031737669</v>
      </c>
      <c r="AK87" s="16" t="n">
        <f aca="false">SUM($T87:U87)</f>
        <v>9.03744568244642</v>
      </c>
      <c r="AL87" s="16" t="n">
        <f aca="false">SUM($T87:V87)</f>
        <v>13.9166718048808</v>
      </c>
      <c r="AM87" s="16" t="n">
        <f aca="false">SUM($T87:W87)</f>
        <v>19.5537863490646</v>
      </c>
      <c r="AN87" s="16" t="n">
        <f aca="false">SUM($T87:X87)</f>
        <v>24.2473720543692</v>
      </c>
      <c r="AO87" s="16" t="n">
        <f aca="false">SUM($T87:Y87)</f>
        <v>28.4309555879051</v>
      </c>
      <c r="AP87" s="16" t="n">
        <f aca="false">SUM($T87:Z87)</f>
        <v>32.8850333985078</v>
      </c>
      <c r="AQ87" s="16" t="n">
        <f aca="false">SUM($T87:AA87)</f>
        <v>38.3230346652062</v>
      </c>
      <c r="AR87" s="16" t="n">
        <f aca="false">SUM($T87:AB87)</f>
        <v>43.0620361596542</v>
      </c>
      <c r="AS87" s="16" t="n">
        <f aca="false">SUM($T87:AC87)</f>
        <v>48.0008441769842</v>
      </c>
      <c r="AT87" s="16" t="n">
        <f aca="false">SUM($T87:AD87)</f>
        <v>52.5154916144634</v>
      </c>
      <c r="AU87" s="16" t="n">
        <f aca="false">SUM($T87:AE87)</f>
        <v>58.0632298158116</v>
      </c>
      <c r="AV87" s="16" t="n">
        <f aca="false">SUM($T87:AF87)</f>
        <v>63.8445869067799</v>
      </c>
      <c r="AW87" s="16" t="n">
        <f aca="false">SUM($T87:AG87)</f>
        <v>67.8526456217821</v>
      </c>
      <c r="AX87" s="16" t="n">
        <f aca="false">SUM($T87:AH87)</f>
        <v>72.4336172723556</v>
      </c>
      <c r="AY87" s="16" t="n">
        <f aca="false">SUM($T87:AI87)</f>
        <v>78.1275393445928</v>
      </c>
      <c r="AZ87" s="16" t="n">
        <f aca="false">MAX(C87-AJ87,0)</f>
        <v>63.0463388171375</v>
      </c>
      <c r="BA87" s="16" t="n">
        <f aca="false">MAX(C87-AK87,0)</f>
        <v>58.3523734520677</v>
      </c>
      <c r="BB87" s="16" t="n">
        <f aca="false">MAX(C87-AL87,0)</f>
        <v>53.4731473296333</v>
      </c>
      <c r="BC87" s="16" t="n">
        <f aca="false">MAX(C87-AM87,0)</f>
        <v>47.8360327854495</v>
      </c>
      <c r="BD87" s="16" t="n">
        <f aca="false">MAX(C87-AN87,0)</f>
        <v>43.142447080145</v>
      </c>
      <c r="BE87" s="16" t="n">
        <f aca="false">MAX(C87-AO87,0)</f>
        <v>38.958863546609</v>
      </c>
      <c r="BF87" s="16" t="n">
        <f aca="false">MAX(C87-AP87,0)</f>
        <v>34.5047857360063</v>
      </c>
      <c r="BG87" s="16" t="n">
        <f aca="false">MAX(C87-AQ87,0)</f>
        <v>29.066784469308</v>
      </c>
      <c r="BH87" s="16" t="n">
        <f aca="false">MAX(C87-AR87,0)</f>
        <v>24.3277829748599</v>
      </c>
      <c r="BI87" s="16" t="n">
        <f aca="false">MAX(C87-AS87,0)</f>
        <v>19.38897495753</v>
      </c>
      <c r="BJ87" s="16" t="n">
        <f aca="false">MAX(C87-AT87,0)</f>
        <v>14.8743275200508</v>
      </c>
      <c r="BK87" s="16" t="n">
        <f aca="false">MAX(C87-AU87,0)</f>
        <v>9.32658931870255</v>
      </c>
      <c r="BL87" s="16" t="n">
        <f aca="false">MAX(C87-AV87,0)</f>
        <v>3.54523222773427</v>
      </c>
      <c r="BM87" s="16" t="n">
        <f aca="false">MAX(C87-AW87,0)</f>
        <v>0</v>
      </c>
      <c r="BN87" s="16" t="n">
        <f aca="false">MAX(C87-AX87,0)</f>
        <v>0</v>
      </c>
      <c r="BO87" s="16" t="n">
        <f aca="false">MAX(C87-AY87,0)</f>
        <v>0</v>
      </c>
    </row>
    <row r="88" customFormat="false" ht="15" hidden="false" customHeight="false" outlineLevel="0" collapsed="false">
      <c r="A88" s="3" t="n">
        <v>58</v>
      </c>
      <c r="B88" s="15" t="n">
        <f aca="true">RAND()</f>
        <v>0.665407923300497</v>
      </c>
      <c r="C88" s="16" t="n">
        <f aca="false">LOOKUP(B88,$E$12:$E$17,$A$12:$A$17)+LOOKUP(B88,$E$12:$E$17,$D$12:$D$17)*(B88-LOOKUP(B88,$E$12:$E$17))/LOOKUP(B88,$E$12:$E$17,$C$12:$C$17)</f>
        <v>66.6486846185785</v>
      </c>
      <c r="D88" s="15" t="n">
        <f aca="true">RAND()</f>
        <v>0.117457016243202</v>
      </c>
      <c r="E88" s="15" t="n">
        <f aca="true">RAND()</f>
        <v>0.466818462422037</v>
      </c>
      <c r="F88" s="15" t="n">
        <f aca="true">RAND()</f>
        <v>0.229701319527194</v>
      </c>
      <c r="G88" s="15" t="n">
        <f aca="true">RAND()</f>
        <v>0.327788849484458</v>
      </c>
      <c r="H88" s="15" t="n">
        <f aca="true">RAND()</f>
        <v>0.878535594447263</v>
      </c>
      <c r="I88" s="15" t="n">
        <f aca="true">RAND()</f>
        <v>0.483927077760857</v>
      </c>
      <c r="J88" s="15" t="n">
        <f aca="true">RAND()</f>
        <v>0.0289596033826069</v>
      </c>
      <c r="K88" s="15" t="n">
        <f aca="true">RAND()</f>
        <v>0.121963475015744</v>
      </c>
      <c r="L88" s="15" t="n">
        <f aca="true">RAND()</f>
        <v>0.987939806757138</v>
      </c>
      <c r="M88" s="15" t="n">
        <f aca="true">RAND()</f>
        <v>0.803009449371518</v>
      </c>
      <c r="N88" s="15" t="n">
        <f aca="true">RAND()</f>
        <v>0.254310854294352</v>
      </c>
      <c r="O88" s="15" t="n">
        <f aca="true">RAND()</f>
        <v>0.392832864132552</v>
      </c>
      <c r="P88" s="15" t="n">
        <f aca="true">RAND()</f>
        <v>0.905987131221623</v>
      </c>
      <c r="Q88" s="15" t="n">
        <f aca="true">RAND()</f>
        <v>0.425825223043241</v>
      </c>
      <c r="R88" s="15" t="n">
        <f aca="true">RAND()</f>
        <v>0.364049835806029</v>
      </c>
      <c r="S88" s="15" t="n">
        <f aca="true">RAND()</f>
        <v>0.771741123344057</v>
      </c>
      <c r="T88" s="16" t="n">
        <f aca="false">LOOKUP(D88,$E$23:$E$26,$A$23:$A$26)+LOOKUP(D88,$E$23:$E$26,$D$23:$D$26)*(D88-LOOKUP(D88,$E$23:$E$26))/LOOKUP(D88,$E$23:$E$26,$C$23:$C$26)</f>
        <v>4.19576169373867</v>
      </c>
      <c r="U88" s="16" t="n">
        <f aca="false">LOOKUP(E88,$E$23:$E$26,$A$23:$A$26)+LOOKUP(E88,$E$23:$E$26,$D$23:$D$26)*(E88-LOOKUP(E88,$E$23:$E$26))/LOOKUP(E88,$E$23:$E$26,$C$23:$C$26)</f>
        <v>4.70852307802755</v>
      </c>
      <c r="V88" s="16" t="n">
        <f aca="false">LOOKUP(F88,$E$23:$E$26,$A$23:$A$26)+LOOKUP(F88,$E$23:$E$26,$D$23:$D$26)*(F88-LOOKUP(F88,$E$23:$E$26))/LOOKUP(F88,$E$23:$E$26,$C$23:$C$26)</f>
        <v>4.38283553254532</v>
      </c>
      <c r="W88" s="16" t="n">
        <f aca="false">LOOKUP(G88,$E$23:$E$26,$A$23:$A$26)+LOOKUP(G88,$E$23:$E$26,$D$23:$D$26)*(G88-LOOKUP(G88,$E$23:$E$26))/LOOKUP(G88,$E$23:$E$26,$C$23:$C$26)</f>
        <v>4.53473606185557</v>
      </c>
      <c r="X88" s="16" t="n">
        <f aca="false">LOOKUP(H88,$E$23:$E$26,$A$23:$A$26)+LOOKUP(H88,$E$23:$E$26,$D$23:$D$26)*(H88-LOOKUP(H88,$E$23:$E$26))/LOOKUP(H88,$E$23:$E$26,$C$23:$C$26)</f>
        <v>5.44633898611816</v>
      </c>
      <c r="Y88" s="16" t="n">
        <f aca="false">LOOKUP(I88,$E$23:$E$26,$A$23:$A$26)+LOOKUP(I88,$E$23:$E$26,$D$23:$D$26)*(I88-LOOKUP(I88,$E$23:$E$26))/LOOKUP(I88,$E$23:$E$26,$C$23:$C$26)</f>
        <v>4.72990884720107</v>
      </c>
      <c r="Z88" s="16" t="n">
        <f aca="false">LOOKUP(J88,$E$23:$E$26,$A$23:$A$26)+LOOKUP(J88,$E$23:$E$26,$D$23:$D$26)*(J88-LOOKUP(J88,$E$23:$E$26))/LOOKUP(J88,$E$23:$E$26,$C$23:$C$26)</f>
        <v>4.04826600563768</v>
      </c>
      <c r="AA88" s="16" t="n">
        <f aca="false">LOOKUP(K88,$E$23:$E$26,$A$23:$A$26)+LOOKUP(K88,$E$23:$E$26,$D$23:$D$26)*(K88-LOOKUP(K88,$E$23:$E$26))/LOOKUP(K88,$E$23:$E$26,$C$23:$C$26)</f>
        <v>4.20327245835957</v>
      </c>
      <c r="AB88" s="16" t="n">
        <f aca="false">LOOKUP(L88,$E$23:$E$26,$A$23:$A$26)+LOOKUP(L88,$E$23:$E$26,$D$23:$D$26)*(L88-LOOKUP(L88,$E$23:$E$26))/LOOKUP(L88,$E$23:$E$26,$C$23:$C$26)</f>
        <v>5.93969903378569</v>
      </c>
      <c r="AC88" s="16" t="n">
        <f aca="false">LOOKUP(M88,$E$23:$E$26,$A$23:$A$26)+LOOKUP(M88,$E$23:$E$26,$D$23:$D$26)*(M88-LOOKUP(M88,$E$23:$E$26))/LOOKUP(M88,$E$23:$E$26,$C$23:$C$26)</f>
        <v>5.2575236234288</v>
      </c>
      <c r="AD88" s="16" t="n">
        <f aca="false">LOOKUP(N88,$E$23:$E$26,$A$23:$A$26)+LOOKUP(N88,$E$23:$E$26,$D$23:$D$26)*(N88-LOOKUP(N88,$E$23:$E$26))/LOOKUP(N88,$E$23:$E$26,$C$23:$C$26)</f>
        <v>4.42385142382392</v>
      </c>
      <c r="AE88" s="16" t="n">
        <f aca="false">LOOKUP(O88,$E$23:$E$26,$A$23:$A$26)+LOOKUP(O88,$E$23:$E$26,$D$23:$D$26)*(O88-LOOKUP(O88,$E$23:$E$26))/LOOKUP(O88,$E$23:$E$26,$C$23:$C$26)</f>
        <v>4.61604108016569</v>
      </c>
      <c r="AF88" s="16" t="n">
        <f aca="false">LOOKUP(P88,$E$23:$E$26,$A$23:$A$26)+LOOKUP(P88,$E$23:$E$26,$D$23:$D$26)*(P88-LOOKUP(P88,$E$23:$E$26))/LOOKUP(P88,$E$23:$E$26,$C$23:$C$26)</f>
        <v>5.52993565610811</v>
      </c>
      <c r="AG88" s="16" t="n">
        <f aca="false">LOOKUP(Q88,$E$23:$E$26,$A$23:$A$26)+LOOKUP(Q88,$E$23:$E$26,$D$23:$D$26)*(Q88-LOOKUP(Q88,$E$23:$E$26))/LOOKUP(Q88,$E$23:$E$26,$C$23:$C$26)</f>
        <v>4.65728152880405</v>
      </c>
      <c r="AH88" s="16" t="n">
        <f aca="false">LOOKUP(R88,$E$23:$E$26,$A$23:$A$26)+LOOKUP(R88,$E$23:$E$26,$D$23:$D$26)*(R88-LOOKUP(R88,$E$23:$E$26))/LOOKUP(R88,$E$23:$E$26,$C$23:$C$26)</f>
        <v>4.58006229475754</v>
      </c>
      <c r="AI88" s="16" t="n">
        <f aca="false">LOOKUP(S88,$E$23:$E$26,$A$23:$A$26)+LOOKUP(S88,$E$23:$E$26,$D$23:$D$26)*(S88-LOOKUP(S88,$E$23:$E$26))/LOOKUP(S88,$E$23:$E$26,$C$23:$C$26)</f>
        <v>5.17935280836014</v>
      </c>
      <c r="AJ88" s="16" t="n">
        <f aca="false">SUM($T88:T88)</f>
        <v>4.19576169373867</v>
      </c>
      <c r="AK88" s="16" t="n">
        <f aca="false">SUM($T88:U88)</f>
        <v>8.90428477176621</v>
      </c>
      <c r="AL88" s="16" t="n">
        <f aca="false">SUM($T88:V88)</f>
        <v>13.2871203043115</v>
      </c>
      <c r="AM88" s="16" t="n">
        <f aca="false">SUM($T88:W88)</f>
        <v>17.8218563661671</v>
      </c>
      <c r="AN88" s="16" t="n">
        <f aca="false">SUM($T88:X88)</f>
        <v>23.2681953522853</v>
      </c>
      <c r="AO88" s="16" t="n">
        <f aca="false">SUM($T88:Y88)</f>
        <v>27.9981041994863</v>
      </c>
      <c r="AP88" s="16" t="n">
        <f aca="false">SUM($T88:Z88)</f>
        <v>32.046370205124</v>
      </c>
      <c r="AQ88" s="16" t="n">
        <f aca="false">SUM($T88:AA88)</f>
        <v>36.2496426634836</v>
      </c>
      <c r="AR88" s="16" t="n">
        <f aca="false">SUM($T88:AB88)</f>
        <v>42.1893416972693</v>
      </c>
      <c r="AS88" s="16" t="n">
        <f aca="false">SUM($T88:AC88)</f>
        <v>47.4468653206981</v>
      </c>
      <c r="AT88" s="16" t="n">
        <f aca="false">SUM($T88:AD88)</f>
        <v>51.870716744522</v>
      </c>
      <c r="AU88" s="16" t="n">
        <f aca="false">SUM($T88:AE88)</f>
        <v>56.4867578246877</v>
      </c>
      <c r="AV88" s="16" t="n">
        <f aca="false">SUM($T88:AF88)</f>
        <v>62.0166934807958</v>
      </c>
      <c r="AW88" s="16" t="n">
        <f aca="false">SUM($T88:AG88)</f>
        <v>66.6739750095999</v>
      </c>
      <c r="AX88" s="16" t="n">
        <f aca="false">SUM($T88:AH88)</f>
        <v>71.2540373043574</v>
      </c>
      <c r="AY88" s="16" t="n">
        <f aca="false">SUM($T88:AI88)</f>
        <v>76.4333901127176</v>
      </c>
      <c r="AZ88" s="16" t="n">
        <f aca="false">MAX(C88-AJ88,0)</f>
        <v>62.4529229248399</v>
      </c>
      <c r="BA88" s="16" t="n">
        <f aca="false">MAX(C88-AK88,0)</f>
        <v>57.7443998468123</v>
      </c>
      <c r="BB88" s="16" t="n">
        <f aca="false">MAX(C88-AL88,0)</f>
        <v>53.361564314267</v>
      </c>
      <c r="BC88" s="16" t="n">
        <f aca="false">MAX(C88-AM88,0)</f>
        <v>48.8268282524114</v>
      </c>
      <c r="BD88" s="16" t="n">
        <f aca="false">MAX(C88-AN88,0)</f>
        <v>43.3804892662933</v>
      </c>
      <c r="BE88" s="16" t="n">
        <f aca="false">MAX(C88-AO88,0)</f>
        <v>38.6505804190922</v>
      </c>
      <c r="BF88" s="16" t="n">
        <f aca="false">MAX(C88-AP88,0)</f>
        <v>34.6023144134545</v>
      </c>
      <c r="BG88" s="16" t="n">
        <f aca="false">MAX(C88-AQ88,0)</f>
        <v>30.3990419550949</v>
      </c>
      <c r="BH88" s="16" t="n">
        <f aca="false">MAX(C88-AR88,0)</f>
        <v>24.4593429213092</v>
      </c>
      <c r="BI88" s="16" t="n">
        <f aca="false">MAX(C88-AS88,0)</f>
        <v>19.2018192978804</v>
      </c>
      <c r="BJ88" s="16" t="n">
        <f aca="false">MAX(C88-AT88,0)</f>
        <v>14.7779678740565</v>
      </c>
      <c r="BK88" s="16" t="n">
        <f aca="false">MAX(C88-AU88,0)</f>
        <v>10.1619267938908</v>
      </c>
      <c r="BL88" s="16" t="n">
        <f aca="false">MAX(C88-AV88,0)</f>
        <v>4.63199113778273</v>
      </c>
      <c r="BM88" s="16" t="n">
        <f aca="false">MAX(C88-AW88,0)</f>
        <v>0</v>
      </c>
      <c r="BN88" s="16" t="n">
        <f aca="false">MAX(C88-AX88,0)</f>
        <v>0</v>
      </c>
      <c r="BO88" s="16" t="n">
        <f aca="false">MAX(C88-AY88,0)</f>
        <v>0</v>
      </c>
    </row>
    <row r="89" customFormat="false" ht="15" hidden="false" customHeight="false" outlineLevel="0" collapsed="false">
      <c r="A89" s="3" t="n">
        <v>59</v>
      </c>
      <c r="B89" s="15" t="n">
        <f aca="true">RAND()</f>
        <v>0.793903000608043</v>
      </c>
      <c r="C89" s="16" t="n">
        <f aca="false">LOOKUP(B89,$E$12:$E$17,$A$12:$A$17)+LOOKUP(B89,$E$12:$E$17,$D$12:$D$17)*(B89-LOOKUP(B89,$E$12:$E$17))/LOOKUP(B89,$E$12:$E$17,$C$12:$C$17)</f>
        <v>68.4843285801149</v>
      </c>
      <c r="D89" s="15" t="n">
        <f aca="true">RAND()</f>
        <v>0.0107002347233606</v>
      </c>
      <c r="E89" s="15" t="n">
        <f aca="true">RAND()</f>
        <v>0.417789798883381</v>
      </c>
      <c r="F89" s="15" t="n">
        <f aca="true">RAND()</f>
        <v>0.115216057105191</v>
      </c>
      <c r="G89" s="15" t="n">
        <f aca="true">RAND()</f>
        <v>0.329326331496178</v>
      </c>
      <c r="H89" s="15" t="n">
        <f aca="true">RAND()</f>
        <v>0.326949668089953</v>
      </c>
      <c r="I89" s="15" t="n">
        <f aca="true">RAND()</f>
        <v>0.825578596016382</v>
      </c>
      <c r="J89" s="15" t="n">
        <f aca="true">RAND()</f>
        <v>0.433283921880786</v>
      </c>
      <c r="K89" s="15" t="n">
        <f aca="true">RAND()</f>
        <v>0.0251845429886977</v>
      </c>
      <c r="L89" s="15" t="n">
        <f aca="true">RAND()</f>
        <v>0.11219427913267</v>
      </c>
      <c r="M89" s="15" t="n">
        <f aca="true">RAND()</f>
        <v>0.335585185926062</v>
      </c>
      <c r="N89" s="15" t="n">
        <f aca="true">RAND()</f>
        <v>0.947796631166233</v>
      </c>
      <c r="O89" s="15" t="n">
        <f aca="true">RAND()</f>
        <v>0.115955833946358</v>
      </c>
      <c r="P89" s="15" t="n">
        <f aca="true">RAND()</f>
        <v>0.625013961246277</v>
      </c>
      <c r="Q89" s="15" t="n">
        <f aca="true">RAND()</f>
        <v>0.757223281274235</v>
      </c>
      <c r="R89" s="15" t="n">
        <f aca="true">RAND()</f>
        <v>0.70147416133151</v>
      </c>
      <c r="S89" s="15" t="n">
        <f aca="true">RAND()</f>
        <v>0.448288917806752</v>
      </c>
      <c r="T89" s="16" t="n">
        <f aca="false">LOOKUP(D89,$E$23:$E$26,$A$23:$A$26)+LOOKUP(D89,$E$23:$E$26,$D$23:$D$26)*(D89-LOOKUP(D89,$E$23:$E$26))/LOOKUP(D89,$E$23:$E$26,$C$23:$C$26)</f>
        <v>4.01783372453893</v>
      </c>
      <c r="U89" s="16" t="n">
        <f aca="false">LOOKUP(E89,$E$23:$E$26,$A$23:$A$26)+LOOKUP(E89,$E$23:$E$26,$D$23:$D$26)*(E89-LOOKUP(E89,$E$23:$E$26))/LOOKUP(E89,$E$23:$E$26,$C$23:$C$26)</f>
        <v>4.64723724860423</v>
      </c>
      <c r="V89" s="16" t="n">
        <f aca="false">LOOKUP(F89,$E$23:$E$26,$A$23:$A$26)+LOOKUP(F89,$E$23:$E$26,$D$23:$D$26)*(F89-LOOKUP(F89,$E$23:$E$26))/LOOKUP(F89,$E$23:$E$26,$C$23:$C$26)</f>
        <v>4.19202676184199</v>
      </c>
      <c r="W89" s="16" t="n">
        <f aca="false">LOOKUP(G89,$E$23:$E$26,$A$23:$A$26)+LOOKUP(G89,$E$23:$E$26,$D$23:$D$26)*(G89-LOOKUP(G89,$E$23:$E$26))/LOOKUP(G89,$E$23:$E$26,$C$23:$C$26)</f>
        <v>4.53665791437022</v>
      </c>
      <c r="X89" s="16" t="n">
        <f aca="false">LOOKUP(H89,$E$23:$E$26,$A$23:$A$26)+LOOKUP(H89,$E$23:$E$26,$D$23:$D$26)*(H89-LOOKUP(H89,$E$23:$E$26))/LOOKUP(H89,$E$23:$E$26,$C$23:$C$26)</f>
        <v>4.53368708511244</v>
      </c>
      <c r="Y89" s="16" t="n">
        <f aca="false">LOOKUP(I89,$E$23:$E$26,$A$23:$A$26)+LOOKUP(I89,$E$23:$E$26,$D$23:$D$26)*(I89-LOOKUP(I89,$E$23:$E$26))/LOOKUP(I89,$E$23:$E$26,$C$23:$C$26)</f>
        <v>5.31394649004096</v>
      </c>
      <c r="Z89" s="16" t="n">
        <f aca="false">LOOKUP(J89,$E$23:$E$26,$A$23:$A$26)+LOOKUP(J89,$E$23:$E$26,$D$23:$D$26)*(J89-LOOKUP(J89,$E$23:$E$26))/LOOKUP(J89,$E$23:$E$26,$C$23:$C$26)</f>
        <v>4.66660490235098</v>
      </c>
      <c r="AA89" s="16" t="n">
        <f aca="false">LOOKUP(K89,$E$23:$E$26,$A$23:$A$26)+LOOKUP(K89,$E$23:$E$26,$D$23:$D$26)*(K89-LOOKUP(K89,$E$23:$E$26))/LOOKUP(K89,$E$23:$E$26,$C$23:$C$26)</f>
        <v>4.0419742383145</v>
      </c>
      <c r="AB89" s="16" t="n">
        <f aca="false">LOOKUP(L89,$E$23:$E$26,$A$23:$A$26)+LOOKUP(L89,$E$23:$E$26,$D$23:$D$26)*(L89-LOOKUP(L89,$E$23:$E$26))/LOOKUP(L89,$E$23:$E$26,$C$23:$C$26)</f>
        <v>4.18699046522112</v>
      </c>
      <c r="AC89" s="16" t="n">
        <f aca="false">LOOKUP(M89,$E$23:$E$26,$A$23:$A$26)+LOOKUP(M89,$E$23:$E$26,$D$23:$D$26)*(M89-LOOKUP(M89,$E$23:$E$26))/LOOKUP(M89,$E$23:$E$26,$C$23:$C$26)</f>
        <v>4.54448148240758</v>
      </c>
      <c r="AD89" s="16" t="n">
        <f aca="false">LOOKUP(N89,$E$23:$E$26,$A$23:$A$26)+LOOKUP(N89,$E$23:$E$26,$D$23:$D$26)*(N89-LOOKUP(N89,$E$23:$E$26))/LOOKUP(N89,$E$23:$E$26,$C$23:$C$26)</f>
        <v>5.73898315583117</v>
      </c>
      <c r="AE89" s="16" t="n">
        <f aca="false">LOOKUP(O89,$E$23:$E$26,$A$23:$A$26)+LOOKUP(O89,$E$23:$E$26,$D$23:$D$26)*(O89-LOOKUP(O89,$E$23:$E$26))/LOOKUP(O89,$E$23:$E$26,$C$23:$C$26)</f>
        <v>4.19325972324393</v>
      </c>
      <c r="AF89" s="16" t="n">
        <f aca="false">LOOKUP(P89,$E$23:$E$26,$A$23:$A$26)+LOOKUP(P89,$E$23:$E$26,$D$23:$D$26)*(P89-LOOKUP(P89,$E$23:$E$26))/LOOKUP(P89,$E$23:$E$26,$C$23:$C$26)</f>
        <v>4.90626745155785</v>
      </c>
      <c r="AG89" s="16" t="n">
        <f aca="false">LOOKUP(Q89,$E$23:$E$26,$A$23:$A$26)+LOOKUP(Q89,$E$23:$E$26,$D$23:$D$26)*(Q89-LOOKUP(Q89,$E$23:$E$26))/LOOKUP(Q89,$E$23:$E$26,$C$23:$C$26)</f>
        <v>5.14305820318559</v>
      </c>
      <c r="AH89" s="16" t="n">
        <f aca="false">LOOKUP(R89,$E$23:$E$26,$A$23:$A$26)+LOOKUP(R89,$E$23:$E$26,$D$23:$D$26)*(R89-LOOKUP(R89,$E$23:$E$26))/LOOKUP(R89,$E$23:$E$26,$C$23:$C$26)</f>
        <v>5.00368540332877</v>
      </c>
      <c r="AI89" s="16" t="n">
        <f aca="false">LOOKUP(S89,$E$23:$E$26,$A$23:$A$26)+LOOKUP(S89,$E$23:$E$26,$D$23:$D$26)*(S89-LOOKUP(S89,$E$23:$E$26))/LOOKUP(S89,$E$23:$E$26,$C$23:$C$26)</f>
        <v>4.68536114725844</v>
      </c>
      <c r="AJ89" s="16" t="n">
        <f aca="false">SUM($T89:T89)</f>
        <v>4.01783372453893</v>
      </c>
      <c r="AK89" s="16" t="n">
        <f aca="false">SUM($T89:U89)</f>
        <v>8.66507097314316</v>
      </c>
      <c r="AL89" s="16" t="n">
        <f aca="false">SUM($T89:V89)</f>
        <v>12.8570977349851</v>
      </c>
      <c r="AM89" s="16" t="n">
        <f aca="false">SUM($T89:W89)</f>
        <v>17.3937556493554</v>
      </c>
      <c r="AN89" s="16" t="n">
        <f aca="false">SUM($T89:X89)</f>
        <v>21.9274427344678</v>
      </c>
      <c r="AO89" s="16" t="n">
        <f aca="false">SUM($T89:Y89)</f>
        <v>27.2413892245088</v>
      </c>
      <c r="AP89" s="16" t="n">
        <f aca="false">SUM($T89:Z89)</f>
        <v>31.9079941268597</v>
      </c>
      <c r="AQ89" s="16" t="n">
        <f aca="false">SUM($T89:AA89)</f>
        <v>35.9499683651742</v>
      </c>
      <c r="AR89" s="16" t="n">
        <f aca="false">SUM($T89:AB89)</f>
        <v>40.1369588303954</v>
      </c>
      <c r="AS89" s="16" t="n">
        <f aca="false">SUM($T89:AC89)</f>
        <v>44.6814403128029</v>
      </c>
      <c r="AT89" s="16" t="n">
        <f aca="false">SUM($T89:AD89)</f>
        <v>50.4204234686341</v>
      </c>
      <c r="AU89" s="16" t="n">
        <f aca="false">SUM($T89:AE89)</f>
        <v>54.613683191878</v>
      </c>
      <c r="AV89" s="16" t="n">
        <f aca="false">SUM($T89:AF89)</f>
        <v>59.5199506434359</v>
      </c>
      <c r="AW89" s="16" t="n">
        <f aca="false">SUM($T89:AG89)</f>
        <v>64.6630088466215</v>
      </c>
      <c r="AX89" s="16" t="n">
        <f aca="false">SUM($T89:AH89)</f>
        <v>69.6666942499502</v>
      </c>
      <c r="AY89" s="16" t="n">
        <f aca="false">SUM($T89:AI89)</f>
        <v>74.3520553972087</v>
      </c>
      <c r="AZ89" s="16" t="n">
        <f aca="false">MAX(C89-AJ89,0)</f>
        <v>64.466494855576</v>
      </c>
      <c r="BA89" s="16" t="n">
        <f aca="false">MAX(C89-AK89,0)</f>
        <v>59.8192576069717</v>
      </c>
      <c r="BB89" s="16" t="n">
        <f aca="false">MAX(C89-AL89,0)</f>
        <v>55.6272308451298</v>
      </c>
      <c r="BC89" s="16" t="n">
        <f aca="false">MAX(C89-AM89,0)</f>
        <v>51.0905729307595</v>
      </c>
      <c r="BD89" s="16" t="n">
        <f aca="false">MAX(C89-AN89,0)</f>
        <v>46.5568858456471</v>
      </c>
      <c r="BE89" s="16" t="n">
        <f aca="false">MAX(C89-AO89,0)</f>
        <v>41.2429393556061</v>
      </c>
      <c r="BF89" s="16" t="n">
        <f aca="false">MAX(C89-AP89,0)</f>
        <v>36.5763344532552</v>
      </c>
      <c r="BG89" s="16" t="n">
        <f aca="false">MAX(C89-AQ89,0)</f>
        <v>32.5343602149407</v>
      </c>
      <c r="BH89" s="16" t="n">
        <f aca="false">MAX(C89-AR89,0)</f>
        <v>28.3473697497195</v>
      </c>
      <c r="BI89" s="16" t="n">
        <f aca="false">MAX(C89-AS89,0)</f>
        <v>23.802888267312</v>
      </c>
      <c r="BJ89" s="16" t="n">
        <f aca="false">MAX(C89-AT89,0)</f>
        <v>18.0639051114808</v>
      </c>
      <c r="BK89" s="16" t="n">
        <f aca="false">MAX(C89-AU89,0)</f>
        <v>13.8706453882369</v>
      </c>
      <c r="BL89" s="16" t="n">
        <f aca="false">MAX(C89-AV89,0)</f>
        <v>8.96437793667903</v>
      </c>
      <c r="BM89" s="16" t="n">
        <f aca="false">MAX(C89-AW89,0)</f>
        <v>3.82131973349344</v>
      </c>
      <c r="BN89" s="16" t="n">
        <f aca="false">MAX(C89-AX89,0)</f>
        <v>0</v>
      </c>
      <c r="BO89" s="16" t="n">
        <f aca="false">MAX(C89-AY89,0)</f>
        <v>0</v>
      </c>
    </row>
    <row r="90" customFormat="false" ht="15" hidden="false" customHeight="false" outlineLevel="0" collapsed="false">
      <c r="A90" s="3" t="n">
        <v>60</v>
      </c>
      <c r="B90" s="15" t="n">
        <f aca="true">RAND()</f>
        <v>0.964629362242502</v>
      </c>
      <c r="C90" s="16" t="n">
        <f aca="false">LOOKUP(B90,$E$12:$E$17,$A$12:$A$17)+LOOKUP(B90,$E$12:$E$17,$D$12:$D$17)*(B90-LOOKUP(B90,$E$12:$E$17))/LOOKUP(B90,$E$12:$E$17,$C$12:$C$17)</f>
        <v>79.0393351401564</v>
      </c>
      <c r="D90" s="15" t="n">
        <f aca="true">RAND()</f>
        <v>0.945513337192496</v>
      </c>
      <c r="E90" s="15" t="n">
        <f aca="true">RAND()</f>
        <v>0.366988687923126</v>
      </c>
      <c r="F90" s="15" t="n">
        <f aca="true">RAND()</f>
        <v>0.359758541344196</v>
      </c>
      <c r="G90" s="15" t="n">
        <f aca="true">RAND()</f>
        <v>0.846249188319811</v>
      </c>
      <c r="H90" s="15" t="n">
        <f aca="true">RAND()</f>
        <v>0.882539160582156</v>
      </c>
      <c r="I90" s="15" t="n">
        <f aca="true">RAND()</f>
        <v>0.0567331802734513</v>
      </c>
      <c r="J90" s="15" t="n">
        <f aca="true">RAND()</f>
        <v>0.0440066872161414</v>
      </c>
      <c r="K90" s="15" t="n">
        <f aca="true">RAND()</f>
        <v>0.439739520106563</v>
      </c>
      <c r="L90" s="15" t="n">
        <f aca="true">RAND()</f>
        <v>0.0793758600133993</v>
      </c>
      <c r="M90" s="15" t="n">
        <f aca="true">RAND()</f>
        <v>0.11771356656188</v>
      </c>
      <c r="N90" s="15" t="n">
        <f aca="true">RAND()</f>
        <v>0.127538355563394</v>
      </c>
      <c r="O90" s="15" t="n">
        <f aca="true">RAND()</f>
        <v>0.804248752381128</v>
      </c>
      <c r="P90" s="15" t="n">
        <f aca="true">RAND()</f>
        <v>0.0829670385208287</v>
      </c>
      <c r="Q90" s="15" t="n">
        <f aca="true">RAND()</f>
        <v>0.57359479500114</v>
      </c>
      <c r="R90" s="15" t="n">
        <f aca="true">RAND()</f>
        <v>0.580796890805868</v>
      </c>
      <c r="S90" s="15" t="n">
        <f aca="true">RAND()</f>
        <v>0.230104382892317</v>
      </c>
      <c r="T90" s="16" t="n">
        <f aca="false">LOOKUP(D90,$E$23:$E$26,$A$23:$A$26)+LOOKUP(D90,$E$23:$E$26,$D$23:$D$26)*(D90-LOOKUP(D90,$E$23:$E$26))/LOOKUP(D90,$E$23:$E$26,$C$23:$C$26)</f>
        <v>5.72756668596248</v>
      </c>
      <c r="U90" s="16" t="n">
        <f aca="false">LOOKUP(E90,$E$23:$E$26,$A$23:$A$26)+LOOKUP(E90,$E$23:$E$26,$D$23:$D$26)*(E90-LOOKUP(E90,$E$23:$E$26))/LOOKUP(E90,$E$23:$E$26,$C$23:$C$26)</f>
        <v>4.58373585990391</v>
      </c>
      <c r="V90" s="16" t="n">
        <f aca="false">LOOKUP(F90,$E$23:$E$26,$A$23:$A$26)+LOOKUP(F90,$E$23:$E$26,$D$23:$D$26)*(F90-LOOKUP(F90,$E$23:$E$26))/LOOKUP(F90,$E$23:$E$26,$C$23:$C$26)</f>
        <v>4.57469817668025</v>
      </c>
      <c r="W90" s="16" t="n">
        <f aca="false">LOOKUP(G90,$E$23:$E$26,$A$23:$A$26)+LOOKUP(G90,$E$23:$E$26,$D$23:$D$26)*(G90-LOOKUP(G90,$E$23:$E$26))/LOOKUP(G90,$E$23:$E$26,$C$23:$C$26)</f>
        <v>5.36562297079953</v>
      </c>
      <c r="X90" s="16" t="n">
        <f aca="false">LOOKUP(H90,$E$23:$E$26,$A$23:$A$26)+LOOKUP(H90,$E$23:$E$26,$D$23:$D$26)*(H90-LOOKUP(H90,$E$23:$E$26))/LOOKUP(H90,$E$23:$E$26,$C$23:$C$26)</f>
        <v>5.45634790145539</v>
      </c>
      <c r="Y90" s="16" t="n">
        <f aca="false">LOOKUP(I90,$E$23:$E$26,$A$23:$A$26)+LOOKUP(I90,$E$23:$E$26,$D$23:$D$26)*(I90-LOOKUP(I90,$E$23:$E$26))/LOOKUP(I90,$E$23:$E$26,$C$23:$C$26)</f>
        <v>4.09455530045575</v>
      </c>
      <c r="Z90" s="16" t="n">
        <f aca="false">LOOKUP(J90,$E$23:$E$26,$A$23:$A$26)+LOOKUP(J90,$E$23:$E$26,$D$23:$D$26)*(J90-LOOKUP(J90,$E$23:$E$26))/LOOKUP(J90,$E$23:$E$26,$C$23:$C$26)</f>
        <v>4.07334447869357</v>
      </c>
      <c r="AA90" s="16" t="n">
        <f aca="false">LOOKUP(K90,$E$23:$E$26,$A$23:$A$26)+LOOKUP(K90,$E$23:$E$26,$D$23:$D$26)*(K90-LOOKUP(K90,$E$23:$E$26))/LOOKUP(K90,$E$23:$E$26,$C$23:$C$26)</f>
        <v>4.6746744001332</v>
      </c>
      <c r="AB90" s="16" t="n">
        <f aca="false">LOOKUP(L90,$E$23:$E$26,$A$23:$A$26)+LOOKUP(L90,$E$23:$E$26,$D$23:$D$26)*(L90-LOOKUP(L90,$E$23:$E$26))/LOOKUP(L90,$E$23:$E$26,$C$23:$C$26)</f>
        <v>4.13229310002233</v>
      </c>
      <c r="AC90" s="16" t="n">
        <f aca="false">LOOKUP(M90,$E$23:$E$26,$A$23:$A$26)+LOOKUP(M90,$E$23:$E$26,$D$23:$D$26)*(M90-LOOKUP(M90,$E$23:$E$26))/LOOKUP(M90,$E$23:$E$26,$C$23:$C$26)</f>
        <v>4.19618927760313</v>
      </c>
      <c r="AD90" s="16" t="n">
        <f aca="false">LOOKUP(N90,$E$23:$E$26,$A$23:$A$26)+LOOKUP(N90,$E$23:$E$26,$D$23:$D$26)*(N90-LOOKUP(N90,$E$23:$E$26))/LOOKUP(N90,$E$23:$E$26,$C$23:$C$26)</f>
        <v>4.21256392593899</v>
      </c>
      <c r="AE90" s="16" t="n">
        <f aca="false">LOOKUP(O90,$E$23:$E$26,$A$23:$A$26)+LOOKUP(O90,$E$23:$E$26,$D$23:$D$26)*(O90-LOOKUP(O90,$E$23:$E$26))/LOOKUP(O90,$E$23:$E$26,$C$23:$C$26)</f>
        <v>5.26062188095282</v>
      </c>
      <c r="AF90" s="16" t="n">
        <f aca="false">LOOKUP(P90,$E$23:$E$26,$A$23:$A$26)+LOOKUP(P90,$E$23:$E$26,$D$23:$D$26)*(P90-LOOKUP(P90,$E$23:$E$26))/LOOKUP(P90,$E$23:$E$26,$C$23:$C$26)</f>
        <v>4.13827839753471</v>
      </c>
      <c r="AG90" s="16" t="n">
        <f aca="false">LOOKUP(Q90,$E$23:$E$26,$A$23:$A$26)+LOOKUP(Q90,$E$23:$E$26,$D$23:$D$26)*(Q90-LOOKUP(Q90,$E$23:$E$26))/LOOKUP(Q90,$E$23:$E$26,$C$23:$C$26)</f>
        <v>4.84199349375143</v>
      </c>
      <c r="AH90" s="16" t="n">
        <f aca="false">LOOKUP(R90,$E$23:$E$26,$A$23:$A$26)+LOOKUP(R90,$E$23:$E$26,$D$23:$D$26)*(R90-LOOKUP(R90,$E$23:$E$26))/LOOKUP(R90,$E$23:$E$26,$C$23:$C$26)</f>
        <v>4.85099611350733</v>
      </c>
      <c r="AI90" s="16" t="n">
        <f aca="false">LOOKUP(S90,$E$23:$E$26,$A$23:$A$26)+LOOKUP(S90,$E$23:$E$26,$D$23:$D$26)*(S90-LOOKUP(S90,$E$23:$E$26))/LOOKUP(S90,$E$23:$E$26,$C$23:$C$26)</f>
        <v>4.38350730482053</v>
      </c>
      <c r="AJ90" s="16" t="n">
        <f aca="false">SUM($T90:T90)</f>
        <v>5.72756668596248</v>
      </c>
      <c r="AK90" s="16" t="n">
        <f aca="false">SUM($T90:U90)</f>
        <v>10.3113025458664</v>
      </c>
      <c r="AL90" s="16" t="n">
        <f aca="false">SUM($T90:V90)</f>
        <v>14.8860007225466</v>
      </c>
      <c r="AM90" s="16" t="n">
        <f aca="false">SUM($T90:W90)</f>
        <v>20.2516236933462</v>
      </c>
      <c r="AN90" s="16" t="n">
        <f aca="false">SUM($T90:X90)</f>
        <v>25.7079715948016</v>
      </c>
      <c r="AO90" s="16" t="n">
        <f aca="false">SUM($T90:Y90)</f>
        <v>29.8025268952573</v>
      </c>
      <c r="AP90" s="16" t="n">
        <f aca="false">SUM($T90:Z90)</f>
        <v>33.8758713739509</v>
      </c>
      <c r="AQ90" s="16" t="n">
        <f aca="false">SUM($T90:AA90)</f>
        <v>38.5505457740841</v>
      </c>
      <c r="AR90" s="16" t="n">
        <f aca="false">SUM($T90:AB90)</f>
        <v>42.6828388741064</v>
      </c>
      <c r="AS90" s="16" t="n">
        <f aca="false">SUM($T90:AC90)</f>
        <v>46.8790281517095</v>
      </c>
      <c r="AT90" s="16" t="n">
        <f aca="false">SUM($T90:AD90)</f>
        <v>51.0915920776485</v>
      </c>
      <c r="AU90" s="16" t="n">
        <f aca="false">SUM($T90:AE90)</f>
        <v>56.3522139586014</v>
      </c>
      <c r="AV90" s="16" t="n">
        <f aca="false">SUM($T90:AF90)</f>
        <v>60.4904923561361</v>
      </c>
      <c r="AW90" s="16" t="n">
        <f aca="false">SUM($T90:AG90)</f>
        <v>65.3324858498875</v>
      </c>
      <c r="AX90" s="16" t="n">
        <f aca="false">SUM($T90:AH90)</f>
        <v>70.1834819633948</v>
      </c>
      <c r="AY90" s="16" t="n">
        <f aca="false">SUM($T90:AI90)</f>
        <v>74.5669892682154</v>
      </c>
      <c r="AZ90" s="16" t="n">
        <f aca="false">MAX(C90-AJ90,0)</f>
        <v>73.3117684541939</v>
      </c>
      <c r="BA90" s="16" t="n">
        <f aca="false">MAX(C90-AK90,0)</f>
        <v>68.72803259429</v>
      </c>
      <c r="BB90" s="16" t="n">
        <f aca="false">MAX(C90-AL90,0)</f>
        <v>64.1533344176097</v>
      </c>
      <c r="BC90" s="16" t="n">
        <f aca="false">MAX(C90-AM90,0)</f>
        <v>58.7877114468102</v>
      </c>
      <c r="BD90" s="16" t="n">
        <f aca="false">MAX(C90-AN90,0)</f>
        <v>53.3313635453548</v>
      </c>
      <c r="BE90" s="16" t="n">
        <f aca="false">MAX(C90-AO90,0)</f>
        <v>49.2368082448991</v>
      </c>
      <c r="BF90" s="16" t="n">
        <f aca="false">MAX(C90-AP90,0)</f>
        <v>45.1634637662055</v>
      </c>
      <c r="BG90" s="16" t="n">
        <f aca="false">MAX(C90-AQ90,0)</f>
        <v>40.4887893660723</v>
      </c>
      <c r="BH90" s="16" t="n">
        <f aca="false">MAX(C90-AR90,0)</f>
        <v>36.35649626605</v>
      </c>
      <c r="BI90" s="16" t="n">
        <f aca="false">MAX(C90-AS90,0)</f>
        <v>32.1603069884468</v>
      </c>
      <c r="BJ90" s="16" t="n">
        <f aca="false">MAX(C90-AT90,0)</f>
        <v>27.9477430625078</v>
      </c>
      <c r="BK90" s="16" t="n">
        <f aca="false">MAX(C90-AU90,0)</f>
        <v>22.687121181555</v>
      </c>
      <c r="BL90" s="16" t="n">
        <f aca="false">MAX(C90-AV90,0)</f>
        <v>18.5488427840203</v>
      </c>
      <c r="BM90" s="16" t="n">
        <f aca="false">MAX(C90-AW90,0)</f>
        <v>13.7068492902689</v>
      </c>
      <c r="BN90" s="16" t="n">
        <f aca="false">MAX(C90-AX90,0)</f>
        <v>8.85585317676154</v>
      </c>
      <c r="BO90" s="16" t="n">
        <f aca="false">MAX(C90-AY90,0)</f>
        <v>4.47234587194102</v>
      </c>
    </row>
    <row r="91" customFormat="false" ht="15" hidden="false" customHeight="false" outlineLevel="0" collapsed="false">
      <c r="A91" s="3" t="n">
        <v>61</v>
      </c>
      <c r="B91" s="15" t="n">
        <f aca="true">RAND()</f>
        <v>0.559183404997771</v>
      </c>
      <c r="C91" s="16" t="n">
        <f aca="false">LOOKUP(B91,$E$12:$E$17,$A$12:$A$17)+LOOKUP(B91,$E$12:$E$17,$D$12:$D$17)*(B91-LOOKUP(B91,$E$12:$E$17))/LOOKUP(B91,$E$12:$E$17,$C$12:$C$17)</f>
        <v>65.1311914999682</v>
      </c>
      <c r="D91" s="15" t="n">
        <f aca="true">RAND()</f>
        <v>0.917465726752647</v>
      </c>
      <c r="E91" s="15" t="n">
        <f aca="true">RAND()</f>
        <v>0.501312833168254</v>
      </c>
      <c r="F91" s="15" t="n">
        <f aca="true">RAND()</f>
        <v>0.398608789456292</v>
      </c>
      <c r="G91" s="15" t="n">
        <f aca="true">RAND()</f>
        <v>0.0533589055663626</v>
      </c>
      <c r="H91" s="15" t="n">
        <f aca="true">RAND()</f>
        <v>0.218309645454054</v>
      </c>
      <c r="I91" s="15" t="n">
        <f aca="true">RAND()</f>
        <v>0.430162705752658</v>
      </c>
      <c r="J91" s="15" t="n">
        <f aca="true">RAND()</f>
        <v>0.83281256391243</v>
      </c>
      <c r="K91" s="15" t="n">
        <f aca="true">RAND()</f>
        <v>0.421876390976131</v>
      </c>
      <c r="L91" s="15" t="n">
        <f aca="true">RAND()</f>
        <v>0.938892683708299</v>
      </c>
      <c r="M91" s="15" t="n">
        <f aca="true">RAND()</f>
        <v>0.979968305594567</v>
      </c>
      <c r="N91" s="15" t="n">
        <f aca="true">RAND()</f>
        <v>0.905347878485254</v>
      </c>
      <c r="O91" s="15" t="n">
        <f aca="true">RAND()</f>
        <v>0.727302624311882</v>
      </c>
      <c r="P91" s="15" t="n">
        <f aca="true">RAND()</f>
        <v>0.864934865384562</v>
      </c>
      <c r="Q91" s="15" t="n">
        <f aca="true">RAND()</f>
        <v>0.886384181389169</v>
      </c>
      <c r="R91" s="15" t="n">
        <f aca="true">RAND()</f>
        <v>0.607824011765668</v>
      </c>
      <c r="S91" s="15" t="n">
        <f aca="true">RAND()</f>
        <v>0.542633002024129</v>
      </c>
      <c r="T91" s="16" t="n">
        <f aca="false">LOOKUP(D91,$E$23:$E$26,$A$23:$A$26)+LOOKUP(D91,$E$23:$E$26,$D$23:$D$26)*(D91-LOOKUP(D91,$E$23:$E$26))/LOOKUP(D91,$E$23:$E$26,$C$23:$C$26)</f>
        <v>5.58732863376323</v>
      </c>
      <c r="U91" s="16" t="n">
        <f aca="false">LOOKUP(E91,$E$23:$E$26,$A$23:$A$26)+LOOKUP(E91,$E$23:$E$26,$D$23:$D$26)*(E91-LOOKUP(E91,$E$23:$E$26))/LOOKUP(E91,$E$23:$E$26,$C$23:$C$26)</f>
        <v>4.75164104146032</v>
      </c>
      <c r="V91" s="16" t="n">
        <f aca="false">LOOKUP(F91,$E$23:$E$26,$A$23:$A$26)+LOOKUP(F91,$E$23:$E$26,$D$23:$D$26)*(F91-LOOKUP(F91,$E$23:$E$26))/LOOKUP(F91,$E$23:$E$26,$C$23:$C$26)</f>
        <v>4.62326098682036</v>
      </c>
      <c r="W91" s="16" t="n">
        <f aca="false">LOOKUP(G91,$E$23:$E$26,$A$23:$A$26)+LOOKUP(G91,$E$23:$E$26,$D$23:$D$26)*(G91-LOOKUP(G91,$E$23:$E$26))/LOOKUP(G91,$E$23:$E$26,$C$23:$C$26)</f>
        <v>4.08893150927727</v>
      </c>
      <c r="X91" s="16" t="n">
        <f aca="false">LOOKUP(H91,$E$23:$E$26,$A$23:$A$26)+LOOKUP(H91,$E$23:$E$26,$D$23:$D$26)*(H91-LOOKUP(H91,$E$23:$E$26))/LOOKUP(H91,$E$23:$E$26,$C$23:$C$26)</f>
        <v>4.36384940909009</v>
      </c>
      <c r="Y91" s="16" t="n">
        <f aca="false">LOOKUP(I91,$E$23:$E$26,$A$23:$A$26)+LOOKUP(I91,$E$23:$E$26,$D$23:$D$26)*(I91-LOOKUP(I91,$E$23:$E$26))/LOOKUP(I91,$E$23:$E$26,$C$23:$C$26)</f>
        <v>4.66270338219082</v>
      </c>
      <c r="Z91" s="16" t="n">
        <f aca="false">LOOKUP(J91,$E$23:$E$26,$A$23:$A$26)+LOOKUP(J91,$E$23:$E$26,$D$23:$D$26)*(J91-LOOKUP(J91,$E$23:$E$26))/LOOKUP(J91,$E$23:$E$26,$C$23:$C$26)</f>
        <v>5.33203140978107</v>
      </c>
      <c r="AA91" s="16" t="n">
        <f aca="false">LOOKUP(K91,$E$23:$E$26,$A$23:$A$26)+LOOKUP(K91,$E$23:$E$26,$D$23:$D$26)*(K91-LOOKUP(K91,$E$23:$E$26))/LOOKUP(K91,$E$23:$E$26,$C$23:$C$26)</f>
        <v>4.65234548872016</v>
      </c>
      <c r="AB91" s="16" t="n">
        <f aca="false">LOOKUP(L91,$E$23:$E$26,$A$23:$A$26)+LOOKUP(L91,$E$23:$E$26,$D$23:$D$26)*(L91-LOOKUP(L91,$E$23:$E$26))/LOOKUP(L91,$E$23:$E$26,$C$23:$C$26)</f>
        <v>5.69446341854149</v>
      </c>
      <c r="AC91" s="16" t="n">
        <f aca="false">LOOKUP(M91,$E$23:$E$26,$A$23:$A$26)+LOOKUP(M91,$E$23:$E$26,$D$23:$D$26)*(M91-LOOKUP(M91,$E$23:$E$26))/LOOKUP(M91,$E$23:$E$26,$C$23:$C$26)</f>
        <v>5.89984152797284</v>
      </c>
      <c r="AD91" s="16" t="n">
        <f aca="false">LOOKUP(N91,$E$23:$E$26,$A$23:$A$26)+LOOKUP(N91,$E$23:$E$26,$D$23:$D$26)*(N91-LOOKUP(N91,$E$23:$E$26))/LOOKUP(N91,$E$23:$E$26,$C$23:$C$26)</f>
        <v>5.52673939242627</v>
      </c>
      <c r="AE91" s="16" t="n">
        <f aca="false">LOOKUP(O91,$E$23:$E$26,$A$23:$A$26)+LOOKUP(O91,$E$23:$E$26,$D$23:$D$26)*(O91-LOOKUP(O91,$E$23:$E$26))/LOOKUP(O91,$E$23:$E$26,$C$23:$C$26)</f>
        <v>5.06825656077971</v>
      </c>
      <c r="AF91" s="16" t="n">
        <f aca="false">LOOKUP(P91,$E$23:$E$26,$A$23:$A$26)+LOOKUP(P91,$E$23:$E$26,$D$23:$D$26)*(P91-LOOKUP(P91,$E$23:$E$26))/LOOKUP(P91,$E$23:$E$26,$C$23:$C$26)</f>
        <v>5.4123371634614</v>
      </c>
      <c r="AG91" s="16" t="n">
        <f aca="false">LOOKUP(Q91,$E$23:$E$26,$A$23:$A$26)+LOOKUP(Q91,$E$23:$E$26,$D$23:$D$26)*(Q91-LOOKUP(Q91,$E$23:$E$26))/LOOKUP(Q91,$E$23:$E$26,$C$23:$C$26)</f>
        <v>5.46596045347292</v>
      </c>
      <c r="AH91" s="16" t="n">
        <f aca="false">LOOKUP(R91,$E$23:$E$26,$A$23:$A$26)+LOOKUP(R91,$E$23:$E$26,$D$23:$D$26)*(R91-LOOKUP(R91,$E$23:$E$26))/LOOKUP(R91,$E$23:$E$26,$C$23:$C$26)</f>
        <v>4.88478001470709</v>
      </c>
      <c r="AI91" s="16" t="n">
        <f aca="false">LOOKUP(S91,$E$23:$E$26,$A$23:$A$26)+LOOKUP(S91,$E$23:$E$26,$D$23:$D$26)*(S91-LOOKUP(S91,$E$23:$E$26))/LOOKUP(S91,$E$23:$E$26,$C$23:$C$26)</f>
        <v>4.80329125253016</v>
      </c>
      <c r="AJ91" s="16" t="n">
        <f aca="false">SUM($T91:T91)</f>
        <v>5.58732863376323</v>
      </c>
      <c r="AK91" s="16" t="n">
        <f aca="false">SUM($T91:U91)</f>
        <v>10.3389696752236</v>
      </c>
      <c r="AL91" s="16" t="n">
        <f aca="false">SUM($T91:V91)</f>
        <v>14.9622306620439</v>
      </c>
      <c r="AM91" s="16" t="n">
        <f aca="false">SUM($T91:W91)</f>
        <v>19.0511621713212</v>
      </c>
      <c r="AN91" s="16" t="n">
        <f aca="false">SUM($T91:X91)</f>
        <v>23.4150115804113</v>
      </c>
      <c r="AO91" s="16" t="n">
        <f aca="false">SUM($T91:Y91)</f>
        <v>28.0777149626021</v>
      </c>
      <c r="AP91" s="16" t="n">
        <f aca="false">SUM($T91:Z91)</f>
        <v>33.4097463723832</v>
      </c>
      <c r="AQ91" s="16" t="n">
        <f aca="false">SUM($T91:AA91)</f>
        <v>38.0620918611033</v>
      </c>
      <c r="AR91" s="16" t="n">
        <f aca="false">SUM($T91:AB91)</f>
        <v>43.7565552796448</v>
      </c>
      <c r="AS91" s="16" t="n">
        <f aca="false">SUM($T91:AC91)</f>
        <v>49.6563968076177</v>
      </c>
      <c r="AT91" s="16" t="n">
        <f aca="false">SUM($T91:AD91)</f>
        <v>55.1831362000439</v>
      </c>
      <c r="AU91" s="16" t="n">
        <f aca="false">SUM($T91:AE91)</f>
        <v>60.2513927608237</v>
      </c>
      <c r="AV91" s="16" t="n">
        <f aca="false">SUM($T91:AF91)</f>
        <v>65.6637299242851</v>
      </c>
      <c r="AW91" s="16" t="n">
        <f aca="false">SUM($T91:AG91)</f>
        <v>71.129690377758</v>
      </c>
      <c r="AX91" s="16" t="n">
        <f aca="false">SUM($T91:AH91)</f>
        <v>76.0144703924651</v>
      </c>
      <c r="AY91" s="16" t="n">
        <f aca="false">SUM($T91:AI91)</f>
        <v>80.8177616449952</v>
      </c>
      <c r="AZ91" s="16" t="n">
        <f aca="false">MAX(C91-AJ91,0)</f>
        <v>59.5438628662049</v>
      </c>
      <c r="BA91" s="16" t="n">
        <f aca="false">MAX(C91-AK91,0)</f>
        <v>54.7922218247446</v>
      </c>
      <c r="BB91" s="16" t="n">
        <f aca="false">MAX(C91-AL91,0)</f>
        <v>50.1689608379242</v>
      </c>
      <c r="BC91" s="16" t="n">
        <f aca="false">MAX(C91-AM91,0)</f>
        <v>46.080029328647</v>
      </c>
      <c r="BD91" s="16" t="n">
        <f aca="false">MAX(C91-AN91,0)</f>
        <v>41.7161799195569</v>
      </c>
      <c r="BE91" s="16" t="n">
        <f aca="false">MAX(C91-AO91,0)</f>
        <v>37.0534765373661</v>
      </c>
      <c r="BF91" s="16" t="n">
        <f aca="false">MAX(C91-AP91,0)</f>
        <v>31.721445127585</v>
      </c>
      <c r="BG91" s="16" t="n">
        <f aca="false">MAX(C91-AQ91,0)</f>
        <v>27.0690996388648</v>
      </c>
      <c r="BH91" s="16" t="n">
        <f aca="false">MAX(C91-AR91,0)</f>
        <v>21.3746362203233</v>
      </c>
      <c r="BI91" s="16" t="n">
        <f aca="false">MAX(C91-AS91,0)</f>
        <v>15.4747946923505</v>
      </c>
      <c r="BJ91" s="16" t="n">
        <f aca="false">MAX(C91-AT91,0)</f>
        <v>9.94805529992421</v>
      </c>
      <c r="BK91" s="16" t="n">
        <f aca="false">MAX(C91-AU91,0)</f>
        <v>4.87979873914451</v>
      </c>
      <c r="BL91" s="16" t="n">
        <f aca="false">MAX(C91-AV91,0)</f>
        <v>0</v>
      </c>
      <c r="BM91" s="16" t="n">
        <f aca="false">MAX(C91-AW91,0)</f>
        <v>0</v>
      </c>
      <c r="BN91" s="16" t="n">
        <f aca="false">MAX(C91-AX91,0)</f>
        <v>0</v>
      </c>
      <c r="BO91" s="16" t="n">
        <f aca="false">MAX(C91-AY91,0)</f>
        <v>0</v>
      </c>
    </row>
    <row r="92" customFormat="false" ht="15" hidden="false" customHeight="false" outlineLevel="0" collapsed="false">
      <c r="A92" s="3" t="n">
        <v>62</v>
      </c>
      <c r="B92" s="15" t="n">
        <f aca="true">RAND()</f>
        <v>0.497269606012333</v>
      </c>
      <c r="C92" s="16" t="n">
        <f aca="false">LOOKUP(B92,$E$12:$E$17,$A$12:$A$17)+LOOKUP(B92,$E$12:$E$17,$D$12:$D$17)*(B92-LOOKUP(B92,$E$12:$E$17))/LOOKUP(B92,$E$12:$E$17,$C$12:$C$17)</f>
        <v>64.1211601002056</v>
      </c>
      <c r="D92" s="15" t="n">
        <f aca="true">RAND()</f>
        <v>0.382773637210853</v>
      </c>
      <c r="E92" s="15" t="n">
        <f aca="true">RAND()</f>
        <v>0.197930080270643</v>
      </c>
      <c r="F92" s="15" t="n">
        <f aca="true">RAND()</f>
        <v>0.701984824245361</v>
      </c>
      <c r="G92" s="15" t="n">
        <f aca="true">RAND()</f>
        <v>0.554037533359158</v>
      </c>
      <c r="H92" s="15" t="n">
        <f aca="true">RAND()</f>
        <v>0.489102722994792</v>
      </c>
      <c r="I92" s="15" t="n">
        <f aca="true">RAND()</f>
        <v>0.339289127714281</v>
      </c>
      <c r="J92" s="15" t="n">
        <f aca="true">RAND()</f>
        <v>0.811802274595123</v>
      </c>
      <c r="K92" s="15" t="n">
        <f aca="true">RAND()</f>
        <v>0.900691543645335</v>
      </c>
      <c r="L92" s="15" t="n">
        <f aca="true">RAND()</f>
        <v>0.625244458656625</v>
      </c>
      <c r="M92" s="15" t="n">
        <f aca="true">RAND()</f>
        <v>0.844400303397165</v>
      </c>
      <c r="N92" s="15" t="n">
        <f aca="true">RAND()</f>
        <v>0.601627957010721</v>
      </c>
      <c r="O92" s="15" t="n">
        <f aca="true">RAND()</f>
        <v>0.0832584423212774</v>
      </c>
      <c r="P92" s="15" t="n">
        <f aca="true">RAND()</f>
        <v>0.260445811477684</v>
      </c>
      <c r="Q92" s="15" t="n">
        <f aca="true">RAND()</f>
        <v>0.87379897232087</v>
      </c>
      <c r="R92" s="15" t="n">
        <f aca="true">RAND()</f>
        <v>0.392079549984358</v>
      </c>
      <c r="S92" s="15" t="n">
        <f aca="true">RAND()</f>
        <v>0.835681833116191</v>
      </c>
      <c r="T92" s="16" t="n">
        <f aca="false">LOOKUP(D92,$E$23:$E$26,$A$23:$A$26)+LOOKUP(D92,$E$23:$E$26,$D$23:$D$26)*(D92-LOOKUP(D92,$E$23:$E$26))/LOOKUP(D92,$E$23:$E$26,$C$23:$C$26)</f>
        <v>4.60346704651357</v>
      </c>
      <c r="U92" s="16" t="n">
        <f aca="false">LOOKUP(E92,$E$23:$E$26,$A$23:$A$26)+LOOKUP(E92,$E$23:$E$26,$D$23:$D$26)*(E92-LOOKUP(E92,$E$23:$E$26))/LOOKUP(E92,$E$23:$E$26,$C$23:$C$26)</f>
        <v>4.32988346711774</v>
      </c>
      <c r="V92" s="16" t="n">
        <f aca="false">LOOKUP(F92,$E$23:$E$26,$A$23:$A$26)+LOOKUP(F92,$E$23:$E$26,$D$23:$D$26)*(F92-LOOKUP(F92,$E$23:$E$26))/LOOKUP(F92,$E$23:$E$26,$C$23:$C$26)</f>
        <v>5.0049620606134</v>
      </c>
      <c r="W92" s="16" t="n">
        <f aca="false">LOOKUP(G92,$E$23:$E$26,$A$23:$A$26)+LOOKUP(G92,$E$23:$E$26,$D$23:$D$26)*(G92-LOOKUP(G92,$E$23:$E$26))/LOOKUP(G92,$E$23:$E$26,$C$23:$C$26)</f>
        <v>4.81754691669895</v>
      </c>
      <c r="X92" s="16" t="n">
        <f aca="false">LOOKUP(H92,$E$23:$E$26,$A$23:$A$26)+LOOKUP(H92,$E$23:$E$26,$D$23:$D$26)*(H92-LOOKUP(H92,$E$23:$E$26))/LOOKUP(H92,$E$23:$E$26,$C$23:$C$26)</f>
        <v>4.73637840374349</v>
      </c>
      <c r="Y92" s="16" t="n">
        <f aca="false">LOOKUP(I92,$E$23:$E$26,$A$23:$A$26)+LOOKUP(I92,$E$23:$E$26,$D$23:$D$26)*(I92-LOOKUP(I92,$E$23:$E$26))/LOOKUP(I92,$E$23:$E$26,$C$23:$C$26)</f>
        <v>4.54911140964285</v>
      </c>
      <c r="Z92" s="16" t="n">
        <f aca="false">LOOKUP(J92,$E$23:$E$26,$A$23:$A$26)+LOOKUP(J92,$E$23:$E$26,$D$23:$D$26)*(J92-LOOKUP(J92,$E$23:$E$26))/LOOKUP(J92,$E$23:$E$26,$C$23:$C$26)</f>
        <v>5.27950568648781</v>
      </c>
      <c r="AA92" s="16" t="n">
        <f aca="false">LOOKUP(K92,$E$23:$E$26,$A$23:$A$26)+LOOKUP(K92,$E$23:$E$26,$D$23:$D$26)*(K92-LOOKUP(K92,$E$23:$E$26))/LOOKUP(K92,$E$23:$E$26,$C$23:$C$26)</f>
        <v>5.50345771822668</v>
      </c>
      <c r="AB92" s="16" t="n">
        <f aca="false">LOOKUP(L92,$E$23:$E$26,$A$23:$A$26)+LOOKUP(L92,$E$23:$E$26,$D$23:$D$26)*(L92-LOOKUP(L92,$E$23:$E$26))/LOOKUP(L92,$E$23:$E$26,$C$23:$C$26)</f>
        <v>4.90655557332078</v>
      </c>
      <c r="AC92" s="16" t="n">
        <f aca="false">LOOKUP(M92,$E$23:$E$26,$A$23:$A$26)+LOOKUP(M92,$E$23:$E$26,$D$23:$D$26)*(M92-LOOKUP(M92,$E$23:$E$26))/LOOKUP(M92,$E$23:$E$26,$C$23:$C$26)</f>
        <v>5.36100075849291</v>
      </c>
      <c r="AD92" s="16" t="n">
        <f aca="false">LOOKUP(N92,$E$23:$E$26,$A$23:$A$26)+LOOKUP(N92,$E$23:$E$26,$D$23:$D$26)*(N92-LOOKUP(N92,$E$23:$E$26))/LOOKUP(N92,$E$23:$E$26,$C$23:$C$26)</f>
        <v>4.8770349462634</v>
      </c>
      <c r="AE92" s="16" t="n">
        <f aca="false">LOOKUP(O92,$E$23:$E$26,$A$23:$A$26)+LOOKUP(O92,$E$23:$E$26,$D$23:$D$26)*(O92-LOOKUP(O92,$E$23:$E$26))/LOOKUP(O92,$E$23:$E$26,$C$23:$C$26)</f>
        <v>4.13876407053546</v>
      </c>
      <c r="AF92" s="16" t="n">
        <f aca="false">LOOKUP(P92,$E$23:$E$26,$A$23:$A$26)+LOOKUP(P92,$E$23:$E$26,$D$23:$D$26)*(P92-LOOKUP(P92,$E$23:$E$26))/LOOKUP(P92,$E$23:$E$26,$C$23:$C$26)</f>
        <v>4.43407635246281</v>
      </c>
      <c r="AG92" s="16" t="n">
        <f aca="false">LOOKUP(Q92,$E$23:$E$26,$A$23:$A$26)+LOOKUP(Q92,$E$23:$E$26,$D$23:$D$26)*(Q92-LOOKUP(Q92,$E$23:$E$26))/LOOKUP(Q92,$E$23:$E$26,$C$23:$C$26)</f>
        <v>5.43449743080218</v>
      </c>
      <c r="AH92" s="16" t="n">
        <f aca="false">LOOKUP(R92,$E$23:$E$26,$A$23:$A$26)+LOOKUP(R92,$E$23:$E$26,$D$23:$D$26)*(R92-LOOKUP(R92,$E$23:$E$26))/LOOKUP(R92,$E$23:$E$26,$C$23:$C$26)</f>
        <v>4.61509943748045</v>
      </c>
      <c r="AI92" s="16" t="n">
        <f aca="false">LOOKUP(S92,$E$23:$E$26,$A$23:$A$26)+LOOKUP(S92,$E$23:$E$26,$D$23:$D$26)*(S92-LOOKUP(S92,$E$23:$E$26))/LOOKUP(S92,$E$23:$E$26,$C$23:$C$26)</f>
        <v>5.33920458279048</v>
      </c>
      <c r="AJ92" s="16" t="n">
        <f aca="false">SUM($T92:T92)</f>
        <v>4.60346704651357</v>
      </c>
      <c r="AK92" s="16" t="n">
        <f aca="false">SUM($T92:U92)</f>
        <v>8.93335051363131</v>
      </c>
      <c r="AL92" s="16" t="n">
        <f aca="false">SUM($T92:V92)</f>
        <v>13.9383125742447</v>
      </c>
      <c r="AM92" s="16" t="n">
        <f aca="false">SUM($T92:W92)</f>
        <v>18.7558594909437</v>
      </c>
      <c r="AN92" s="16" t="n">
        <f aca="false">SUM($T92:X92)</f>
        <v>23.4922378946871</v>
      </c>
      <c r="AO92" s="16" t="n">
        <f aca="false">SUM($T92:Y92)</f>
        <v>28.04134930433</v>
      </c>
      <c r="AP92" s="16" t="n">
        <f aca="false">SUM($T92:Z92)</f>
        <v>33.3208549908178</v>
      </c>
      <c r="AQ92" s="16" t="n">
        <f aca="false">SUM($T92:AA92)</f>
        <v>38.8243127090445</v>
      </c>
      <c r="AR92" s="16" t="n">
        <f aca="false">SUM($T92:AB92)</f>
        <v>43.7308682823653</v>
      </c>
      <c r="AS92" s="16" t="n">
        <f aca="false">SUM($T92:AC92)</f>
        <v>49.0918690408582</v>
      </c>
      <c r="AT92" s="16" t="n">
        <f aca="false">SUM($T92:AD92)</f>
        <v>53.9689039871216</v>
      </c>
      <c r="AU92" s="16" t="n">
        <f aca="false">SUM($T92:AE92)</f>
        <v>58.107668057657</v>
      </c>
      <c r="AV92" s="16" t="n">
        <f aca="false">SUM($T92:AF92)</f>
        <v>62.5417444101199</v>
      </c>
      <c r="AW92" s="16" t="n">
        <f aca="false">SUM($T92:AG92)</f>
        <v>67.976241840922</v>
      </c>
      <c r="AX92" s="16" t="n">
        <f aca="false">SUM($T92:AH92)</f>
        <v>72.5913412784025</v>
      </c>
      <c r="AY92" s="16" t="n">
        <f aca="false">SUM($T92:AI92)</f>
        <v>77.9305458611929</v>
      </c>
      <c r="AZ92" s="16" t="n">
        <f aca="false">MAX(C92-AJ92,0)</f>
        <v>59.517693053692</v>
      </c>
      <c r="BA92" s="16" t="n">
        <f aca="false">MAX(C92-AK92,0)</f>
        <v>55.1878095865743</v>
      </c>
      <c r="BB92" s="16" t="n">
        <f aca="false">MAX(C92-AL92,0)</f>
        <v>50.1828475259609</v>
      </c>
      <c r="BC92" s="16" t="n">
        <f aca="false">MAX(C92-AM92,0)</f>
        <v>45.3653006092619</v>
      </c>
      <c r="BD92" s="16" t="n">
        <f aca="false">MAX(C92-AN92,0)</f>
        <v>40.6289222055184</v>
      </c>
      <c r="BE92" s="16" t="n">
        <f aca="false">MAX(C92-AO92,0)</f>
        <v>36.0798107958756</v>
      </c>
      <c r="BF92" s="16" t="n">
        <f aca="false">MAX(C92-AP92,0)</f>
        <v>30.8003051093878</v>
      </c>
      <c r="BG92" s="16" t="n">
        <f aca="false">MAX(C92-AQ92,0)</f>
        <v>25.2968473911611</v>
      </c>
      <c r="BH92" s="16" t="n">
        <f aca="false">MAX(C92-AR92,0)</f>
        <v>20.3902918178403</v>
      </c>
      <c r="BI92" s="16" t="n">
        <f aca="false">MAX(C92-AS92,0)</f>
        <v>15.0292910593474</v>
      </c>
      <c r="BJ92" s="16" t="n">
        <f aca="false">MAX(C92-AT92,0)</f>
        <v>10.152256113084</v>
      </c>
      <c r="BK92" s="16" t="n">
        <f aca="false">MAX(C92-AU92,0)</f>
        <v>6.01349204254852</v>
      </c>
      <c r="BL92" s="16" t="n">
        <f aca="false">MAX(C92-AV92,0)</f>
        <v>1.57941569008571</v>
      </c>
      <c r="BM92" s="16" t="n">
        <f aca="false">MAX(C92-AW92,0)</f>
        <v>0</v>
      </c>
      <c r="BN92" s="16" t="n">
        <f aca="false">MAX(C92-AX92,0)</f>
        <v>0</v>
      </c>
      <c r="BO92" s="16" t="n">
        <f aca="false">MAX(C92-AY92,0)</f>
        <v>0</v>
      </c>
    </row>
    <row r="93" customFormat="false" ht="15" hidden="false" customHeight="false" outlineLevel="0" collapsed="false">
      <c r="A93" s="3" t="n">
        <v>63</v>
      </c>
      <c r="B93" s="15" t="n">
        <f aca="true">RAND()</f>
        <v>0.576968077114824</v>
      </c>
      <c r="C93" s="16" t="n">
        <f aca="false">LOOKUP(B93,$E$12:$E$17,$A$12:$A$17)+LOOKUP(B93,$E$12:$E$17,$D$12:$D$17)*(B93-LOOKUP(B93,$E$12:$E$17))/LOOKUP(B93,$E$12:$E$17,$C$12:$C$17)</f>
        <v>65.3852582444975</v>
      </c>
      <c r="D93" s="15" t="n">
        <f aca="true">RAND()</f>
        <v>0.116404906018007</v>
      </c>
      <c r="E93" s="15" t="n">
        <f aca="true">RAND()</f>
        <v>0.465359726990426</v>
      </c>
      <c r="F93" s="15" t="n">
        <f aca="true">RAND()</f>
        <v>0.936219198506931</v>
      </c>
      <c r="G93" s="15" t="n">
        <f aca="true">RAND()</f>
        <v>0.53957034624553</v>
      </c>
      <c r="H93" s="15" t="n">
        <f aca="true">RAND()</f>
        <v>0.875321049808115</v>
      </c>
      <c r="I93" s="15" t="n">
        <f aca="true">RAND()</f>
        <v>0.322822157819734</v>
      </c>
      <c r="J93" s="15" t="n">
        <f aca="true">RAND()</f>
        <v>0.292835610146322</v>
      </c>
      <c r="K93" s="15" t="n">
        <f aca="true">RAND()</f>
        <v>0.694153508656843</v>
      </c>
      <c r="L93" s="15" t="n">
        <f aca="true">RAND()</f>
        <v>0.957834421541676</v>
      </c>
      <c r="M93" s="15" t="n">
        <f aca="true">RAND()</f>
        <v>0.784856917913502</v>
      </c>
      <c r="N93" s="15" t="n">
        <f aca="true">RAND()</f>
        <v>0.679331505166103</v>
      </c>
      <c r="O93" s="15" t="n">
        <f aca="true">RAND()</f>
        <v>0.0451113319948655</v>
      </c>
      <c r="P93" s="15" t="n">
        <f aca="true">RAND()</f>
        <v>0.569715509404787</v>
      </c>
      <c r="Q93" s="15" t="n">
        <f aca="true">RAND()</f>
        <v>0.863296502271553</v>
      </c>
      <c r="R93" s="15" t="n">
        <f aca="true">RAND()</f>
        <v>0.479915500969197</v>
      </c>
      <c r="S93" s="15" t="n">
        <f aca="true">RAND()</f>
        <v>0.880911186971162</v>
      </c>
      <c r="T93" s="16" t="n">
        <f aca="false">LOOKUP(D93,$E$23:$E$26,$A$23:$A$26)+LOOKUP(D93,$E$23:$E$26,$D$23:$D$26)*(D93-LOOKUP(D93,$E$23:$E$26))/LOOKUP(D93,$E$23:$E$26,$C$23:$C$26)</f>
        <v>4.19400817669668</v>
      </c>
      <c r="U93" s="16" t="n">
        <f aca="false">LOOKUP(E93,$E$23:$E$26,$A$23:$A$26)+LOOKUP(E93,$E$23:$E$26,$D$23:$D$26)*(E93-LOOKUP(E93,$E$23:$E$26))/LOOKUP(E93,$E$23:$E$26,$C$23:$C$26)</f>
        <v>4.70669965873803</v>
      </c>
      <c r="V93" s="16" t="n">
        <f aca="false">LOOKUP(F93,$E$23:$E$26,$A$23:$A$26)+LOOKUP(F93,$E$23:$E$26,$D$23:$D$26)*(F93-LOOKUP(F93,$E$23:$E$26))/LOOKUP(F93,$E$23:$E$26,$C$23:$C$26)</f>
        <v>5.68109599253465</v>
      </c>
      <c r="W93" s="16" t="n">
        <f aca="false">LOOKUP(G93,$E$23:$E$26,$A$23:$A$26)+LOOKUP(G93,$E$23:$E$26,$D$23:$D$26)*(G93-LOOKUP(G93,$E$23:$E$26))/LOOKUP(G93,$E$23:$E$26,$C$23:$C$26)</f>
        <v>4.79946293280691</v>
      </c>
      <c r="X93" s="16" t="n">
        <f aca="false">LOOKUP(H93,$E$23:$E$26,$A$23:$A$26)+LOOKUP(H93,$E$23:$E$26,$D$23:$D$26)*(H93-LOOKUP(H93,$E$23:$E$26))/LOOKUP(H93,$E$23:$E$26,$C$23:$C$26)</f>
        <v>5.43830262452029</v>
      </c>
      <c r="Y93" s="16" t="n">
        <f aca="false">LOOKUP(I93,$E$23:$E$26,$A$23:$A$26)+LOOKUP(I93,$E$23:$E$26,$D$23:$D$26)*(I93-LOOKUP(I93,$E$23:$E$26))/LOOKUP(I93,$E$23:$E$26,$C$23:$C$26)</f>
        <v>4.52852769727467</v>
      </c>
      <c r="Z93" s="16" t="n">
        <f aca="false">LOOKUP(J93,$E$23:$E$26,$A$23:$A$26)+LOOKUP(J93,$E$23:$E$26,$D$23:$D$26)*(J93-LOOKUP(J93,$E$23:$E$26))/LOOKUP(J93,$E$23:$E$26,$C$23:$C$26)</f>
        <v>4.48805935024387</v>
      </c>
      <c r="AA93" s="16" t="n">
        <f aca="false">LOOKUP(K93,$E$23:$E$26,$A$23:$A$26)+LOOKUP(K93,$E$23:$E$26,$D$23:$D$26)*(K93-LOOKUP(K93,$E$23:$E$26))/LOOKUP(K93,$E$23:$E$26,$C$23:$C$26)</f>
        <v>4.99269188582105</v>
      </c>
      <c r="AB93" s="16" t="n">
        <f aca="false">LOOKUP(L93,$E$23:$E$26,$A$23:$A$26)+LOOKUP(L93,$E$23:$E$26,$D$23:$D$26)*(L93-LOOKUP(L93,$E$23:$E$26))/LOOKUP(L93,$E$23:$E$26,$C$23:$C$26)</f>
        <v>5.78917210770838</v>
      </c>
      <c r="AC93" s="16" t="n">
        <f aca="false">LOOKUP(M93,$E$23:$E$26,$A$23:$A$26)+LOOKUP(M93,$E$23:$E$26,$D$23:$D$26)*(M93-LOOKUP(M93,$E$23:$E$26))/LOOKUP(M93,$E$23:$E$26,$C$23:$C$26)</f>
        <v>5.21214229478376</v>
      </c>
      <c r="AD93" s="16" t="n">
        <f aca="false">LOOKUP(N93,$E$23:$E$26,$A$23:$A$26)+LOOKUP(N93,$E$23:$E$26,$D$23:$D$26)*(N93-LOOKUP(N93,$E$23:$E$26))/LOOKUP(N93,$E$23:$E$26,$C$23:$C$26)</f>
        <v>4.97416438145763</v>
      </c>
      <c r="AE93" s="16" t="n">
        <f aca="false">LOOKUP(O93,$E$23:$E$26,$A$23:$A$26)+LOOKUP(O93,$E$23:$E$26,$D$23:$D$26)*(O93-LOOKUP(O93,$E$23:$E$26))/LOOKUP(O93,$E$23:$E$26,$C$23:$C$26)</f>
        <v>4.07518555332478</v>
      </c>
      <c r="AF93" s="16" t="n">
        <f aca="false">LOOKUP(P93,$E$23:$E$26,$A$23:$A$26)+LOOKUP(P93,$E$23:$E$26,$D$23:$D$26)*(P93-LOOKUP(P93,$E$23:$E$26))/LOOKUP(P93,$E$23:$E$26,$C$23:$C$26)</f>
        <v>4.83714438675598</v>
      </c>
      <c r="AG93" s="16" t="n">
        <f aca="false">LOOKUP(Q93,$E$23:$E$26,$A$23:$A$26)+LOOKUP(Q93,$E$23:$E$26,$D$23:$D$26)*(Q93-LOOKUP(Q93,$E$23:$E$26))/LOOKUP(Q93,$E$23:$E$26,$C$23:$C$26)</f>
        <v>5.40824125567888</v>
      </c>
      <c r="AH93" s="16" t="n">
        <f aca="false">LOOKUP(R93,$E$23:$E$26,$A$23:$A$26)+LOOKUP(R93,$E$23:$E$26,$D$23:$D$26)*(R93-LOOKUP(R93,$E$23:$E$26))/LOOKUP(R93,$E$23:$E$26,$C$23:$C$26)</f>
        <v>4.7248943762115</v>
      </c>
      <c r="AI93" s="16" t="n">
        <f aca="false">LOOKUP(S93,$E$23:$E$26,$A$23:$A$26)+LOOKUP(S93,$E$23:$E$26,$D$23:$D$26)*(S93-LOOKUP(S93,$E$23:$E$26))/LOOKUP(S93,$E$23:$E$26,$C$23:$C$26)</f>
        <v>5.45227796742791</v>
      </c>
      <c r="AJ93" s="16" t="n">
        <f aca="false">SUM($T93:T93)</f>
        <v>4.19400817669668</v>
      </c>
      <c r="AK93" s="16" t="n">
        <f aca="false">SUM($T93:U93)</f>
        <v>8.90070783543471</v>
      </c>
      <c r="AL93" s="16" t="n">
        <f aca="false">SUM($T93:V93)</f>
        <v>14.5818038279694</v>
      </c>
      <c r="AM93" s="16" t="n">
        <f aca="false">SUM($T93:W93)</f>
        <v>19.3812667607763</v>
      </c>
      <c r="AN93" s="16" t="n">
        <f aca="false">SUM($T93:X93)</f>
        <v>24.8195693852966</v>
      </c>
      <c r="AO93" s="16" t="n">
        <f aca="false">SUM($T93:Y93)</f>
        <v>29.3480970825712</v>
      </c>
      <c r="AP93" s="16" t="n">
        <f aca="false">SUM($T93:Z93)</f>
        <v>33.8361564328151</v>
      </c>
      <c r="AQ93" s="16" t="n">
        <f aca="false">SUM($T93:AA93)</f>
        <v>38.8288483186362</v>
      </c>
      <c r="AR93" s="16" t="n">
        <f aca="false">SUM($T93:AB93)</f>
        <v>44.6180204263445</v>
      </c>
      <c r="AS93" s="16" t="n">
        <f aca="false">SUM($T93:AC93)</f>
        <v>49.8301627211283</v>
      </c>
      <c r="AT93" s="16" t="n">
        <f aca="false">SUM($T93:AD93)</f>
        <v>54.8043271025859</v>
      </c>
      <c r="AU93" s="16" t="n">
        <f aca="false">SUM($T93:AE93)</f>
        <v>58.8795126559107</v>
      </c>
      <c r="AV93" s="16" t="n">
        <f aca="false">SUM($T93:AF93)</f>
        <v>63.7166570426667</v>
      </c>
      <c r="AW93" s="16" t="n">
        <f aca="false">SUM($T93:AG93)</f>
        <v>69.1248982983456</v>
      </c>
      <c r="AX93" s="16" t="n">
        <f aca="false">SUM($T93:AH93)</f>
        <v>73.8497926745571</v>
      </c>
      <c r="AY93" s="16" t="n">
        <f aca="false">SUM($T93:AI93)</f>
        <v>79.302070641985</v>
      </c>
      <c r="AZ93" s="16" t="n">
        <f aca="false">MAX(C93-AJ93,0)</f>
        <v>61.1912500678008</v>
      </c>
      <c r="BA93" s="16" t="n">
        <f aca="false">MAX(C93-AK93,0)</f>
        <v>56.4845504090628</v>
      </c>
      <c r="BB93" s="16" t="n">
        <f aca="false">MAX(C93-AL93,0)</f>
        <v>50.8034544165281</v>
      </c>
      <c r="BC93" s="16" t="n">
        <f aca="false">MAX(C93-AM93,0)</f>
        <v>46.0039914837212</v>
      </c>
      <c r="BD93" s="16" t="n">
        <f aca="false">MAX(C93-AN93,0)</f>
        <v>40.5656888592009</v>
      </c>
      <c r="BE93" s="16" t="n">
        <f aca="false">MAX(C93-AO93,0)</f>
        <v>36.0371611619263</v>
      </c>
      <c r="BF93" s="16" t="n">
        <f aca="false">MAX(C93-AP93,0)</f>
        <v>31.5491018116824</v>
      </c>
      <c r="BG93" s="16" t="n">
        <f aca="false">MAX(C93-AQ93,0)</f>
        <v>26.5564099258613</v>
      </c>
      <c r="BH93" s="16" t="n">
        <f aca="false">MAX(C93-AR93,0)</f>
        <v>20.767237818153</v>
      </c>
      <c r="BI93" s="16" t="n">
        <f aca="false">MAX(C93-AS93,0)</f>
        <v>15.5550955233692</v>
      </c>
      <c r="BJ93" s="16" t="n">
        <f aca="false">MAX(C93-AT93,0)</f>
        <v>10.5809311419116</v>
      </c>
      <c r="BK93" s="16" t="n">
        <f aca="false">MAX(C93-AU93,0)</f>
        <v>6.50574558858681</v>
      </c>
      <c r="BL93" s="16" t="n">
        <f aca="false">MAX(C93-AV93,0)</f>
        <v>1.66860120183081</v>
      </c>
      <c r="BM93" s="16" t="n">
        <f aca="false">MAX(C93-AW93,0)</f>
        <v>0</v>
      </c>
      <c r="BN93" s="16" t="n">
        <f aca="false">MAX(C93-AX93,0)</f>
        <v>0</v>
      </c>
      <c r="BO93" s="16" t="n">
        <f aca="false">MAX(C93-AY93,0)</f>
        <v>0</v>
      </c>
    </row>
    <row r="94" customFormat="false" ht="15" hidden="false" customHeight="false" outlineLevel="0" collapsed="false">
      <c r="A94" s="3" t="n">
        <v>64</v>
      </c>
      <c r="B94" s="15" t="n">
        <f aca="true">RAND()</f>
        <v>0.506443536421791</v>
      </c>
      <c r="C94" s="16" t="n">
        <f aca="false">LOOKUP(B94,$E$12:$E$17,$A$12:$A$17)+LOOKUP(B94,$E$12:$E$17,$D$12:$D$17)*(B94-LOOKUP(B94,$E$12:$E$17))/LOOKUP(B94,$E$12:$E$17,$C$12:$C$17)</f>
        <v>64.2740589403632</v>
      </c>
      <c r="D94" s="15" t="n">
        <f aca="true">RAND()</f>
        <v>0.530431625900238</v>
      </c>
      <c r="E94" s="15" t="n">
        <f aca="true">RAND()</f>
        <v>0.173800129381469</v>
      </c>
      <c r="F94" s="15" t="n">
        <f aca="true">RAND()</f>
        <v>0.0148952724010237</v>
      </c>
      <c r="G94" s="15" t="n">
        <f aca="true">RAND()</f>
        <v>0.0279610451169962</v>
      </c>
      <c r="H94" s="15" t="n">
        <f aca="true">RAND()</f>
        <v>0.557804332163202</v>
      </c>
      <c r="I94" s="15" t="n">
        <f aca="true">RAND()</f>
        <v>0.0639880908407243</v>
      </c>
      <c r="J94" s="15" t="n">
        <f aca="true">RAND()</f>
        <v>0.436615058368434</v>
      </c>
      <c r="K94" s="15" t="n">
        <f aca="true">RAND()</f>
        <v>0.809294332053808</v>
      </c>
      <c r="L94" s="15" t="n">
        <f aca="true">RAND()</f>
        <v>0.565690619657794</v>
      </c>
      <c r="M94" s="15" t="n">
        <f aca="true">RAND()</f>
        <v>0.70172974258445</v>
      </c>
      <c r="N94" s="15" t="n">
        <f aca="true">RAND()</f>
        <v>0.400614629819201</v>
      </c>
      <c r="O94" s="15" t="n">
        <f aca="true">RAND()</f>
        <v>0.880544072846674</v>
      </c>
      <c r="P94" s="15" t="n">
        <f aca="true">RAND()</f>
        <v>0.45176585629963</v>
      </c>
      <c r="Q94" s="15" t="n">
        <f aca="true">RAND()</f>
        <v>0.712024995213095</v>
      </c>
      <c r="R94" s="15" t="n">
        <f aca="true">RAND()</f>
        <v>0.671720931815643</v>
      </c>
      <c r="S94" s="15" t="n">
        <f aca="true">RAND()</f>
        <v>0.464586988594659</v>
      </c>
      <c r="T94" s="16" t="n">
        <f aca="false">LOOKUP(D94,$E$23:$E$26,$A$23:$A$26)+LOOKUP(D94,$E$23:$E$26,$D$23:$D$26)*(D94-LOOKUP(D94,$E$23:$E$26))/LOOKUP(D94,$E$23:$E$26,$C$23:$C$26)</f>
        <v>4.7880395323753</v>
      </c>
      <c r="U94" s="16" t="n">
        <f aca="false">LOOKUP(E94,$E$23:$E$26,$A$23:$A$26)+LOOKUP(E94,$E$23:$E$26,$D$23:$D$26)*(E94-LOOKUP(E94,$E$23:$E$26))/LOOKUP(E94,$E$23:$E$26,$C$23:$C$26)</f>
        <v>4.28966688230245</v>
      </c>
      <c r="V94" s="16" t="n">
        <f aca="false">LOOKUP(F94,$E$23:$E$26,$A$23:$A$26)+LOOKUP(F94,$E$23:$E$26,$D$23:$D$26)*(F94-LOOKUP(F94,$E$23:$E$26))/LOOKUP(F94,$E$23:$E$26,$C$23:$C$26)</f>
        <v>4.02482545400171</v>
      </c>
      <c r="W94" s="16" t="n">
        <f aca="false">LOOKUP(G94,$E$23:$E$26,$A$23:$A$26)+LOOKUP(G94,$E$23:$E$26,$D$23:$D$26)*(G94-LOOKUP(G94,$E$23:$E$26))/LOOKUP(G94,$E$23:$E$26,$C$23:$C$26)</f>
        <v>4.04660174186166</v>
      </c>
      <c r="X94" s="16" t="n">
        <f aca="false">LOOKUP(H94,$E$23:$E$26,$A$23:$A$26)+LOOKUP(H94,$E$23:$E$26,$D$23:$D$26)*(H94-LOOKUP(H94,$E$23:$E$26))/LOOKUP(H94,$E$23:$E$26,$C$23:$C$26)</f>
        <v>4.822255415204</v>
      </c>
      <c r="Y94" s="16" t="n">
        <f aca="false">LOOKUP(I94,$E$23:$E$26,$A$23:$A$26)+LOOKUP(I94,$E$23:$E$26,$D$23:$D$26)*(I94-LOOKUP(I94,$E$23:$E$26))/LOOKUP(I94,$E$23:$E$26,$C$23:$C$26)</f>
        <v>4.10664681806787</v>
      </c>
      <c r="Z94" s="16" t="n">
        <f aca="false">LOOKUP(J94,$E$23:$E$26,$A$23:$A$26)+LOOKUP(J94,$E$23:$E$26,$D$23:$D$26)*(J94-LOOKUP(J94,$E$23:$E$26))/LOOKUP(J94,$E$23:$E$26,$C$23:$C$26)</f>
        <v>4.67076882296054</v>
      </c>
      <c r="AA94" s="16" t="n">
        <f aca="false">LOOKUP(K94,$E$23:$E$26,$A$23:$A$26)+LOOKUP(K94,$E$23:$E$26,$D$23:$D$26)*(K94-LOOKUP(K94,$E$23:$E$26))/LOOKUP(K94,$E$23:$E$26,$C$23:$C$26)</f>
        <v>5.27323583013452</v>
      </c>
      <c r="AB94" s="16" t="n">
        <f aca="false">LOOKUP(L94,$E$23:$E$26,$A$23:$A$26)+LOOKUP(L94,$E$23:$E$26,$D$23:$D$26)*(L94-LOOKUP(L94,$E$23:$E$26))/LOOKUP(L94,$E$23:$E$26,$C$23:$C$26)</f>
        <v>4.83211327457224</v>
      </c>
      <c r="AC94" s="16" t="n">
        <f aca="false">LOOKUP(M94,$E$23:$E$26,$A$23:$A$26)+LOOKUP(M94,$E$23:$E$26,$D$23:$D$26)*(M94-LOOKUP(M94,$E$23:$E$26))/LOOKUP(M94,$E$23:$E$26,$C$23:$C$26)</f>
        <v>5.00432435646113</v>
      </c>
      <c r="AD94" s="16" t="n">
        <f aca="false">LOOKUP(N94,$E$23:$E$26,$A$23:$A$26)+LOOKUP(N94,$E$23:$E$26,$D$23:$D$26)*(N94-LOOKUP(N94,$E$23:$E$26))/LOOKUP(N94,$E$23:$E$26,$C$23:$C$26)</f>
        <v>4.625768287274</v>
      </c>
      <c r="AE94" s="16" t="n">
        <f aca="false">LOOKUP(O94,$E$23:$E$26,$A$23:$A$26)+LOOKUP(O94,$E$23:$E$26,$D$23:$D$26)*(O94-LOOKUP(O94,$E$23:$E$26))/LOOKUP(O94,$E$23:$E$26,$C$23:$C$26)</f>
        <v>5.45136018211668</v>
      </c>
      <c r="AF94" s="16" t="n">
        <f aca="false">LOOKUP(P94,$E$23:$E$26,$A$23:$A$26)+LOOKUP(P94,$E$23:$E$26,$D$23:$D$26)*(P94-LOOKUP(P94,$E$23:$E$26))/LOOKUP(P94,$E$23:$E$26,$C$23:$C$26)</f>
        <v>4.68970732037454</v>
      </c>
      <c r="AG94" s="16" t="n">
        <f aca="false">LOOKUP(Q94,$E$23:$E$26,$A$23:$A$26)+LOOKUP(Q94,$E$23:$E$26,$D$23:$D$26)*(Q94-LOOKUP(Q94,$E$23:$E$26))/LOOKUP(Q94,$E$23:$E$26,$C$23:$C$26)</f>
        <v>5.03006248803274</v>
      </c>
      <c r="AH94" s="16" t="n">
        <f aca="false">LOOKUP(R94,$E$23:$E$26,$A$23:$A$26)+LOOKUP(R94,$E$23:$E$26,$D$23:$D$26)*(R94-LOOKUP(R94,$E$23:$E$26))/LOOKUP(R94,$E$23:$E$26,$C$23:$C$26)</f>
        <v>4.96465116476955</v>
      </c>
      <c r="AI94" s="16" t="n">
        <f aca="false">LOOKUP(S94,$E$23:$E$26,$A$23:$A$26)+LOOKUP(S94,$E$23:$E$26,$D$23:$D$26)*(S94-LOOKUP(S94,$E$23:$E$26))/LOOKUP(S94,$E$23:$E$26,$C$23:$C$26)</f>
        <v>4.70573373574332</v>
      </c>
      <c r="AJ94" s="16" t="n">
        <f aca="false">SUM($T94:T94)</f>
        <v>4.7880395323753</v>
      </c>
      <c r="AK94" s="16" t="n">
        <f aca="false">SUM($T94:U94)</f>
        <v>9.07770641467775</v>
      </c>
      <c r="AL94" s="16" t="n">
        <f aca="false">SUM($T94:V94)</f>
        <v>13.1025318686795</v>
      </c>
      <c r="AM94" s="16" t="n">
        <f aca="false">SUM($T94:W94)</f>
        <v>17.1491336105411</v>
      </c>
      <c r="AN94" s="16" t="n">
        <f aca="false">SUM($T94:X94)</f>
        <v>21.9713890257451</v>
      </c>
      <c r="AO94" s="16" t="n">
        <f aca="false">SUM($T94:Y94)</f>
        <v>26.078035843813</v>
      </c>
      <c r="AP94" s="16" t="n">
        <f aca="false">SUM($T94:Z94)</f>
        <v>30.7488046667735</v>
      </c>
      <c r="AQ94" s="16" t="n">
        <f aca="false">SUM($T94:AA94)</f>
        <v>36.0220404969081</v>
      </c>
      <c r="AR94" s="16" t="n">
        <f aca="false">SUM($T94:AB94)</f>
        <v>40.8541537714803</v>
      </c>
      <c r="AS94" s="16" t="n">
        <f aca="false">SUM($T94:AC94)</f>
        <v>45.8584781279414</v>
      </c>
      <c r="AT94" s="16" t="n">
        <f aca="false">SUM($T94:AD94)</f>
        <v>50.4842464152154</v>
      </c>
      <c r="AU94" s="16" t="n">
        <f aca="false">SUM($T94:AE94)</f>
        <v>55.9356065973321</v>
      </c>
      <c r="AV94" s="16" t="n">
        <f aca="false">SUM($T94:AF94)</f>
        <v>60.6253139177066</v>
      </c>
      <c r="AW94" s="16" t="n">
        <f aca="false">SUM($T94:AG94)</f>
        <v>65.6553764057394</v>
      </c>
      <c r="AX94" s="16" t="n">
        <f aca="false">SUM($T94:AH94)</f>
        <v>70.6200275705089</v>
      </c>
      <c r="AY94" s="16" t="n">
        <f aca="false">SUM($T94:AI94)</f>
        <v>75.3257613062523</v>
      </c>
      <c r="AZ94" s="16" t="n">
        <f aca="false">MAX(C94-AJ94,0)</f>
        <v>59.4860194079879</v>
      </c>
      <c r="BA94" s="16" t="n">
        <f aca="false">MAX(C94-AK94,0)</f>
        <v>55.1963525256854</v>
      </c>
      <c r="BB94" s="16" t="n">
        <f aca="false">MAX(C94-AL94,0)</f>
        <v>51.1715270716837</v>
      </c>
      <c r="BC94" s="16" t="n">
        <f aca="false">MAX(C94-AM94,0)</f>
        <v>47.1249253298221</v>
      </c>
      <c r="BD94" s="16" t="n">
        <f aca="false">MAX(C94-AN94,0)</f>
        <v>42.3026699146181</v>
      </c>
      <c r="BE94" s="16" t="n">
        <f aca="false">MAX(C94-AO94,0)</f>
        <v>38.1960230965502</v>
      </c>
      <c r="BF94" s="16" t="n">
        <f aca="false">MAX(C94-AP94,0)</f>
        <v>33.5252542735896</v>
      </c>
      <c r="BG94" s="16" t="n">
        <f aca="false">MAX(C94-AQ94,0)</f>
        <v>28.2520184434551</v>
      </c>
      <c r="BH94" s="16" t="n">
        <f aca="false">MAX(C94-AR94,0)</f>
        <v>23.4199051688829</v>
      </c>
      <c r="BI94" s="16" t="n">
        <f aca="false">MAX(C94-AS94,0)</f>
        <v>18.4155808124218</v>
      </c>
      <c r="BJ94" s="16" t="n">
        <f aca="false">MAX(C94-AT94,0)</f>
        <v>13.7898125251478</v>
      </c>
      <c r="BK94" s="16" t="n">
        <f aca="false">MAX(C94-AU94,0)</f>
        <v>8.33845234303107</v>
      </c>
      <c r="BL94" s="16" t="n">
        <f aca="false">MAX(C94-AV94,0)</f>
        <v>3.64874502265653</v>
      </c>
      <c r="BM94" s="16" t="n">
        <f aca="false">MAX(C94-AW94,0)</f>
        <v>0</v>
      </c>
      <c r="BN94" s="16" t="n">
        <f aca="false">MAX(C94-AX94,0)</f>
        <v>0</v>
      </c>
      <c r="BO94" s="16" t="n">
        <f aca="false">MAX(C94-AY94,0)</f>
        <v>0</v>
      </c>
    </row>
    <row r="95" customFormat="false" ht="15" hidden="false" customHeight="false" outlineLevel="0" collapsed="false">
      <c r="A95" s="3" t="n">
        <v>65</v>
      </c>
      <c r="B95" s="15" t="n">
        <f aca="true">RAND()</f>
        <v>0.254887667780414</v>
      </c>
      <c r="C95" s="16" t="n">
        <f aca="false">LOOKUP(B95,$E$12:$E$17,$A$12:$A$17)+LOOKUP(B95,$E$12:$E$17,$D$12:$D$17)*(B95-LOOKUP(B95,$E$12:$E$17))/LOOKUP(B95,$E$12:$E$17,$C$12:$C$17)</f>
        <v>60.0814611296736</v>
      </c>
      <c r="D95" s="15" t="n">
        <f aca="true">RAND()</f>
        <v>0.934801254473141</v>
      </c>
      <c r="E95" s="15" t="n">
        <f aca="true">RAND()</f>
        <v>0.792724057524027</v>
      </c>
      <c r="F95" s="15" t="n">
        <f aca="true">RAND()</f>
        <v>0.511561776283767</v>
      </c>
      <c r="G95" s="15" t="n">
        <f aca="true">RAND()</f>
        <v>0.0206750252072815</v>
      </c>
      <c r="H95" s="15" t="n">
        <f aca="true">RAND()</f>
        <v>0.701807911695024</v>
      </c>
      <c r="I95" s="15" t="n">
        <f aca="true">RAND()</f>
        <v>0.095783007354071</v>
      </c>
      <c r="J95" s="15" t="n">
        <f aca="true">RAND()</f>
        <v>0.203027715446569</v>
      </c>
      <c r="K95" s="15" t="n">
        <f aca="true">RAND()</f>
        <v>0.357797036902935</v>
      </c>
      <c r="L95" s="15" t="n">
        <f aca="true">RAND()</f>
        <v>0.534699257512819</v>
      </c>
      <c r="M95" s="15" t="n">
        <f aca="true">RAND()</f>
        <v>0.897438700801783</v>
      </c>
      <c r="N95" s="15" t="n">
        <f aca="true">RAND()</f>
        <v>0.568982669589768</v>
      </c>
      <c r="O95" s="15" t="n">
        <f aca="true">RAND()</f>
        <v>0.068924968933716</v>
      </c>
      <c r="P95" s="15" t="n">
        <f aca="true">RAND()</f>
        <v>0.997308260682654</v>
      </c>
      <c r="Q95" s="15" t="n">
        <f aca="true">RAND()</f>
        <v>0.472686435886086</v>
      </c>
      <c r="R95" s="15" t="n">
        <f aca="true">RAND()</f>
        <v>0.164801358667102</v>
      </c>
      <c r="S95" s="15" t="n">
        <f aca="true">RAND()</f>
        <v>0.219568840767659</v>
      </c>
      <c r="T95" s="16" t="n">
        <f aca="false">LOOKUP(D95,$E$23:$E$26,$A$23:$A$26)+LOOKUP(D95,$E$23:$E$26,$D$23:$D$26)*(D95-LOOKUP(D95,$E$23:$E$26))/LOOKUP(D95,$E$23:$E$26,$C$23:$C$26)</f>
        <v>5.6740062723657</v>
      </c>
      <c r="U95" s="16" t="n">
        <f aca="false">LOOKUP(E95,$E$23:$E$26,$A$23:$A$26)+LOOKUP(E95,$E$23:$E$26,$D$23:$D$26)*(E95-LOOKUP(E95,$E$23:$E$26))/LOOKUP(E95,$E$23:$E$26,$C$23:$C$26)</f>
        <v>5.23181014381007</v>
      </c>
      <c r="V95" s="16" t="n">
        <f aca="false">LOOKUP(F95,$E$23:$E$26,$A$23:$A$26)+LOOKUP(F95,$E$23:$E$26,$D$23:$D$26)*(F95-LOOKUP(F95,$E$23:$E$26))/LOOKUP(F95,$E$23:$E$26,$C$23:$C$26)</f>
        <v>4.76445222035471</v>
      </c>
      <c r="W95" s="16" t="n">
        <f aca="false">LOOKUP(G95,$E$23:$E$26,$A$23:$A$26)+LOOKUP(G95,$E$23:$E$26,$D$23:$D$26)*(G95-LOOKUP(G95,$E$23:$E$26))/LOOKUP(G95,$E$23:$E$26,$C$23:$C$26)</f>
        <v>4.03445837534547</v>
      </c>
      <c r="X95" s="16" t="n">
        <f aca="false">LOOKUP(H95,$E$23:$E$26,$A$23:$A$26)+LOOKUP(H95,$E$23:$E$26,$D$23:$D$26)*(H95-LOOKUP(H95,$E$23:$E$26))/LOOKUP(H95,$E$23:$E$26,$C$23:$C$26)</f>
        <v>5.00451977923756</v>
      </c>
      <c r="Y95" s="16" t="n">
        <f aca="false">LOOKUP(I95,$E$23:$E$26,$A$23:$A$26)+LOOKUP(I95,$E$23:$E$26,$D$23:$D$26)*(I95-LOOKUP(I95,$E$23:$E$26))/LOOKUP(I95,$E$23:$E$26,$C$23:$C$26)</f>
        <v>4.15963834559012</v>
      </c>
      <c r="Z95" s="16" t="n">
        <f aca="false">LOOKUP(J95,$E$23:$E$26,$A$23:$A$26)+LOOKUP(J95,$E$23:$E$26,$D$23:$D$26)*(J95-LOOKUP(J95,$E$23:$E$26))/LOOKUP(J95,$E$23:$E$26,$C$23:$C$26)</f>
        <v>4.33837952574428</v>
      </c>
      <c r="AA95" s="16" t="n">
        <f aca="false">LOOKUP(K95,$E$23:$E$26,$A$23:$A$26)+LOOKUP(K95,$E$23:$E$26,$D$23:$D$26)*(K95-LOOKUP(K95,$E$23:$E$26))/LOOKUP(K95,$E$23:$E$26,$C$23:$C$26)</f>
        <v>4.57224629612867</v>
      </c>
      <c r="AB95" s="16" t="n">
        <f aca="false">LOOKUP(L95,$E$23:$E$26,$A$23:$A$26)+LOOKUP(L95,$E$23:$E$26,$D$23:$D$26)*(L95-LOOKUP(L95,$E$23:$E$26))/LOOKUP(L95,$E$23:$E$26,$C$23:$C$26)</f>
        <v>4.79337407189102</v>
      </c>
      <c r="AC95" s="16" t="n">
        <f aca="false">LOOKUP(M95,$E$23:$E$26,$A$23:$A$26)+LOOKUP(M95,$E$23:$E$26,$D$23:$D$26)*(M95-LOOKUP(M95,$E$23:$E$26))/LOOKUP(M95,$E$23:$E$26,$C$23:$C$26)</f>
        <v>5.49359675200446</v>
      </c>
      <c r="AD95" s="16" t="n">
        <f aca="false">LOOKUP(N95,$E$23:$E$26,$A$23:$A$26)+LOOKUP(N95,$E$23:$E$26,$D$23:$D$26)*(N95-LOOKUP(N95,$E$23:$E$26))/LOOKUP(N95,$E$23:$E$26,$C$23:$C$26)</f>
        <v>4.83622833698721</v>
      </c>
      <c r="AE95" s="16" t="n">
        <f aca="false">LOOKUP(O95,$E$23:$E$26,$A$23:$A$26)+LOOKUP(O95,$E$23:$E$26,$D$23:$D$26)*(O95-LOOKUP(O95,$E$23:$E$26))/LOOKUP(O95,$E$23:$E$26,$C$23:$C$26)</f>
        <v>4.11487494822286</v>
      </c>
      <c r="AF95" s="16" t="n">
        <f aca="false">LOOKUP(P95,$E$23:$E$26,$A$23:$A$26)+LOOKUP(P95,$E$23:$E$26,$D$23:$D$26)*(P95-LOOKUP(P95,$E$23:$E$26))/LOOKUP(P95,$E$23:$E$26,$C$23:$C$26)</f>
        <v>5.98654130341327</v>
      </c>
      <c r="AG95" s="16" t="n">
        <f aca="false">LOOKUP(Q95,$E$23:$E$26,$A$23:$A$26)+LOOKUP(Q95,$E$23:$E$26,$D$23:$D$26)*(Q95-LOOKUP(Q95,$E$23:$E$26))/LOOKUP(Q95,$E$23:$E$26,$C$23:$C$26)</f>
        <v>4.71585804485761</v>
      </c>
      <c r="AH95" s="16" t="n">
        <f aca="false">LOOKUP(R95,$E$23:$E$26,$A$23:$A$26)+LOOKUP(R95,$E$23:$E$26,$D$23:$D$26)*(R95-LOOKUP(R95,$E$23:$E$26))/LOOKUP(R95,$E$23:$E$26,$C$23:$C$26)</f>
        <v>4.27466893111184</v>
      </c>
      <c r="AI95" s="16" t="n">
        <f aca="false">LOOKUP(S95,$E$23:$E$26,$A$23:$A$26)+LOOKUP(S95,$E$23:$E$26,$D$23:$D$26)*(S95-LOOKUP(S95,$E$23:$E$26))/LOOKUP(S95,$E$23:$E$26,$C$23:$C$26)</f>
        <v>4.3659480679461</v>
      </c>
      <c r="AJ95" s="16" t="n">
        <f aca="false">SUM($T95:T95)</f>
        <v>5.6740062723657</v>
      </c>
      <c r="AK95" s="16" t="n">
        <f aca="false">SUM($T95:U95)</f>
        <v>10.9058164161758</v>
      </c>
      <c r="AL95" s="16" t="n">
        <f aca="false">SUM($T95:V95)</f>
        <v>15.6702686365305</v>
      </c>
      <c r="AM95" s="16" t="n">
        <f aca="false">SUM($T95:W95)</f>
        <v>19.704727011876</v>
      </c>
      <c r="AN95" s="16" t="n">
        <f aca="false">SUM($T95:X95)</f>
        <v>24.7092467911135</v>
      </c>
      <c r="AO95" s="16" t="n">
        <f aca="false">SUM($T95:Y95)</f>
        <v>28.8688851367036</v>
      </c>
      <c r="AP95" s="16" t="n">
        <f aca="false">SUM($T95:Z95)</f>
        <v>33.2072646624479</v>
      </c>
      <c r="AQ95" s="16" t="n">
        <f aca="false">SUM($T95:AA95)</f>
        <v>37.7795109585766</v>
      </c>
      <c r="AR95" s="16" t="n">
        <f aca="false">SUM($T95:AB95)</f>
        <v>42.5728850304676</v>
      </c>
      <c r="AS95" s="16" t="n">
        <f aca="false">SUM($T95:AC95)</f>
        <v>48.0664817824721</v>
      </c>
      <c r="AT95" s="16" t="n">
        <f aca="false">SUM($T95:AD95)</f>
        <v>52.9027101194593</v>
      </c>
      <c r="AU95" s="16" t="n">
        <f aca="false">SUM($T95:AE95)</f>
        <v>57.0175850676821</v>
      </c>
      <c r="AV95" s="16" t="n">
        <f aca="false">SUM($T95:AF95)</f>
        <v>63.0041263710954</v>
      </c>
      <c r="AW95" s="16" t="n">
        <f aca="false">SUM($T95:AG95)</f>
        <v>67.719984415953</v>
      </c>
      <c r="AX95" s="16" t="n">
        <f aca="false">SUM($T95:AH95)</f>
        <v>71.9946533470648</v>
      </c>
      <c r="AY95" s="16" t="n">
        <f aca="false">SUM($T95:AI95)</f>
        <v>76.3606014150109</v>
      </c>
      <c r="AZ95" s="16" t="n">
        <f aca="false">MAX(C95-AJ95,0)</f>
        <v>54.4074548573079</v>
      </c>
      <c r="BA95" s="16" t="n">
        <f aca="false">MAX(C95-AK95,0)</f>
        <v>49.1756447134978</v>
      </c>
      <c r="BB95" s="16" t="n">
        <f aca="false">MAX(C95-AL95,0)</f>
        <v>44.4111924931431</v>
      </c>
      <c r="BC95" s="16" t="n">
        <f aca="false">MAX(C95-AM95,0)</f>
        <v>40.3767341177976</v>
      </c>
      <c r="BD95" s="16" t="n">
        <f aca="false">MAX(C95-AN95,0)</f>
        <v>35.3722143385601</v>
      </c>
      <c r="BE95" s="16" t="n">
        <f aca="false">MAX(C95-AO95,0)</f>
        <v>31.2125759929699</v>
      </c>
      <c r="BF95" s="16" t="n">
        <f aca="false">MAX(C95-AP95,0)</f>
        <v>26.8741964672257</v>
      </c>
      <c r="BG95" s="16" t="n">
        <f aca="false">MAX(C95-AQ95,0)</f>
        <v>22.301950171097</v>
      </c>
      <c r="BH95" s="16" t="n">
        <f aca="false">MAX(C95-AR95,0)</f>
        <v>17.508576099206</v>
      </c>
      <c r="BI95" s="16" t="n">
        <f aca="false">MAX(C95-AS95,0)</f>
        <v>12.0149793472015</v>
      </c>
      <c r="BJ95" s="16" t="n">
        <f aca="false">MAX(C95-AT95,0)</f>
        <v>7.1787510102143</v>
      </c>
      <c r="BK95" s="16" t="n">
        <f aca="false">MAX(C95-AU95,0)</f>
        <v>3.06387606199144</v>
      </c>
      <c r="BL95" s="16" t="n">
        <f aca="false">MAX(C95-AV95,0)</f>
        <v>0</v>
      </c>
      <c r="BM95" s="16" t="n">
        <f aca="false">MAX(C95-AW95,0)</f>
        <v>0</v>
      </c>
      <c r="BN95" s="16" t="n">
        <f aca="false">MAX(C95-AX95,0)</f>
        <v>0</v>
      </c>
      <c r="BO95" s="16" t="n">
        <f aca="false">MAX(C95-AY95,0)</f>
        <v>0</v>
      </c>
    </row>
    <row r="96" customFormat="false" ht="15" hidden="false" customHeight="false" outlineLevel="0" collapsed="false">
      <c r="A96" s="3" t="n">
        <v>66</v>
      </c>
      <c r="B96" s="15" t="n">
        <f aca="true">RAND()</f>
        <v>0.722022311061697</v>
      </c>
      <c r="C96" s="16" t="n">
        <f aca="false">LOOKUP(B96,$E$12:$E$17,$A$12:$A$17)+LOOKUP(B96,$E$12:$E$17,$D$12:$D$17)*(B96-LOOKUP(B96,$E$12:$E$17))/LOOKUP(B96,$E$12:$E$17,$C$12:$C$17)</f>
        <v>67.4574615865957</v>
      </c>
      <c r="D96" s="15" t="n">
        <f aca="true">RAND()</f>
        <v>0.635685197130141</v>
      </c>
      <c r="E96" s="15" t="n">
        <f aca="true">RAND()</f>
        <v>0.505013862277502</v>
      </c>
      <c r="F96" s="15" t="n">
        <f aca="true">RAND()</f>
        <v>0.419342223035331</v>
      </c>
      <c r="G96" s="15" t="n">
        <f aca="true">RAND()</f>
        <v>0.701291494871407</v>
      </c>
      <c r="H96" s="15" t="n">
        <f aca="true">RAND()</f>
        <v>0.323773276588581</v>
      </c>
      <c r="I96" s="15" t="n">
        <f aca="true">RAND()</f>
        <v>0.781944100767357</v>
      </c>
      <c r="J96" s="15" t="n">
        <f aca="true">RAND()</f>
        <v>0.792734498362893</v>
      </c>
      <c r="K96" s="15" t="n">
        <f aca="true">RAND()</f>
        <v>0.956377649837844</v>
      </c>
      <c r="L96" s="15" t="n">
        <f aca="true">RAND()</f>
        <v>0.236991709113975</v>
      </c>
      <c r="M96" s="15" t="n">
        <f aca="true">RAND()</f>
        <v>0.397902534536822</v>
      </c>
      <c r="N96" s="15" t="n">
        <f aca="true">RAND()</f>
        <v>0.245991798065624</v>
      </c>
      <c r="O96" s="15" t="n">
        <f aca="true">RAND()</f>
        <v>0.117956208767746</v>
      </c>
      <c r="P96" s="15" t="n">
        <f aca="true">RAND()</f>
        <v>0.788864721012196</v>
      </c>
      <c r="Q96" s="15" t="n">
        <f aca="true">RAND()</f>
        <v>0.647163618565458</v>
      </c>
      <c r="R96" s="15" t="n">
        <f aca="true">RAND()</f>
        <v>0.782411230832009</v>
      </c>
      <c r="S96" s="15" t="n">
        <f aca="true">RAND()</f>
        <v>0.996234597150194</v>
      </c>
      <c r="T96" s="16" t="n">
        <f aca="false">LOOKUP(D96,$E$23:$E$26,$A$23:$A$26)+LOOKUP(D96,$E$23:$E$26,$D$23:$D$26)*(D96-LOOKUP(D96,$E$23:$E$26))/LOOKUP(D96,$E$23:$E$26,$C$23:$C$26)</f>
        <v>4.91960649641268</v>
      </c>
      <c r="U96" s="16" t="n">
        <f aca="false">LOOKUP(E96,$E$23:$E$26,$A$23:$A$26)+LOOKUP(E96,$E$23:$E$26,$D$23:$D$26)*(E96-LOOKUP(E96,$E$23:$E$26))/LOOKUP(E96,$E$23:$E$26,$C$23:$C$26)</f>
        <v>4.75626732784688</v>
      </c>
      <c r="V96" s="16" t="n">
        <f aca="false">LOOKUP(F96,$E$23:$E$26,$A$23:$A$26)+LOOKUP(F96,$E$23:$E$26,$D$23:$D$26)*(F96-LOOKUP(F96,$E$23:$E$26))/LOOKUP(F96,$E$23:$E$26,$C$23:$C$26)</f>
        <v>4.64917777879416</v>
      </c>
      <c r="W96" s="16" t="n">
        <f aca="false">LOOKUP(G96,$E$23:$E$26,$A$23:$A$26)+LOOKUP(G96,$E$23:$E$26,$D$23:$D$26)*(G96-LOOKUP(G96,$E$23:$E$26))/LOOKUP(G96,$E$23:$E$26,$C$23:$C$26)</f>
        <v>5.00322873717852</v>
      </c>
      <c r="X96" s="16" t="n">
        <f aca="false">LOOKUP(H96,$E$23:$E$26,$A$23:$A$26)+LOOKUP(H96,$E$23:$E$26,$D$23:$D$26)*(H96-LOOKUP(H96,$E$23:$E$26))/LOOKUP(H96,$E$23:$E$26,$C$23:$C$26)</f>
        <v>4.52971659573573</v>
      </c>
      <c r="Y96" s="16" t="n">
        <f aca="false">LOOKUP(I96,$E$23:$E$26,$A$23:$A$26)+LOOKUP(I96,$E$23:$E$26,$D$23:$D$26)*(I96-LOOKUP(I96,$E$23:$E$26))/LOOKUP(I96,$E$23:$E$26,$C$23:$C$26)</f>
        <v>5.20486025191839</v>
      </c>
      <c r="Z96" s="16" t="n">
        <f aca="false">LOOKUP(J96,$E$23:$E$26,$A$23:$A$26)+LOOKUP(J96,$E$23:$E$26,$D$23:$D$26)*(J96-LOOKUP(J96,$E$23:$E$26))/LOOKUP(J96,$E$23:$E$26,$C$23:$C$26)</f>
        <v>5.23183624590723</v>
      </c>
      <c r="AA96" s="16" t="n">
        <f aca="false">LOOKUP(K96,$E$23:$E$26,$A$23:$A$26)+LOOKUP(K96,$E$23:$E$26,$D$23:$D$26)*(K96-LOOKUP(K96,$E$23:$E$26))/LOOKUP(K96,$E$23:$E$26,$C$23:$C$26)</f>
        <v>5.78188824918922</v>
      </c>
      <c r="AB96" s="16" t="n">
        <f aca="false">LOOKUP(L96,$E$23:$E$26,$A$23:$A$26)+LOOKUP(L96,$E$23:$E$26,$D$23:$D$26)*(L96-LOOKUP(L96,$E$23:$E$26))/LOOKUP(L96,$E$23:$E$26,$C$23:$C$26)</f>
        <v>4.39498618185663</v>
      </c>
      <c r="AC96" s="16" t="n">
        <f aca="false">LOOKUP(M96,$E$23:$E$26,$A$23:$A$26)+LOOKUP(M96,$E$23:$E$26,$D$23:$D$26)*(M96-LOOKUP(M96,$E$23:$E$26))/LOOKUP(M96,$E$23:$E$26,$C$23:$C$26)</f>
        <v>4.62237816817103</v>
      </c>
      <c r="AD96" s="16" t="n">
        <f aca="false">LOOKUP(N96,$E$23:$E$26,$A$23:$A$26)+LOOKUP(N96,$E$23:$E$26,$D$23:$D$26)*(N96-LOOKUP(N96,$E$23:$E$26))/LOOKUP(N96,$E$23:$E$26,$C$23:$C$26)</f>
        <v>4.40998633010937</v>
      </c>
      <c r="AE96" s="16" t="n">
        <f aca="false">LOOKUP(O96,$E$23:$E$26,$A$23:$A$26)+LOOKUP(O96,$E$23:$E$26,$D$23:$D$26)*(O96-LOOKUP(O96,$E$23:$E$26))/LOOKUP(O96,$E$23:$E$26,$C$23:$C$26)</f>
        <v>4.19659368127958</v>
      </c>
      <c r="AF96" s="16" t="n">
        <f aca="false">LOOKUP(P96,$E$23:$E$26,$A$23:$A$26)+LOOKUP(P96,$E$23:$E$26,$D$23:$D$26)*(P96-LOOKUP(P96,$E$23:$E$26))/LOOKUP(P96,$E$23:$E$26,$C$23:$C$26)</f>
        <v>5.22216180253049</v>
      </c>
      <c r="AG96" s="16" t="n">
        <f aca="false">LOOKUP(Q96,$E$23:$E$26,$A$23:$A$26)+LOOKUP(Q96,$E$23:$E$26,$D$23:$D$26)*(Q96-LOOKUP(Q96,$E$23:$E$26))/LOOKUP(Q96,$E$23:$E$26,$C$23:$C$26)</f>
        <v>4.93395452320682</v>
      </c>
      <c r="AH96" s="16" t="n">
        <f aca="false">LOOKUP(R96,$E$23:$E$26,$A$23:$A$26)+LOOKUP(R96,$E$23:$E$26,$D$23:$D$26)*(R96-LOOKUP(R96,$E$23:$E$26))/LOOKUP(R96,$E$23:$E$26,$C$23:$C$26)</f>
        <v>5.20602807708002</v>
      </c>
      <c r="AI96" s="16" t="n">
        <f aca="false">LOOKUP(S96,$E$23:$E$26,$A$23:$A$26)+LOOKUP(S96,$E$23:$E$26,$D$23:$D$26)*(S96-LOOKUP(S96,$E$23:$E$26))/LOOKUP(S96,$E$23:$E$26,$C$23:$C$26)</f>
        <v>5.98117298575097</v>
      </c>
      <c r="AJ96" s="16" t="n">
        <f aca="false">SUM($T96:T96)</f>
        <v>4.91960649641268</v>
      </c>
      <c r="AK96" s="16" t="n">
        <f aca="false">SUM($T96:U96)</f>
        <v>9.67587382425955</v>
      </c>
      <c r="AL96" s="16" t="n">
        <f aca="false">SUM($T96:V96)</f>
        <v>14.3250516030537</v>
      </c>
      <c r="AM96" s="16" t="n">
        <f aca="false">SUM($T96:W96)</f>
        <v>19.3282803402322</v>
      </c>
      <c r="AN96" s="16" t="n">
        <f aca="false">SUM($T96:X96)</f>
        <v>23.857996935968</v>
      </c>
      <c r="AO96" s="16" t="n">
        <f aca="false">SUM($T96:Y96)</f>
        <v>29.0628571878864</v>
      </c>
      <c r="AP96" s="16" t="n">
        <f aca="false">SUM($T96:Z96)</f>
        <v>34.2946934337936</v>
      </c>
      <c r="AQ96" s="16" t="n">
        <f aca="false">SUM($T96:AA96)</f>
        <v>40.0765816829828</v>
      </c>
      <c r="AR96" s="16" t="n">
        <f aca="false">SUM($T96:AB96)</f>
        <v>44.4715678648394</v>
      </c>
      <c r="AS96" s="16" t="n">
        <f aca="false">SUM($T96:AC96)</f>
        <v>49.0939460330105</v>
      </c>
      <c r="AT96" s="16" t="n">
        <f aca="false">SUM($T96:AD96)</f>
        <v>53.5039323631198</v>
      </c>
      <c r="AU96" s="16" t="n">
        <f aca="false">SUM($T96:AE96)</f>
        <v>57.7005260443994</v>
      </c>
      <c r="AV96" s="16" t="n">
        <f aca="false">SUM($T96:AF96)</f>
        <v>62.9226878469299</v>
      </c>
      <c r="AW96" s="16" t="n">
        <f aca="false">SUM($T96:AG96)</f>
        <v>67.8566423701367</v>
      </c>
      <c r="AX96" s="16" t="n">
        <f aca="false">SUM($T96:AH96)</f>
        <v>73.0626704472167</v>
      </c>
      <c r="AY96" s="16" t="n">
        <f aca="false">SUM($T96:AI96)</f>
        <v>79.0438434329677</v>
      </c>
      <c r="AZ96" s="16" t="n">
        <f aca="false">MAX(C96-AJ96,0)</f>
        <v>62.537855090183</v>
      </c>
      <c r="BA96" s="16" t="n">
        <f aca="false">MAX(C96-AK96,0)</f>
        <v>57.7815877623361</v>
      </c>
      <c r="BB96" s="16" t="n">
        <f aca="false">MAX(C96-AL96,0)</f>
        <v>53.132409983542</v>
      </c>
      <c r="BC96" s="16" t="n">
        <f aca="false">MAX(C96-AM96,0)</f>
        <v>48.1291812463634</v>
      </c>
      <c r="BD96" s="16" t="n">
        <f aca="false">MAX(C96-AN96,0)</f>
        <v>43.5994646506277</v>
      </c>
      <c r="BE96" s="16" t="n">
        <f aca="false">MAX(C96-AO96,0)</f>
        <v>38.3946043987093</v>
      </c>
      <c r="BF96" s="16" t="n">
        <f aca="false">MAX(C96-AP96,0)</f>
        <v>33.1627681528021</v>
      </c>
      <c r="BG96" s="16" t="n">
        <f aca="false">MAX(C96-AQ96,0)</f>
        <v>27.3808799036129</v>
      </c>
      <c r="BH96" s="16" t="n">
        <f aca="false">MAX(C96-AR96,0)</f>
        <v>22.9858937217562</v>
      </c>
      <c r="BI96" s="16" t="n">
        <f aca="false">MAX(C96-AS96,0)</f>
        <v>18.3635155535852</v>
      </c>
      <c r="BJ96" s="16" t="n">
        <f aca="false">MAX(C96-AT96,0)</f>
        <v>13.9535292234758</v>
      </c>
      <c r="BK96" s="16" t="n">
        <f aca="false">MAX(C96-AU96,0)</f>
        <v>9.75693554219626</v>
      </c>
      <c r="BL96" s="16" t="n">
        <f aca="false">MAX(C96-AV96,0)</f>
        <v>4.53477373966577</v>
      </c>
      <c r="BM96" s="16" t="n">
        <f aca="false">MAX(C96-AW96,0)</f>
        <v>0</v>
      </c>
      <c r="BN96" s="16" t="n">
        <f aca="false">MAX(C96-AX96,0)</f>
        <v>0</v>
      </c>
      <c r="BO96" s="16" t="n">
        <f aca="false">MAX(C96-AY96,0)</f>
        <v>0</v>
      </c>
    </row>
    <row r="97" customFormat="false" ht="15" hidden="false" customHeight="false" outlineLevel="0" collapsed="false">
      <c r="A97" s="3" t="n">
        <v>67</v>
      </c>
      <c r="B97" s="15" t="n">
        <f aca="true">RAND()</f>
        <v>0.386150866896934</v>
      </c>
      <c r="C97" s="16" t="n">
        <f aca="false">LOOKUP(B97,$E$12:$E$17,$A$12:$A$17)+LOOKUP(B97,$E$12:$E$17,$D$12:$D$17)*(B97-LOOKUP(B97,$E$12:$E$17))/LOOKUP(B97,$E$12:$E$17,$C$12:$C$17)</f>
        <v>62.2691811149489</v>
      </c>
      <c r="D97" s="15" t="n">
        <f aca="true">RAND()</f>
        <v>0.15626797029415</v>
      </c>
      <c r="E97" s="15" t="n">
        <f aca="true">RAND()</f>
        <v>0.640455268578528</v>
      </c>
      <c r="F97" s="15" t="n">
        <f aca="true">RAND()</f>
        <v>0.345310014007092</v>
      </c>
      <c r="G97" s="15" t="n">
        <f aca="true">RAND()</f>
        <v>0.449957729052223</v>
      </c>
      <c r="H97" s="15" t="n">
        <f aca="true">RAND()</f>
        <v>0.800419706640696</v>
      </c>
      <c r="I97" s="15" t="n">
        <f aca="true">RAND()</f>
        <v>0.192301931332371</v>
      </c>
      <c r="J97" s="15" t="n">
        <f aca="true">RAND()</f>
        <v>0.773375491987158</v>
      </c>
      <c r="K97" s="15" t="n">
        <f aca="true">RAND()</f>
        <v>0.167712068407223</v>
      </c>
      <c r="L97" s="15" t="n">
        <f aca="true">RAND()</f>
        <v>0.741535506417686</v>
      </c>
      <c r="M97" s="15" t="n">
        <f aca="true">RAND()</f>
        <v>0.291315269811661</v>
      </c>
      <c r="N97" s="15" t="n">
        <f aca="true">RAND()</f>
        <v>0.982681335244591</v>
      </c>
      <c r="O97" s="15" t="n">
        <f aca="true">RAND()</f>
        <v>0.194546428192524</v>
      </c>
      <c r="P97" s="15" t="n">
        <f aca="true">RAND()</f>
        <v>0.822350185432592</v>
      </c>
      <c r="Q97" s="15" t="n">
        <f aca="true">RAND()</f>
        <v>0.622818487112809</v>
      </c>
      <c r="R97" s="15" t="n">
        <f aca="true">RAND()</f>
        <v>0.083738318428671</v>
      </c>
      <c r="S97" s="15" t="n">
        <f aca="true">RAND()</f>
        <v>0.197981439096247</v>
      </c>
      <c r="T97" s="16" t="n">
        <f aca="false">LOOKUP(D97,$E$23:$E$26,$A$23:$A$26)+LOOKUP(D97,$E$23:$E$26,$D$23:$D$26)*(D97-LOOKUP(D97,$E$23:$E$26))/LOOKUP(D97,$E$23:$E$26,$C$23:$C$26)</f>
        <v>4.26044661715692</v>
      </c>
      <c r="U97" s="16" t="n">
        <f aca="false">LOOKUP(E97,$E$23:$E$26,$A$23:$A$26)+LOOKUP(E97,$E$23:$E$26,$D$23:$D$26)*(E97-LOOKUP(E97,$E$23:$E$26))/LOOKUP(E97,$E$23:$E$26,$C$23:$C$26)</f>
        <v>4.92556908572316</v>
      </c>
      <c r="V97" s="16" t="n">
        <f aca="false">LOOKUP(F97,$E$23:$E$26,$A$23:$A$26)+LOOKUP(F97,$E$23:$E$26,$D$23:$D$26)*(F97-LOOKUP(F97,$E$23:$E$26))/LOOKUP(F97,$E$23:$E$26,$C$23:$C$26)</f>
        <v>4.55663751750886</v>
      </c>
      <c r="W97" s="16" t="n">
        <f aca="false">LOOKUP(G97,$E$23:$E$26,$A$23:$A$26)+LOOKUP(G97,$E$23:$E$26,$D$23:$D$26)*(G97-LOOKUP(G97,$E$23:$E$26))/LOOKUP(G97,$E$23:$E$26,$C$23:$C$26)</f>
        <v>4.68744716131528</v>
      </c>
      <c r="X97" s="16" t="n">
        <f aca="false">LOOKUP(H97,$E$23:$E$26,$A$23:$A$26)+LOOKUP(H97,$E$23:$E$26,$D$23:$D$26)*(H97-LOOKUP(H97,$E$23:$E$26))/LOOKUP(H97,$E$23:$E$26,$C$23:$C$26)</f>
        <v>5.25104926660174</v>
      </c>
      <c r="Y97" s="16" t="n">
        <f aca="false">LOOKUP(I97,$E$23:$E$26,$A$23:$A$26)+LOOKUP(I97,$E$23:$E$26,$D$23:$D$26)*(I97-LOOKUP(I97,$E$23:$E$26))/LOOKUP(I97,$E$23:$E$26,$C$23:$C$26)</f>
        <v>4.32050321888729</v>
      </c>
      <c r="Z97" s="16" t="n">
        <f aca="false">LOOKUP(J97,$E$23:$E$26,$A$23:$A$26)+LOOKUP(J97,$E$23:$E$26,$D$23:$D$26)*(J97-LOOKUP(J97,$E$23:$E$26))/LOOKUP(J97,$E$23:$E$26,$C$23:$C$26)</f>
        <v>5.1834387299679</v>
      </c>
      <c r="AA97" s="16" t="n">
        <f aca="false">LOOKUP(K97,$E$23:$E$26,$A$23:$A$26)+LOOKUP(K97,$E$23:$E$26,$D$23:$D$26)*(K97-LOOKUP(K97,$E$23:$E$26))/LOOKUP(K97,$E$23:$E$26,$C$23:$C$26)</f>
        <v>4.27952011401204</v>
      </c>
      <c r="AB97" s="16" t="n">
        <f aca="false">LOOKUP(L97,$E$23:$E$26,$A$23:$A$26)+LOOKUP(L97,$E$23:$E$26,$D$23:$D$26)*(L97-LOOKUP(L97,$E$23:$E$26))/LOOKUP(L97,$E$23:$E$26,$C$23:$C$26)</f>
        <v>5.10383876604422</v>
      </c>
      <c r="AC97" s="16" t="n">
        <f aca="false">LOOKUP(M97,$E$23:$E$26,$A$23:$A$26)+LOOKUP(M97,$E$23:$E$26,$D$23:$D$26)*(M97-LOOKUP(M97,$E$23:$E$26))/LOOKUP(M97,$E$23:$E$26,$C$23:$C$26)</f>
        <v>4.4855254496861</v>
      </c>
      <c r="AD97" s="16" t="n">
        <f aca="false">LOOKUP(N97,$E$23:$E$26,$A$23:$A$26)+LOOKUP(N97,$E$23:$E$26,$D$23:$D$26)*(N97-LOOKUP(N97,$E$23:$E$26))/LOOKUP(N97,$E$23:$E$26,$C$23:$C$26)</f>
        <v>5.91340667622296</v>
      </c>
      <c r="AE97" s="16" t="n">
        <f aca="false">LOOKUP(O97,$E$23:$E$26,$A$23:$A$26)+LOOKUP(O97,$E$23:$E$26,$D$23:$D$26)*(O97-LOOKUP(O97,$E$23:$E$26))/LOOKUP(O97,$E$23:$E$26,$C$23:$C$26)</f>
        <v>4.32424404698754</v>
      </c>
      <c r="AF97" s="16" t="n">
        <f aca="false">LOOKUP(P97,$E$23:$E$26,$A$23:$A$26)+LOOKUP(P97,$E$23:$E$26,$D$23:$D$26)*(P97-LOOKUP(P97,$E$23:$E$26))/LOOKUP(P97,$E$23:$E$26,$C$23:$C$26)</f>
        <v>5.30587546358148</v>
      </c>
      <c r="AG97" s="16" t="n">
        <f aca="false">LOOKUP(Q97,$E$23:$E$26,$A$23:$A$26)+LOOKUP(Q97,$E$23:$E$26,$D$23:$D$26)*(Q97-LOOKUP(Q97,$E$23:$E$26))/LOOKUP(Q97,$E$23:$E$26,$C$23:$C$26)</f>
        <v>4.90352310889101</v>
      </c>
      <c r="AH97" s="16" t="n">
        <f aca="false">LOOKUP(R97,$E$23:$E$26,$A$23:$A$26)+LOOKUP(R97,$E$23:$E$26,$D$23:$D$26)*(R97-LOOKUP(R97,$E$23:$E$26))/LOOKUP(R97,$E$23:$E$26,$C$23:$C$26)</f>
        <v>4.13956386404779</v>
      </c>
      <c r="AI97" s="16" t="n">
        <f aca="false">LOOKUP(S97,$E$23:$E$26,$A$23:$A$26)+LOOKUP(S97,$E$23:$E$26,$D$23:$D$26)*(S97-LOOKUP(S97,$E$23:$E$26))/LOOKUP(S97,$E$23:$E$26,$C$23:$C$26)</f>
        <v>4.32996906516041</v>
      </c>
      <c r="AJ97" s="16" t="n">
        <f aca="false">SUM($T97:T97)</f>
        <v>4.26044661715692</v>
      </c>
      <c r="AK97" s="16" t="n">
        <f aca="false">SUM($T97:U97)</f>
        <v>9.18601570288008</v>
      </c>
      <c r="AL97" s="16" t="n">
        <f aca="false">SUM($T97:V97)</f>
        <v>13.7426532203889</v>
      </c>
      <c r="AM97" s="16" t="n">
        <f aca="false">SUM($T97:W97)</f>
        <v>18.4301003817042</v>
      </c>
      <c r="AN97" s="16" t="n">
        <f aca="false">SUM($T97:X97)</f>
        <v>23.681149648306</v>
      </c>
      <c r="AO97" s="16" t="n">
        <f aca="false">SUM($T97:Y97)</f>
        <v>28.0016528671932</v>
      </c>
      <c r="AP97" s="16" t="n">
        <f aca="false">SUM($T97:Z97)</f>
        <v>33.1850915971611</v>
      </c>
      <c r="AQ97" s="16" t="n">
        <f aca="false">SUM($T97:AA97)</f>
        <v>37.4646117111732</v>
      </c>
      <c r="AR97" s="16" t="n">
        <f aca="false">SUM($T97:AB97)</f>
        <v>42.5684504772174</v>
      </c>
      <c r="AS97" s="16" t="n">
        <f aca="false">SUM($T97:AC97)</f>
        <v>47.0539759269035</v>
      </c>
      <c r="AT97" s="16" t="n">
        <f aca="false">SUM($T97:AD97)</f>
        <v>52.9673826031265</v>
      </c>
      <c r="AU97" s="16" t="n">
        <f aca="false">SUM($T97:AE97)</f>
        <v>57.291626650114</v>
      </c>
      <c r="AV97" s="16" t="n">
        <f aca="false">SUM($T97:AF97)</f>
        <v>62.5975021136955</v>
      </c>
      <c r="AW97" s="16" t="n">
        <f aca="false">SUM($T97:AG97)</f>
        <v>67.5010252225865</v>
      </c>
      <c r="AX97" s="16" t="n">
        <f aca="false">SUM($T97:AH97)</f>
        <v>71.6405890866343</v>
      </c>
      <c r="AY97" s="16" t="n">
        <f aca="false">SUM($T97:AI97)</f>
        <v>75.9705581517947</v>
      </c>
      <c r="AZ97" s="16" t="n">
        <f aca="false">MAX(C97-AJ97,0)</f>
        <v>58.008734497792</v>
      </c>
      <c r="BA97" s="16" t="n">
        <f aca="false">MAX(C97-AK97,0)</f>
        <v>53.0831654120688</v>
      </c>
      <c r="BB97" s="16" t="n">
        <f aca="false">MAX(C97-AL97,0)</f>
        <v>48.52652789456</v>
      </c>
      <c r="BC97" s="16" t="n">
        <f aca="false">MAX(C97-AM97,0)</f>
        <v>43.8390807332447</v>
      </c>
      <c r="BD97" s="16" t="n">
        <f aca="false">MAX(C97-AN97,0)</f>
        <v>38.5880314666429</v>
      </c>
      <c r="BE97" s="16" t="n">
        <f aca="false">MAX(C97-AO97,0)</f>
        <v>34.2675282477557</v>
      </c>
      <c r="BF97" s="16" t="n">
        <f aca="false">MAX(C97-AP97,0)</f>
        <v>29.0840895177878</v>
      </c>
      <c r="BG97" s="16" t="n">
        <f aca="false">MAX(C97-AQ97,0)</f>
        <v>24.8045694037757</v>
      </c>
      <c r="BH97" s="16" t="n">
        <f aca="false">MAX(C97-AR97,0)</f>
        <v>19.7007306377315</v>
      </c>
      <c r="BI97" s="16" t="n">
        <f aca="false">MAX(C97-AS97,0)</f>
        <v>15.2152051880454</v>
      </c>
      <c r="BJ97" s="16" t="n">
        <f aca="false">MAX(C97-AT97,0)</f>
        <v>9.30179851182245</v>
      </c>
      <c r="BK97" s="16" t="n">
        <f aca="false">MAX(C97-AU97,0)</f>
        <v>4.97755446483491</v>
      </c>
      <c r="BL97" s="16" t="n">
        <f aca="false">MAX(C97-AV97,0)</f>
        <v>0</v>
      </c>
      <c r="BM97" s="16" t="n">
        <f aca="false">MAX(C97-AW97,0)</f>
        <v>0</v>
      </c>
      <c r="BN97" s="16" t="n">
        <f aca="false">MAX(C97-AX97,0)</f>
        <v>0</v>
      </c>
      <c r="BO97" s="16" t="n">
        <f aca="false">MAX(C97-AY97,0)</f>
        <v>0</v>
      </c>
    </row>
    <row r="98" customFormat="false" ht="15" hidden="false" customHeight="false" outlineLevel="0" collapsed="false">
      <c r="A98" s="3" t="n">
        <v>68</v>
      </c>
      <c r="B98" s="15" t="n">
        <f aca="true">RAND()</f>
        <v>0.885460476881033</v>
      </c>
      <c r="C98" s="16" t="n">
        <f aca="false">LOOKUP(B98,$E$12:$E$17,$A$12:$A$17)+LOOKUP(B98,$E$12:$E$17,$D$12:$D$17)*(B98-LOOKUP(B98,$E$12:$E$17))/LOOKUP(B98,$E$12:$E$17,$C$12:$C$17)</f>
        <v>69.7922925268719</v>
      </c>
      <c r="D98" s="15" t="n">
        <f aca="true">RAND()</f>
        <v>0.620373543586601</v>
      </c>
      <c r="E98" s="15" t="n">
        <f aca="true">RAND()</f>
        <v>0.52824413831945</v>
      </c>
      <c r="F98" s="15" t="n">
        <f aca="true">RAND()</f>
        <v>0.253006775163682</v>
      </c>
      <c r="G98" s="15" t="n">
        <f aca="true">RAND()</f>
        <v>0.836031786384499</v>
      </c>
      <c r="H98" s="15" t="n">
        <f aca="true">RAND()</f>
        <v>0.334982615019371</v>
      </c>
      <c r="I98" s="15" t="n">
        <f aca="true">RAND()</f>
        <v>0.47199569150502</v>
      </c>
      <c r="J98" s="15" t="n">
        <f aca="true">RAND()</f>
        <v>0.314960868823448</v>
      </c>
      <c r="K98" s="15" t="n">
        <f aca="true">RAND()</f>
        <v>0.259983491213549</v>
      </c>
      <c r="L98" s="15" t="n">
        <f aca="true">RAND()</f>
        <v>0.38735860606196</v>
      </c>
      <c r="M98" s="15" t="n">
        <f aca="true">RAND()</f>
        <v>0.906872753131096</v>
      </c>
      <c r="N98" s="15" t="n">
        <f aca="true">RAND()</f>
        <v>0.246982185690171</v>
      </c>
      <c r="O98" s="15" t="n">
        <f aca="true">RAND()</f>
        <v>0.376430576860364</v>
      </c>
      <c r="P98" s="15" t="n">
        <f aca="true">RAND()</f>
        <v>0.744205376227815</v>
      </c>
      <c r="Q98" s="15" t="n">
        <f aca="true">RAND()</f>
        <v>0.245338415370813</v>
      </c>
      <c r="R98" s="15" t="n">
        <f aca="true">RAND()</f>
        <v>0.302061202557649</v>
      </c>
      <c r="S98" s="15" t="n">
        <f aca="true">RAND()</f>
        <v>0.804543833182616</v>
      </c>
      <c r="T98" s="16" t="n">
        <f aca="false">LOOKUP(D98,$E$23:$E$26,$A$23:$A$26)+LOOKUP(D98,$E$23:$E$26,$D$23:$D$26)*(D98-LOOKUP(D98,$E$23:$E$26))/LOOKUP(D98,$E$23:$E$26,$C$23:$C$26)</f>
        <v>4.90046692948325</v>
      </c>
      <c r="U98" s="16" t="n">
        <f aca="false">LOOKUP(E98,$E$23:$E$26,$A$23:$A$26)+LOOKUP(E98,$E$23:$E$26,$D$23:$D$26)*(E98-LOOKUP(E98,$E$23:$E$26))/LOOKUP(E98,$E$23:$E$26,$C$23:$C$26)</f>
        <v>4.78530517289931</v>
      </c>
      <c r="V98" s="16" t="n">
        <f aca="false">LOOKUP(F98,$E$23:$E$26,$A$23:$A$26)+LOOKUP(F98,$E$23:$E$26,$D$23:$D$26)*(F98-LOOKUP(F98,$E$23:$E$26))/LOOKUP(F98,$E$23:$E$26,$C$23:$C$26)</f>
        <v>4.42167795860614</v>
      </c>
      <c r="W98" s="16" t="n">
        <f aca="false">LOOKUP(G98,$E$23:$E$26,$A$23:$A$26)+LOOKUP(G98,$E$23:$E$26,$D$23:$D$26)*(G98-LOOKUP(G98,$E$23:$E$26))/LOOKUP(G98,$E$23:$E$26,$C$23:$C$26)</f>
        <v>5.34007946596125</v>
      </c>
      <c r="X98" s="16" t="n">
        <f aca="false">LOOKUP(H98,$E$23:$E$26,$A$23:$A$26)+LOOKUP(H98,$E$23:$E$26,$D$23:$D$26)*(H98-LOOKUP(H98,$E$23:$E$26))/LOOKUP(H98,$E$23:$E$26,$C$23:$C$26)</f>
        <v>4.54372826877421</v>
      </c>
      <c r="Y98" s="16" t="n">
        <f aca="false">LOOKUP(I98,$E$23:$E$26,$A$23:$A$26)+LOOKUP(I98,$E$23:$E$26,$D$23:$D$26)*(I98-LOOKUP(I98,$E$23:$E$26))/LOOKUP(I98,$E$23:$E$26,$C$23:$C$26)</f>
        <v>4.71499461438128</v>
      </c>
      <c r="Z98" s="16" t="n">
        <f aca="false">LOOKUP(J98,$E$23:$E$26,$A$23:$A$26)+LOOKUP(J98,$E$23:$E$26,$D$23:$D$26)*(J98-LOOKUP(J98,$E$23:$E$26))/LOOKUP(J98,$E$23:$E$26,$C$23:$C$26)</f>
        <v>4.51870108602931</v>
      </c>
      <c r="AA98" s="16" t="n">
        <f aca="false">LOOKUP(K98,$E$23:$E$26,$A$23:$A$26)+LOOKUP(K98,$E$23:$E$26,$D$23:$D$26)*(K98-LOOKUP(K98,$E$23:$E$26))/LOOKUP(K98,$E$23:$E$26,$C$23:$C$26)</f>
        <v>4.43330581868925</v>
      </c>
      <c r="AB98" s="16" t="n">
        <f aca="false">LOOKUP(L98,$E$23:$E$26,$A$23:$A$26)+LOOKUP(L98,$E$23:$E$26,$D$23:$D$26)*(L98-LOOKUP(L98,$E$23:$E$26))/LOOKUP(L98,$E$23:$E$26,$C$23:$C$26)</f>
        <v>4.60919825757745</v>
      </c>
      <c r="AC98" s="16" t="n">
        <f aca="false">LOOKUP(M98,$E$23:$E$26,$A$23:$A$26)+LOOKUP(M98,$E$23:$E$26,$D$23:$D$26)*(M98-LOOKUP(M98,$E$23:$E$26))/LOOKUP(M98,$E$23:$E$26,$C$23:$C$26)</f>
        <v>5.53436376565548</v>
      </c>
      <c r="AD98" s="16" t="n">
        <f aca="false">LOOKUP(N98,$E$23:$E$26,$A$23:$A$26)+LOOKUP(N98,$E$23:$E$26,$D$23:$D$26)*(N98-LOOKUP(N98,$E$23:$E$26))/LOOKUP(N98,$E$23:$E$26,$C$23:$C$26)</f>
        <v>4.41163697615029</v>
      </c>
      <c r="AE98" s="16" t="n">
        <f aca="false">LOOKUP(O98,$E$23:$E$26,$A$23:$A$26)+LOOKUP(O98,$E$23:$E$26,$D$23:$D$26)*(O98-LOOKUP(O98,$E$23:$E$26))/LOOKUP(O98,$E$23:$E$26,$C$23:$C$26)</f>
        <v>4.59553822107546</v>
      </c>
      <c r="AF98" s="16" t="n">
        <f aca="false">LOOKUP(P98,$E$23:$E$26,$A$23:$A$26)+LOOKUP(P98,$E$23:$E$26,$D$23:$D$26)*(P98-LOOKUP(P98,$E$23:$E$26))/LOOKUP(P98,$E$23:$E$26,$C$23:$C$26)</f>
        <v>5.11051344056954</v>
      </c>
      <c r="AG98" s="16" t="n">
        <f aca="false">LOOKUP(Q98,$E$23:$E$26,$A$23:$A$26)+LOOKUP(Q98,$E$23:$E$26,$D$23:$D$26)*(Q98-LOOKUP(Q98,$E$23:$E$26))/LOOKUP(Q98,$E$23:$E$26,$C$23:$C$26)</f>
        <v>4.40889735895135</v>
      </c>
      <c r="AH98" s="16" t="n">
        <f aca="false">LOOKUP(R98,$E$23:$E$26,$A$23:$A$26)+LOOKUP(R98,$E$23:$E$26,$D$23:$D$26)*(R98-LOOKUP(R98,$E$23:$E$26))/LOOKUP(R98,$E$23:$E$26,$C$23:$C$26)</f>
        <v>4.50257650319706</v>
      </c>
      <c r="AI98" s="16" t="n">
        <f aca="false">LOOKUP(S98,$E$23:$E$26,$A$23:$A$26)+LOOKUP(S98,$E$23:$E$26,$D$23:$D$26)*(S98-LOOKUP(S98,$E$23:$E$26))/LOOKUP(S98,$E$23:$E$26,$C$23:$C$26)</f>
        <v>5.26135958295654</v>
      </c>
      <c r="AJ98" s="16" t="n">
        <f aca="false">SUM($T98:T98)</f>
        <v>4.90046692948325</v>
      </c>
      <c r="AK98" s="16" t="n">
        <f aca="false">SUM($T98:U98)</f>
        <v>9.68577210238256</v>
      </c>
      <c r="AL98" s="16" t="n">
        <f aca="false">SUM($T98:V98)</f>
        <v>14.1074500609887</v>
      </c>
      <c r="AM98" s="16" t="n">
        <f aca="false">SUM($T98:W98)</f>
        <v>19.44752952695</v>
      </c>
      <c r="AN98" s="16" t="n">
        <f aca="false">SUM($T98:X98)</f>
        <v>23.9912577957242</v>
      </c>
      <c r="AO98" s="16" t="n">
        <f aca="false">SUM($T98:Y98)</f>
        <v>28.7062524101054</v>
      </c>
      <c r="AP98" s="16" t="n">
        <f aca="false">SUM($T98:Z98)</f>
        <v>33.2249534961347</v>
      </c>
      <c r="AQ98" s="16" t="n">
        <f aca="false">SUM($T98:AA98)</f>
        <v>37.658259314824</v>
      </c>
      <c r="AR98" s="16" t="n">
        <f aca="false">SUM($T98:AB98)</f>
        <v>42.2674575724014</v>
      </c>
      <c r="AS98" s="16" t="n">
        <f aca="false">SUM($T98:AC98)</f>
        <v>47.8018213380569</v>
      </c>
      <c r="AT98" s="16" t="n">
        <f aca="false">SUM($T98:AD98)</f>
        <v>52.2134583142072</v>
      </c>
      <c r="AU98" s="16" t="n">
        <f aca="false">SUM($T98:AE98)</f>
        <v>56.8089965352827</v>
      </c>
      <c r="AV98" s="16" t="n">
        <f aca="false">SUM($T98:AF98)</f>
        <v>61.9195099758522</v>
      </c>
      <c r="AW98" s="16" t="n">
        <f aca="false">SUM($T98:AG98)</f>
        <v>66.3284073348036</v>
      </c>
      <c r="AX98" s="16" t="n">
        <f aca="false">SUM($T98:AH98)</f>
        <v>70.8309838380006</v>
      </c>
      <c r="AY98" s="16" t="n">
        <f aca="false">SUM($T98:AI98)</f>
        <v>76.0923434209572</v>
      </c>
      <c r="AZ98" s="16" t="n">
        <f aca="false">MAX(C98-AJ98,0)</f>
        <v>64.8918255973887</v>
      </c>
      <c r="BA98" s="16" t="n">
        <f aca="false">MAX(C98-AK98,0)</f>
        <v>60.1065204244893</v>
      </c>
      <c r="BB98" s="16" t="n">
        <f aca="false">MAX(C98-AL98,0)</f>
        <v>55.6848424658832</v>
      </c>
      <c r="BC98" s="16" t="n">
        <f aca="false">MAX(C98-AM98,0)</f>
        <v>50.344762999922</v>
      </c>
      <c r="BD98" s="16" t="n">
        <f aca="false">MAX(C98-AN98,0)</f>
        <v>45.8010347311477</v>
      </c>
      <c r="BE98" s="16" t="n">
        <f aca="false">MAX(C98-AO98,0)</f>
        <v>41.0860401167665</v>
      </c>
      <c r="BF98" s="16" t="n">
        <f aca="false">MAX(C98-AP98,0)</f>
        <v>36.5673390307372</v>
      </c>
      <c r="BG98" s="16" t="n">
        <f aca="false">MAX(C98-AQ98,0)</f>
        <v>32.1340332120479</v>
      </c>
      <c r="BH98" s="16" t="n">
        <f aca="false">MAX(C98-AR98,0)</f>
        <v>27.5248349544705</v>
      </c>
      <c r="BI98" s="16" t="n">
        <f aca="false">MAX(C98-AS98,0)</f>
        <v>21.990471188815</v>
      </c>
      <c r="BJ98" s="16" t="n">
        <f aca="false">MAX(C98-AT98,0)</f>
        <v>17.5788342126647</v>
      </c>
      <c r="BK98" s="16" t="n">
        <f aca="false">MAX(C98-AU98,0)</f>
        <v>12.9832959915892</v>
      </c>
      <c r="BL98" s="16" t="n">
        <f aca="false">MAX(C98-AV98,0)</f>
        <v>7.8727825510197</v>
      </c>
      <c r="BM98" s="16" t="n">
        <f aca="false">MAX(C98-AW98,0)</f>
        <v>3.46388519206835</v>
      </c>
      <c r="BN98" s="16" t="n">
        <f aca="false">MAX(C98-AX98,0)</f>
        <v>0</v>
      </c>
      <c r="BO98" s="16" t="n">
        <f aca="false">MAX(C98-AY98,0)</f>
        <v>0</v>
      </c>
    </row>
    <row r="99" customFormat="false" ht="15" hidden="false" customHeight="false" outlineLevel="0" collapsed="false">
      <c r="A99" s="3" t="n">
        <v>69</v>
      </c>
      <c r="B99" s="15" t="n">
        <f aca="true">RAND()</f>
        <v>0.355925571397308</v>
      </c>
      <c r="C99" s="16" t="n">
        <f aca="false">LOOKUP(B99,$E$12:$E$17,$A$12:$A$17)+LOOKUP(B99,$E$12:$E$17,$D$12:$D$17)*(B99-LOOKUP(B99,$E$12:$E$17))/LOOKUP(B99,$E$12:$E$17,$C$12:$C$17)</f>
        <v>61.7654261899551</v>
      </c>
      <c r="D99" s="15" t="n">
        <f aca="true">RAND()</f>
        <v>0.620132349652953</v>
      </c>
      <c r="E99" s="15" t="n">
        <f aca="true">RAND()</f>
        <v>0.00788895311721561</v>
      </c>
      <c r="F99" s="15" t="n">
        <f aca="true">RAND()</f>
        <v>0.679784875729081</v>
      </c>
      <c r="G99" s="15" t="n">
        <f aca="true">RAND()</f>
        <v>0.132303287483411</v>
      </c>
      <c r="H99" s="15" t="n">
        <f aca="true">RAND()</f>
        <v>0.0394104205951575</v>
      </c>
      <c r="I99" s="15" t="n">
        <f aca="true">RAND()</f>
        <v>0.470781109421148</v>
      </c>
      <c r="J99" s="15" t="n">
        <f aca="true">RAND()</f>
        <v>0.32823191136409</v>
      </c>
      <c r="K99" s="15" t="n">
        <f aca="true">RAND()</f>
        <v>0.879691288480631</v>
      </c>
      <c r="L99" s="15" t="n">
        <f aca="true">RAND()</f>
        <v>0.319931723394795</v>
      </c>
      <c r="M99" s="15" t="n">
        <f aca="true">RAND()</f>
        <v>0.618433433333544</v>
      </c>
      <c r="N99" s="15" t="n">
        <f aca="true">RAND()</f>
        <v>0.578653980655748</v>
      </c>
      <c r="O99" s="15" t="n">
        <f aca="true">RAND()</f>
        <v>0.364048126270368</v>
      </c>
      <c r="P99" s="15" t="n">
        <f aca="true">RAND()</f>
        <v>0.799562078879937</v>
      </c>
      <c r="Q99" s="15" t="n">
        <f aca="true">RAND()</f>
        <v>0.827236591434248</v>
      </c>
      <c r="R99" s="15" t="n">
        <f aca="true">RAND()</f>
        <v>0.517030097587541</v>
      </c>
      <c r="S99" s="15" t="n">
        <f aca="true">RAND()</f>
        <v>0.36767866668834</v>
      </c>
      <c r="T99" s="16" t="n">
        <f aca="false">LOOKUP(D99,$E$23:$E$26,$A$23:$A$26)+LOOKUP(D99,$E$23:$E$26,$D$23:$D$26)*(D99-LOOKUP(D99,$E$23:$E$26))/LOOKUP(D99,$E$23:$E$26,$C$23:$C$26)</f>
        <v>4.90016543706619</v>
      </c>
      <c r="U99" s="16" t="n">
        <f aca="false">LOOKUP(E99,$E$23:$E$26,$A$23:$A$26)+LOOKUP(E99,$E$23:$E$26,$D$23:$D$26)*(E99-LOOKUP(E99,$E$23:$E$26))/LOOKUP(E99,$E$23:$E$26,$C$23:$C$26)</f>
        <v>4.01314825519536</v>
      </c>
      <c r="V99" s="16" t="n">
        <f aca="false">LOOKUP(F99,$E$23:$E$26,$A$23:$A$26)+LOOKUP(F99,$E$23:$E$26,$D$23:$D$26)*(F99-LOOKUP(F99,$E$23:$E$26))/LOOKUP(F99,$E$23:$E$26,$C$23:$C$26)</f>
        <v>4.97473109466135</v>
      </c>
      <c r="W99" s="16" t="n">
        <f aca="false">LOOKUP(G99,$E$23:$E$26,$A$23:$A$26)+LOOKUP(G99,$E$23:$E$26,$D$23:$D$26)*(G99-LOOKUP(G99,$E$23:$E$26))/LOOKUP(G99,$E$23:$E$26,$C$23:$C$26)</f>
        <v>4.22050547913902</v>
      </c>
      <c r="X99" s="16" t="n">
        <f aca="false">LOOKUP(H99,$E$23:$E$26,$A$23:$A$26)+LOOKUP(H99,$E$23:$E$26,$D$23:$D$26)*(H99-LOOKUP(H99,$E$23:$E$26))/LOOKUP(H99,$E$23:$E$26,$C$23:$C$26)</f>
        <v>4.06568403432526</v>
      </c>
      <c r="Y99" s="16" t="n">
        <f aca="false">LOOKUP(I99,$E$23:$E$26,$A$23:$A$26)+LOOKUP(I99,$E$23:$E$26,$D$23:$D$26)*(I99-LOOKUP(I99,$E$23:$E$26))/LOOKUP(I99,$E$23:$E$26,$C$23:$C$26)</f>
        <v>4.71347638677644</v>
      </c>
      <c r="Z99" s="16" t="n">
        <f aca="false">LOOKUP(J99,$E$23:$E$26,$A$23:$A$26)+LOOKUP(J99,$E$23:$E$26,$D$23:$D$26)*(J99-LOOKUP(J99,$E$23:$E$26))/LOOKUP(J99,$E$23:$E$26,$C$23:$C$26)</f>
        <v>4.53528988920511</v>
      </c>
      <c r="AA99" s="16" t="n">
        <f aca="false">LOOKUP(K99,$E$23:$E$26,$A$23:$A$26)+LOOKUP(K99,$E$23:$E$26,$D$23:$D$26)*(K99-LOOKUP(K99,$E$23:$E$26))/LOOKUP(K99,$E$23:$E$26,$C$23:$C$26)</f>
        <v>5.44922822120158</v>
      </c>
      <c r="AB99" s="16" t="n">
        <f aca="false">LOOKUP(L99,$E$23:$E$26,$A$23:$A$26)+LOOKUP(L99,$E$23:$E$26,$D$23:$D$26)*(L99-LOOKUP(L99,$E$23:$E$26))/LOOKUP(L99,$E$23:$E$26,$C$23:$C$26)</f>
        <v>4.52491465424349</v>
      </c>
      <c r="AC99" s="16" t="n">
        <f aca="false">LOOKUP(M99,$E$23:$E$26,$A$23:$A$26)+LOOKUP(M99,$E$23:$E$26,$D$23:$D$26)*(M99-LOOKUP(M99,$E$23:$E$26))/LOOKUP(M99,$E$23:$E$26,$C$23:$C$26)</f>
        <v>4.89804179166693</v>
      </c>
      <c r="AD99" s="16" t="n">
        <f aca="false">LOOKUP(N99,$E$23:$E$26,$A$23:$A$26)+LOOKUP(N99,$E$23:$E$26,$D$23:$D$26)*(N99-LOOKUP(N99,$E$23:$E$26))/LOOKUP(N99,$E$23:$E$26,$C$23:$C$26)</f>
        <v>4.84831747581969</v>
      </c>
      <c r="AE99" s="16" t="n">
        <f aca="false">LOOKUP(O99,$E$23:$E$26,$A$23:$A$26)+LOOKUP(O99,$E$23:$E$26,$D$23:$D$26)*(O99-LOOKUP(O99,$E$23:$E$26))/LOOKUP(O99,$E$23:$E$26,$C$23:$C$26)</f>
        <v>4.58006015783796</v>
      </c>
      <c r="AF99" s="16" t="n">
        <f aca="false">LOOKUP(P99,$E$23:$E$26,$A$23:$A$26)+LOOKUP(P99,$E$23:$E$26,$D$23:$D$26)*(P99-LOOKUP(P99,$E$23:$E$26))/LOOKUP(P99,$E$23:$E$26,$C$23:$C$26)</f>
        <v>5.24890519719984</v>
      </c>
      <c r="AG99" s="16" t="n">
        <f aca="false">LOOKUP(Q99,$E$23:$E$26,$A$23:$A$26)+LOOKUP(Q99,$E$23:$E$26,$D$23:$D$26)*(Q99-LOOKUP(Q99,$E$23:$E$26))/LOOKUP(Q99,$E$23:$E$26,$C$23:$C$26)</f>
        <v>5.31809147858562</v>
      </c>
      <c r="AH99" s="16" t="n">
        <f aca="false">LOOKUP(R99,$E$23:$E$26,$A$23:$A$26)+LOOKUP(R99,$E$23:$E$26,$D$23:$D$26)*(R99-LOOKUP(R99,$E$23:$E$26))/LOOKUP(R99,$E$23:$E$26,$C$23:$C$26)</f>
        <v>4.77128762198443</v>
      </c>
      <c r="AI99" s="16" t="n">
        <f aca="false">LOOKUP(S99,$E$23:$E$26,$A$23:$A$26)+LOOKUP(S99,$E$23:$E$26,$D$23:$D$26)*(S99-LOOKUP(S99,$E$23:$E$26))/LOOKUP(S99,$E$23:$E$26,$C$23:$C$26)</f>
        <v>4.58459833336042</v>
      </c>
      <c r="AJ99" s="16" t="n">
        <f aca="false">SUM($T99:T99)</f>
        <v>4.90016543706619</v>
      </c>
      <c r="AK99" s="16" t="n">
        <f aca="false">SUM($T99:U99)</f>
        <v>8.91331369226155</v>
      </c>
      <c r="AL99" s="16" t="n">
        <f aca="false">SUM($T99:V99)</f>
        <v>13.8880447869229</v>
      </c>
      <c r="AM99" s="16" t="n">
        <f aca="false">SUM($T99:W99)</f>
        <v>18.1085502660619</v>
      </c>
      <c r="AN99" s="16" t="n">
        <f aca="false">SUM($T99:X99)</f>
        <v>22.1742343003872</v>
      </c>
      <c r="AO99" s="16" t="n">
        <f aca="false">SUM($T99:Y99)</f>
        <v>26.8877106871636</v>
      </c>
      <c r="AP99" s="16" t="n">
        <f aca="false">SUM($T99:Z99)</f>
        <v>31.4230005763687</v>
      </c>
      <c r="AQ99" s="16" t="n">
        <f aca="false">SUM($T99:AA99)</f>
        <v>36.8722287975703</v>
      </c>
      <c r="AR99" s="16" t="n">
        <f aca="false">SUM($T99:AB99)</f>
        <v>41.3971434518138</v>
      </c>
      <c r="AS99" s="16" t="n">
        <f aca="false">SUM($T99:AC99)</f>
        <v>46.2951852434807</v>
      </c>
      <c r="AT99" s="16" t="n">
        <f aca="false">SUM($T99:AD99)</f>
        <v>51.1435027193004</v>
      </c>
      <c r="AU99" s="16" t="n">
        <f aca="false">SUM($T99:AE99)</f>
        <v>55.7235628771384</v>
      </c>
      <c r="AV99" s="16" t="n">
        <f aca="false">SUM($T99:AF99)</f>
        <v>60.9724680743382</v>
      </c>
      <c r="AW99" s="16" t="n">
        <f aca="false">SUM($T99:AG99)</f>
        <v>66.2905595529238</v>
      </c>
      <c r="AX99" s="16" t="n">
        <f aca="false">SUM($T99:AH99)</f>
        <v>71.0618471749083</v>
      </c>
      <c r="AY99" s="16" t="n">
        <f aca="false">SUM($T99:AI99)</f>
        <v>75.6464455082687</v>
      </c>
      <c r="AZ99" s="16" t="n">
        <f aca="false">MAX(C99-AJ99,0)</f>
        <v>56.865260752889</v>
      </c>
      <c r="BA99" s="16" t="n">
        <f aca="false">MAX(C99-AK99,0)</f>
        <v>52.8521124976936</v>
      </c>
      <c r="BB99" s="16" t="n">
        <f aca="false">MAX(C99-AL99,0)</f>
        <v>47.8773814030322</v>
      </c>
      <c r="BC99" s="16" t="n">
        <f aca="false">MAX(C99-AM99,0)</f>
        <v>43.6568759238932</v>
      </c>
      <c r="BD99" s="16" t="n">
        <f aca="false">MAX(C99-AN99,0)</f>
        <v>39.591191889568</v>
      </c>
      <c r="BE99" s="16" t="n">
        <f aca="false">MAX(C99-AO99,0)</f>
        <v>34.8777155027915</v>
      </c>
      <c r="BF99" s="16" t="n">
        <f aca="false">MAX(C99-AP99,0)</f>
        <v>30.3424256135864</v>
      </c>
      <c r="BG99" s="16" t="n">
        <f aca="false">MAX(C99-AQ99,0)</f>
        <v>24.8931973923848</v>
      </c>
      <c r="BH99" s="16" t="n">
        <f aca="false">MAX(C99-AR99,0)</f>
        <v>20.3682827381413</v>
      </c>
      <c r="BI99" s="16" t="n">
        <f aca="false">MAX(C99-AS99,0)</f>
        <v>15.4702409464744</v>
      </c>
      <c r="BJ99" s="16" t="n">
        <f aca="false">MAX(C99-AT99,0)</f>
        <v>10.6219234706547</v>
      </c>
      <c r="BK99" s="16" t="n">
        <f aca="false">MAX(C99-AU99,0)</f>
        <v>6.04186331281677</v>
      </c>
      <c r="BL99" s="16" t="n">
        <f aca="false">MAX(C99-AV99,0)</f>
        <v>0.792958115616926</v>
      </c>
      <c r="BM99" s="16" t="n">
        <f aca="false">MAX(C99-AW99,0)</f>
        <v>0</v>
      </c>
      <c r="BN99" s="16" t="n">
        <f aca="false">MAX(C99-AX99,0)</f>
        <v>0</v>
      </c>
      <c r="BO99" s="16" t="n">
        <f aca="false">MAX(C99-AY99,0)</f>
        <v>0</v>
      </c>
    </row>
    <row r="100" customFormat="false" ht="15" hidden="false" customHeight="false" outlineLevel="0" collapsed="false">
      <c r="A100" s="3" t="n">
        <v>70</v>
      </c>
      <c r="B100" s="15" t="n">
        <f aca="true">RAND()</f>
        <v>0.862342592301669</v>
      </c>
      <c r="C100" s="16" t="n">
        <f aca="false">LOOKUP(B100,$E$12:$E$17,$A$12:$A$17)+LOOKUP(B100,$E$12:$E$17,$D$12:$D$17)*(B100-LOOKUP(B100,$E$12:$E$17))/LOOKUP(B100,$E$12:$E$17,$C$12:$C$17)</f>
        <v>69.462037032881</v>
      </c>
      <c r="D100" s="15" t="n">
        <f aca="true">RAND()</f>
        <v>0.234122269009936</v>
      </c>
      <c r="E100" s="15" t="n">
        <f aca="true">RAND()</f>
        <v>0.647706564564182</v>
      </c>
      <c r="F100" s="15" t="n">
        <f aca="true">RAND()</f>
        <v>0.788819970433056</v>
      </c>
      <c r="G100" s="15" t="n">
        <f aca="true">RAND()</f>
        <v>0.657692659616699</v>
      </c>
      <c r="H100" s="15" t="n">
        <f aca="true">RAND()</f>
        <v>0.507489998826658</v>
      </c>
      <c r="I100" s="15" t="n">
        <f aca="true">RAND()</f>
        <v>0.836207353107021</v>
      </c>
      <c r="J100" s="15" t="n">
        <f aca="true">RAND()</f>
        <v>0.594618596140361</v>
      </c>
      <c r="K100" s="15" t="n">
        <f aca="true">RAND()</f>
        <v>0.27917195268275</v>
      </c>
      <c r="L100" s="15" t="n">
        <f aca="true">RAND()</f>
        <v>0.326988407173815</v>
      </c>
      <c r="M100" s="15" t="n">
        <f aca="true">RAND()</f>
        <v>0.425576734467622</v>
      </c>
      <c r="N100" s="15" t="n">
        <f aca="true">RAND()</f>
        <v>0.292021527344808</v>
      </c>
      <c r="O100" s="15" t="n">
        <f aca="true">RAND()</f>
        <v>0.203853199123936</v>
      </c>
      <c r="P100" s="15" t="n">
        <f aca="true">RAND()</f>
        <v>0.689603707172285</v>
      </c>
      <c r="Q100" s="15" t="n">
        <f aca="true">RAND()</f>
        <v>0.82372383948509</v>
      </c>
      <c r="R100" s="15" t="n">
        <f aca="true">RAND()</f>
        <v>0.854456835995645</v>
      </c>
      <c r="S100" s="15" t="n">
        <f aca="true">RAND()</f>
        <v>0.626331174063495</v>
      </c>
      <c r="T100" s="16" t="n">
        <f aca="false">LOOKUP(D100,$E$23:$E$26,$A$23:$A$26)+LOOKUP(D100,$E$23:$E$26,$D$23:$D$26)*(D100-LOOKUP(D100,$E$23:$E$26))/LOOKUP(D100,$E$23:$E$26,$C$23:$C$26)</f>
        <v>4.39020378168323</v>
      </c>
      <c r="U100" s="16" t="n">
        <f aca="false">LOOKUP(E100,$E$23:$E$26,$A$23:$A$26)+LOOKUP(E100,$E$23:$E$26,$D$23:$D$26)*(E100-LOOKUP(E100,$E$23:$E$26))/LOOKUP(E100,$E$23:$E$26,$C$23:$C$26)</f>
        <v>4.93463320570523</v>
      </c>
      <c r="V100" s="16" t="n">
        <f aca="false">LOOKUP(F100,$E$23:$E$26,$A$23:$A$26)+LOOKUP(F100,$E$23:$E$26,$D$23:$D$26)*(F100-LOOKUP(F100,$E$23:$E$26))/LOOKUP(F100,$E$23:$E$26,$C$23:$C$26)</f>
        <v>5.22204992608264</v>
      </c>
      <c r="W100" s="16" t="n">
        <f aca="false">LOOKUP(G100,$E$23:$E$26,$A$23:$A$26)+LOOKUP(G100,$E$23:$E$26,$D$23:$D$26)*(G100-LOOKUP(G100,$E$23:$E$26))/LOOKUP(G100,$E$23:$E$26,$C$23:$C$26)</f>
        <v>4.94711582452087</v>
      </c>
      <c r="X100" s="16" t="n">
        <f aca="false">LOOKUP(H100,$E$23:$E$26,$A$23:$A$26)+LOOKUP(H100,$E$23:$E$26,$D$23:$D$26)*(H100-LOOKUP(H100,$E$23:$E$26))/LOOKUP(H100,$E$23:$E$26,$C$23:$C$26)</f>
        <v>4.75936249853332</v>
      </c>
      <c r="Y100" s="16" t="n">
        <f aca="false">LOOKUP(I100,$E$23:$E$26,$A$23:$A$26)+LOOKUP(I100,$E$23:$E$26,$D$23:$D$26)*(I100-LOOKUP(I100,$E$23:$E$26))/LOOKUP(I100,$E$23:$E$26,$C$23:$C$26)</f>
        <v>5.34051838276755</v>
      </c>
      <c r="Z100" s="16" t="n">
        <f aca="false">LOOKUP(J100,$E$23:$E$26,$A$23:$A$26)+LOOKUP(J100,$E$23:$E$26,$D$23:$D$26)*(J100-LOOKUP(J100,$E$23:$E$26))/LOOKUP(J100,$E$23:$E$26,$C$23:$C$26)</f>
        <v>4.86827324517545</v>
      </c>
      <c r="AA100" s="16" t="n">
        <f aca="false">LOOKUP(K100,$E$23:$E$26,$A$23:$A$26)+LOOKUP(K100,$E$23:$E$26,$D$23:$D$26)*(K100-LOOKUP(K100,$E$23:$E$26))/LOOKUP(K100,$E$23:$E$26,$C$23:$C$26)</f>
        <v>4.46528658780458</v>
      </c>
      <c r="AB100" s="16" t="n">
        <f aca="false">LOOKUP(L100,$E$23:$E$26,$A$23:$A$26)+LOOKUP(L100,$E$23:$E$26,$D$23:$D$26)*(L100-LOOKUP(L100,$E$23:$E$26))/LOOKUP(L100,$E$23:$E$26,$C$23:$C$26)</f>
        <v>4.53373550896727</v>
      </c>
      <c r="AC100" s="16" t="n">
        <f aca="false">LOOKUP(M100,$E$23:$E$26,$A$23:$A$26)+LOOKUP(M100,$E$23:$E$26,$D$23:$D$26)*(M100-LOOKUP(M100,$E$23:$E$26))/LOOKUP(M100,$E$23:$E$26,$C$23:$C$26)</f>
        <v>4.65697091808453</v>
      </c>
      <c r="AD100" s="16" t="n">
        <f aca="false">LOOKUP(N100,$E$23:$E$26,$A$23:$A$26)+LOOKUP(N100,$E$23:$E$26,$D$23:$D$26)*(N100-LOOKUP(N100,$E$23:$E$26))/LOOKUP(N100,$E$23:$E$26,$C$23:$C$26)</f>
        <v>4.48670254557468</v>
      </c>
      <c r="AE100" s="16" t="n">
        <f aca="false">LOOKUP(O100,$E$23:$E$26,$A$23:$A$26)+LOOKUP(O100,$E$23:$E$26,$D$23:$D$26)*(O100-LOOKUP(O100,$E$23:$E$26))/LOOKUP(O100,$E$23:$E$26,$C$23:$C$26)</f>
        <v>4.33975533187323</v>
      </c>
      <c r="AF100" s="16" t="n">
        <f aca="false">LOOKUP(P100,$E$23:$E$26,$A$23:$A$26)+LOOKUP(P100,$E$23:$E$26,$D$23:$D$26)*(P100-LOOKUP(P100,$E$23:$E$26))/LOOKUP(P100,$E$23:$E$26,$C$23:$C$26)</f>
        <v>4.98700463396536</v>
      </c>
      <c r="AG100" s="16" t="n">
        <f aca="false">LOOKUP(Q100,$E$23:$E$26,$A$23:$A$26)+LOOKUP(Q100,$E$23:$E$26,$D$23:$D$26)*(Q100-LOOKUP(Q100,$E$23:$E$26))/LOOKUP(Q100,$E$23:$E$26,$C$23:$C$26)</f>
        <v>5.30930959871273</v>
      </c>
      <c r="AH100" s="16" t="n">
        <f aca="false">LOOKUP(R100,$E$23:$E$26,$A$23:$A$26)+LOOKUP(R100,$E$23:$E$26,$D$23:$D$26)*(R100-LOOKUP(R100,$E$23:$E$26))/LOOKUP(R100,$E$23:$E$26,$C$23:$C$26)</f>
        <v>5.38614208998911</v>
      </c>
      <c r="AI100" s="16" t="n">
        <f aca="false">LOOKUP(S100,$E$23:$E$26,$A$23:$A$26)+LOOKUP(S100,$E$23:$E$26,$D$23:$D$26)*(S100-LOOKUP(S100,$E$23:$E$26))/LOOKUP(S100,$E$23:$E$26,$C$23:$C$26)</f>
        <v>4.90791396757937</v>
      </c>
      <c r="AJ100" s="16" t="n">
        <f aca="false">SUM($T100:T100)</f>
        <v>4.39020378168323</v>
      </c>
      <c r="AK100" s="16" t="n">
        <f aca="false">SUM($T100:U100)</f>
        <v>9.32483698738846</v>
      </c>
      <c r="AL100" s="16" t="n">
        <f aca="false">SUM($T100:V100)</f>
        <v>14.5468869134711</v>
      </c>
      <c r="AM100" s="16" t="n">
        <f aca="false">SUM($T100:W100)</f>
        <v>19.494002737992</v>
      </c>
      <c r="AN100" s="16" t="n">
        <f aca="false">SUM($T100:X100)</f>
        <v>24.2533652365253</v>
      </c>
      <c r="AO100" s="16" t="n">
        <f aca="false">SUM($T100:Y100)</f>
        <v>29.5938836192928</v>
      </c>
      <c r="AP100" s="16" t="n">
        <f aca="false">SUM($T100:Z100)</f>
        <v>34.4621568644683</v>
      </c>
      <c r="AQ100" s="16" t="n">
        <f aca="false">SUM($T100:AA100)</f>
        <v>38.9274434522729</v>
      </c>
      <c r="AR100" s="16" t="n">
        <f aca="false">SUM($T100:AB100)</f>
        <v>43.4611789612401</v>
      </c>
      <c r="AS100" s="16" t="n">
        <f aca="false">SUM($T100:AC100)</f>
        <v>48.1181498793247</v>
      </c>
      <c r="AT100" s="16" t="n">
        <f aca="false">SUM($T100:AD100)</f>
        <v>52.6048524248994</v>
      </c>
      <c r="AU100" s="16" t="n">
        <f aca="false">SUM($T100:AE100)</f>
        <v>56.9446077567726</v>
      </c>
      <c r="AV100" s="16" t="n">
        <f aca="false">SUM($T100:AF100)</f>
        <v>61.9316123907379</v>
      </c>
      <c r="AW100" s="16" t="n">
        <f aca="false">SUM($T100:AG100)</f>
        <v>67.2409219894507</v>
      </c>
      <c r="AX100" s="16" t="n">
        <f aca="false">SUM($T100:AH100)</f>
        <v>72.6270640794398</v>
      </c>
      <c r="AY100" s="16" t="n">
        <f aca="false">SUM($T100:AI100)</f>
        <v>77.5349780470192</v>
      </c>
      <c r="AZ100" s="16" t="n">
        <f aca="false">MAX(C100-AJ100,0)</f>
        <v>65.0718332511978</v>
      </c>
      <c r="BA100" s="16" t="n">
        <f aca="false">MAX(C100-AK100,0)</f>
        <v>60.1372000454925</v>
      </c>
      <c r="BB100" s="16" t="n">
        <f aca="false">MAX(C100-AL100,0)</f>
        <v>54.9151501194099</v>
      </c>
      <c r="BC100" s="16" t="n">
        <f aca="false">MAX(C100-AM100,0)</f>
        <v>49.968034294889</v>
      </c>
      <c r="BD100" s="16" t="n">
        <f aca="false">MAX(C100-AN100,0)</f>
        <v>45.2086717963557</v>
      </c>
      <c r="BE100" s="16" t="n">
        <f aca="false">MAX(C100-AO100,0)</f>
        <v>39.8681534135881</v>
      </c>
      <c r="BF100" s="16" t="n">
        <f aca="false">MAX(C100-AP100,0)</f>
        <v>34.9998801684127</v>
      </c>
      <c r="BG100" s="16" t="n">
        <f aca="false">MAX(C100-AQ100,0)</f>
        <v>30.5345935806081</v>
      </c>
      <c r="BH100" s="16" t="n">
        <f aca="false">MAX(C100-AR100,0)</f>
        <v>26.0008580716408</v>
      </c>
      <c r="BI100" s="16" t="n">
        <f aca="false">MAX(C100-AS100,0)</f>
        <v>21.3438871535563</v>
      </c>
      <c r="BJ100" s="16" t="n">
        <f aca="false">MAX(C100-AT100,0)</f>
        <v>16.8571846079816</v>
      </c>
      <c r="BK100" s="16" t="n">
        <f aca="false">MAX(C100-AU100,0)</f>
        <v>12.5174292761084</v>
      </c>
      <c r="BL100" s="16" t="n">
        <f aca="false">MAX(C100-AV100,0)</f>
        <v>7.53042464214305</v>
      </c>
      <c r="BM100" s="16" t="n">
        <f aca="false">MAX(C100-AW100,0)</f>
        <v>2.22111504343032</v>
      </c>
      <c r="BN100" s="16" t="n">
        <f aca="false">MAX(C100-AX100,0)</f>
        <v>0</v>
      </c>
      <c r="BO100" s="16" t="n">
        <f aca="false">MAX(C100-AY100,0)</f>
        <v>0</v>
      </c>
    </row>
    <row r="101" customFormat="false" ht="15" hidden="false" customHeight="false" outlineLevel="0" collapsed="false">
      <c r="A101" s="3" t="n">
        <v>71</v>
      </c>
      <c r="B101" s="15" t="n">
        <f aca="true">RAND()</f>
        <v>0.960078303009728</v>
      </c>
      <c r="C101" s="16" t="n">
        <f aca="false">LOOKUP(B101,$E$12:$E$17,$A$12:$A$17)+LOOKUP(B101,$E$12:$E$17,$D$12:$D$17)*(B101-LOOKUP(B101,$E$12:$E$17))/LOOKUP(B101,$E$12:$E$17,$C$12:$C$17)</f>
        <v>78.754893938108</v>
      </c>
      <c r="D101" s="15" t="n">
        <f aca="true">RAND()</f>
        <v>0.0914177312182924</v>
      </c>
      <c r="E101" s="15" t="n">
        <f aca="true">RAND()</f>
        <v>0.22442762471053</v>
      </c>
      <c r="F101" s="15" t="n">
        <f aca="true">RAND()</f>
        <v>0.546105248357378</v>
      </c>
      <c r="G101" s="15" t="n">
        <f aca="true">RAND()</f>
        <v>0.00930389909988475</v>
      </c>
      <c r="H101" s="15" t="n">
        <f aca="true">RAND()</f>
        <v>0.897469111221599</v>
      </c>
      <c r="I101" s="15" t="n">
        <f aca="true">RAND()</f>
        <v>0.108567832901682</v>
      </c>
      <c r="J101" s="15" t="n">
        <f aca="true">RAND()</f>
        <v>0.750009675925751</v>
      </c>
      <c r="K101" s="15" t="n">
        <f aca="true">RAND()</f>
        <v>0.859838845113785</v>
      </c>
      <c r="L101" s="15" t="n">
        <f aca="true">RAND()</f>
        <v>0.291668899246433</v>
      </c>
      <c r="M101" s="15" t="n">
        <f aca="true">RAND()</f>
        <v>0.45279522955704</v>
      </c>
      <c r="N101" s="15" t="n">
        <f aca="true">RAND()</f>
        <v>0.968747756801725</v>
      </c>
      <c r="O101" s="15" t="n">
        <f aca="true">RAND()</f>
        <v>0.440778926760878</v>
      </c>
      <c r="P101" s="15" t="n">
        <f aca="true">RAND()</f>
        <v>0.111829819701567</v>
      </c>
      <c r="Q101" s="15" t="n">
        <f aca="true">RAND()</f>
        <v>0.179680278235328</v>
      </c>
      <c r="R101" s="15" t="n">
        <f aca="true">RAND()</f>
        <v>0.224843092804193</v>
      </c>
      <c r="S101" s="15" t="n">
        <f aca="true">RAND()</f>
        <v>0.569118883655636</v>
      </c>
      <c r="T101" s="16" t="n">
        <f aca="false">LOOKUP(D101,$E$23:$E$26,$A$23:$A$26)+LOOKUP(D101,$E$23:$E$26,$D$23:$D$26)*(D101-LOOKUP(D101,$E$23:$E$26))/LOOKUP(D101,$E$23:$E$26,$C$23:$C$26)</f>
        <v>4.15236288536382</v>
      </c>
      <c r="U101" s="16" t="n">
        <f aca="false">LOOKUP(E101,$E$23:$E$26,$A$23:$A$26)+LOOKUP(E101,$E$23:$E$26,$D$23:$D$26)*(E101-LOOKUP(E101,$E$23:$E$26))/LOOKUP(E101,$E$23:$E$26,$C$23:$C$26)</f>
        <v>4.37404604118422</v>
      </c>
      <c r="V101" s="16" t="n">
        <f aca="false">LOOKUP(F101,$E$23:$E$26,$A$23:$A$26)+LOOKUP(F101,$E$23:$E$26,$D$23:$D$26)*(F101-LOOKUP(F101,$E$23:$E$26))/LOOKUP(F101,$E$23:$E$26,$C$23:$C$26)</f>
        <v>4.80763156044672</v>
      </c>
      <c r="W101" s="16" t="n">
        <f aca="false">LOOKUP(G101,$E$23:$E$26,$A$23:$A$26)+LOOKUP(G101,$E$23:$E$26,$D$23:$D$26)*(G101-LOOKUP(G101,$E$23:$E$26))/LOOKUP(G101,$E$23:$E$26,$C$23:$C$26)</f>
        <v>4.01550649849981</v>
      </c>
      <c r="X101" s="16" t="n">
        <f aca="false">LOOKUP(H101,$E$23:$E$26,$A$23:$A$26)+LOOKUP(H101,$E$23:$E$26,$D$23:$D$26)*(H101-LOOKUP(H101,$E$23:$E$26))/LOOKUP(H101,$E$23:$E$26,$C$23:$C$26)</f>
        <v>5.493672778054</v>
      </c>
      <c r="Y101" s="16" t="n">
        <f aca="false">LOOKUP(I101,$E$23:$E$26,$A$23:$A$26)+LOOKUP(I101,$E$23:$E$26,$D$23:$D$26)*(I101-LOOKUP(I101,$E$23:$E$26))/LOOKUP(I101,$E$23:$E$26,$C$23:$C$26)</f>
        <v>4.18094638816947</v>
      </c>
      <c r="Z101" s="16" t="n">
        <f aca="false">LOOKUP(J101,$E$23:$E$26,$A$23:$A$26)+LOOKUP(J101,$E$23:$E$26,$D$23:$D$26)*(J101-LOOKUP(J101,$E$23:$E$26))/LOOKUP(J101,$E$23:$E$26,$C$23:$C$26)</f>
        <v>5.12502418981438</v>
      </c>
      <c r="AA101" s="16" t="n">
        <f aca="false">LOOKUP(K101,$E$23:$E$26,$A$23:$A$26)+LOOKUP(K101,$E$23:$E$26,$D$23:$D$26)*(K101-LOOKUP(K101,$E$23:$E$26))/LOOKUP(K101,$E$23:$E$26,$C$23:$C$26)</f>
        <v>5.39959711278446</v>
      </c>
      <c r="AB101" s="16" t="n">
        <f aca="false">LOOKUP(L101,$E$23:$E$26,$A$23:$A$26)+LOOKUP(L101,$E$23:$E$26,$D$23:$D$26)*(L101-LOOKUP(L101,$E$23:$E$26))/LOOKUP(L101,$E$23:$E$26,$C$23:$C$26)</f>
        <v>4.48611483207739</v>
      </c>
      <c r="AC101" s="16" t="n">
        <f aca="false">LOOKUP(M101,$E$23:$E$26,$A$23:$A$26)+LOOKUP(M101,$E$23:$E$26,$D$23:$D$26)*(M101-LOOKUP(M101,$E$23:$E$26))/LOOKUP(M101,$E$23:$E$26,$C$23:$C$26)</f>
        <v>4.6909940369463</v>
      </c>
      <c r="AD101" s="16" t="n">
        <f aca="false">LOOKUP(N101,$E$23:$E$26,$A$23:$A$26)+LOOKUP(N101,$E$23:$E$26,$D$23:$D$26)*(N101-LOOKUP(N101,$E$23:$E$26))/LOOKUP(N101,$E$23:$E$26,$C$23:$C$26)</f>
        <v>5.84373878400863</v>
      </c>
      <c r="AE101" s="16" t="n">
        <f aca="false">LOOKUP(O101,$E$23:$E$26,$A$23:$A$26)+LOOKUP(O101,$E$23:$E$26,$D$23:$D$26)*(O101-LOOKUP(O101,$E$23:$E$26))/LOOKUP(O101,$E$23:$E$26,$C$23:$C$26)</f>
        <v>4.6759736584511</v>
      </c>
      <c r="AF101" s="16" t="n">
        <f aca="false">LOOKUP(P101,$E$23:$E$26,$A$23:$A$26)+LOOKUP(P101,$E$23:$E$26,$D$23:$D$26)*(P101-LOOKUP(P101,$E$23:$E$26))/LOOKUP(P101,$E$23:$E$26,$C$23:$C$26)</f>
        <v>4.18638303283595</v>
      </c>
      <c r="AG101" s="16" t="n">
        <f aca="false">LOOKUP(Q101,$E$23:$E$26,$A$23:$A$26)+LOOKUP(Q101,$E$23:$E$26,$D$23:$D$26)*(Q101-LOOKUP(Q101,$E$23:$E$26))/LOOKUP(Q101,$E$23:$E$26,$C$23:$C$26)</f>
        <v>4.29946713039221</v>
      </c>
      <c r="AH101" s="16" t="n">
        <f aca="false">LOOKUP(R101,$E$23:$E$26,$A$23:$A$26)+LOOKUP(R101,$E$23:$E$26,$D$23:$D$26)*(R101-LOOKUP(R101,$E$23:$E$26))/LOOKUP(R101,$E$23:$E$26,$C$23:$C$26)</f>
        <v>4.37473848800699</v>
      </c>
      <c r="AI101" s="16" t="n">
        <f aca="false">LOOKUP(S101,$E$23:$E$26,$A$23:$A$26)+LOOKUP(S101,$E$23:$E$26,$D$23:$D$26)*(S101-LOOKUP(S101,$E$23:$E$26))/LOOKUP(S101,$E$23:$E$26,$C$23:$C$26)</f>
        <v>4.83639860456955</v>
      </c>
      <c r="AJ101" s="16" t="n">
        <f aca="false">SUM($T101:T101)</f>
        <v>4.15236288536382</v>
      </c>
      <c r="AK101" s="16" t="n">
        <f aca="false">SUM($T101:U101)</f>
        <v>8.52640892654804</v>
      </c>
      <c r="AL101" s="16" t="n">
        <f aca="false">SUM($T101:V101)</f>
        <v>13.3340404869948</v>
      </c>
      <c r="AM101" s="16" t="n">
        <f aca="false">SUM($T101:W101)</f>
        <v>17.3495469854946</v>
      </c>
      <c r="AN101" s="16" t="n">
        <f aca="false">SUM($T101:X101)</f>
        <v>22.8432197635486</v>
      </c>
      <c r="AO101" s="16" t="n">
        <f aca="false">SUM($T101:Y101)</f>
        <v>27.024166151718</v>
      </c>
      <c r="AP101" s="16" t="n">
        <f aca="false">SUM($T101:Z101)</f>
        <v>32.1491903415324</v>
      </c>
      <c r="AQ101" s="16" t="n">
        <f aca="false">SUM($T101:AA101)</f>
        <v>37.5487874543169</v>
      </c>
      <c r="AR101" s="16" t="n">
        <f aca="false">SUM($T101:AB101)</f>
        <v>42.0349022863943</v>
      </c>
      <c r="AS101" s="16" t="n">
        <f aca="false">SUM($T101:AC101)</f>
        <v>46.7258963233406</v>
      </c>
      <c r="AT101" s="16" t="n">
        <f aca="false">SUM($T101:AD101)</f>
        <v>52.5696351073492</v>
      </c>
      <c r="AU101" s="16" t="n">
        <f aca="false">SUM($T101:AE101)</f>
        <v>57.2456087658003</v>
      </c>
      <c r="AV101" s="16" t="n">
        <f aca="false">SUM($T101:AF101)</f>
        <v>61.4319917986362</v>
      </c>
      <c r="AW101" s="16" t="n">
        <f aca="false">SUM($T101:AG101)</f>
        <v>65.7314589290285</v>
      </c>
      <c r="AX101" s="16" t="n">
        <f aca="false">SUM($T101:AH101)</f>
        <v>70.1061974170354</v>
      </c>
      <c r="AY101" s="16" t="n">
        <f aca="false">SUM($T101:AI101)</f>
        <v>74.942596021605</v>
      </c>
      <c r="AZ101" s="16" t="n">
        <f aca="false">MAX(C101-AJ101,0)</f>
        <v>74.6025310527442</v>
      </c>
      <c r="BA101" s="16" t="n">
        <f aca="false">MAX(C101-AK101,0)</f>
        <v>70.22848501156</v>
      </c>
      <c r="BB101" s="16" t="n">
        <f aca="false">MAX(C101-AL101,0)</f>
        <v>65.4208534511132</v>
      </c>
      <c r="BC101" s="16" t="n">
        <f aca="false">MAX(C101-AM101,0)</f>
        <v>61.4053469526134</v>
      </c>
      <c r="BD101" s="16" t="n">
        <f aca="false">MAX(C101-AN101,0)</f>
        <v>55.9116741745594</v>
      </c>
      <c r="BE101" s="16" t="n">
        <f aca="false">MAX(C101-AO101,0)</f>
        <v>51.73072778639</v>
      </c>
      <c r="BF101" s="16" t="n">
        <f aca="false">MAX(C101-AP101,0)</f>
        <v>46.6057035965756</v>
      </c>
      <c r="BG101" s="16" t="n">
        <f aca="false">MAX(C101-AQ101,0)</f>
        <v>41.2061064837911</v>
      </c>
      <c r="BH101" s="16" t="n">
        <f aca="false">MAX(C101-AR101,0)</f>
        <v>36.7199916517137</v>
      </c>
      <c r="BI101" s="16" t="n">
        <f aca="false">MAX(C101-AS101,0)</f>
        <v>32.0289976147674</v>
      </c>
      <c r="BJ101" s="16" t="n">
        <f aca="false">MAX(C101-AT101,0)</f>
        <v>26.1852588307588</v>
      </c>
      <c r="BK101" s="16" t="n">
        <f aca="false">MAX(C101-AU101,0)</f>
        <v>21.5092851723077</v>
      </c>
      <c r="BL101" s="16" t="n">
        <f aca="false">MAX(C101-AV101,0)</f>
        <v>17.3229021394718</v>
      </c>
      <c r="BM101" s="16" t="n">
        <f aca="false">MAX(C101-AW101,0)</f>
        <v>13.0234350090795</v>
      </c>
      <c r="BN101" s="16" t="n">
        <f aca="false">MAX(C101-AX101,0)</f>
        <v>8.64869652107257</v>
      </c>
      <c r="BO101" s="16" t="n">
        <f aca="false">MAX(C101-AY101,0)</f>
        <v>3.81229791650303</v>
      </c>
    </row>
    <row r="102" customFormat="false" ht="15" hidden="false" customHeight="false" outlineLevel="0" collapsed="false">
      <c r="A102" s="3" t="n">
        <v>72</v>
      </c>
      <c r="B102" s="15" t="n">
        <f aca="true">RAND()</f>
        <v>0.408720910614062</v>
      </c>
      <c r="C102" s="16" t="n">
        <f aca="false">LOOKUP(B102,$E$12:$E$17,$A$12:$A$17)+LOOKUP(B102,$E$12:$E$17,$D$12:$D$17)*(B102-LOOKUP(B102,$E$12:$E$17))/LOOKUP(B102,$E$12:$E$17,$C$12:$C$17)</f>
        <v>62.6453485102344</v>
      </c>
      <c r="D102" s="15" t="n">
        <f aca="true">RAND()</f>
        <v>0.370566600360783</v>
      </c>
      <c r="E102" s="15" t="n">
        <f aca="true">RAND()</f>
        <v>0.875963031940882</v>
      </c>
      <c r="F102" s="15" t="n">
        <f aca="true">RAND()</f>
        <v>0.648490059235017</v>
      </c>
      <c r="G102" s="15" t="n">
        <f aca="true">RAND()</f>
        <v>0.539120638627584</v>
      </c>
      <c r="H102" s="15" t="n">
        <f aca="true">RAND()</f>
        <v>0.489161893166986</v>
      </c>
      <c r="I102" s="15" t="n">
        <f aca="true">RAND()</f>
        <v>0.319680587244563</v>
      </c>
      <c r="J102" s="15" t="n">
        <f aca="true">RAND()</f>
        <v>0.772663466974461</v>
      </c>
      <c r="K102" s="15" t="n">
        <f aca="true">RAND()</f>
        <v>0.545087431210634</v>
      </c>
      <c r="L102" s="15" t="n">
        <f aca="true">RAND()</f>
        <v>0.639368308744987</v>
      </c>
      <c r="M102" s="15" t="n">
        <f aca="true">RAND()</f>
        <v>0.971906098957308</v>
      </c>
      <c r="N102" s="15" t="n">
        <f aca="true">RAND()</f>
        <v>0.142226578221475</v>
      </c>
      <c r="O102" s="15" t="n">
        <f aca="true">RAND()</f>
        <v>0.112121876566989</v>
      </c>
      <c r="P102" s="15" t="n">
        <f aca="true">RAND()</f>
        <v>0.079283050842297</v>
      </c>
      <c r="Q102" s="15" t="n">
        <f aca="true">RAND()</f>
        <v>0.177518531217149</v>
      </c>
      <c r="R102" s="15" t="n">
        <f aca="true">RAND()</f>
        <v>0.0735972165000745</v>
      </c>
      <c r="S102" s="15" t="n">
        <f aca="true">RAND()</f>
        <v>0.41921723260603</v>
      </c>
      <c r="T102" s="16" t="n">
        <f aca="false">LOOKUP(D102,$E$23:$E$26,$A$23:$A$26)+LOOKUP(D102,$E$23:$E$26,$D$23:$D$26)*(D102-LOOKUP(D102,$E$23:$E$26))/LOOKUP(D102,$E$23:$E$26,$C$23:$C$26)</f>
        <v>4.58820825045098</v>
      </c>
      <c r="U102" s="16" t="n">
        <f aca="false">LOOKUP(E102,$E$23:$E$26,$A$23:$A$26)+LOOKUP(E102,$E$23:$E$26,$D$23:$D$26)*(E102-LOOKUP(E102,$E$23:$E$26))/LOOKUP(E102,$E$23:$E$26,$C$23:$C$26)</f>
        <v>5.43990757985221</v>
      </c>
      <c r="V102" s="16" t="n">
        <f aca="false">LOOKUP(F102,$E$23:$E$26,$A$23:$A$26)+LOOKUP(F102,$E$23:$E$26,$D$23:$D$26)*(F102-LOOKUP(F102,$E$23:$E$26))/LOOKUP(F102,$E$23:$E$26,$C$23:$C$26)</f>
        <v>4.93561257404377</v>
      </c>
      <c r="W102" s="16" t="n">
        <f aca="false">LOOKUP(G102,$E$23:$E$26,$A$23:$A$26)+LOOKUP(G102,$E$23:$E$26,$D$23:$D$26)*(G102-LOOKUP(G102,$E$23:$E$26))/LOOKUP(G102,$E$23:$E$26,$C$23:$C$26)</f>
        <v>4.79890079828448</v>
      </c>
      <c r="X102" s="16" t="n">
        <f aca="false">LOOKUP(H102,$E$23:$E$26,$A$23:$A$26)+LOOKUP(H102,$E$23:$E$26,$D$23:$D$26)*(H102-LOOKUP(H102,$E$23:$E$26))/LOOKUP(H102,$E$23:$E$26,$C$23:$C$26)</f>
        <v>4.73645236645873</v>
      </c>
      <c r="Y102" s="16" t="n">
        <f aca="false">LOOKUP(I102,$E$23:$E$26,$A$23:$A$26)+LOOKUP(I102,$E$23:$E$26,$D$23:$D$26)*(I102-LOOKUP(I102,$E$23:$E$26))/LOOKUP(I102,$E$23:$E$26,$C$23:$C$26)</f>
        <v>4.5246007340557</v>
      </c>
      <c r="Z102" s="16" t="n">
        <f aca="false">LOOKUP(J102,$E$23:$E$26,$A$23:$A$26)+LOOKUP(J102,$E$23:$E$26,$D$23:$D$26)*(J102-LOOKUP(J102,$E$23:$E$26))/LOOKUP(J102,$E$23:$E$26,$C$23:$C$26)</f>
        <v>5.18165866743615</v>
      </c>
      <c r="AA102" s="16" t="n">
        <f aca="false">LOOKUP(K102,$E$23:$E$26,$A$23:$A$26)+LOOKUP(K102,$E$23:$E$26,$D$23:$D$26)*(K102-LOOKUP(K102,$E$23:$E$26))/LOOKUP(K102,$E$23:$E$26,$C$23:$C$26)</f>
        <v>4.80635928901329</v>
      </c>
      <c r="AB102" s="16" t="n">
        <f aca="false">LOOKUP(L102,$E$23:$E$26,$A$23:$A$26)+LOOKUP(L102,$E$23:$E$26,$D$23:$D$26)*(L102-LOOKUP(L102,$E$23:$E$26))/LOOKUP(L102,$E$23:$E$26,$C$23:$C$26)</f>
        <v>4.92421038593123</v>
      </c>
      <c r="AC102" s="16" t="n">
        <f aca="false">LOOKUP(M102,$E$23:$E$26,$A$23:$A$26)+LOOKUP(M102,$E$23:$E$26,$D$23:$D$26)*(M102-LOOKUP(M102,$E$23:$E$26))/LOOKUP(M102,$E$23:$E$26,$C$23:$C$26)</f>
        <v>5.85953049478654</v>
      </c>
      <c r="AD102" s="16" t="n">
        <f aca="false">LOOKUP(N102,$E$23:$E$26,$A$23:$A$26)+LOOKUP(N102,$E$23:$E$26,$D$23:$D$26)*(N102-LOOKUP(N102,$E$23:$E$26))/LOOKUP(N102,$E$23:$E$26,$C$23:$C$26)</f>
        <v>4.23704429703579</v>
      </c>
      <c r="AE102" s="16" t="n">
        <f aca="false">LOOKUP(O102,$E$23:$E$26,$A$23:$A$26)+LOOKUP(O102,$E$23:$E$26,$D$23:$D$26)*(O102-LOOKUP(O102,$E$23:$E$26))/LOOKUP(O102,$E$23:$E$26,$C$23:$C$26)</f>
        <v>4.18686979427831</v>
      </c>
      <c r="AF102" s="16" t="n">
        <f aca="false">LOOKUP(P102,$E$23:$E$26,$A$23:$A$26)+LOOKUP(P102,$E$23:$E$26,$D$23:$D$26)*(P102-LOOKUP(P102,$E$23:$E$26))/LOOKUP(P102,$E$23:$E$26,$C$23:$C$26)</f>
        <v>4.1321384180705</v>
      </c>
      <c r="AG102" s="16" t="n">
        <f aca="false">LOOKUP(Q102,$E$23:$E$26,$A$23:$A$26)+LOOKUP(Q102,$E$23:$E$26,$D$23:$D$26)*(Q102-LOOKUP(Q102,$E$23:$E$26))/LOOKUP(Q102,$E$23:$E$26,$C$23:$C$26)</f>
        <v>4.29586421869525</v>
      </c>
      <c r="AH102" s="16" t="n">
        <f aca="false">LOOKUP(R102,$E$23:$E$26,$A$23:$A$26)+LOOKUP(R102,$E$23:$E$26,$D$23:$D$26)*(R102-LOOKUP(R102,$E$23:$E$26))/LOOKUP(R102,$E$23:$E$26,$C$23:$C$26)</f>
        <v>4.12266202750012</v>
      </c>
      <c r="AI102" s="16" t="n">
        <f aca="false">LOOKUP(S102,$E$23:$E$26,$A$23:$A$26)+LOOKUP(S102,$E$23:$E$26,$D$23:$D$26)*(S102-LOOKUP(S102,$E$23:$E$26))/LOOKUP(S102,$E$23:$E$26,$C$23:$C$26)</f>
        <v>4.64902154075754</v>
      </c>
      <c r="AJ102" s="16" t="n">
        <f aca="false">SUM($T102:T102)</f>
        <v>4.58820825045098</v>
      </c>
      <c r="AK102" s="16" t="n">
        <f aca="false">SUM($T102:U102)</f>
        <v>10.0281158303032</v>
      </c>
      <c r="AL102" s="16" t="n">
        <f aca="false">SUM($T102:V102)</f>
        <v>14.963728404347</v>
      </c>
      <c r="AM102" s="16" t="n">
        <f aca="false">SUM($T102:W102)</f>
        <v>19.7626292026314</v>
      </c>
      <c r="AN102" s="16" t="n">
        <f aca="false">SUM($T102:X102)</f>
        <v>24.4990815690902</v>
      </c>
      <c r="AO102" s="16" t="n">
        <f aca="false">SUM($T102:Y102)</f>
        <v>29.0236823031459</v>
      </c>
      <c r="AP102" s="16" t="n">
        <f aca="false">SUM($T102:Z102)</f>
        <v>34.205340970582</v>
      </c>
      <c r="AQ102" s="16" t="n">
        <f aca="false">SUM($T102:AA102)</f>
        <v>39.0117002595953</v>
      </c>
      <c r="AR102" s="16" t="n">
        <f aca="false">SUM($T102:AB102)</f>
        <v>43.9359106455266</v>
      </c>
      <c r="AS102" s="16" t="n">
        <f aca="false">SUM($T102:AC102)</f>
        <v>49.7954411403131</v>
      </c>
      <c r="AT102" s="16" t="n">
        <f aca="false">SUM($T102:AD102)</f>
        <v>54.0324854373489</v>
      </c>
      <c r="AU102" s="16" t="n">
        <f aca="false">SUM($T102:AE102)</f>
        <v>58.2193552316272</v>
      </c>
      <c r="AV102" s="16" t="n">
        <f aca="false">SUM($T102:AF102)</f>
        <v>62.3514936496977</v>
      </c>
      <c r="AW102" s="16" t="n">
        <f aca="false">SUM($T102:AG102)</f>
        <v>66.6473578683929</v>
      </c>
      <c r="AX102" s="16" t="n">
        <f aca="false">SUM($T102:AH102)</f>
        <v>70.7700198958931</v>
      </c>
      <c r="AY102" s="16" t="n">
        <f aca="false">SUM($T102:AI102)</f>
        <v>75.4190414366506</v>
      </c>
      <c r="AZ102" s="16" t="n">
        <f aca="false">MAX(C102-AJ102,0)</f>
        <v>58.0571402597834</v>
      </c>
      <c r="BA102" s="16" t="n">
        <f aca="false">MAX(C102-AK102,0)</f>
        <v>52.6172326799312</v>
      </c>
      <c r="BB102" s="16" t="n">
        <f aca="false">MAX(C102-AL102,0)</f>
        <v>47.6816201058874</v>
      </c>
      <c r="BC102" s="16" t="n">
        <f aca="false">MAX(C102-AM102,0)</f>
        <v>42.8827193076029</v>
      </c>
      <c r="BD102" s="16" t="n">
        <f aca="false">MAX(C102-AN102,0)</f>
        <v>38.1462669411442</v>
      </c>
      <c r="BE102" s="16" t="n">
        <f aca="false">MAX(C102-AO102,0)</f>
        <v>33.6216662070885</v>
      </c>
      <c r="BF102" s="16" t="n">
        <f aca="false">MAX(C102-AP102,0)</f>
        <v>28.4400075396523</v>
      </c>
      <c r="BG102" s="16" t="n">
        <f aca="false">MAX(C102-AQ102,0)</f>
        <v>23.633648250639</v>
      </c>
      <c r="BH102" s="16" t="n">
        <f aca="false">MAX(C102-AR102,0)</f>
        <v>18.7094378647078</v>
      </c>
      <c r="BI102" s="16" t="n">
        <f aca="false">MAX(C102-AS102,0)</f>
        <v>12.8499073699213</v>
      </c>
      <c r="BJ102" s="16" t="n">
        <f aca="false">MAX(C102-AT102,0)</f>
        <v>8.61286307288547</v>
      </c>
      <c r="BK102" s="16" t="n">
        <f aca="false">MAX(C102-AU102,0)</f>
        <v>4.42599327860716</v>
      </c>
      <c r="BL102" s="16" t="n">
        <f aca="false">MAX(C102-AV102,0)</f>
        <v>0.293854860536669</v>
      </c>
      <c r="BM102" s="16" t="n">
        <f aca="false">MAX(C102-AW102,0)</f>
        <v>0</v>
      </c>
      <c r="BN102" s="16" t="n">
        <f aca="false">MAX(C102-AX102,0)</f>
        <v>0</v>
      </c>
      <c r="BO102" s="16" t="n">
        <f aca="false">MAX(C102-AY102,0)</f>
        <v>0</v>
      </c>
    </row>
    <row r="103" customFormat="false" ht="15" hidden="false" customHeight="false" outlineLevel="0" collapsed="false">
      <c r="A103" s="3" t="n">
        <v>73</v>
      </c>
      <c r="B103" s="15" t="n">
        <f aca="true">RAND()</f>
        <v>0.574889359725855</v>
      </c>
      <c r="C103" s="16" t="n">
        <f aca="false">LOOKUP(B103,$E$12:$E$17,$A$12:$A$17)+LOOKUP(B103,$E$12:$E$17,$D$12:$D$17)*(B103-LOOKUP(B103,$E$12:$E$17))/LOOKUP(B103,$E$12:$E$17,$C$12:$C$17)</f>
        <v>65.3555622817979</v>
      </c>
      <c r="D103" s="15" t="n">
        <f aca="true">RAND()</f>
        <v>0.776099397587864</v>
      </c>
      <c r="E103" s="15" t="n">
        <f aca="true">RAND()</f>
        <v>0.607247091366638</v>
      </c>
      <c r="F103" s="15" t="n">
        <f aca="true">RAND()</f>
        <v>0.896465161058353</v>
      </c>
      <c r="G103" s="15" t="n">
        <f aca="true">RAND()</f>
        <v>0.848795944554958</v>
      </c>
      <c r="H103" s="15" t="n">
        <f aca="true">RAND()</f>
        <v>0.288787983064014</v>
      </c>
      <c r="I103" s="15" t="n">
        <f aca="true">RAND()</f>
        <v>0.398402127425665</v>
      </c>
      <c r="J103" s="15" t="n">
        <f aca="true">RAND()</f>
        <v>0.887981730427756</v>
      </c>
      <c r="K103" s="15" t="n">
        <f aca="true">RAND()</f>
        <v>0.528579592055481</v>
      </c>
      <c r="L103" s="15" t="n">
        <f aca="true">RAND()</f>
        <v>0.622581852318682</v>
      </c>
      <c r="M103" s="15" t="n">
        <f aca="true">RAND()</f>
        <v>0.252105634731751</v>
      </c>
      <c r="N103" s="15" t="n">
        <f aca="true">RAND()</f>
        <v>0.380435893018972</v>
      </c>
      <c r="O103" s="15" t="n">
        <f aca="true">RAND()</f>
        <v>0.943651866847896</v>
      </c>
      <c r="P103" s="15" t="n">
        <f aca="true">RAND()</f>
        <v>0.410431332854734</v>
      </c>
      <c r="Q103" s="15" t="n">
        <f aca="true">RAND()</f>
        <v>0.209894872106742</v>
      </c>
      <c r="R103" s="15" t="n">
        <f aca="true">RAND()</f>
        <v>0.354894503888778</v>
      </c>
      <c r="S103" s="15" t="n">
        <f aca="true">RAND()</f>
        <v>0.198553264108965</v>
      </c>
      <c r="T103" s="16" t="n">
        <f aca="false">LOOKUP(D103,$E$23:$E$26,$A$23:$A$26)+LOOKUP(D103,$E$23:$E$26,$D$23:$D$26)*(D103-LOOKUP(D103,$E$23:$E$26))/LOOKUP(D103,$E$23:$E$26,$C$23:$C$26)</f>
        <v>5.19024849396966</v>
      </c>
      <c r="U103" s="16" t="n">
        <f aca="false">LOOKUP(E103,$E$23:$E$26,$A$23:$A$26)+LOOKUP(E103,$E$23:$E$26,$D$23:$D$26)*(E103-LOOKUP(E103,$E$23:$E$26))/LOOKUP(E103,$E$23:$E$26,$C$23:$C$26)</f>
        <v>4.8840588642083</v>
      </c>
      <c r="V103" s="16" t="n">
        <f aca="false">LOOKUP(F103,$E$23:$E$26,$A$23:$A$26)+LOOKUP(F103,$E$23:$E$26,$D$23:$D$26)*(F103-LOOKUP(F103,$E$23:$E$26))/LOOKUP(F103,$E$23:$E$26,$C$23:$C$26)</f>
        <v>5.49116290264588</v>
      </c>
      <c r="W103" s="16" t="n">
        <f aca="false">LOOKUP(G103,$E$23:$E$26,$A$23:$A$26)+LOOKUP(G103,$E$23:$E$26,$D$23:$D$26)*(G103-LOOKUP(G103,$E$23:$E$26))/LOOKUP(G103,$E$23:$E$26,$C$23:$C$26)</f>
        <v>5.3719898613874</v>
      </c>
      <c r="X103" s="16" t="n">
        <f aca="false">LOOKUP(H103,$E$23:$E$26,$A$23:$A$26)+LOOKUP(H103,$E$23:$E$26,$D$23:$D$26)*(H103-LOOKUP(H103,$E$23:$E$26))/LOOKUP(H103,$E$23:$E$26,$C$23:$C$26)</f>
        <v>4.48131330510669</v>
      </c>
      <c r="Y103" s="16" t="n">
        <f aca="false">LOOKUP(I103,$E$23:$E$26,$A$23:$A$26)+LOOKUP(I103,$E$23:$E$26,$D$23:$D$26)*(I103-LOOKUP(I103,$E$23:$E$26))/LOOKUP(I103,$E$23:$E$26,$C$23:$C$26)</f>
        <v>4.62300265928208</v>
      </c>
      <c r="Z103" s="16" t="n">
        <f aca="false">LOOKUP(J103,$E$23:$E$26,$A$23:$A$26)+LOOKUP(J103,$E$23:$E$26,$D$23:$D$26)*(J103-LOOKUP(J103,$E$23:$E$26))/LOOKUP(J103,$E$23:$E$26,$C$23:$C$26)</f>
        <v>5.46995432606939</v>
      </c>
      <c r="AA103" s="16" t="n">
        <f aca="false">LOOKUP(K103,$E$23:$E$26,$A$23:$A$26)+LOOKUP(K103,$E$23:$E$26,$D$23:$D$26)*(K103-LOOKUP(K103,$E$23:$E$26))/LOOKUP(K103,$E$23:$E$26,$C$23:$C$26)</f>
        <v>4.78572449006935</v>
      </c>
      <c r="AB103" s="16" t="n">
        <f aca="false">LOOKUP(L103,$E$23:$E$26,$A$23:$A$26)+LOOKUP(L103,$E$23:$E$26,$D$23:$D$26)*(L103-LOOKUP(L103,$E$23:$E$26))/LOOKUP(L103,$E$23:$E$26,$C$23:$C$26)</f>
        <v>4.90322731539835</v>
      </c>
      <c r="AC103" s="16" t="n">
        <f aca="false">LOOKUP(M103,$E$23:$E$26,$A$23:$A$26)+LOOKUP(M103,$E$23:$E$26,$D$23:$D$26)*(M103-LOOKUP(M103,$E$23:$E$26))/LOOKUP(M103,$E$23:$E$26,$C$23:$C$26)</f>
        <v>4.42017605788625</v>
      </c>
      <c r="AD103" s="16" t="n">
        <f aca="false">LOOKUP(N103,$E$23:$E$26,$A$23:$A$26)+LOOKUP(N103,$E$23:$E$26,$D$23:$D$26)*(N103-LOOKUP(N103,$E$23:$E$26))/LOOKUP(N103,$E$23:$E$26,$C$23:$C$26)</f>
        <v>4.60054486627372</v>
      </c>
      <c r="AE103" s="16" t="n">
        <f aca="false">LOOKUP(O103,$E$23:$E$26,$A$23:$A$26)+LOOKUP(O103,$E$23:$E$26,$D$23:$D$26)*(O103-LOOKUP(O103,$E$23:$E$26))/LOOKUP(O103,$E$23:$E$26,$C$23:$C$26)</f>
        <v>5.71825933423948</v>
      </c>
      <c r="AF103" s="16" t="n">
        <f aca="false">LOOKUP(P103,$E$23:$E$26,$A$23:$A$26)+LOOKUP(P103,$E$23:$E$26,$D$23:$D$26)*(P103-LOOKUP(P103,$E$23:$E$26))/LOOKUP(P103,$E$23:$E$26,$C$23:$C$26)</f>
        <v>4.63803916606842</v>
      </c>
      <c r="AG103" s="16" t="n">
        <f aca="false">LOOKUP(Q103,$E$23:$E$26,$A$23:$A$26)+LOOKUP(Q103,$E$23:$E$26,$D$23:$D$26)*(Q103-LOOKUP(Q103,$E$23:$E$26))/LOOKUP(Q103,$E$23:$E$26,$C$23:$C$26)</f>
        <v>4.34982478684457</v>
      </c>
      <c r="AH103" s="16" t="n">
        <f aca="false">LOOKUP(R103,$E$23:$E$26,$A$23:$A$26)+LOOKUP(R103,$E$23:$E$26,$D$23:$D$26)*(R103-LOOKUP(R103,$E$23:$E$26))/LOOKUP(R103,$E$23:$E$26,$C$23:$C$26)</f>
        <v>4.56861812986097</v>
      </c>
      <c r="AI103" s="16" t="n">
        <f aca="false">LOOKUP(S103,$E$23:$E$26,$A$23:$A$26)+LOOKUP(S103,$E$23:$E$26,$D$23:$D$26)*(S103-LOOKUP(S103,$E$23:$E$26))/LOOKUP(S103,$E$23:$E$26,$C$23:$C$26)</f>
        <v>4.33092210684828</v>
      </c>
      <c r="AJ103" s="16" t="n">
        <f aca="false">SUM($T103:T103)</f>
        <v>5.19024849396966</v>
      </c>
      <c r="AK103" s="16" t="n">
        <f aca="false">SUM($T103:U103)</f>
        <v>10.074307358178</v>
      </c>
      <c r="AL103" s="16" t="n">
        <f aca="false">SUM($T103:V103)</f>
        <v>15.5654702608238</v>
      </c>
      <c r="AM103" s="16" t="n">
        <f aca="false">SUM($T103:W103)</f>
        <v>20.9374601222112</v>
      </c>
      <c r="AN103" s="16" t="n">
        <f aca="false">SUM($T103:X103)</f>
        <v>25.4187734273179</v>
      </c>
      <c r="AO103" s="16" t="n">
        <f aca="false">SUM($T103:Y103)</f>
        <v>30.0417760866</v>
      </c>
      <c r="AP103" s="16" t="n">
        <f aca="false">SUM($T103:Z103)</f>
        <v>35.5117304126694</v>
      </c>
      <c r="AQ103" s="16" t="n">
        <f aca="false">SUM($T103:AA103)</f>
        <v>40.2974549027387</v>
      </c>
      <c r="AR103" s="16" t="n">
        <f aca="false">SUM($T103:AB103)</f>
        <v>45.2006822181371</v>
      </c>
      <c r="AS103" s="16" t="n">
        <f aca="false">SUM($T103:AC103)</f>
        <v>49.6208582760234</v>
      </c>
      <c r="AT103" s="16" t="n">
        <f aca="false">SUM($T103:AD103)</f>
        <v>54.2214031422971</v>
      </c>
      <c r="AU103" s="16" t="n">
        <f aca="false">SUM($T103:AE103)</f>
        <v>59.9396624765366</v>
      </c>
      <c r="AV103" s="16" t="n">
        <f aca="false">SUM($T103:AF103)</f>
        <v>64.577701642605</v>
      </c>
      <c r="AW103" s="16" t="n">
        <f aca="false">SUM($T103:AG103)</f>
        <v>68.9275264294495</v>
      </c>
      <c r="AX103" s="16" t="n">
        <f aca="false">SUM($T103:AH103)</f>
        <v>73.4961445593105</v>
      </c>
      <c r="AY103" s="16" t="n">
        <f aca="false">SUM($T103:AI103)</f>
        <v>77.8270666661588</v>
      </c>
      <c r="AZ103" s="16" t="n">
        <f aca="false">MAX(C103-AJ103,0)</f>
        <v>60.1653137878283</v>
      </c>
      <c r="BA103" s="16" t="n">
        <f aca="false">MAX(C103-AK103,0)</f>
        <v>55.28125492362</v>
      </c>
      <c r="BB103" s="16" t="n">
        <f aca="false">MAX(C103-AL103,0)</f>
        <v>49.7900920209741</v>
      </c>
      <c r="BC103" s="16" t="n">
        <f aca="false">MAX(C103-AM103,0)</f>
        <v>44.4181021595867</v>
      </c>
      <c r="BD103" s="16" t="n">
        <f aca="false">MAX(C103-AN103,0)</f>
        <v>39.93678885448</v>
      </c>
      <c r="BE103" s="16" t="n">
        <f aca="false">MAX(C103-AO103,0)</f>
        <v>35.3137861951979</v>
      </c>
      <c r="BF103" s="16" t="n">
        <f aca="false">MAX(C103-AP103,0)</f>
        <v>29.8438318691285</v>
      </c>
      <c r="BG103" s="16" t="n">
        <f aca="false">MAX(C103-AQ103,0)</f>
        <v>25.0581073790592</v>
      </c>
      <c r="BH103" s="16" t="n">
        <f aca="false">MAX(C103-AR103,0)</f>
        <v>20.1548800636608</v>
      </c>
      <c r="BI103" s="16" t="n">
        <f aca="false">MAX(C103-AS103,0)</f>
        <v>15.7347040057746</v>
      </c>
      <c r="BJ103" s="16" t="n">
        <f aca="false">MAX(C103-AT103,0)</f>
        <v>11.1341591395008</v>
      </c>
      <c r="BK103" s="16" t="n">
        <f aca="false">MAX(C103-AU103,0)</f>
        <v>5.41589980526137</v>
      </c>
      <c r="BL103" s="16" t="n">
        <f aca="false">MAX(C103-AV103,0)</f>
        <v>0.777860639192952</v>
      </c>
      <c r="BM103" s="16" t="n">
        <f aca="false">MAX(C103-AW103,0)</f>
        <v>0</v>
      </c>
      <c r="BN103" s="16" t="n">
        <f aca="false">MAX(C103-AX103,0)</f>
        <v>0</v>
      </c>
      <c r="BO103" s="16" t="n">
        <f aca="false">MAX(C103-AY103,0)</f>
        <v>0</v>
      </c>
    </row>
    <row r="104" customFormat="false" ht="15" hidden="false" customHeight="false" outlineLevel="0" collapsed="false">
      <c r="A104" s="3" t="n">
        <v>74</v>
      </c>
      <c r="B104" s="15" t="n">
        <f aca="true">RAND()</f>
        <v>0.342287093140357</v>
      </c>
      <c r="C104" s="16" t="n">
        <f aca="false">LOOKUP(B104,$E$12:$E$17,$A$12:$A$17)+LOOKUP(B104,$E$12:$E$17,$D$12:$D$17)*(B104-LOOKUP(B104,$E$12:$E$17))/LOOKUP(B104,$E$12:$E$17,$C$12:$C$17)</f>
        <v>61.5381182190059</v>
      </c>
      <c r="D104" s="15" t="n">
        <f aca="true">RAND()</f>
        <v>0.988046230643634</v>
      </c>
      <c r="E104" s="15" t="n">
        <f aca="true">RAND()</f>
        <v>0.96311974727999</v>
      </c>
      <c r="F104" s="15" t="n">
        <f aca="true">RAND()</f>
        <v>0.590937091219807</v>
      </c>
      <c r="G104" s="15" t="n">
        <f aca="true">RAND()</f>
        <v>0.568848964730755</v>
      </c>
      <c r="H104" s="15" t="n">
        <f aca="true">RAND()</f>
        <v>0.701083270492492</v>
      </c>
      <c r="I104" s="15" t="n">
        <f aca="true">RAND()</f>
        <v>0.326476315774295</v>
      </c>
      <c r="J104" s="15" t="n">
        <f aca="true">RAND()</f>
        <v>0.794515860445179</v>
      </c>
      <c r="K104" s="15" t="n">
        <f aca="true">RAND()</f>
        <v>0.8255580326052</v>
      </c>
      <c r="L104" s="15" t="n">
        <f aca="true">RAND()</f>
        <v>0.399195175952667</v>
      </c>
      <c r="M104" s="15" t="n">
        <f aca="true">RAND()</f>
        <v>0.177460073570714</v>
      </c>
      <c r="N104" s="15" t="n">
        <f aca="true">RAND()</f>
        <v>0.0408482077706258</v>
      </c>
      <c r="O104" s="15" t="n">
        <f aca="true">RAND()</f>
        <v>0.316756375683663</v>
      </c>
      <c r="P104" s="15" t="n">
        <f aca="true">RAND()</f>
        <v>0.585508307413575</v>
      </c>
      <c r="Q104" s="15" t="n">
        <f aca="true">RAND()</f>
        <v>0.630420281266482</v>
      </c>
      <c r="R104" s="15" t="n">
        <f aca="true">RAND()</f>
        <v>0.181630269257808</v>
      </c>
      <c r="S104" s="15" t="n">
        <f aca="true">RAND()</f>
        <v>0.655910797314201</v>
      </c>
      <c r="T104" s="16" t="n">
        <f aca="false">LOOKUP(D104,$E$23:$E$26,$A$23:$A$26)+LOOKUP(D104,$E$23:$E$26,$D$23:$D$26)*(D104-LOOKUP(D104,$E$23:$E$26))/LOOKUP(D104,$E$23:$E$26,$C$23:$C$26)</f>
        <v>5.94023115321817</v>
      </c>
      <c r="U104" s="16" t="n">
        <f aca="false">LOOKUP(E104,$E$23:$E$26,$A$23:$A$26)+LOOKUP(E104,$E$23:$E$26,$D$23:$D$26)*(E104-LOOKUP(E104,$E$23:$E$26))/LOOKUP(E104,$E$23:$E$26,$C$23:$C$26)</f>
        <v>5.81559873639995</v>
      </c>
      <c r="V104" s="16" t="n">
        <f aca="false">LOOKUP(F104,$E$23:$E$26,$A$23:$A$26)+LOOKUP(F104,$E$23:$E$26,$D$23:$D$26)*(F104-LOOKUP(F104,$E$23:$E$26))/LOOKUP(F104,$E$23:$E$26,$C$23:$C$26)</f>
        <v>4.86367136402476</v>
      </c>
      <c r="W104" s="16" t="n">
        <f aca="false">LOOKUP(G104,$E$23:$E$26,$A$23:$A$26)+LOOKUP(G104,$E$23:$E$26,$D$23:$D$26)*(G104-LOOKUP(G104,$E$23:$E$26))/LOOKUP(G104,$E$23:$E$26,$C$23:$C$26)</f>
        <v>4.83606120591344</v>
      </c>
      <c r="X104" s="16" t="n">
        <f aca="false">LOOKUP(H104,$E$23:$E$26,$A$23:$A$26)+LOOKUP(H104,$E$23:$E$26,$D$23:$D$26)*(H104-LOOKUP(H104,$E$23:$E$26))/LOOKUP(H104,$E$23:$E$26,$C$23:$C$26)</f>
        <v>5.00270817623123</v>
      </c>
      <c r="Y104" s="16" t="n">
        <f aca="false">LOOKUP(I104,$E$23:$E$26,$A$23:$A$26)+LOOKUP(I104,$E$23:$E$26,$D$23:$D$26)*(I104-LOOKUP(I104,$E$23:$E$26))/LOOKUP(I104,$E$23:$E$26,$C$23:$C$26)</f>
        <v>4.53309539471787</v>
      </c>
      <c r="Z104" s="16" t="n">
        <f aca="false">LOOKUP(J104,$E$23:$E$26,$A$23:$A$26)+LOOKUP(J104,$E$23:$E$26,$D$23:$D$26)*(J104-LOOKUP(J104,$E$23:$E$26))/LOOKUP(J104,$E$23:$E$26,$C$23:$C$26)</f>
        <v>5.23628965111295</v>
      </c>
      <c r="AA104" s="16" t="n">
        <f aca="false">LOOKUP(K104,$E$23:$E$26,$A$23:$A$26)+LOOKUP(K104,$E$23:$E$26,$D$23:$D$26)*(K104-LOOKUP(K104,$E$23:$E$26))/LOOKUP(K104,$E$23:$E$26,$C$23:$C$26)</f>
        <v>5.313895081513</v>
      </c>
      <c r="AB104" s="16" t="n">
        <f aca="false">LOOKUP(L104,$E$23:$E$26,$A$23:$A$26)+LOOKUP(L104,$E$23:$E$26,$D$23:$D$26)*(L104-LOOKUP(L104,$E$23:$E$26))/LOOKUP(L104,$E$23:$E$26,$C$23:$C$26)</f>
        <v>4.62399396994083</v>
      </c>
      <c r="AC104" s="16" t="n">
        <f aca="false">LOOKUP(M104,$E$23:$E$26,$A$23:$A$26)+LOOKUP(M104,$E$23:$E$26,$D$23:$D$26)*(M104-LOOKUP(M104,$E$23:$E$26))/LOOKUP(M104,$E$23:$E$26,$C$23:$C$26)</f>
        <v>4.29576678928452</v>
      </c>
      <c r="AD104" s="16" t="n">
        <f aca="false">LOOKUP(N104,$E$23:$E$26,$A$23:$A$26)+LOOKUP(N104,$E$23:$E$26,$D$23:$D$26)*(N104-LOOKUP(N104,$E$23:$E$26))/LOOKUP(N104,$E$23:$E$26,$C$23:$C$26)</f>
        <v>4.06808034628438</v>
      </c>
      <c r="AE104" s="16" t="n">
        <f aca="false">LOOKUP(O104,$E$23:$E$26,$A$23:$A$26)+LOOKUP(O104,$E$23:$E$26,$D$23:$D$26)*(O104-LOOKUP(O104,$E$23:$E$26))/LOOKUP(O104,$E$23:$E$26,$C$23:$C$26)</f>
        <v>4.52094546960458</v>
      </c>
      <c r="AF104" s="16" t="n">
        <f aca="false">LOOKUP(P104,$E$23:$E$26,$A$23:$A$26)+LOOKUP(P104,$E$23:$E$26,$D$23:$D$26)*(P104-LOOKUP(P104,$E$23:$E$26))/LOOKUP(P104,$E$23:$E$26,$C$23:$C$26)</f>
        <v>4.85688538426697</v>
      </c>
      <c r="AG104" s="16" t="n">
        <f aca="false">LOOKUP(Q104,$E$23:$E$26,$A$23:$A$26)+LOOKUP(Q104,$E$23:$E$26,$D$23:$D$26)*(Q104-LOOKUP(Q104,$E$23:$E$26))/LOOKUP(Q104,$E$23:$E$26,$C$23:$C$26)</f>
        <v>4.9130253515831</v>
      </c>
      <c r="AH104" s="16" t="n">
        <f aca="false">LOOKUP(R104,$E$23:$E$26,$A$23:$A$26)+LOOKUP(R104,$E$23:$E$26,$D$23:$D$26)*(R104-LOOKUP(R104,$E$23:$E$26))/LOOKUP(R104,$E$23:$E$26,$C$23:$C$26)</f>
        <v>4.30271711542968</v>
      </c>
      <c r="AI104" s="16" t="n">
        <f aca="false">LOOKUP(S104,$E$23:$E$26,$A$23:$A$26)+LOOKUP(S104,$E$23:$E$26,$D$23:$D$26)*(S104-LOOKUP(S104,$E$23:$E$26))/LOOKUP(S104,$E$23:$E$26,$C$23:$C$26)</f>
        <v>4.94488849664275</v>
      </c>
      <c r="AJ104" s="16" t="n">
        <f aca="false">SUM($T104:T104)</f>
        <v>5.94023115321817</v>
      </c>
      <c r="AK104" s="16" t="n">
        <f aca="false">SUM($T104:U104)</f>
        <v>11.7558298896181</v>
      </c>
      <c r="AL104" s="16" t="n">
        <f aca="false">SUM($T104:V104)</f>
        <v>16.6195012536429</v>
      </c>
      <c r="AM104" s="16" t="n">
        <f aca="false">SUM($T104:W104)</f>
        <v>21.4555624595563</v>
      </c>
      <c r="AN104" s="16" t="n">
        <f aca="false">SUM($T104:X104)</f>
        <v>26.4582706357876</v>
      </c>
      <c r="AO104" s="16" t="n">
        <f aca="false">SUM($T104:Y104)</f>
        <v>30.9913660305054</v>
      </c>
      <c r="AP104" s="16" t="n">
        <f aca="false">SUM($T104:Z104)</f>
        <v>36.2276556816184</v>
      </c>
      <c r="AQ104" s="16" t="n">
        <f aca="false">SUM($T104:AA104)</f>
        <v>41.5415507631314</v>
      </c>
      <c r="AR104" s="16" t="n">
        <f aca="false">SUM($T104:AB104)</f>
        <v>46.1655447330722</v>
      </c>
      <c r="AS104" s="16" t="n">
        <f aca="false">SUM($T104:AC104)</f>
        <v>50.4613115223567</v>
      </c>
      <c r="AT104" s="16" t="n">
        <f aca="false">SUM($T104:AD104)</f>
        <v>54.5293918686411</v>
      </c>
      <c r="AU104" s="16" t="n">
        <f aca="false">SUM($T104:AE104)</f>
        <v>59.0503373382457</v>
      </c>
      <c r="AV104" s="16" t="n">
        <f aca="false">SUM($T104:AF104)</f>
        <v>63.9072227225127</v>
      </c>
      <c r="AW104" s="16" t="n">
        <f aca="false">SUM($T104:AG104)</f>
        <v>68.8202480740958</v>
      </c>
      <c r="AX104" s="16" t="n">
        <f aca="false">SUM($T104:AH104)</f>
        <v>73.1229651895254</v>
      </c>
      <c r="AY104" s="16" t="n">
        <f aca="false">SUM($T104:AI104)</f>
        <v>78.0678536861682</v>
      </c>
      <c r="AZ104" s="16" t="n">
        <f aca="false">MAX(C104-AJ104,0)</f>
        <v>55.5978870657878</v>
      </c>
      <c r="BA104" s="16" t="n">
        <f aca="false">MAX(C104-AK104,0)</f>
        <v>49.7822883293878</v>
      </c>
      <c r="BB104" s="16" t="n">
        <f aca="false">MAX(C104-AL104,0)</f>
        <v>44.9186169653631</v>
      </c>
      <c r="BC104" s="16" t="n">
        <f aca="false">MAX(C104-AM104,0)</f>
        <v>40.0825557594496</v>
      </c>
      <c r="BD104" s="16" t="n">
        <f aca="false">MAX(C104-AN104,0)</f>
        <v>35.0798475832184</v>
      </c>
      <c r="BE104" s="16" t="n">
        <f aca="false">MAX(C104-AO104,0)</f>
        <v>30.5467521885005</v>
      </c>
      <c r="BF104" s="16" t="n">
        <f aca="false">MAX(C104-AP104,0)</f>
        <v>25.3104625373876</v>
      </c>
      <c r="BG104" s="16" t="n">
        <f aca="false">MAX(C104-AQ104,0)</f>
        <v>19.9965674558746</v>
      </c>
      <c r="BH104" s="16" t="n">
        <f aca="false">MAX(C104-AR104,0)</f>
        <v>15.3725734859337</v>
      </c>
      <c r="BI104" s="16" t="n">
        <f aca="false">MAX(C104-AS104,0)</f>
        <v>11.0768066966492</v>
      </c>
      <c r="BJ104" s="16" t="n">
        <f aca="false">MAX(C104-AT104,0)</f>
        <v>7.00872635036484</v>
      </c>
      <c r="BK104" s="16" t="n">
        <f aca="false">MAX(C104-AU104,0)</f>
        <v>2.48778088076026</v>
      </c>
      <c r="BL104" s="16" t="n">
        <f aca="false">MAX(C104-AV104,0)</f>
        <v>0</v>
      </c>
      <c r="BM104" s="16" t="n">
        <f aca="false">MAX(C104-AW104,0)</f>
        <v>0</v>
      </c>
      <c r="BN104" s="16" t="n">
        <f aca="false">MAX(C104-AX104,0)</f>
        <v>0</v>
      </c>
      <c r="BO104" s="16" t="n">
        <f aca="false">MAX(C104-AY104,0)</f>
        <v>0</v>
      </c>
    </row>
    <row r="105" customFormat="false" ht="15" hidden="false" customHeight="false" outlineLevel="0" collapsed="false">
      <c r="A105" s="3" t="n">
        <v>75</v>
      </c>
      <c r="B105" s="15" t="n">
        <f aca="true">RAND()</f>
        <v>0.73243961528524</v>
      </c>
      <c r="C105" s="16" t="n">
        <f aca="false">LOOKUP(B105,$E$12:$E$17,$A$12:$A$17)+LOOKUP(B105,$E$12:$E$17,$D$12:$D$17)*(B105-LOOKUP(B105,$E$12:$E$17))/LOOKUP(B105,$E$12:$E$17,$C$12:$C$17)</f>
        <v>67.6062802183606</v>
      </c>
      <c r="D105" s="15" t="n">
        <f aca="true">RAND()</f>
        <v>0.663407701586396</v>
      </c>
      <c r="E105" s="15" t="n">
        <f aca="true">RAND()</f>
        <v>0.184787592177953</v>
      </c>
      <c r="F105" s="15" t="n">
        <f aca="true">RAND()</f>
        <v>0.00585299690516445</v>
      </c>
      <c r="G105" s="15" t="n">
        <f aca="true">RAND()</f>
        <v>0.413321665236303</v>
      </c>
      <c r="H105" s="15" t="n">
        <f aca="true">RAND()</f>
        <v>0.0492871299364269</v>
      </c>
      <c r="I105" s="15" t="n">
        <f aca="true">RAND()</f>
        <v>0.222553602296377</v>
      </c>
      <c r="J105" s="15" t="n">
        <f aca="true">RAND()</f>
        <v>0.335424748835053</v>
      </c>
      <c r="K105" s="15" t="n">
        <f aca="true">RAND()</f>
        <v>0.494551182588167</v>
      </c>
      <c r="L105" s="15" t="n">
        <f aca="true">RAND()</f>
        <v>0.33907844890398</v>
      </c>
      <c r="M105" s="15" t="n">
        <f aca="true">RAND()</f>
        <v>0.595626066837584</v>
      </c>
      <c r="N105" s="15" t="n">
        <f aca="true">RAND()</f>
        <v>0.629038017088594</v>
      </c>
      <c r="O105" s="15" t="n">
        <f aca="true">RAND()</f>
        <v>0.72201677492639</v>
      </c>
      <c r="P105" s="15" t="n">
        <f aca="true">RAND()</f>
        <v>0.10257878362468</v>
      </c>
      <c r="Q105" s="15" t="n">
        <f aca="true">RAND()</f>
        <v>0.556186711713336</v>
      </c>
      <c r="R105" s="15" t="n">
        <f aca="true">RAND()</f>
        <v>0.26154812763845</v>
      </c>
      <c r="S105" s="15" t="n">
        <f aca="true">RAND()</f>
        <v>0.305871895766693</v>
      </c>
      <c r="T105" s="16" t="n">
        <f aca="false">LOOKUP(D105,$E$23:$E$26,$A$23:$A$26)+LOOKUP(D105,$E$23:$E$26,$D$23:$D$26)*(D105-LOOKUP(D105,$E$23:$E$26))/LOOKUP(D105,$E$23:$E$26,$C$23:$C$26)</f>
        <v>4.954259626983</v>
      </c>
      <c r="U105" s="16" t="n">
        <f aca="false">LOOKUP(E105,$E$23:$E$26,$A$23:$A$26)+LOOKUP(E105,$E$23:$E$26,$D$23:$D$26)*(E105-LOOKUP(E105,$E$23:$E$26))/LOOKUP(E105,$E$23:$E$26,$C$23:$C$26)</f>
        <v>4.30797932029659</v>
      </c>
      <c r="V105" s="16" t="n">
        <f aca="false">LOOKUP(F105,$E$23:$E$26,$A$23:$A$26)+LOOKUP(F105,$E$23:$E$26,$D$23:$D$26)*(F105-LOOKUP(F105,$E$23:$E$26))/LOOKUP(F105,$E$23:$E$26,$C$23:$C$26)</f>
        <v>4.00975499484194</v>
      </c>
      <c r="W105" s="16" t="n">
        <f aca="false">LOOKUP(G105,$E$23:$E$26,$A$23:$A$26)+LOOKUP(G105,$E$23:$E$26,$D$23:$D$26)*(G105-LOOKUP(G105,$E$23:$E$26))/LOOKUP(G105,$E$23:$E$26,$C$23:$C$26)</f>
        <v>4.64165208154538</v>
      </c>
      <c r="X105" s="16" t="n">
        <f aca="false">LOOKUP(H105,$E$23:$E$26,$A$23:$A$26)+LOOKUP(H105,$E$23:$E$26,$D$23:$D$26)*(H105-LOOKUP(H105,$E$23:$E$26))/LOOKUP(H105,$E$23:$E$26,$C$23:$C$26)</f>
        <v>4.08214521656071</v>
      </c>
      <c r="Y105" s="16" t="n">
        <f aca="false">LOOKUP(I105,$E$23:$E$26,$A$23:$A$26)+LOOKUP(I105,$E$23:$E$26,$D$23:$D$26)*(I105-LOOKUP(I105,$E$23:$E$26))/LOOKUP(I105,$E$23:$E$26,$C$23:$C$26)</f>
        <v>4.37092267049396</v>
      </c>
      <c r="Z105" s="16" t="n">
        <f aca="false">LOOKUP(J105,$E$23:$E$26,$A$23:$A$26)+LOOKUP(J105,$E$23:$E$26,$D$23:$D$26)*(J105-LOOKUP(J105,$E$23:$E$26))/LOOKUP(J105,$E$23:$E$26,$C$23:$C$26)</f>
        <v>4.54428093604382</v>
      </c>
      <c r="AA105" s="16" t="n">
        <f aca="false">LOOKUP(K105,$E$23:$E$26,$A$23:$A$26)+LOOKUP(K105,$E$23:$E$26,$D$23:$D$26)*(K105-LOOKUP(K105,$E$23:$E$26))/LOOKUP(K105,$E$23:$E$26,$C$23:$C$26)</f>
        <v>4.74318897823521</v>
      </c>
      <c r="AB105" s="16" t="n">
        <f aca="false">LOOKUP(L105,$E$23:$E$26,$A$23:$A$26)+LOOKUP(L105,$E$23:$E$26,$D$23:$D$26)*(L105-LOOKUP(L105,$E$23:$E$26))/LOOKUP(L105,$E$23:$E$26,$C$23:$C$26)</f>
        <v>4.54884806112998</v>
      </c>
      <c r="AC105" s="16" t="n">
        <f aca="false">LOOKUP(M105,$E$23:$E$26,$A$23:$A$26)+LOOKUP(M105,$E$23:$E$26,$D$23:$D$26)*(M105-LOOKUP(M105,$E$23:$E$26))/LOOKUP(M105,$E$23:$E$26,$C$23:$C$26)</f>
        <v>4.86953258354698</v>
      </c>
      <c r="AD105" s="16" t="n">
        <f aca="false">LOOKUP(N105,$E$23:$E$26,$A$23:$A$26)+LOOKUP(N105,$E$23:$E$26,$D$23:$D$26)*(N105-LOOKUP(N105,$E$23:$E$26))/LOOKUP(N105,$E$23:$E$26,$C$23:$C$26)</f>
        <v>4.91129752136074</v>
      </c>
      <c r="AE105" s="16" t="n">
        <f aca="false">LOOKUP(O105,$E$23:$E$26,$A$23:$A$26)+LOOKUP(O105,$E$23:$E$26,$D$23:$D$26)*(O105-LOOKUP(O105,$E$23:$E$26))/LOOKUP(O105,$E$23:$E$26,$C$23:$C$26)</f>
        <v>5.05504193731597</v>
      </c>
      <c r="AF105" s="16" t="n">
        <f aca="false">LOOKUP(P105,$E$23:$E$26,$A$23:$A$26)+LOOKUP(P105,$E$23:$E$26,$D$23:$D$26)*(P105-LOOKUP(P105,$E$23:$E$26))/LOOKUP(P105,$E$23:$E$26,$C$23:$C$26)</f>
        <v>4.17096463937447</v>
      </c>
      <c r="AG105" s="16" t="n">
        <f aca="false">LOOKUP(Q105,$E$23:$E$26,$A$23:$A$26)+LOOKUP(Q105,$E$23:$E$26,$D$23:$D$26)*(Q105-LOOKUP(Q105,$E$23:$E$26))/LOOKUP(Q105,$E$23:$E$26,$C$23:$C$26)</f>
        <v>4.82023338964167</v>
      </c>
      <c r="AH105" s="16" t="n">
        <f aca="false">LOOKUP(R105,$E$23:$E$26,$A$23:$A$26)+LOOKUP(R105,$E$23:$E$26,$D$23:$D$26)*(R105-LOOKUP(R105,$E$23:$E$26))/LOOKUP(R105,$E$23:$E$26,$C$23:$C$26)</f>
        <v>4.43591354606408</v>
      </c>
      <c r="AI105" s="16" t="n">
        <f aca="false">LOOKUP(S105,$E$23:$E$26,$A$23:$A$26)+LOOKUP(S105,$E$23:$E$26,$D$23:$D$26)*(S105-LOOKUP(S105,$E$23:$E$26))/LOOKUP(S105,$E$23:$E$26,$C$23:$C$26)</f>
        <v>4.50733986970837</v>
      </c>
      <c r="AJ105" s="16" t="n">
        <f aca="false">SUM($T105:T105)</f>
        <v>4.954259626983</v>
      </c>
      <c r="AK105" s="16" t="n">
        <f aca="false">SUM($T105:U105)</f>
        <v>9.26223894727958</v>
      </c>
      <c r="AL105" s="16" t="n">
        <f aca="false">SUM($T105:V105)</f>
        <v>13.2719939421215</v>
      </c>
      <c r="AM105" s="16" t="n">
        <f aca="false">SUM($T105:W105)</f>
        <v>17.9136460236669</v>
      </c>
      <c r="AN105" s="16" t="n">
        <f aca="false">SUM($T105:X105)</f>
        <v>21.9957912402276</v>
      </c>
      <c r="AO105" s="16" t="n">
        <f aca="false">SUM($T105:Y105)</f>
        <v>26.3667139107216</v>
      </c>
      <c r="AP105" s="16" t="n">
        <f aca="false">SUM($T105:Z105)</f>
        <v>30.9109948467654</v>
      </c>
      <c r="AQ105" s="16" t="n">
        <f aca="false">SUM($T105:AA105)</f>
        <v>35.6541838250006</v>
      </c>
      <c r="AR105" s="16" t="n">
        <f aca="false">SUM($T105:AB105)</f>
        <v>40.2030318861306</v>
      </c>
      <c r="AS105" s="16" t="n">
        <f aca="false">SUM($T105:AC105)</f>
        <v>45.0725644696776</v>
      </c>
      <c r="AT105" s="16" t="n">
        <f aca="false">SUM($T105:AD105)</f>
        <v>49.9838619910383</v>
      </c>
      <c r="AU105" s="16" t="n">
        <f aca="false">SUM($T105:AE105)</f>
        <v>55.0389039283543</v>
      </c>
      <c r="AV105" s="16" t="n">
        <f aca="false">SUM($T105:AF105)</f>
        <v>59.2098685677287</v>
      </c>
      <c r="AW105" s="16" t="n">
        <f aca="false">SUM($T105:AG105)</f>
        <v>64.0301019573704</v>
      </c>
      <c r="AX105" s="16" t="n">
        <f aca="false">SUM($T105:AH105)</f>
        <v>68.4660155034345</v>
      </c>
      <c r="AY105" s="16" t="n">
        <f aca="false">SUM($T105:AI105)</f>
        <v>72.9733553731429</v>
      </c>
      <c r="AZ105" s="16" t="n">
        <f aca="false">MAX(C105-AJ105,0)</f>
        <v>62.6520205913776</v>
      </c>
      <c r="BA105" s="16" t="n">
        <f aca="false">MAX(C105-AK105,0)</f>
        <v>58.344041271081</v>
      </c>
      <c r="BB105" s="16" t="n">
        <f aca="false">MAX(C105-AL105,0)</f>
        <v>54.334286276239</v>
      </c>
      <c r="BC105" s="16" t="n">
        <f aca="false">MAX(C105-AM105,0)</f>
        <v>49.6926341946937</v>
      </c>
      <c r="BD105" s="16" t="n">
        <f aca="false">MAX(C105-AN105,0)</f>
        <v>45.610488978133</v>
      </c>
      <c r="BE105" s="16" t="n">
        <f aca="false">MAX(C105-AO105,0)</f>
        <v>41.239566307639</v>
      </c>
      <c r="BF105" s="16" t="n">
        <f aca="false">MAX(C105-AP105,0)</f>
        <v>36.6952853715952</v>
      </c>
      <c r="BG105" s="16" t="n">
        <f aca="false">MAX(C105-AQ105,0)</f>
        <v>31.95209639336</v>
      </c>
      <c r="BH105" s="16" t="n">
        <f aca="false">MAX(C105-AR105,0)</f>
        <v>27.40324833223</v>
      </c>
      <c r="BI105" s="16" t="n">
        <f aca="false">MAX(C105-AS105,0)</f>
        <v>22.533715748683</v>
      </c>
      <c r="BJ105" s="16" t="n">
        <f aca="false">MAX(C105-AT105,0)</f>
        <v>17.6224182273223</v>
      </c>
      <c r="BK105" s="16" t="n">
        <f aca="false">MAX(C105-AU105,0)</f>
        <v>12.5673762900063</v>
      </c>
      <c r="BL105" s="16" t="n">
        <f aca="false">MAX(C105-AV105,0)</f>
        <v>8.39641165063183</v>
      </c>
      <c r="BM105" s="16" t="n">
        <f aca="false">MAX(C105-AW105,0)</f>
        <v>3.57617826099016</v>
      </c>
      <c r="BN105" s="16" t="n">
        <f aca="false">MAX(C105-AX105,0)</f>
        <v>0</v>
      </c>
      <c r="BO105" s="16" t="n">
        <f aca="false">MAX(C105-AY105,0)</f>
        <v>0</v>
      </c>
    </row>
    <row r="106" customFormat="false" ht="15" hidden="false" customHeight="false" outlineLevel="0" collapsed="false">
      <c r="A106" s="3" t="n">
        <v>76</v>
      </c>
      <c r="B106" s="15" t="n">
        <f aca="true">RAND()</f>
        <v>0.833596171864063</v>
      </c>
      <c r="C106" s="16" t="n">
        <f aca="false">LOOKUP(B106,$E$12:$E$17,$A$12:$A$17)+LOOKUP(B106,$E$12:$E$17,$D$12:$D$17)*(B106-LOOKUP(B106,$E$12:$E$17))/LOOKUP(B106,$E$12:$E$17,$C$12:$C$17)</f>
        <v>69.0513738837723</v>
      </c>
      <c r="D106" s="15" t="n">
        <f aca="true">RAND()</f>
        <v>0.655497793384703</v>
      </c>
      <c r="E106" s="15" t="n">
        <f aca="true">RAND()</f>
        <v>0.283383638781008</v>
      </c>
      <c r="F106" s="15" t="n">
        <f aca="true">RAND()</f>
        <v>0.790702682112824</v>
      </c>
      <c r="G106" s="15" t="n">
        <f aca="true">RAND()</f>
        <v>0.595904735754075</v>
      </c>
      <c r="H106" s="15" t="n">
        <f aca="true">RAND()</f>
        <v>0.435631112124417</v>
      </c>
      <c r="I106" s="15" t="n">
        <f aca="true">RAND()</f>
        <v>0.726652328608581</v>
      </c>
      <c r="J106" s="15" t="n">
        <f aca="true">RAND()</f>
        <v>0.625511233067325</v>
      </c>
      <c r="K106" s="15" t="n">
        <f aca="true">RAND()</f>
        <v>0.213926358145341</v>
      </c>
      <c r="L106" s="15" t="n">
        <f aca="true">RAND()</f>
        <v>0.459278424702819</v>
      </c>
      <c r="M106" s="15" t="n">
        <f aca="true">RAND()</f>
        <v>0.370182249110365</v>
      </c>
      <c r="N106" s="15" t="n">
        <f aca="true">RAND()</f>
        <v>0.314326831799623</v>
      </c>
      <c r="O106" s="15" t="n">
        <f aca="true">RAND()</f>
        <v>0.0555051587609318</v>
      </c>
      <c r="P106" s="15" t="n">
        <f aca="true">RAND()</f>
        <v>0.0668563027576497</v>
      </c>
      <c r="Q106" s="15" t="n">
        <f aca="true">RAND()</f>
        <v>0.0263275643742035</v>
      </c>
      <c r="R106" s="15" t="n">
        <f aca="true">RAND()</f>
        <v>0.656153330990799</v>
      </c>
      <c r="S106" s="15" t="n">
        <f aca="true">RAND()</f>
        <v>0.703130130653539</v>
      </c>
      <c r="T106" s="16" t="n">
        <f aca="false">LOOKUP(D106,$E$23:$E$26,$A$23:$A$26)+LOOKUP(D106,$E$23:$E$26,$D$23:$D$26)*(D106-LOOKUP(D106,$E$23:$E$26))/LOOKUP(D106,$E$23:$E$26,$C$23:$C$26)</f>
        <v>4.94437224173088</v>
      </c>
      <c r="U106" s="16" t="n">
        <f aca="false">LOOKUP(E106,$E$23:$E$26,$A$23:$A$26)+LOOKUP(E106,$E$23:$E$26,$D$23:$D$26)*(E106-LOOKUP(E106,$E$23:$E$26))/LOOKUP(E106,$E$23:$E$26,$C$23:$C$26)</f>
        <v>4.47230606463501</v>
      </c>
      <c r="V106" s="16" t="n">
        <f aca="false">LOOKUP(F106,$E$23:$E$26,$A$23:$A$26)+LOOKUP(F106,$E$23:$E$26,$D$23:$D$26)*(F106-LOOKUP(F106,$E$23:$E$26))/LOOKUP(F106,$E$23:$E$26,$C$23:$C$26)</f>
        <v>5.22675670528206</v>
      </c>
      <c r="W106" s="16" t="n">
        <f aca="false">LOOKUP(G106,$E$23:$E$26,$A$23:$A$26)+LOOKUP(G106,$E$23:$E$26,$D$23:$D$26)*(G106-LOOKUP(G106,$E$23:$E$26))/LOOKUP(G106,$E$23:$E$26,$C$23:$C$26)</f>
        <v>4.86988091969259</v>
      </c>
      <c r="X106" s="16" t="n">
        <f aca="false">LOOKUP(H106,$E$23:$E$26,$A$23:$A$26)+LOOKUP(H106,$E$23:$E$26,$D$23:$D$26)*(H106-LOOKUP(H106,$E$23:$E$26))/LOOKUP(H106,$E$23:$E$26,$C$23:$C$26)</f>
        <v>4.66953889015552</v>
      </c>
      <c r="Y106" s="16" t="n">
        <f aca="false">LOOKUP(I106,$E$23:$E$26,$A$23:$A$26)+LOOKUP(I106,$E$23:$E$26,$D$23:$D$26)*(I106-LOOKUP(I106,$E$23:$E$26))/LOOKUP(I106,$E$23:$E$26,$C$23:$C$26)</f>
        <v>5.06663082152145</v>
      </c>
      <c r="Z106" s="16" t="n">
        <f aca="false">LOOKUP(J106,$E$23:$E$26,$A$23:$A$26)+LOOKUP(J106,$E$23:$E$26,$D$23:$D$26)*(J106-LOOKUP(J106,$E$23:$E$26))/LOOKUP(J106,$E$23:$E$26,$C$23:$C$26)</f>
        <v>4.90688904133416</v>
      </c>
      <c r="AA106" s="16" t="n">
        <f aca="false">LOOKUP(K106,$E$23:$E$26,$A$23:$A$26)+LOOKUP(K106,$E$23:$E$26,$D$23:$D$26)*(K106-LOOKUP(K106,$E$23:$E$26))/LOOKUP(K106,$E$23:$E$26,$C$23:$C$26)</f>
        <v>4.35654393024224</v>
      </c>
      <c r="AB106" s="16" t="n">
        <f aca="false">LOOKUP(L106,$E$23:$E$26,$A$23:$A$26)+LOOKUP(L106,$E$23:$E$26,$D$23:$D$26)*(L106-LOOKUP(L106,$E$23:$E$26))/LOOKUP(L106,$E$23:$E$26,$C$23:$C$26)</f>
        <v>4.69909803087852</v>
      </c>
      <c r="AC106" s="16" t="n">
        <f aca="false">LOOKUP(M106,$E$23:$E$26,$A$23:$A$26)+LOOKUP(M106,$E$23:$E$26,$D$23:$D$26)*(M106-LOOKUP(M106,$E$23:$E$26))/LOOKUP(M106,$E$23:$E$26,$C$23:$C$26)</f>
        <v>4.58772781138796</v>
      </c>
      <c r="AD106" s="16" t="n">
        <f aca="false">LOOKUP(N106,$E$23:$E$26,$A$23:$A$26)+LOOKUP(N106,$E$23:$E$26,$D$23:$D$26)*(N106-LOOKUP(N106,$E$23:$E$26))/LOOKUP(N106,$E$23:$E$26,$C$23:$C$26)</f>
        <v>4.51790853974953</v>
      </c>
      <c r="AE106" s="16" t="n">
        <f aca="false">LOOKUP(O106,$E$23:$E$26,$A$23:$A$26)+LOOKUP(O106,$E$23:$E$26,$D$23:$D$26)*(O106-LOOKUP(O106,$E$23:$E$26))/LOOKUP(O106,$E$23:$E$26,$C$23:$C$26)</f>
        <v>4.09250859793489</v>
      </c>
      <c r="AF106" s="16" t="n">
        <f aca="false">LOOKUP(P106,$E$23:$E$26,$A$23:$A$26)+LOOKUP(P106,$E$23:$E$26,$D$23:$D$26)*(P106-LOOKUP(P106,$E$23:$E$26))/LOOKUP(P106,$E$23:$E$26,$C$23:$C$26)</f>
        <v>4.11142717126275</v>
      </c>
      <c r="AG106" s="16" t="n">
        <f aca="false">LOOKUP(Q106,$E$23:$E$26,$A$23:$A$26)+LOOKUP(Q106,$E$23:$E$26,$D$23:$D$26)*(Q106-LOOKUP(Q106,$E$23:$E$26))/LOOKUP(Q106,$E$23:$E$26,$C$23:$C$26)</f>
        <v>4.04387927395701</v>
      </c>
      <c r="AH106" s="16" t="n">
        <f aca="false">LOOKUP(R106,$E$23:$E$26,$A$23:$A$26)+LOOKUP(R106,$E$23:$E$26,$D$23:$D$26)*(R106-LOOKUP(R106,$E$23:$E$26))/LOOKUP(R106,$E$23:$E$26,$C$23:$C$26)</f>
        <v>4.9451916637385</v>
      </c>
      <c r="AI106" s="16" t="n">
        <f aca="false">LOOKUP(S106,$E$23:$E$26,$A$23:$A$26)+LOOKUP(S106,$E$23:$E$26,$D$23:$D$26)*(S106-LOOKUP(S106,$E$23:$E$26))/LOOKUP(S106,$E$23:$E$26,$C$23:$C$26)</f>
        <v>5.00782532663385</v>
      </c>
      <c r="AJ106" s="16" t="n">
        <f aca="false">SUM($T106:T106)</f>
        <v>4.94437224173088</v>
      </c>
      <c r="AK106" s="16" t="n">
        <f aca="false">SUM($T106:U106)</f>
        <v>9.41667830636589</v>
      </c>
      <c r="AL106" s="16" t="n">
        <f aca="false">SUM($T106:V106)</f>
        <v>14.643435011648</v>
      </c>
      <c r="AM106" s="16" t="n">
        <f aca="false">SUM($T106:W106)</f>
        <v>19.5133159313405</v>
      </c>
      <c r="AN106" s="16" t="n">
        <f aca="false">SUM($T106:X106)</f>
        <v>24.1828548214961</v>
      </c>
      <c r="AO106" s="16" t="n">
        <f aca="false">SUM($T106:Y106)</f>
        <v>29.2494856430175</v>
      </c>
      <c r="AP106" s="16" t="n">
        <f aca="false">SUM($T106:Z106)</f>
        <v>34.1563746843517</v>
      </c>
      <c r="AQ106" s="16" t="n">
        <f aca="false">SUM($T106:AA106)</f>
        <v>38.5129186145939</v>
      </c>
      <c r="AR106" s="16" t="n">
        <f aca="false">SUM($T106:AB106)</f>
        <v>43.2120166454724</v>
      </c>
      <c r="AS106" s="16" t="n">
        <f aca="false">SUM($T106:AC106)</f>
        <v>47.7997444568604</v>
      </c>
      <c r="AT106" s="16" t="n">
        <f aca="false">SUM($T106:AD106)</f>
        <v>52.3176529966099</v>
      </c>
      <c r="AU106" s="16" t="n">
        <f aca="false">SUM($T106:AE106)</f>
        <v>56.4101615945448</v>
      </c>
      <c r="AV106" s="16" t="n">
        <f aca="false">SUM($T106:AF106)</f>
        <v>60.5215887658076</v>
      </c>
      <c r="AW106" s="16" t="n">
        <f aca="false">SUM($T106:AG106)</f>
        <v>64.5654680397646</v>
      </c>
      <c r="AX106" s="16" t="n">
        <f aca="false">SUM($T106:AH106)</f>
        <v>69.5106597035031</v>
      </c>
      <c r="AY106" s="16" t="n">
        <f aca="false">SUM($T106:AI106)</f>
        <v>74.5184850301369</v>
      </c>
      <c r="AZ106" s="16" t="n">
        <f aca="false">MAX(C106-AJ106,0)</f>
        <v>64.1070016420415</v>
      </c>
      <c r="BA106" s="16" t="n">
        <f aca="false">MAX(C106-AK106,0)</f>
        <v>59.6346955774064</v>
      </c>
      <c r="BB106" s="16" t="n">
        <f aca="false">MAX(C106-AL106,0)</f>
        <v>54.4079388721244</v>
      </c>
      <c r="BC106" s="16" t="n">
        <f aca="false">MAX(C106-AM106,0)</f>
        <v>49.5380579524318</v>
      </c>
      <c r="BD106" s="16" t="n">
        <f aca="false">MAX(C106-AN106,0)</f>
        <v>44.8685190622763</v>
      </c>
      <c r="BE106" s="16" t="n">
        <f aca="false">MAX(C106-AO106,0)</f>
        <v>39.8018882407548</v>
      </c>
      <c r="BF106" s="16" t="n">
        <f aca="false">MAX(C106-AP106,0)</f>
        <v>34.8949991994207</v>
      </c>
      <c r="BG106" s="16" t="n">
        <f aca="false">MAX(C106-AQ106,0)</f>
        <v>30.5384552691784</v>
      </c>
      <c r="BH106" s="16" t="n">
        <f aca="false">MAX(C106-AR106,0)</f>
        <v>25.8393572382999</v>
      </c>
      <c r="BI106" s="16" t="n">
        <f aca="false">MAX(C106-AS106,0)</f>
        <v>21.2516294269119</v>
      </c>
      <c r="BJ106" s="16" t="n">
        <f aca="false">MAX(C106-AT106,0)</f>
        <v>16.7337208871624</v>
      </c>
      <c r="BK106" s="16" t="n">
        <f aca="false">MAX(C106-AU106,0)</f>
        <v>12.6412122892275</v>
      </c>
      <c r="BL106" s="16" t="n">
        <f aca="false">MAX(C106-AV106,0)</f>
        <v>8.52978511796478</v>
      </c>
      <c r="BM106" s="16" t="n">
        <f aca="false">MAX(C106-AW106,0)</f>
        <v>4.48590584400776</v>
      </c>
      <c r="BN106" s="16" t="n">
        <f aca="false">MAX(C106-AX106,0)</f>
        <v>0</v>
      </c>
      <c r="BO106" s="16" t="n">
        <f aca="false">MAX(C106-AY106,0)</f>
        <v>0</v>
      </c>
    </row>
    <row r="107" customFormat="false" ht="15" hidden="false" customHeight="false" outlineLevel="0" collapsed="false">
      <c r="A107" s="3" t="n">
        <v>77</v>
      </c>
      <c r="B107" s="15" t="n">
        <f aca="true">RAND()</f>
        <v>0.77599811217359</v>
      </c>
      <c r="C107" s="16" t="n">
        <f aca="false">LOOKUP(B107,$E$12:$E$17,$A$12:$A$17)+LOOKUP(B107,$E$12:$E$17,$D$12:$D$17)*(B107-LOOKUP(B107,$E$12:$E$17))/LOOKUP(B107,$E$12:$E$17,$C$12:$C$17)</f>
        <v>68.2285444596227</v>
      </c>
      <c r="D107" s="15" t="n">
        <f aca="true">RAND()</f>
        <v>0.825726780084685</v>
      </c>
      <c r="E107" s="15" t="n">
        <f aca="true">RAND()</f>
        <v>0.358317602149351</v>
      </c>
      <c r="F107" s="15" t="n">
        <f aca="true">RAND()</f>
        <v>0.0969901432530001</v>
      </c>
      <c r="G107" s="15" t="n">
        <f aca="true">RAND()</f>
        <v>0.750745674171517</v>
      </c>
      <c r="H107" s="15" t="n">
        <f aca="true">RAND()</f>
        <v>0.586524757558641</v>
      </c>
      <c r="I107" s="15" t="n">
        <f aca="true">RAND()</f>
        <v>0.737404875054796</v>
      </c>
      <c r="J107" s="15" t="n">
        <f aca="true">RAND()</f>
        <v>0.602153540942229</v>
      </c>
      <c r="K107" s="15" t="n">
        <f aca="true">RAND()</f>
        <v>0.630105075816853</v>
      </c>
      <c r="L107" s="15" t="n">
        <f aca="true">RAND()</f>
        <v>0.189217597320974</v>
      </c>
      <c r="M107" s="15" t="n">
        <f aca="true">RAND()</f>
        <v>0.419047329272977</v>
      </c>
      <c r="N107" s="15" t="n">
        <f aca="true">RAND()</f>
        <v>0.715657053035458</v>
      </c>
      <c r="O107" s="15" t="n">
        <f aca="true">RAND()</f>
        <v>0.276171839196769</v>
      </c>
      <c r="P107" s="15" t="n">
        <f aca="true">RAND()</f>
        <v>0.111404560655977</v>
      </c>
      <c r="Q107" s="15" t="n">
        <f aca="true">RAND()</f>
        <v>0.398835170884868</v>
      </c>
      <c r="R107" s="15" t="n">
        <f aca="true">RAND()</f>
        <v>0.790863582780378</v>
      </c>
      <c r="S107" s="15" t="n">
        <f aca="true">RAND()</f>
        <v>0.0659539241638956</v>
      </c>
      <c r="T107" s="16" t="n">
        <f aca="false">LOOKUP(D107,$E$23:$E$26,$A$23:$A$26)+LOOKUP(D107,$E$23:$E$26,$D$23:$D$26)*(D107-LOOKUP(D107,$E$23:$E$26))/LOOKUP(D107,$E$23:$E$26,$C$23:$C$26)</f>
        <v>5.31431695021171</v>
      </c>
      <c r="U107" s="16" t="n">
        <f aca="false">LOOKUP(E107,$E$23:$E$26,$A$23:$A$26)+LOOKUP(E107,$E$23:$E$26,$D$23:$D$26)*(E107-LOOKUP(E107,$E$23:$E$26))/LOOKUP(E107,$E$23:$E$26,$C$23:$C$26)</f>
        <v>4.57289700268669</v>
      </c>
      <c r="V107" s="16" t="n">
        <f aca="false">LOOKUP(F107,$E$23:$E$26,$A$23:$A$26)+LOOKUP(F107,$E$23:$E$26,$D$23:$D$26)*(F107-LOOKUP(F107,$E$23:$E$26))/LOOKUP(F107,$E$23:$E$26,$C$23:$C$26)</f>
        <v>4.161650238755</v>
      </c>
      <c r="W107" s="16" t="n">
        <f aca="false">LOOKUP(G107,$E$23:$E$26,$A$23:$A$26)+LOOKUP(G107,$E$23:$E$26,$D$23:$D$26)*(G107-LOOKUP(G107,$E$23:$E$26))/LOOKUP(G107,$E$23:$E$26,$C$23:$C$26)</f>
        <v>5.12686418542879</v>
      </c>
      <c r="X107" s="16" t="n">
        <f aca="false">LOOKUP(H107,$E$23:$E$26,$A$23:$A$26)+LOOKUP(H107,$E$23:$E$26,$D$23:$D$26)*(H107-LOOKUP(H107,$E$23:$E$26))/LOOKUP(H107,$E$23:$E$26,$C$23:$C$26)</f>
        <v>4.8581559469483</v>
      </c>
      <c r="Y107" s="16" t="n">
        <f aca="false">LOOKUP(I107,$E$23:$E$26,$A$23:$A$26)+LOOKUP(I107,$E$23:$E$26,$D$23:$D$26)*(I107-LOOKUP(I107,$E$23:$E$26))/LOOKUP(I107,$E$23:$E$26,$C$23:$C$26)</f>
        <v>5.09351218763699</v>
      </c>
      <c r="Z107" s="16" t="n">
        <f aca="false">LOOKUP(J107,$E$23:$E$26,$A$23:$A$26)+LOOKUP(J107,$E$23:$E$26,$D$23:$D$26)*(J107-LOOKUP(J107,$E$23:$E$26))/LOOKUP(J107,$E$23:$E$26,$C$23:$C$26)</f>
        <v>4.87769192617779</v>
      </c>
      <c r="AA107" s="16" t="n">
        <f aca="false">LOOKUP(K107,$E$23:$E$26,$A$23:$A$26)+LOOKUP(K107,$E$23:$E$26,$D$23:$D$26)*(K107-LOOKUP(K107,$E$23:$E$26))/LOOKUP(K107,$E$23:$E$26,$C$23:$C$26)</f>
        <v>4.91263134477107</v>
      </c>
      <c r="AB107" s="16" t="n">
        <f aca="false">LOOKUP(L107,$E$23:$E$26,$A$23:$A$26)+LOOKUP(L107,$E$23:$E$26,$D$23:$D$26)*(L107-LOOKUP(L107,$E$23:$E$26))/LOOKUP(L107,$E$23:$E$26,$C$23:$C$26)</f>
        <v>4.31536266220162</v>
      </c>
      <c r="AC107" s="16" t="n">
        <f aca="false">LOOKUP(M107,$E$23:$E$26,$A$23:$A$26)+LOOKUP(M107,$E$23:$E$26,$D$23:$D$26)*(M107-LOOKUP(M107,$E$23:$E$26))/LOOKUP(M107,$E$23:$E$26,$C$23:$C$26)</f>
        <v>4.64880916159122</v>
      </c>
      <c r="AD107" s="16" t="n">
        <f aca="false">LOOKUP(N107,$E$23:$E$26,$A$23:$A$26)+LOOKUP(N107,$E$23:$E$26,$D$23:$D$26)*(N107-LOOKUP(N107,$E$23:$E$26))/LOOKUP(N107,$E$23:$E$26,$C$23:$C$26)</f>
        <v>5.03914263258864</v>
      </c>
      <c r="AE107" s="16" t="n">
        <f aca="false">LOOKUP(O107,$E$23:$E$26,$A$23:$A$26)+LOOKUP(O107,$E$23:$E$26,$D$23:$D$26)*(O107-LOOKUP(O107,$E$23:$E$26))/LOOKUP(O107,$E$23:$E$26,$C$23:$C$26)</f>
        <v>4.46028639866128</v>
      </c>
      <c r="AF107" s="16" t="n">
        <f aca="false">LOOKUP(P107,$E$23:$E$26,$A$23:$A$26)+LOOKUP(P107,$E$23:$E$26,$D$23:$D$26)*(P107-LOOKUP(P107,$E$23:$E$26))/LOOKUP(P107,$E$23:$E$26,$C$23:$C$26)</f>
        <v>4.18567426775996</v>
      </c>
      <c r="AG107" s="16" t="n">
        <f aca="false">LOOKUP(Q107,$E$23:$E$26,$A$23:$A$26)+LOOKUP(Q107,$E$23:$E$26,$D$23:$D$26)*(Q107-LOOKUP(Q107,$E$23:$E$26))/LOOKUP(Q107,$E$23:$E$26,$C$23:$C$26)</f>
        <v>4.62354396360608</v>
      </c>
      <c r="AH107" s="16" t="n">
        <f aca="false">LOOKUP(R107,$E$23:$E$26,$A$23:$A$26)+LOOKUP(R107,$E$23:$E$26,$D$23:$D$26)*(R107-LOOKUP(R107,$E$23:$E$26))/LOOKUP(R107,$E$23:$E$26,$C$23:$C$26)</f>
        <v>5.22715895695095</v>
      </c>
      <c r="AI107" s="16" t="n">
        <f aca="false">LOOKUP(S107,$E$23:$E$26,$A$23:$A$26)+LOOKUP(S107,$E$23:$E$26,$D$23:$D$26)*(S107-LOOKUP(S107,$E$23:$E$26))/LOOKUP(S107,$E$23:$E$26,$C$23:$C$26)</f>
        <v>4.10992320693983</v>
      </c>
      <c r="AJ107" s="16" t="n">
        <f aca="false">SUM($T107:T107)</f>
        <v>5.31431695021171</v>
      </c>
      <c r="AK107" s="16" t="n">
        <f aca="false">SUM($T107:U107)</f>
        <v>9.8872139528984</v>
      </c>
      <c r="AL107" s="16" t="n">
        <f aca="false">SUM($T107:V107)</f>
        <v>14.0488641916534</v>
      </c>
      <c r="AM107" s="16" t="n">
        <f aca="false">SUM($T107:W107)</f>
        <v>19.1757283770822</v>
      </c>
      <c r="AN107" s="16" t="n">
        <f aca="false">SUM($T107:X107)</f>
        <v>24.0338843240305</v>
      </c>
      <c r="AO107" s="16" t="n">
        <f aca="false">SUM($T107:Y107)</f>
        <v>29.1273965116675</v>
      </c>
      <c r="AP107" s="16" t="n">
        <f aca="false">SUM($T107:Z107)</f>
        <v>34.0050884378453</v>
      </c>
      <c r="AQ107" s="16" t="n">
        <f aca="false">SUM($T107:AA107)</f>
        <v>38.9177197826163</v>
      </c>
      <c r="AR107" s="16" t="n">
        <f aca="false">SUM($T107:AB107)</f>
        <v>43.233082444818</v>
      </c>
      <c r="AS107" s="16" t="n">
        <f aca="false">SUM($T107:AC107)</f>
        <v>47.8818916064092</v>
      </c>
      <c r="AT107" s="16" t="n">
        <f aca="false">SUM($T107:AD107)</f>
        <v>52.9210342389978</v>
      </c>
      <c r="AU107" s="16" t="n">
        <f aca="false">SUM($T107:AE107)</f>
        <v>57.3813206376591</v>
      </c>
      <c r="AV107" s="16" t="n">
        <f aca="false">SUM($T107:AF107)</f>
        <v>61.5669949054191</v>
      </c>
      <c r="AW107" s="16" t="n">
        <f aca="false">SUM($T107:AG107)</f>
        <v>66.1905388690252</v>
      </c>
      <c r="AX107" s="16" t="n">
        <f aca="false">SUM($T107:AH107)</f>
        <v>71.4176978259761</v>
      </c>
      <c r="AY107" s="16" t="n">
        <f aca="false">SUM($T107:AI107)</f>
        <v>75.5276210329159</v>
      </c>
      <c r="AZ107" s="16" t="n">
        <f aca="false">MAX(C107-AJ107,0)</f>
        <v>62.914227509411</v>
      </c>
      <c r="BA107" s="16" t="n">
        <f aca="false">MAX(C107-AK107,0)</f>
        <v>58.3413305067243</v>
      </c>
      <c r="BB107" s="16" t="n">
        <f aca="false">MAX(C107-AL107,0)</f>
        <v>54.1796802679693</v>
      </c>
      <c r="BC107" s="16" t="n">
        <f aca="false">MAX(C107-AM107,0)</f>
        <v>49.0528160825405</v>
      </c>
      <c r="BD107" s="16" t="n">
        <f aca="false">MAX(C107-AN107,0)</f>
        <v>44.1946601355922</v>
      </c>
      <c r="BE107" s="16" t="n">
        <f aca="false">MAX(C107-AO107,0)</f>
        <v>39.1011479479552</v>
      </c>
      <c r="BF107" s="16" t="n">
        <f aca="false">MAX(C107-AP107,0)</f>
        <v>34.2234560217774</v>
      </c>
      <c r="BG107" s="16" t="n">
        <f aca="false">MAX(C107-AQ107,0)</f>
        <v>29.3108246770064</v>
      </c>
      <c r="BH107" s="16" t="n">
        <f aca="false">MAX(C107-AR107,0)</f>
        <v>24.9954620148048</v>
      </c>
      <c r="BI107" s="16" t="n">
        <f aca="false">MAX(C107-AS107,0)</f>
        <v>20.3466528532135</v>
      </c>
      <c r="BJ107" s="16" t="n">
        <f aca="false">MAX(C107-AT107,0)</f>
        <v>15.3075102206249</v>
      </c>
      <c r="BK107" s="16" t="n">
        <f aca="false">MAX(C107-AU107,0)</f>
        <v>10.8472238219636</v>
      </c>
      <c r="BL107" s="16" t="n">
        <f aca="false">MAX(C107-AV107,0)</f>
        <v>6.66154955420364</v>
      </c>
      <c r="BM107" s="16" t="n">
        <f aca="false">MAX(C107-AW107,0)</f>
        <v>2.03800559059756</v>
      </c>
      <c r="BN107" s="16" t="n">
        <f aca="false">MAX(C107-AX107,0)</f>
        <v>0</v>
      </c>
      <c r="BO107" s="16" t="n">
        <f aca="false">MAX(C107-AY107,0)</f>
        <v>0</v>
      </c>
    </row>
    <row r="108" customFormat="false" ht="15" hidden="false" customHeight="false" outlineLevel="0" collapsed="false">
      <c r="A108" s="3" t="n">
        <v>78</v>
      </c>
      <c r="B108" s="15" t="n">
        <f aca="true">RAND()</f>
        <v>0.520043408774968</v>
      </c>
      <c r="C108" s="16" t="n">
        <f aca="false">LOOKUP(B108,$E$12:$E$17,$A$12:$A$17)+LOOKUP(B108,$E$12:$E$17,$D$12:$D$17)*(B108-LOOKUP(B108,$E$12:$E$17))/LOOKUP(B108,$E$12:$E$17,$C$12:$C$17)</f>
        <v>64.5007234795828</v>
      </c>
      <c r="D108" s="15" t="n">
        <f aca="true">RAND()</f>
        <v>0.371706609018584</v>
      </c>
      <c r="E108" s="15" t="n">
        <f aca="true">RAND()</f>
        <v>0.627898937501797</v>
      </c>
      <c r="F108" s="15" t="n">
        <f aca="true">RAND()</f>
        <v>0.346628671394913</v>
      </c>
      <c r="G108" s="15" t="n">
        <f aca="true">RAND()</f>
        <v>0.614363666123137</v>
      </c>
      <c r="H108" s="15" t="n">
        <f aca="true">RAND()</f>
        <v>0.13001904540344</v>
      </c>
      <c r="I108" s="15" t="n">
        <f aca="true">RAND()</f>
        <v>0.0426507743693993</v>
      </c>
      <c r="J108" s="15" t="n">
        <f aca="true">RAND()</f>
        <v>0.223513744263216</v>
      </c>
      <c r="K108" s="15" t="n">
        <f aca="true">RAND()</f>
        <v>0.918138995487932</v>
      </c>
      <c r="L108" s="15" t="n">
        <f aca="true">RAND()</f>
        <v>0.885123960579174</v>
      </c>
      <c r="M108" s="15" t="n">
        <f aca="true">RAND()</f>
        <v>0.977319012401675</v>
      </c>
      <c r="N108" s="15" t="n">
        <f aca="true">RAND()</f>
        <v>0.447329224315091</v>
      </c>
      <c r="O108" s="15" t="n">
        <f aca="true">RAND()</f>
        <v>0.0986278637529109</v>
      </c>
      <c r="P108" s="15" t="n">
        <f aca="true">RAND()</f>
        <v>0.658378085473344</v>
      </c>
      <c r="Q108" s="15" t="n">
        <f aca="true">RAND()</f>
        <v>0.174875857455439</v>
      </c>
      <c r="R108" s="15" t="n">
        <f aca="true">RAND()</f>
        <v>0.870278182427248</v>
      </c>
      <c r="S108" s="15" t="n">
        <f aca="true">RAND()</f>
        <v>0.0657406131141297</v>
      </c>
      <c r="T108" s="16" t="n">
        <f aca="false">LOOKUP(D108,$E$23:$E$26,$A$23:$A$26)+LOOKUP(D108,$E$23:$E$26,$D$23:$D$26)*(D108-LOOKUP(D108,$E$23:$E$26))/LOOKUP(D108,$E$23:$E$26,$C$23:$C$26)</f>
        <v>4.58963326127323</v>
      </c>
      <c r="U108" s="16" t="n">
        <f aca="false">LOOKUP(E108,$E$23:$E$26,$A$23:$A$26)+LOOKUP(E108,$E$23:$E$26,$D$23:$D$26)*(E108-LOOKUP(E108,$E$23:$E$26))/LOOKUP(E108,$E$23:$E$26,$C$23:$C$26)</f>
        <v>4.90987367187725</v>
      </c>
      <c r="V108" s="16" t="n">
        <f aca="false">LOOKUP(F108,$E$23:$E$26,$A$23:$A$26)+LOOKUP(F108,$E$23:$E$26,$D$23:$D$26)*(F108-LOOKUP(F108,$E$23:$E$26))/LOOKUP(F108,$E$23:$E$26,$C$23:$C$26)</f>
        <v>4.55828583924364</v>
      </c>
      <c r="W108" s="16" t="n">
        <f aca="false">LOOKUP(G108,$E$23:$E$26,$A$23:$A$26)+LOOKUP(G108,$E$23:$E$26,$D$23:$D$26)*(G108-LOOKUP(G108,$E$23:$E$26))/LOOKUP(G108,$E$23:$E$26,$C$23:$C$26)</f>
        <v>4.89295458265392</v>
      </c>
      <c r="X108" s="16" t="n">
        <f aca="false">LOOKUP(H108,$E$23:$E$26,$A$23:$A$26)+LOOKUP(H108,$E$23:$E$26,$D$23:$D$26)*(H108-LOOKUP(H108,$E$23:$E$26))/LOOKUP(H108,$E$23:$E$26,$C$23:$C$26)</f>
        <v>4.21669840900573</v>
      </c>
      <c r="Y108" s="16" t="n">
        <f aca="false">LOOKUP(I108,$E$23:$E$26,$A$23:$A$26)+LOOKUP(I108,$E$23:$E$26,$D$23:$D$26)*(I108-LOOKUP(I108,$E$23:$E$26))/LOOKUP(I108,$E$23:$E$26,$C$23:$C$26)</f>
        <v>4.071084623949</v>
      </c>
      <c r="Z108" s="16" t="n">
        <f aca="false">LOOKUP(J108,$E$23:$E$26,$A$23:$A$26)+LOOKUP(J108,$E$23:$E$26,$D$23:$D$26)*(J108-LOOKUP(J108,$E$23:$E$26))/LOOKUP(J108,$E$23:$E$26,$C$23:$C$26)</f>
        <v>4.37252290710536</v>
      </c>
      <c r="AA108" s="16" t="n">
        <f aca="false">LOOKUP(K108,$E$23:$E$26,$A$23:$A$26)+LOOKUP(K108,$E$23:$E$26,$D$23:$D$26)*(K108-LOOKUP(K108,$E$23:$E$26))/LOOKUP(K108,$E$23:$E$26,$C$23:$C$26)</f>
        <v>5.59069497743966</v>
      </c>
      <c r="AB108" s="16" t="n">
        <f aca="false">LOOKUP(L108,$E$23:$E$26,$A$23:$A$26)+LOOKUP(L108,$E$23:$E$26,$D$23:$D$26)*(L108-LOOKUP(L108,$E$23:$E$26))/LOOKUP(L108,$E$23:$E$26,$C$23:$C$26)</f>
        <v>5.46280990144794</v>
      </c>
      <c r="AC108" s="16" t="n">
        <f aca="false">LOOKUP(M108,$E$23:$E$26,$A$23:$A$26)+LOOKUP(M108,$E$23:$E$26,$D$23:$D$26)*(M108-LOOKUP(M108,$E$23:$E$26))/LOOKUP(M108,$E$23:$E$26,$C$23:$C$26)</f>
        <v>5.88659506200838</v>
      </c>
      <c r="AD108" s="16" t="n">
        <f aca="false">LOOKUP(N108,$E$23:$E$26,$A$23:$A$26)+LOOKUP(N108,$E$23:$E$26,$D$23:$D$26)*(N108-LOOKUP(N108,$E$23:$E$26))/LOOKUP(N108,$E$23:$E$26,$C$23:$C$26)</f>
        <v>4.68416153039386</v>
      </c>
      <c r="AE108" s="16" t="n">
        <f aca="false">LOOKUP(O108,$E$23:$E$26,$A$23:$A$26)+LOOKUP(O108,$E$23:$E$26,$D$23:$D$26)*(O108-LOOKUP(O108,$E$23:$E$26))/LOOKUP(O108,$E$23:$E$26,$C$23:$C$26)</f>
        <v>4.16437977292152</v>
      </c>
      <c r="AF108" s="16" t="n">
        <f aca="false">LOOKUP(P108,$E$23:$E$26,$A$23:$A$26)+LOOKUP(P108,$E$23:$E$26,$D$23:$D$26)*(P108-LOOKUP(P108,$E$23:$E$26))/LOOKUP(P108,$E$23:$E$26,$C$23:$C$26)</f>
        <v>4.94797260684168</v>
      </c>
      <c r="AG108" s="16" t="n">
        <f aca="false">LOOKUP(Q108,$E$23:$E$26,$A$23:$A$26)+LOOKUP(Q108,$E$23:$E$26,$D$23:$D$26)*(Q108-LOOKUP(Q108,$E$23:$E$26))/LOOKUP(Q108,$E$23:$E$26,$C$23:$C$26)</f>
        <v>4.29145976242573</v>
      </c>
      <c r="AH108" s="16" t="n">
        <f aca="false">LOOKUP(R108,$E$23:$E$26,$A$23:$A$26)+LOOKUP(R108,$E$23:$E$26,$D$23:$D$26)*(R108-LOOKUP(R108,$E$23:$E$26))/LOOKUP(R108,$E$23:$E$26,$C$23:$C$26)</f>
        <v>5.42569545606812</v>
      </c>
      <c r="AI108" s="16" t="n">
        <f aca="false">LOOKUP(S108,$E$23:$E$26,$A$23:$A$26)+LOOKUP(S108,$E$23:$E$26,$D$23:$D$26)*(S108-LOOKUP(S108,$E$23:$E$26))/LOOKUP(S108,$E$23:$E$26,$C$23:$C$26)</f>
        <v>4.10956768852355</v>
      </c>
      <c r="AJ108" s="16" t="n">
        <f aca="false">SUM($T108:T108)</f>
        <v>4.58963326127323</v>
      </c>
      <c r="AK108" s="16" t="n">
        <f aca="false">SUM($T108:U108)</f>
        <v>9.49950693315047</v>
      </c>
      <c r="AL108" s="16" t="n">
        <f aca="false">SUM($T108:V108)</f>
        <v>14.0577927723941</v>
      </c>
      <c r="AM108" s="16" t="n">
        <f aca="false">SUM($T108:W108)</f>
        <v>18.950747355048</v>
      </c>
      <c r="AN108" s="16" t="n">
        <f aca="false">SUM($T108:X108)</f>
        <v>23.1674457640538</v>
      </c>
      <c r="AO108" s="16" t="n">
        <f aca="false">SUM($T108:Y108)</f>
        <v>27.2385303880028</v>
      </c>
      <c r="AP108" s="16" t="n">
        <f aca="false">SUM($T108:Z108)</f>
        <v>31.6110532951081</v>
      </c>
      <c r="AQ108" s="16" t="n">
        <f aca="false">SUM($T108:AA108)</f>
        <v>37.2017482725478</v>
      </c>
      <c r="AR108" s="16" t="n">
        <f aca="false">SUM($T108:AB108)</f>
        <v>42.6645581739957</v>
      </c>
      <c r="AS108" s="16" t="n">
        <f aca="false">SUM($T108:AC108)</f>
        <v>48.5511532360041</v>
      </c>
      <c r="AT108" s="16" t="n">
        <f aca="false">SUM($T108:AD108)</f>
        <v>53.235314766398</v>
      </c>
      <c r="AU108" s="16" t="n">
        <f aca="false">SUM($T108:AE108)</f>
        <v>57.3996945393195</v>
      </c>
      <c r="AV108" s="16" t="n">
        <f aca="false">SUM($T108:AF108)</f>
        <v>62.3476671461612</v>
      </c>
      <c r="AW108" s="16" t="n">
        <f aca="false">SUM($T108:AG108)</f>
        <v>66.6391269085869</v>
      </c>
      <c r="AX108" s="16" t="n">
        <f aca="false">SUM($T108:AH108)</f>
        <v>72.064822364655</v>
      </c>
      <c r="AY108" s="16" t="n">
        <f aca="false">SUM($T108:AI108)</f>
        <v>76.1743900531786</v>
      </c>
      <c r="AZ108" s="16" t="n">
        <f aca="false">MAX(C108-AJ108,0)</f>
        <v>59.9110902183096</v>
      </c>
      <c r="BA108" s="16" t="n">
        <f aca="false">MAX(C108-AK108,0)</f>
        <v>55.0012165464323</v>
      </c>
      <c r="BB108" s="16" t="n">
        <f aca="false">MAX(C108-AL108,0)</f>
        <v>50.4429307071887</v>
      </c>
      <c r="BC108" s="16" t="n">
        <f aca="false">MAX(C108-AM108,0)</f>
        <v>45.5499761245348</v>
      </c>
      <c r="BD108" s="16" t="n">
        <f aca="false">MAX(C108-AN108,0)</f>
        <v>41.333277715529</v>
      </c>
      <c r="BE108" s="16" t="n">
        <f aca="false">MAX(C108-AO108,0)</f>
        <v>37.26219309158</v>
      </c>
      <c r="BF108" s="16" t="n">
        <f aca="false">MAX(C108-AP108,0)</f>
        <v>32.8896701844747</v>
      </c>
      <c r="BG108" s="16" t="n">
        <f aca="false">MAX(C108-AQ108,0)</f>
        <v>27.298975207035</v>
      </c>
      <c r="BH108" s="16" t="n">
        <f aca="false">MAX(C108-AR108,0)</f>
        <v>21.8361653055871</v>
      </c>
      <c r="BI108" s="16" t="n">
        <f aca="false">MAX(C108-AS108,0)</f>
        <v>15.9495702435787</v>
      </c>
      <c r="BJ108" s="16" t="n">
        <f aca="false">MAX(C108-AT108,0)</f>
        <v>11.2654087131848</v>
      </c>
      <c r="BK108" s="16" t="n">
        <f aca="false">MAX(C108-AU108,0)</f>
        <v>7.10102894026331</v>
      </c>
      <c r="BL108" s="16" t="n">
        <f aca="false">MAX(C108-AV108,0)</f>
        <v>2.15305633342163</v>
      </c>
      <c r="BM108" s="16" t="n">
        <f aca="false">MAX(C108-AW108,0)</f>
        <v>0</v>
      </c>
      <c r="BN108" s="16" t="n">
        <f aca="false">MAX(C108-AX108,0)</f>
        <v>0</v>
      </c>
      <c r="BO108" s="16" t="n">
        <f aca="false">MAX(C108-AY108,0)</f>
        <v>0</v>
      </c>
    </row>
    <row r="109" customFormat="false" ht="15" hidden="false" customHeight="false" outlineLevel="0" collapsed="false">
      <c r="A109" s="3" t="n">
        <v>79</v>
      </c>
      <c r="B109" s="15" t="n">
        <f aca="true">RAND()</f>
        <v>0.745876670508536</v>
      </c>
      <c r="C109" s="16" t="n">
        <f aca="false">LOOKUP(B109,$E$12:$E$17,$A$12:$A$17)+LOOKUP(B109,$E$12:$E$17,$D$12:$D$17)*(B109-LOOKUP(B109,$E$12:$E$17))/LOOKUP(B109,$E$12:$E$17,$C$12:$C$17)</f>
        <v>67.798238150122</v>
      </c>
      <c r="D109" s="15" t="n">
        <f aca="true">RAND()</f>
        <v>0.216056497662089</v>
      </c>
      <c r="E109" s="15" t="n">
        <f aca="true">RAND()</f>
        <v>0.502925783666938</v>
      </c>
      <c r="F109" s="15" t="n">
        <f aca="true">RAND()</f>
        <v>0.722261280338041</v>
      </c>
      <c r="G109" s="15" t="n">
        <f aca="true">RAND()</f>
        <v>0.904495658821695</v>
      </c>
      <c r="H109" s="15" t="n">
        <f aca="true">RAND()</f>
        <v>0.412707261757417</v>
      </c>
      <c r="I109" s="15" t="n">
        <f aca="true">RAND()</f>
        <v>0.497502633334618</v>
      </c>
      <c r="J109" s="15" t="n">
        <f aca="true">RAND()</f>
        <v>0.516928988207316</v>
      </c>
      <c r="K109" s="15" t="n">
        <f aca="true">RAND()</f>
        <v>0.0864428017757027</v>
      </c>
      <c r="L109" s="15" t="n">
        <f aca="true">RAND()</f>
        <v>0.220419634859634</v>
      </c>
      <c r="M109" s="15" t="n">
        <f aca="true">RAND()</f>
        <v>0.880285562666965</v>
      </c>
      <c r="N109" s="15" t="n">
        <f aca="true">RAND()</f>
        <v>0.424752889399539</v>
      </c>
      <c r="O109" s="15" t="n">
        <f aca="true">RAND()</f>
        <v>0.976431846521775</v>
      </c>
      <c r="P109" s="15" t="n">
        <f aca="true">RAND()</f>
        <v>0.800492569307409</v>
      </c>
      <c r="Q109" s="15" t="n">
        <f aca="true">RAND()</f>
        <v>0.0513907838484958</v>
      </c>
      <c r="R109" s="15" t="n">
        <f aca="true">RAND()</f>
        <v>0.0780237424035464</v>
      </c>
      <c r="S109" s="15" t="n">
        <f aca="true">RAND()</f>
        <v>0.80222342757715</v>
      </c>
      <c r="T109" s="16" t="n">
        <f aca="false">LOOKUP(D109,$E$23:$E$26,$A$23:$A$26)+LOOKUP(D109,$E$23:$E$26,$D$23:$D$26)*(D109-LOOKUP(D109,$E$23:$E$26))/LOOKUP(D109,$E$23:$E$26,$C$23:$C$26)</f>
        <v>4.36009416277015</v>
      </c>
      <c r="U109" s="16" t="n">
        <f aca="false">LOOKUP(E109,$E$23:$E$26,$A$23:$A$26)+LOOKUP(E109,$E$23:$E$26,$D$23:$D$26)*(E109-LOOKUP(E109,$E$23:$E$26))/LOOKUP(E109,$E$23:$E$26,$C$23:$C$26)</f>
        <v>4.75365722958367</v>
      </c>
      <c r="V109" s="16" t="n">
        <f aca="false">LOOKUP(F109,$E$23:$E$26,$A$23:$A$26)+LOOKUP(F109,$E$23:$E$26,$D$23:$D$26)*(F109-LOOKUP(F109,$E$23:$E$26))/LOOKUP(F109,$E$23:$E$26,$C$23:$C$26)</f>
        <v>5.0556532008451</v>
      </c>
      <c r="W109" s="16" t="n">
        <f aca="false">LOOKUP(G109,$E$23:$E$26,$A$23:$A$26)+LOOKUP(G109,$E$23:$E$26,$D$23:$D$26)*(G109-LOOKUP(G109,$E$23:$E$26))/LOOKUP(G109,$E$23:$E$26,$C$23:$C$26)</f>
        <v>5.52247829410848</v>
      </c>
      <c r="X109" s="16" t="n">
        <f aca="false">LOOKUP(H109,$E$23:$E$26,$A$23:$A$26)+LOOKUP(H109,$E$23:$E$26,$D$23:$D$26)*(H109-LOOKUP(H109,$E$23:$E$26))/LOOKUP(H109,$E$23:$E$26,$C$23:$C$26)</f>
        <v>4.64088407719677</v>
      </c>
      <c r="Y109" s="16" t="n">
        <f aca="false">LOOKUP(I109,$E$23:$E$26,$A$23:$A$26)+LOOKUP(I109,$E$23:$E$26,$D$23:$D$26)*(I109-LOOKUP(I109,$E$23:$E$26))/LOOKUP(I109,$E$23:$E$26,$C$23:$C$26)</f>
        <v>4.74687829166827</v>
      </c>
      <c r="Z109" s="16" t="n">
        <f aca="false">LOOKUP(J109,$E$23:$E$26,$A$23:$A$26)+LOOKUP(J109,$E$23:$E$26,$D$23:$D$26)*(J109-LOOKUP(J109,$E$23:$E$26))/LOOKUP(J109,$E$23:$E$26,$C$23:$C$26)</f>
        <v>4.77116123525915</v>
      </c>
      <c r="AA109" s="16" t="n">
        <f aca="false">LOOKUP(K109,$E$23:$E$26,$A$23:$A$26)+LOOKUP(K109,$E$23:$E$26,$D$23:$D$26)*(K109-LOOKUP(K109,$E$23:$E$26))/LOOKUP(K109,$E$23:$E$26,$C$23:$C$26)</f>
        <v>4.14407133629284</v>
      </c>
      <c r="AB109" s="16" t="n">
        <f aca="false">LOOKUP(L109,$E$23:$E$26,$A$23:$A$26)+LOOKUP(L109,$E$23:$E$26,$D$23:$D$26)*(L109-LOOKUP(L109,$E$23:$E$26))/LOOKUP(L109,$E$23:$E$26,$C$23:$C$26)</f>
        <v>4.36736605809939</v>
      </c>
      <c r="AC109" s="16" t="n">
        <f aca="false">LOOKUP(M109,$E$23:$E$26,$A$23:$A$26)+LOOKUP(M109,$E$23:$E$26,$D$23:$D$26)*(M109-LOOKUP(M109,$E$23:$E$26))/LOOKUP(M109,$E$23:$E$26,$C$23:$C$26)</f>
        <v>5.45071390666741</v>
      </c>
      <c r="AD109" s="16" t="n">
        <f aca="false">LOOKUP(N109,$E$23:$E$26,$A$23:$A$26)+LOOKUP(N109,$E$23:$E$26,$D$23:$D$26)*(N109-LOOKUP(N109,$E$23:$E$26))/LOOKUP(N109,$E$23:$E$26,$C$23:$C$26)</f>
        <v>4.65594111174942</v>
      </c>
      <c r="AE109" s="16" t="n">
        <f aca="false">LOOKUP(O109,$E$23:$E$26,$A$23:$A$26)+LOOKUP(O109,$E$23:$E$26,$D$23:$D$26)*(O109-LOOKUP(O109,$E$23:$E$26))/LOOKUP(O109,$E$23:$E$26,$C$23:$C$26)</f>
        <v>5.88215923260888</v>
      </c>
      <c r="AF109" s="16" t="n">
        <f aca="false">LOOKUP(P109,$E$23:$E$26,$A$23:$A$26)+LOOKUP(P109,$E$23:$E$26,$D$23:$D$26)*(P109-LOOKUP(P109,$E$23:$E$26))/LOOKUP(P109,$E$23:$E$26,$C$23:$C$26)</f>
        <v>5.25123142326852</v>
      </c>
      <c r="AG109" s="16" t="n">
        <f aca="false">LOOKUP(Q109,$E$23:$E$26,$A$23:$A$26)+LOOKUP(Q109,$E$23:$E$26,$D$23:$D$26)*(Q109-LOOKUP(Q109,$E$23:$E$26))/LOOKUP(Q109,$E$23:$E$26,$C$23:$C$26)</f>
        <v>4.08565130641416</v>
      </c>
      <c r="AH109" s="16" t="n">
        <f aca="false">LOOKUP(R109,$E$23:$E$26,$A$23:$A$26)+LOOKUP(R109,$E$23:$E$26,$D$23:$D$26)*(R109-LOOKUP(R109,$E$23:$E$26))/LOOKUP(R109,$E$23:$E$26,$C$23:$C$26)</f>
        <v>4.13003957067258</v>
      </c>
      <c r="AI109" s="16" t="n">
        <f aca="false">LOOKUP(S109,$E$23:$E$26,$A$23:$A$26)+LOOKUP(S109,$E$23:$E$26,$D$23:$D$26)*(S109-LOOKUP(S109,$E$23:$E$26))/LOOKUP(S109,$E$23:$E$26,$C$23:$C$26)</f>
        <v>5.25555856894287</v>
      </c>
      <c r="AJ109" s="16" t="n">
        <f aca="false">SUM($T109:T109)</f>
        <v>4.36009416277015</v>
      </c>
      <c r="AK109" s="16" t="n">
        <f aca="false">SUM($T109:U109)</f>
        <v>9.11375139235382</v>
      </c>
      <c r="AL109" s="16" t="n">
        <f aca="false">SUM($T109:V109)</f>
        <v>14.1694045931989</v>
      </c>
      <c r="AM109" s="16" t="n">
        <f aca="false">SUM($T109:W109)</f>
        <v>19.6918828873074</v>
      </c>
      <c r="AN109" s="16" t="n">
        <f aca="false">SUM($T109:X109)</f>
        <v>24.3327669645042</v>
      </c>
      <c r="AO109" s="16" t="n">
        <f aca="false">SUM($T109:Y109)</f>
        <v>29.0796452561724</v>
      </c>
      <c r="AP109" s="16" t="n">
        <f aca="false">SUM($T109:Z109)</f>
        <v>33.8508064914316</v>
      </c>
      <c r="AQ109" s="16" t="n">
        <f aca="false">SUM($T109:AA109)</f>
        <v>37.9948778277244</v>
      </c>
      <c r="AR109" s="16" t="n">
        <f aca="false">SUM($T109:AB109)</f>
        <v>42.3622438858238</v>
      </c>
      <c r="AS109" s="16" t="n">
        <f aca="false">SUM($T109:AC109)</f>
        <v>47.8129577924912</v>
      </c>
      <c r="AT109" s="16" t="n">
        <f aca="false">SUM($T109:AD109)</f>
        <v>52.4688989042406</v>
      </c>
      <c r="AU109" s="16" t="n">
        <f aca="false">SUM($T109:AE109)</f>
        <v>58.3510581368495</v>
      </c>
      <c r="AV109" s="16" t="n">
        <f aca="false">SUM($T109:AF109)</f>
        <v>63.6022895601181</v>
      </c>
      <c r="AW109" s="16" t="n">
        <f aca="false">SUM($T109:AG109)</f>
        <v>67.6879408665322</v>
      </c>
      <c r="AX109" s="16" t="n">
        <f aca="false">SUM($T109:AH109)</f>
        <v>71.8179804372048</v>
      </c>
      <c r="AY109" s="16" t="n">
        <f aca="false">SUM($T109:AI109)</f>
        <v>77.0735390061477</v>
      </c>
      <c r="AZ109" s="16" t="n">
        <f aca="false">MAX(C109-AJ109,0)</f>
        <v>63.4381439873518</v>
      </c>
      <c r="BA109" s="16" t="n">
        <f aca="false">MAX(C109-AK109,0)</f>
        <v>58.6844867577681</v>
      </c>
      <c r="BB109" s="16" t="n">
        <f aca="false">MAX(C109-AL109,0)</f>
        <v>53.628833556923</v>
      </c>
      <c r="BC109" s="16" t="n">
        <f aca="false">MAX(C109-AM109,0)</f>
        <v>48.1063552628145</v>
      </c>
      <c r="BD109" s="16" t="n">
        <f aca="false">MAX(C109-AN109,0)</f>
        <v>43.4654711856178</v>
      </c>
      <c r="BE109" s="16" t="n">
        <f aca="false">MAX(C109-AO109,0)</f>
        <v>38.7185928939495</v>
      </c>
      <c r="BF109" s="16" t="n">
        <f aca="false">MAX(C109-AP109,0)</f>
        <v>33.9474316586904</v>
      </c>
      <c r="BG109" s="16" t="n">
        <f aca="false">MAX(C109-AQ109,0)</f>
        <v>29.8033603223975</v>
      </c>
      <c r="BH109" s="16" t="n">
        <f aca="false">MAX(C109-AR109,0)</f>
        <v>25.4359942642981</v>
      </c>
      <c r="BI109" s="16" t="n">
        <f aca="false">MAX(C109-AS109,0)</f>
        <v>19.9852803576307</v>
      </c>
      <c r="BJ109" s="16" t="n">
        <f aca="false">MAX(C109-AT109,0)</f>
        <v>15.3293392458813</v>
      </c>
      <c r="BK109" s="16" t="n">
        <f aca="false">MAX(C109-AU109,0)</f>
        <v>9.44718001327242</v>
      </c>
      <c r="BL109" s="16" t="n">
        <f aca="false">MAX(C109-AV109,0)</f>
        <v>4.19594859000389</v>
      </c>
      <c r="BM109" s="16" t="n">
        <f aca="false">MAX(C109-AW109,0)</f>
        <v>0.11029728358973</v>
      </c>
      <c r="BN109" s="16" t="n">
        <f aca="false">MAX(C109-AX109,0)</f>
        <v>0</v>
      </c>
      <c r="BO109" s="16" t="n">
        <f aca="false">MAX(C109-AY109,0)</f>
        <v>0</v>
      </c>
    </row>
    <row r="110" customFormat="false" ht="15" hidden="false" customHeight="false" outlineLevel="0" collapsed="false">
      <c r="A110" s="3" t="n">
        <v>80</v>
      </c>
      <c r="B110" s="15" t="n">
        <f aca="true">RAND()</f>
        <v>0.387050052463393</v>
      </c>
      <c r="C110" s="16" t="n">
        <f aca="false">LOOKUP(B110,$E$12:$E$17,$A$12:$A$17)+LOOKUP(B110,$E$12:$E$17,$D$12:$D$17)*(B110-LOOKUP(B110,$E$12:$E$17))/LOOKUP(B110,$E$12:$E$17,$C$12:$C$17)</f>
        <v>62.2841675410566</v>
      </c>
      <c r="D110" s="15" t="n">
        <f aca="true">RAND()</f>
        <v>0.0798644534020746</v>
      </c>
      <c r="E110" s="15" t="n">
        <f aca="true">RAND()</f>
        <v>0.5185984287173</v>
      </c>
      <c r="F110" s="15" t="n">
        <f aca="true">RAND()</f>
        <v>0.110131293111054</v>
      </c>
      <c r="G110" s="15" t="n">
        <f aca="true">RAND()</f>
        <v>0.321728082325826</v>
      </c>
      <c r="H110" s="15" t="n">
        <f aca="true">RAND()</f>
        <v>0.888173807785382</v>
      </c>
      <c r="I110" s="15" t="n">
        <f aca="true">RAND()</f>
        <v>0.152449250924789</v>
      </c>
      <c r="J110" s="15" t="n">
        <f aca="true">RAND()</f>
        <v>0.937109403269862</v>
      </c>
      <c r="K110" s="15" t="n">
        <f aca="true">RAND()</f>
        <v>0.820329089621991</v>
      </c>
      <c r="L110" s="15" t="n">
        <f aca="true">RAND()</f>
        <v>0.885350986427081</v>
      </c>
      <c r="M110" s="15" t="n">
        <f aca="true">RAND()</f>
        <v>0.32818443524477</v>
      </c>
      <c r="N110" s="15" t="n">
        <f aca="true">RAND()</f>
        <v>0.77859359421232</v>
      </c>
      <c r="O110" s="15" t="n">
        <f aca="true">RAND()</f>
        <v>0.449097670663062</v>
      </c>
      <c r="P110" s="15" t="n">
        <f aca="true">RAND()</f>
        <v>0.682250648514575</v>
      </c>
      <c r="Q110" s="15" t="n">
        <f aca="true">RAND()</f>
        <v>0.537253256698267</v>
      </c>
      <c r="R110" s="15" t="n">
        <f aca="true">RAND()</f>
        <v>0.274216847489679</v>
      </c>
      <c r="S110" s="15" t="n">
        <f aca="true">RAND()</f>
        <v>0.235264182064255</v>
      </c>
      <c r="T110" s="16" t="n">
        <f aca="false">LOOKUP(D110,$E$23:$E$26,$A$23:$A$26)+LOOKUP(D110,$E$23:$E$26,$D$23:$D$26)*(D110-LOOKUP(D110,$E$23:$E$26))/LOOKUP(D110,$E$23:$E$26,$C$23:$C$26)</f>
        <v>4.13310742233679</v>
      </c>
      <c r="U110" s="16" t="n">
        <f aca="false">LOOKUP(E110,$E$23:$E$26,$A$23:$A$26)+LOOKUP(E110,$E$23:$E$26,$D$23:$D$26)*(E110-LOOKUP(E110,$E$23:$E$26))/LOOKUP(E110,$E$23:$E$26,$C$23:$C$26)</f>
        <v>4.77324803589663</v>
      </c>
      <c r="V110" s="16" t="n">
        <f aca="false">LOOKUP(F110,$E$23:$E$26,$A$23:$A$26)+LOOKUP(F110,$E$23:$E$26,$D$23:$D$26)*(F110-LOOKUP(F110,$E$23:$E$26))/LOOKUP(F110,$E$23:$E$26,$C$23:$C$26)</f>
        <v>4.18355215518509</v>
      </c>
      <c r="W110" s="16" t="n">
        <f aca="false">LOOKUP(G110,$E$23:$E$26,$A$23:$A$26)+LOOKUP(G110,$E$23:$E$26,$D$23:$D$26)*(G110-LOOKUP(G110,$E$23:$E$26))/LOOKUP(G110,$E$23:$E$26,$C$23:$C$26)</f>
        <v>4.52716010290728</v>
      </c>
      <c r="X110" s="16" t="n">
        <f aca="false">LOOKUP(H110,$E$23:$E$26,$A$23:$A$26)+LOOKUP(H110,$E$23:$E$26,$D$23:$D$26)*(H110-LOOKUP(H110,$E$23:$E$26))/LOOKUP(H110,$E$23:$E$26,$C$23:$C$26)</f>
        <v>5.47043451946345</v>
      </c>
      <c r="Y110" s="16" t="n">
        <f aca="false">LOOKUP(I110,$E$23:$E$26,$A$23:$A$26)+LOOKUP(I110,$E$23:$E$26,$D$23:$D$26)*(I110-LOOKUP(I110,$E$23:$E$26))/LOOKUP(I110,$E$23:$E$26,$C$23:$C$26)</f>
        <v>4.25408208487465</v>
      </c>
      <c r="Z110" s="16" t="n">
        <f aca="false">LOOKUP(J110,$E$23:$E$26,$A$23:$A$26)+LOOKUP(J110,$E$23:$E$26,$D$23:$D$26)*(J110-LOOKUP(J110,$E$23:$E$26))/LOOKUP(J110,$E$23:$E$26,$C$23:$C$26)</f>
        <v>5.68554701634931</v>
      </c>
      <c r="AA110" s="16" t="n">
        <f aca="false">LOOKUP(K110,$E$23:$E$26,$A$23:$A$26)+LOOKUP(K110,$E$23:$E$26,$D$23:$D$26)*(K110-LOOKUP(K110,$E$23:$E$26))/LOOKUP(K110,$E$23:$E$26,$C$23:$C$26)</f>
        <v>5.30082272405498</v>
      </c>
      <c r="AB110" s="16" t="n">
        <f aca="false">LOOKUP(L110,$E$23:$E$26,$A$23:$A$26)+LOOKUP(L110,$E$23:$E$26,$D$23:$D$26)*(L110-LOOKUP(L110,$E$23:$E$26))/LOOKUP(L110,$E$23:$E$26,$C$23:$C$26)</f>
        <v>5.4633774660677</v>
      </c>
      <c r="AC110" s="16" t="n">
        <f aca="false">LOOKUP(M110,$E$23:$E$26,$A$23:$A$26)+LOOKUP(M110,$E$23:$E$26,$D$23:$D$26)*(M110-LOOKUP(M110,$E$23:$E$26))/LOOKUP(M110,$E$23:$E$26,$C$23:$C$26)</f>
        <v>4.53523054405596</v>
      </c>
      <c r="AD110" s="16" t="n">
        <f aca="false">LOOKUP(N110,$E$23:$E$26,$A$23:$A$26)+LOOKUP(N110,$E$23:$E$26,$D$23:$D$26)*(N110-LOOKUP(N110,$E$23:$E$26))/LOOKUP(N110,$E$23:$E$26,$C$23:$C$26)</f>
        <v>5.1964839855308</v>
      </c>
      <c r="AE110" s="16" t="n">
        <f aca="false">LOOKUP(O110,$E$23:$E$26,$A$23:$A$26)+LOOKUP(O110,$E$23:$E$26,$D$23:$D$26)*(O110-LOOKUP(O110,$E$23:$E$26))/LOOKUP(O110,$E$23:$E$26,$C$23:$C$26)</f>
        <v>4.68637208832883</v>
      </c>
      <c r="AF110" s="16" t="n">
        <f aca="false">LOOKUP(P110,$E$23:$E$26,$A$23:$A$26)+LOOKUP(P110,$E$23:$E$26,$D$23:$D$26)*(P110-LOOKUP(P110,$E$23:$E$26))/LOOKUP(P110,$E$23:$E$26,$C$23:$C$26)</f>
        <v>4.97781331064322</v>
      </c>
      <c r="AG110" s="16" t="n">
        <f aca="false">LOOKUP(Q110,$E$23:$E$26,$A$23:$A$26)+LOOKUP(Q110,$E$23:$E$26,$D$23:$D$26)*(Q110-LOOKUP(Q110,$E$23:$E$26))/LOOKUP(Q110,$E$23:$E$26,$C$23:$C$26)</f>
        <v>4.79656657087283</v>
      </c>
      <c r="AH110" s="16" t="n">
        <f aca="false">LOOKUP(R110,$E$23:$E$26,$A$23:$A$26)+LOOKUP(R110,$E$23:$E$26,$D$23:$D$26)*(R110-LOOKUP(R110,$E$23:$E$26))/LOOKUP(R110,$E$23:$E$26,$C$23:$C$26)</f>
        <v>4.45702807914947</v>
      </c>
      <c r="AI110" s="16" t="n">
        <f aca="false">LOOKUP(S110,$E$23:$E$26,$A$23:$A$26)+LOOKUP(S110,$E$23:$E$26,$D$23:$D$26)*(S110-LOOKUP(S110,$E$23:$E$26))/LOOKUP(S110,$E$23:$E$26,$C$23:$C$26)</f>
        <v>4.39210697010709</v>
      </c>
      <c r="AJ110" s="16" t="n">
        <f aca="false">SUM($T110:T110)</f>
        <v>4.13310742233679</v>
      </c>
      <c r="AK110" s="16" t="n">
        <f aca="false">SUM($T110:U110)</f>
        <v>8.90635545823342</v>
      </c>
      <c r="AL110" s="16" t="n">
        <f aca="false">SUM($T110:V110)</f>
        <v>13.0899076134185</v>
      </c>
      <c r="AM110" s="16" t="n">
        <f aca="false">SUM($T110:W110)</f>
        <v>17.6170677163258</v>
      </c>
      <c r="AN110" s="16" t="n">
        <f aca="false">SUM($T110:X110)</f>
        <v>23.0875022357892</v>
      </c>
      <c r="AO110" s="16" t="n">
        <f aca="false">SUM($T110:Y110)</f>
        <v>27.3415843206639</v>
      </c>
      <c r="AP110" s="16" t="n">
        <f aca="false">SUM($T110:Z110)</f>
        <v>33.0271313370132</v>
      </c>
      <c r="AQ110" s="16" t="n">
        <f aca="false">SUM($T110:AA110)</f>
        <v>38.3279540610682</v>
      </c>
      <c r="AR110" s="16" t="n">
        <f aca="false">SUM($T110:AB110)</f>
        <v>43.7913315271359</v>
      </c>
      <c r="AS110" s="16" t="n">
        <f aca="false">SUM($T110:AC110)</f>
        <v>48.3265620711918</v>
      </c>
      <c r="AT110" s="16" t="n">
        <f aca="false">SUM($T110:AD110)</f>
        <v>53.5230460567227</v>
      </c>
      <c r="AU110" s="16" t="n">
        <f aca="false">SUM($T110:AE110)</f>
        <v>58.2094181450515</v>
      </c>
      <c r="AV110" s="16" t="n">
        <f aca="false">SUM($T110:AF110)</f>
        <v>63.1872314556947</v>
      </c>
      <c r="AW110" s="16" t="n">
        <f aca="false">SUM($T110:AG110)</f>
        <v>67.9837980265675</v>
      </c>
      <c r="AX110" s="16" t="n">
        <f aca="false">SUM($T110:AH110)</f>
        <v>72.440826105717</v>
      </c>
      <c r="AY110" s="16" t="n">
        <f aca="false">SUM($T110:AI110)</f>
        <v>76.8329330758241</v>
      </c>
      <c r="AZ110" s="16" t="n">
        <f aca="false">MAX(C110-AJ110,0)</f>
        <v>58.1510601187198</v>
      </c>
      <c r="BA110" s="16" t="n">
        <f aca="false">MAX(C110-AK110,0)</f>
        <v>53.3778120828231</v>
      </c>
      <c r="BB110" s="16" t="n">
        <f aca="false">MAX(C110-AL110,0)</f>
        <v>49.194259927638</v>
      </c>
      <c r="BC110" s="16" t="n">
        <f aca="false">MAX(C110-AM110,0)</f>
        <v>44.6670998247308</v>
      </c>
      <c r="BD110" s="16" t="n">
        <f aca="false">MAX(C110-AN110,0)</f>
        <v>39.1966653052673</v>
      </c>
      <c r="BE110" s="16" t="n">
        <f aca="false">MAX(C110-AO110,0)</f>
        <v>34.9425832203927</v>
      </c>
      <c r="BF110" s="16" t="n">
        <f aca="false">MAX(C110-AP110,0)</f>
        <v>29.2570362040434</v>
      </c>
      <c r="BG110" s="16" t="n">
        <f aca="false">MAX(C110-AQ110,0)</f>
        <v>23.9562134799884</v>
      </c>
      <c r="BH110" s="16" t="n">
        <f aca="false">MAX(C110-AR110,0)</f>
        <v>18.4928360139207</v>
      </c>
      <c r="BI110" s="16" t="n">
        <f aca="false">MAX(C110-AS110,0)</f>
        <v>13.9576054698647</v>
      </c>
      <c r="BJ110" s="16" t="n">
        <f aca="false">MAX(C110-AT110,0)</f>
        <v>8.76112148433391</v>
      </c>
      <c r="BK110" s="16" t="n">
        <f aca="false">MAX(C110-AU110,0)</f>
        <v>4.07474939600508</v>
      </c>
      <c r="BL110" s="16" t="n">
        <f aca="false">MAX(C110-AV110,0)</f>
        <v>0</v>
      </c>
      <c r="BM110" s="16" t="n">
        <f aca="false">MAX(C110-AW110,0)</f>
        <v>0</v>
      </c>
      <c r="BN110" s="16" t="n">
        <f aca="false">MAX(C110-AX110,0)</f>
        <v>0</v>
      </c>
      <c r="BO110" s="16" t="n">
        <f aca="false">MAX(C110-AY110,0)</f>
        <v>0</v>
      </c>
    </row>
    <row r="111" customFormat="false" ht="15" hidden="false" customHeight="false" outlineLevel="0" collapsed="false">
      <c r="A111" s="3" t="n">
        <v>81</v>
      </c>
      <c r="B111" s="15" t="n">
        <f aca="true">RAND()</f>
        <v>0.547429848342519</v>
      </c>
      <c r="C111" s="16" t="n">
        <f aca="false">LOOKUP(B111,$E$12:$E$17,$A$12:$A$17)+LOOKUP(B111,$E$12:$E$17,$D$12:$D$17)*(B111-LOOKUP(B111,$E$12:$E$17))/LOOKUP(B111,$E$12:$E$17,$C$12:$C$17)</f>
        <v>64.957164139042</v>
      </c>
      <c r="D111" s="15" t="n">
        <f aca="true">RAND()</f>
        <v>0.334815913953238</v>
      </c>
      <c r="E111" s="15" t="n">
        <f aca="true">RAND()</f>
        <v>0.0333504475363517</v>
      </c>
      <c r="F111" s="15" t="n">
        <f aca="true">RAND()</f>
        <v>0.944047674442369</v>
      </c>
      <c r="G111" s="15" t="n">
        <f aca="true">RAND()</f>
        <v>0.259124060344112</v>
      </c>
      <c r="H111" s="15" t="n">
        <f aca="true">RAND()</f>
        <v>0.820447324866926</v>
      </c>
      <c r="I111" s="15" t="n">
        <f aca="true">RAND()</f>
        <v>0.778010206280386</v>
      </c>
      <c r="J111" s="15" t="n">
        <f aca="true">RAND()</f>
        <v>0.630656489438786</v>
      </c>
      <c r="K111" s="15" t="n">
        <f aca="true">RAND()</f>
        <v>0.301267585635796</v>
      </c>
      <c r="L111" s="15" t="n">
        <f aca="true">RAND()</f>
        <v>0.305116524948843</v>
      </c>
      <c r="M111" s="15" t="n">
        <f aca="true">RAND()</f>
        <v>0.12000784512491</v>
      </c>
      <c r="N111" s="15" t="n">
        <f aca="true">RAND()</f>
        <v>0.680635195520027</v>
      </c>
      <c r="O111" s="15" t="n">
        <f aca="true">RAND()</f>
        <v>0.259302461553917</v>
      </c>
      <c r="P111" s="15" t="n">
        <f aca="true">RAND()</f>
        <v>0.611513223318486</v>
      </c>
      <c r="Q111" s="15" t="n">
        <f aca="true">RAND()</f>
        <v>0.131547152227413</v>
      </c>
      <c r="R111" s="15" t="n">
        <f aca="true">RAND()</f>
        <v>0.65191928298171</v>
      </c>
      <c r="S111" s="15" t="n">
        <f aca="true">RAND()</f>
        <v>0.828134782528453</v>
      </c>
      <c r="T111" s="16" t="n">
        <f aca="false">LOOKUP(D111,$E$23:$E$26,$A$23:$A$26)+LOOKUP(D111,$E$23:$E$26,$D$23:$D$26)*(D111-LOOKUP(D111,$E$23:$E$26))/LOOKUP(D111,$E$23:$E$26,$C$23:$C$26)</f>
        <v>4.54351989244155</v>
      </c>
      <c r="U111" s="16" t="n">
        <f aca="false">LOOKUP(E111,$E$23:$E$26,$A$23:$A$26)+LOOKUP(E111,$E$23:$E$26,$D$23:$D$26)*(E111-LOOKUP(E111,$E$23:$E$26))/LOOKUP(E111,$E$23:$E$26,$C$23:$C$26)</f>
        <v>4.05558407922725</v>
      </c>
      <c r="V111" s="16" t="n">
        <f aca="false">LOOKUP(F111,$E$23:$E$26,$A$23:$A$26)+LOOKUP(F111,$E$23:$E$26,$D$23:$D$26)*(F111-LOOKUP(F111,$E$23:$E$26))/LOOKUP(F111,$E$23:$E$26,$C$23:$C$26)</f>
        <v>5.72023837221185</v>
      </c>
      <c r="W111" s="16" t="n">
        <f aca="false">LOOKUP(G111,$E$23:$E$26,$A$23:$A$26)+LOOKUP(G111,$E$23:$E$26,$D$23:$D$26)*(G111-LOOKUP(G111,$E$23:$E$26))/LOOKUP(G111,$E$23:$E$26,$C$23:$C$26)</f>
        <v>4.43187343390685</v>
      </c>
      <c r="X111" s="16" t="n">
        <f aca="false">LOOKUP(H111,$E$23:$E$26,$A$23:$A$26)+LOOKUP(H111,$E$23:$E$26,$D$23:$D$26)*(H111-LOOKUP(H111,$E$23:$E$26))/LOOKUP(H111,$E$23:$E$26,$C$23:$C$26)</f>
        <v>5.30111831216732</v>
      </c>
      <c r="Y111" s="16" t="n">
        <f aca="false">LOOKUP(I111,$E$23:$E$26,$A$23:$A$26)+LOOKUP(I111,$E$23:$E$26,$D$23:$D$26)*(I111-LOOKUP(I111,$E$23:$E$26))/LOOKUP(I111,$E$23:$E$26,$C$23:$C$26)</f>
        <v>5.19502551570097</v>
      </c>
      <c r="Z111" s="16" t="n">
        <f aca="false">LOOKUP(J111,$E$23:$E$26,$A$23:$A$26)+LOOKUP(J111,$E$23:$E$26,$D$23:$D$26)*(J111-LOOKUP(J111,$E$23:$E$26))/LOOKUP(J111,$E$23:$E$26,$C$23:$C$26)</f>
        <v>4.91332061179848</v>
      </c>
      <c r="AA111" s="16" t="n">
        <f aca="false">LOOKUP(K111,$E$23:$E$26,$A$23:$A$26)+LOOKUP(K111,$E$23:$E$26,$D$23:$D$26)*(K111-LOOKUP(K111,$E$23:$E$26))/LOOKUP(K111,$E$23:$E$26,$C$23:$C$26)</f>
        <v>4.50158448204475</v>
      </c>
      <c r="AB111" s="16" t="n">
        <f aca="false">LOOKUP(L111,$E$23:$E$26,$A$23:$A$26)+LOOKUP(L111,$E$23:$E$26,$D$23:$D$26)*(L111-LOOKUP(L111,$E$23:$E$26))/LOOKUP(L111,$E$23:$E$26,$C$23:$C$26)</f>
        <v>4.50639565618605</v>
      </c>
      <c r="AC111" s="16" t="n">
        <f aca="false">LOOKUP(M111,$E$23:$E$26,$A$23:$A$26)+LOOKUP(M111,$E$23:$E$26,$D$23:$D$26)*(M111-LOOKUP(M111,$E$23:$E$26))/LOOKUP(M111,$E$23:$E$26,$C$23:$C$26)</f>
        <v>4.20001307520818</v>
      </c>
      <c r="AD111" s="16" t="n">
        <f aca="false">LOOKUP(N111,$E$23:$E$26,$A$23:$A$26)+LOOKUP(N111,$E$23:$E$26,$D$23:$D$26)*(N111-LOOKUP(N111,$E$23:$E$26))/LOOKUP(N111,$E$23:$E$26,$C$23:$C$26)</f>
        <v>4.97579399440003</v>
      </c>
      <c r="AE111" s="16" t="n">
        <f aca="false">LOOKUP(O111,$E$23:$E$26,$A$23:$A$26)+LOOKUP(O111,$E$23:$E$26,$D$23:$D$26)*(O111-LOOKUP(O111,$E$23:$E$26))/LOOKUP(O111,$E$23:$E$26,$C$23:$C$26)</f>
        <v>4.43217076925653</v>
      </c>
      <c r="AF111" s="16" t="n">
        <f aca="false">LOOKUP(P111,$E$23:$E$26,$A$23:$A$26)+LOOKUP(P111,$E$23:$E$26,$D$23:$D$26)*(P111-LOOKUP(P111,$E$23:$E$26))/LOOKUP(P111,$E$23:$E$26,$C$23:$C$26)</f>
        <v>4.88939152914811</v>
      </c>
      <c r="AG111" s="16" t="n">
        <f aca="false">LOOKUP(Q111,$E$23:$E$26,$A$23:$A$26)+LOOKUP(Q111,$E$23:$E$26,$D$23:$D$26)*(Q111-LOOKUP(Q111,$E$23:$E$26))/LOOKUP(Q111,$E$23:$E$26,$C$23:$C$26)</f>
        <v>4.21924525371235</v>
      </c>
      <c r="AH111" s="16" t="n">
        <f aca="false">LOOKUP(R111,$E$23:$E$26,$A$23:$A$26)+LOOKUP(R111,$E$23:$E$26,$D$23:$D$26)*(R111-LOOKUP(R111,$E$23:$E$26))/LOOKUP(R111,$E$23:$E$26,$C$23:$C$26)</f>
        <v>4.93989910372714</v>
      </c>
      <c r="AI111" s="16" t="n">
        <f aca="false">LOOKUP(S111,$E$23:$E$26,$A$23:$A$26)+LOOKUP(S111,$E$23:$E$26,$D$23:$D$26)*(S111-LOOKUP(S111,$E$23:$E$26))/LOOKUP(S111,$E$23:$E$26,$C$23:$C$26)</f>
        <v>5.32033695632113</v>
      </c>
      <c r="AJ111" s="16" t="n">
        <f aca="false">SUM($T111:T111)</f>
        <v>4.54351989244155</v>
      </c>
      <c r="AK111" s="16" t="n">
        <f aca="false">SUM($T111:U111)</f>
        <v>8.5991039716688</v>
      </c>
      <c r="AL111" s="16" t="n">
        <f aca="false">SUM($T111:V111)</f>
        <v>14.3193423438806</v>
      </c>
      <c r="AM111" s="16" t="n">
        <f aca="false">SUM($T111:W111)</f>
        <v>18.7512157777875</v>
      </c>
      <c r="AN111" s="16" t="n">
        <f aca="false">SUM($T111:X111)</f>
        <v>24.0523340899548</v>
      </c>
      <c r="AO111" s="16" t="n">
        <f aca="false">SUM($T111:Y111)</f>
        <v>29.2473596056558</v>
      </c>
      <c r="AP111" s="16" t="n">
        <f aca="false">SUM($T111:Z111)</f>
        <v>34.1606802174543</v>
      </c>
      <c r="AQ111" s="16" t="n">
        <f aca="false">SUM($T111:AA111)</f>
        <v>38.662264699499</v>
      </c>
      <c r="AR111" s="16" t="n">
        <f aca="false">SUM($T111:AB111)</f>
        <v>43.1686603556851</v>
      </c>
      <c r="AS111" s="16" t="n">
        <f aca="false">SUM($T111:AC111)</f>
        <v>47.3686734308932</v>
      </c>
      <c r="AT111" s="16" t="n">
        <f aca="false">SUM($T111:AD111)</f>
        <v>52.3444674252933</v>
      </c>
      <c r="AU111" s="16" t="n">
        <f aca="false">SUM($T111:AE111)</f>
        <v>56.7766381945498</v>
      </c>
      <c r="AV111" s="16" t="n">
        <f aca="false">SUM($T111:AF111)</f>
        <v>61.6660297236979</v>
      </c>
      <c r="AW111" s="16" t="n">
        <f aca="false">SUM($T111:AG111)</f>
        <v>65.8852749774103</v>
      </c>
      <c r="AX111" s="16" t="n">
        <f aca="false">SUM($T111:AH111)</f>
        <v>70.8251740811374</v>
      </c>
      <c r="AY111" s="16" t="n">
        <f aca="false">SUM($T111:AI111)</f>
        <v>76.1455110374585</v>
      </c>
      <c r="AZ111" s="16" t="n">
        <f aca="false">MAX(C111-AJ111,0)</f>
        <v>60.4136442466004</v>
      </c>
      <c r="BA111" s="16" t="n">
        <f aca="false">MAX(C111-AK111,0)</f>
        <v>56.3580601673732</v>
      </c>
      <c r="BB111" s="16" t="n">
        <f aca="false">MAX(C111-AL111,0)</f>
        <v>50.6378217951613</v>
      </c>
      <c r="BC111" s="16" t="n">
        <f aca="false">MAX(C111-AM111,0)</f>
        <v>46.2059483612545</v>
      </c>
      <c r="BD111" s="16" t="n">
        <f aca="false">MAX(C111-AN111,0)</f>
        <v>40.9048300490872</v>
      </c>
      <c r="BE111" s="16" t="n">
        <f aca="false">MAX(C111-AO111,0)</f>
        <v>35.7098045333862</v>
      </c>
      <c r="BF111" s="16" t="n">
        <f aca="false">MAX(C111-AP111,0)</f>
        <v>30.7964839215877</v>
      </c>
      <c r="BG111" s="16" t="n">
        <f aca="false">MAX(C111-AQ111,0)</f>
        <v>26.294899439543</v>
      </c>
      <c r="BH111" s="16" t="n">
        <f aca="false">MAX(C111-AR111,0)</f>
        <v>21.7885037833569</v>
      </c>
      <c r="BI111" s="16" t="n">
        <f aca="false">MAX(C111-AS111,0)</f>
        <v>17.5884907081487</v>
      </c>
      <c r="BJ111" s="16" t="n">
        <f aca="false">MAX(C111-AT111,0)</f>
        <v>12.6126967137487</v>
      </c>
      <c r="BK111" s="16" t="n">
        <f aca="false">MAX(C111-AU111,0)</f>
        <v>8.18052594449218</v>
      </c>
      <c r="BL111" s="16" t="n">
        <f aca="false">MAX(C111-AV111,0)</f>
        <v>3.29113441534407</v>
      </c>
      <c r="BM111" s="16" t="n">
        <f aca="false">MAX(C111-AW111,0)</f>
        <v>0</v>
      </c>
      <c r="BN111" s="16" t="n">
        <f aca="false">MAX(C111-AX111,0)</f>
        <v>0</v>
      </c>
      <c r="BO111" s="16" t="n">
        <f aca="false">MAX(C111-AY111,0)</f>
        <v>0</v>
      </c>
    </row>
    <row r="112" customFormat="false" ht="15" hidden="false" customHeight="false" outlineLevel="0" collapsed="false">
      <c r="A112" s="3" t="n">
        <v>82</v>
      </c>
      <c r="B112" s="15" t="n">
        <f aca="true">RAND()</f>
        <v>0.107618360861043</v>
      </c>
      <c r="C112" s="16" t="n">
        <f aca="false">LOOKUP(B112,$E$12:$E$17,$A$12:$A$17)+LOOKUP(B112,$E$12:$E$17,$D$12:$D$17)*(B112-LOOKUP(B112,$E$12:$E$17))/LOOKUP(B112,$E$12:$E$17,$C$12:$C$17)</f>
        <v>55.2539453620348</v>
      </c>
      <c r="D112" s="15" t="n">
        <f aca="true">RAND()</f>
        <v>0.397851159732883</v>
      </c>
      <c r="E112" s="15" t="n">
        <f aca="true">RAND()</f>
        <v>0.0401433633839229</v>
      </c>
      <c r="F112" s="15" t="n">
        <f aca="true">RAND()</f>
        <v>0.765376361668614</v>
      </c>
      <c r="G112" s="15" t="n">
        <f aca="true">RAND()</f>
        <v>0.651908082178421</v>
      </c>
      <c r="H112" s="15" t="n">
        <f aca="true">RAND()</f>
        <v>0.95292620673093</v>
      </c>
      <c r="I112" s="15" t="n">
        <f aca="true">RAND()</f>
        <v>0.517272905180919</v>
      </c>
      <c r="J112" s="15" t="n">
        <f aca="true">RAND()</f>
        <v>0.815217403418529</v>
      </c>
      <c r="K112" s="15" t="n">
        <f aca="true">RAND()</f>
        <v>0.887253963586935</v>
      </c>
      <c r="L112" s="15" t="n">
        <f aca="true">RAND()</f>
        <v>0.703350564580176</v>
      </c>
      <c r="M112" s="15" t="n">
        <f aca="true">RAND()</f>
        <v>0.122651822087636</v>
      </c>
      <c r="N112" s="15" t="n">
        <f aca="true">RAND()</f>
        <v>0.160044764671058</v>
      </c>
      <c r="O112" s="15" t="n">
        <f aca="true">RAND()</f>
        <v>0.733159974882426</v>
      </c>
      <c r="P112" s="15" t="n">
        <f aca="true">RAND()</f>
        <v>0.499146377544387</v>
      </c>
      <c r="Q112" s="15" t="n">
        <f aca="true">RAND()</f>
        <v>0.418384060254006</v>
      </c>
      <c r="R112" s="15" t="n">
        <f aca="true">RAND()</f>
        <v>0.839867365295109</v>
      </c>
      <c r="S112" s="15" t="n">
        <f aca="true">RAND()</f>
        <v>0.8324869390721</v>
      </c>
      <c r="T112" s="16" t="n">
        <f aca="false">LOOKUP(D112,$E$23:$E$26,$A$23:$A$26)+LOOKUP(D112,$E$23:$E$26,$D$23:$D$26)*(D112-LOOKUP(D112,$E$23:$E$26))/LOOKUP(D112,$E$23:$E$26,$C$23:$C$26)</f>
        <v>4.6223139496661</v>
      </c>
      <c r="U112" s="16" t="n">
        <f aca="false">LOOKUP(E112,$E$23:$E$26,$A$23:$A$26)+LOOKUP(E112,$E$23:$E$26,$D$23:$D$26)*(E112-LOOKUP(E112,$E$23:$E$26))/LOOKUP(E112,$E$23:$E$26,$C$23:$C$26)</f>
        <v>4.06690560563987</v>
      </c>
      <c r="V112" s="16" t="n">
        <f aca="false">LOOKUP(F112,$E$23:$E$26,$A$23:$A$26)+LOOKUP(F112,$E$23:$E$26,$D$23:$D$26)*(F112-LOOKUP(F112,$E$23:$E$26))/LOOKUP(F112,$E$23:$E$26,$C$23:$C$26)</f>
        <v>5.16344090417154</v>
      </c>
      <c r="W112" s="16" t="n">
        <f aca="false">LOOKUP(G112,$E$23:$E$26,$A$23:$A$26)+LOOKUP(G112,$E$23:$E$26,$D$23:$D$26)*(G112-LOOKUP(G112,$E$23:$E$26))/LOOKUP(G112,$E$23:$E$26,$C$23:$C$26)</f>
        <v>4.93988510272303</v>
      </c>
      <c r="X112" s="16" t="n">
        <f aca="false">LOOKUP(H112,$E$23:$E$26,$A$23:$A$26)+LOOKUP(H112,$E$23:$E$26,$D$23:$D$26)*(H112-LOOKUP(H112,$E$23:$E$26))/LOOKUP(H112,$E$23:$E$26,$C$23:$C$26)</f>
        <v>5.76463103365465</v>
      </c>
      <c r="Y112" s="16" t="n">
        <f aca="false">LOOKUP(I112,$E$23:$E$26,$A$23:$A$26)+LOOKUP(I112,$E$23:$E$26,$D$23:$D$26)*(I112-LOOKUP(I112,$E$23:$E$26))/LOOKUP(I112,$E$23:$E$26,$C$23:$C$26)</f>
        <v>4.77159113147615</v>
      </c>
      <c r="Z112" s="16" t="n">
        <f aca="false">LOOKUP(J112,$E$23:$E$26,$A$23:$A$26)+LOOKUP(J112,$E$23:$E$26,$D$23:$D$26)*(J112-LOOKUP(J112,$E$23:$E$26))/LOOKUP(J112,$E$23:$E$26,$C$23:$C$26)</f>
        <v>5.28804350854632</v>
      </c>
      <c r="AA112" s="16" t="n">
        <f aca="false">LOOKUP(K112,$E$23:$E$26,$A$23:$A$26)+LOOKUP(K112,$E$23:$E$26,$D$23:$D$26)*(K112-LOOKUP(K112,$E$23:$E$26))/LOOKUP(K112,$E$23:$E$26,$C$23:$C$26)</f>
        <v>5.46813490896734</v>
      </c>
      <c r="AB112" s="16" t="n">
        <f aca="false">LOOKUP(L112,$E$23:$E$26,$A$23:$A$26)+LOOKUP(L112,$E$23:$E$26,$D$23:$D$26)*(L112-LOOKUP(L112,$E$23:$E$26))/LOOKUP(L112,$E$23:$E$26,$C$23:$C$26)</f>
        <v>5.00837641145044</v>
      </c>
      <c r="AC112" s="16" t="n">
        <f aca="false">LOOKUP(M112,$E$23:$E$26,$A$23:$A$26)+LOOKUP(M112,$E$23:$E$26,$D$23:$D$26)*(M112-LOOKUP(M112,$E$23:$E$26))/LOOKUP(M112,$E$23:$E$26,$C$23:$C$26)</f>
        <v>4.20441970347939</v>
      </c>
      <c r="AD112" s="16" t="n">
        <f aca="false">LOOKUP(N112,$E$23:$E$26,$A$23:$A$26)+LOOKUP(N112,$E$23:$E$26,$D$23:$D$26)*(N112-LOOKUP(N112,$E$23:$E$26))/LOOKUP(N112,$E$23:$E$26,$C$23:$C$26)</f>
        <v>4.26674127445176</v>
      </c>
      <c r="AE112" s="16" t="n">
        <f aca="false">LOOKUP(O112,$E$23:$E$26,$A$23:$A$26)+LOOKUP(O112,$E$23:$E$26,$D$23:$D$26)*(O112-LOOKUP(O112,$E$23:$E$26))/LOOKUP(O112,$E$23:$E$26,$C$23:$C$26)</f>
        <v>5.08289993720607</v>
      </c>
      <c r="AF112" s="16" t="n">
        <f aca="false">LOOKUP(P112,$E$23:$E$26,$A$23:$A$26)+LOOKUP(P112,$E$23:$E$26,$D$23:$D$26)*(P112-LOOKUP(P112,$E$23:$E$26))/LOOKUP(P112,$E$23:$E$26,$C$23:$C$26)</f>
        <v>4.74893297193048</v>
      </c>
      <c r="AG112" s="16" t="n">
        <f aca="false">LOOKUP(Q112,$E$23:$E$26,$A$23:$A$26)+LOOKUP(Q112,$E$23:$E$26,$D$23:$D$26)*(Q112-LOOKUP(Q112,$E$23:$E$26))/LOOKUP(Q112,$E$23:$E$26,$C$23:$C$26)</f>
        <v>4.64798007531751</v>
      </c>
      <c r="AH112" s="16" t="n">
        <f aca="false">LOOKUP(R112,$E$23:$E$26,$A$23:$A$26)+LOOKUP(R112,$E$23:$E$26,$D$23:$D$26)*(R112-LOOKUP(R112,$E$23:$E$26))/LOOKUP(R112,$E$23:$E$26,$C$23:$C$26)</f>
        <v>5.34966841323777</v>
      </c>
      <c r="AI112" s="16" t="n">
        <f aca="false">LOOKUP(S112,$E$23:$E$26,$A$23:$A$26)+LOOKUP(S112,$E$23:$E$26,$D$23:$D$26)*(S112-LOOKUP(S112,$E$23:$E$26))/LOOKUP(S112,$E$23:$E$26,$C$23:$C$26)</f>
        <v>5.33121734768025</v>
      </c>
      <c r="AJ112" s="16" t="n">
        <f aca="false">SUM($T112:T112)</f>
        <v>4.6223139496661</v>
      </c>
      <c r="AK112" s="16" t="n">
        <f aca="false">SUM($T112:U112)</f>
        <v>8.68921955530598</v>
      </c>
      <c r="AL112" s="16" t="n">
        <f aca="false">SUM($T112:V112)</f>
        <v>13.8526604594775</v>
      </c>
      <c r="AM112" s="16" t="n">
        <f aca="false">SUM($T112:W112)</f>
        <v>18.7925455622005</v>
      </c>
      <c r="AN112" s="16" t="n">
        <f aca="false">SUM($T112:X112)</f>
        <v>24.5571765958552</v>
      </c>
      <c r="AO112" s="16" t="n">
        <f aca="false">SUM($T112:Y112)</f>
        <v>29.3287677273313</v>
      </c>
      <c r="AP112" s="16" t="n">
        <f aca="false">SUM($T112:Z112)</f>
        <v>34.6168112358777</v>
      </c>
      <c r="AQ112" s="16" t="n">
        <f aca="false">SUM($T112:AA112)</f>
        <v>40.084946144845</v>
      </c>
      <c r="AR112" s="16" t="n">
        <f aca="false">SUM($T112:AB112)</f>
        <v>45.0933225562954</v>
      </c>
      <c r="AS112" s="16" t="n">
        <f aca="false">SUM($T112:AC112)</f>
        <v>49.2977422597748</v>
      </c>
      <c r="AT112" s="16" t="n">
        <f aca="false">SUM($T112:AD112)</f>
        <v>53.5644835342266</v>
      </c>
      <c r="AU112" s="16" t="n">
        <f aca="false">SUM($T112:AE112)</f>
        <v>58.6473834714327</v>
      </c>
      <c r="AV112" s="16" t="n">
        <f aca="false">SUM($T112:AF112)</f>
        <v>63.3963164433631</v>
      </c>
      <c r="AW112" s="16" t="n">
        <f aca="false">SUM($T112:AG112)</f>
        <v>68.0442965186807</v>
      </c>
      <c r="AX112" s="16" t="n">
        <f aca="false">SUM($T112:AH112)</f>
        <v>73.3939649319184</v>
      </c>
      <c r="AY112" s="16" t="n">
        <f aca="false">SUM($T112:AI112)</f>
        <v>78.7251822795987</v>
      </c>
      <c r="AZ112" s="16" t="n">
        <f aca="false">MAX(C112-AJ112,0)</f>
        <v>50.6316314123687</v>
      </c>
      <c r="BA112" s="16" t="n">
        <f aca="false">MAX(C112-AK112,0)</f>
        <v>46.5647258067288</v>
      </c>
      <c r="BB112" s="16" t="n">
        <f aca="false">MAX(C112-AL112,0)</f>
        <v>41.4012849025573</v>
      </c>
      <c r="BC112" s="16" t="n">
        <f aca="false">MAX(C112-AM112,0)</f>
        <v>36.4613997998342</v>
      </c>
      <c r="BD112" s="16" t="n">
        <f aca="false">MAX(C112-AN112,0)</f>
        <v>30.6967687661796</v>
      </c>
      <c r="BE112" s="16" t="n">
        <f aca="false">MAX(C112-AO112,0)</f>
        <v>25.9251776347034</v>
      </c>
      <c r="BF112" s="16" t="n">
        <f aca="false">MAX(C112-AP112,0)</f>
        <v>20.6371341261571</v>
      </c>
      <c r="BG112" s="16" t="n">
        <f aca="false">MAX(C112-AQ112,0)</f>
        <v>15.1689992171898</v>
      </c>
      <c r="BH112" s="16" t="n">
        <f aca="false">MAX(C112-AR112,0)</f>
        <v>10.1606228057393</v>
      </c>
      <c r="BI112" s="16" t="n">
        <f aca="false">MAX(C112-AS112,0)</f>
        <v>5.95620310225995</v>
      </c>
      <c r="BJ112" s="16" t="n">
        <f aca="false">MAX(C112-AT112,0)</f>
        <v>1.68946182780818</v>
      </c>
      <c r="BK112" s="16" t="n">
        <f aca="false">MAX(C112-AU112,0)</f>
        <v>0</v>
      </c>
      <c r="BL112" s="16" t="n">
        <f aca="false">MAX(C112-AV112,0)</f>
        <v>0</v>
      </c>
      <c r="BM112" s="16" t="n">
        <f aca="false">MAX(C112-AW112,0)</f>
        <v>0</v>
      </c>
      <c r="BN112" s="16" t="n">
        <f aca="false">MAX(C112-AX112,0)</f>
        <v>0</v>
      </c>
      <c r="BO112" s="16" t="n">
        <f aca="false">MAX(C112-AY112,0)</f>
        <v>0</v>
      </c>
    </row>
    <row r="113" customFormat="false" ht="15" hidden="false" customHeight="false" outlineLevel="0" collapsed="false">
      <c r="A113" s="3" t="n">
        <v>83</v>
      </c>
      <c r="B113" s="15" t="n">
        <f aca="true">RAND()</f>
        <v>0.991084929634843</v>
      </c>
      <c r="C113" s="16" t="n">
        <f aca="false">LOOKUP(B113,$E$12:$E$17,$A$12:$A$17)+LOOKUP(B113,$E$12:$E$17,$D$12:$D$17)*(B113-LOOKUP(B113,$E$12:$E$17))/LOOKUP(B113,$E$12:$E$17,$C$12:$C$17)</f>
        <v>82.7712324087107</v>
      </c>
      <c r="D113" s="15" t="n">
        <f aca="true">RAND()</f>
        <v>0.357048589830324</v>
      </c>
      <c r="E113" s="15" t="n">
        <f aca="true">RAND()</f>
        <v>0.0720977069746271</v>
      </c>
      <c r="F113" s="15" t="n">
        <f aca="true">RAND()</f>
        <v>0.59104169060017</v>
      </c>
      <c r="G113" s="15" t="n">
        <f aca="true">RAND()</f>
        <v>0.120632866386591</v>
      </c>
      <c r="H113" s="15" t="n">
        <f aca="true">RAND()</f>
        <v>0.644739056459542</v>
      </c>
      <c r="I113" s="15" t="n">
        <f aca="true">RAND()</f>
        <v>0.35472020001128</v>
      </c>
      <c r="J113" s="15" t="n">
        <f aca="true">RAND()</f>
        <v>0.491713749621268</v>
      </c>
      <c r="K113" s="15" t="n">
        <f aca="true">RAND()</f>
        <v>0.923969121563377</v>
      </c>
      <c r="L113" s="15" t="n">
        <f aca="true">RAND()</f>
        <v>0.660357793410904</v>
      </c>
      <c r="M113" s="15" t="n">
        <f aca="true">RAND()</f>
        <v>0.206301807567347</v>
      </c>
      <c r="N113" s="15" t="n">
        <f aca="true">RAND()</f>
        <v>0.436066949746623</v>
      </c>
      <c r="O113" s="15" t="n">
        <f aca="true">RAND()</f>
        <v>0.110073048381011</v>
      </c>
      <c r="P113" s="15" t="n">
        <f aca="true">RAND()</f>
        <v>0.370255060731258</v>
      </c>
      <c r="Q113" s="15" t="n">
        <f aca="true">RAND()</f>
        <v>0.783539213869446</v>
      </c>
      <c r="R113" s="15" t="n">
        <f aca="true">RAND()</f>
        <v>0.0801753694063465</v>
      </c>
      <c r="S113" s="15" t="n">
        <f aca="true">RAND()</f>
        <v>0.983758108881131</v>
      </c>
      <c r="T113" s="16" t="n">
        <f aca="false">LOOKUP(D113,$E$23:$E$26,$A$23:$A$26)+LOOKUP(D113,$E$23:$E$26,$D$23:$D$26)*(D113-LOOKUP(D113,$E$23:$E$26))/LOOKUP(D113,$E$23:$E$26,$C$23:$C$26)</f>
        <v>4.57131073728791</v>
      </c>
      <c r="U113" s="16" t="n">
        <f aca="false">LOOKUP(E113,$E$23:$E$26,$A$23:$A$26)+LOOKUP(E113,$E$23:$E$26,$D$23:$D$26)*(E113-LOOKUP(E113,$E$23:$E$26))/LOOKUP(E113,$E$23:$E$26,$C$23:$C$26)</f>
        <v>4.12016284495771</v>
      </c>
      <c r="V113" s="16" t="n">
        <f aca="false">LOOKUP(F113,$E$23:$E$26,$A$23:$A$26)+LOOKUP(F113,$E$23:$E$26,$D$23:$D$26)*(F113-LOOKUP(F113,$E$23:$E$26))/LOOKUP(F113,$E$23:$E$26,$C$23:$C$26)</f>
        <v>4.86380211325021</v>
      </c>
      <c r="W113" s="16" t="n">
        <f aca="false">LOOKUP(G113,$E$23:$E$26,$A$23:$A$26)+LOOKUP(G113,$E$23:$E$26,$D$23:$D$26)*(G113-LOOKUP(G113,$E$23:$E$26))/LOOKUP(G113,$E$23:$E$26,$C$23:$C$26)</f>
        <v>4.20105477731099</v>
      </c>
      <c r="X113" s="16" t="n">
        <f aca="false">LOOKUP(H113,$E$23:$E$26,$A$23:$A$26)+LOOKUP(H113,$E$23:$E$26,$D$23:$D$26)*(H113-LOOKUP(H113,$E$23:$E$26))/LOOKUP(H113,$E$23:$E$26,$C$23:$C$26)</f>
        <v>4.93092382057443</v>
      </c>
      <c r="Y113" s="16" t="n">
        <f aca="false">LOOKUP(I113,$E$23:$E$26,$A$23:$A$26)+LOOKUP(I113,$E$23:$E$26,$D$23:$D$26)*(I113-LOOKUP(I113,$E$23:$E$26))/LOOKUP(I113,$E$23:$E$26,$C$23:$C$26)</f>
        <v>4.5684002500141</v>
      </c>
      <c r="Z113" s="16" t="n">
        <f aca="false">LOOKUP(J113,$E$23:$E$26,$A$23:$A$26)+LOOKUP(J113,$E$23:$E$26,$D$23:$D$26)*(J113-LOOKUP(J113,$E$23:$E$26))/LOOKUP(J113,$E$23:$E$26,$C$23:$C$26)</f>
        <v>4.73964218702659</v>
      </c>
      <c r="AA113" s="16" t="n">
        <f aca="false">LOOKUP(K113,$E$23:$E$26,$A$23:$A$26)+LOOKUP(K113,$E$23:$E$26,$D$23:$D$26)*(K113-LOOKUP(K113,$E$23:$E$26))/LOOKUP(K113,$E$23:$E$26,$C$23:$C$26)</f>
        <v>5.61984560781689</v>
      </c>
      <c r="AB113" s="16" t="n">
        <f aca="false">LOOKUP(L113,$E$23:$E$26,$A$23:$A$26)+LOOKUP(L113,$E$23:$E$26,$D$23:$D$26)*(L113-LOOKUP(L113,$E$23:$E$26))/LOOKUP(L113,$E$23:$E$26,$C$23:$C$26)</f>
        <v>4.95044724176363</v>
      </c>
      <c r="AC113" s="16" t="n">
        <f aca="false">LOOKUP(M113,$E$23:$E$26,$A$23:$A$26)+LOOKUP(M113,$E$23:$E$26,$D$23:$D$26)*(M113-LOOKUP(M113,$E$23:$E$26))/LOOKUP(M113,$E$23:$E$26,$C$23:$C$26)</f>
        <v>4.34383634594558</v>
      </c>
      <c r="AD113" s="16" t="n">
        <f aca="false">LOOKUP(N113,$E$23:$E$26,$A$23:$A$26)+LOOKUP(N113,$E$23:$E$26,$D$23:$D$26)*(N113-LOOKUP(N113,$E$23:$E$26))/LOOKUP(N113,$E$23:$E$26,$C$23:$C$26)</f>
        <v>4.67008368718328</v>
      </c>
      <c r="AE113" s="16" t="n">
        <f aca="false">LOOKUP(O113,$E$23:$E$26,$A$23:$A$26)+LOOKUP(O113,$E$23:$E$26,$D$23:$D$26)*(O113-LOOKUP(O113,$E$23:$E$26))/LOOKUP(O113,$E$23:$E$26,$C$23:$C$26)</f>
        <v>4.18345508063502</v>
      </c>
      <c r="AF113" s="16" t="n">
        <f aca="false">LOOKUP(P113,$E$23:$E$26,$A$23:$A$26)+LOOKUP(P113,$E$23:$E$26,$D$23:$D$26)*(P113-LOOKUP(P113,$E$23:$E$26))/LOOKUP(P113,$E$23:$E$26,$C$23:$C$26)</f>
        <v>4.58781882591407</v>
      </c>
      <c r="AG113" s="16" t="n">
        <f aca="false">LOOKUP(Q113,$E$23:$E$26,$A$23:$A$26)+LOOKUP(Q113,$E$23:$E$26,$D$23:$D$26)*(Q113-LOOKUP(Q113,$E$23:$E$26))/LOOKUP(Q113,$E$23:$E$26,$C$23:$C$26)</f>
        <v>5.20884803467362</v>
      </c>
      <c r="AH113" s="16" t="n">
        <f aca="false">LOOKUP(R113,$E$23:$E$26,$A$23:$A$26)+LOOKUP(R113,$E$23:$E$26,$D$23:$D$26)*(R113-LOOKUP(R113,$E$23:$E$26))/LOOKUP(R113,$E$23:$E$26,$C$23:$C$26)</f>
        <v>4.13362561567725</v>
      </c>
      <c r="AI113" s="16" t="n">
        <f aca="false">LOOKUP(S113,$E$23:$E$26,$A$23:$A$26)+LOOKUP(S113,$E$23:$E$26,$D$23:$D$26)*(S113-LOOKUP(S113,$E$23:$E$26))/LOOKUP(S113,$E$23:$E$26,$C$23:$C$26)</f>
        <v>5.91879054440565</v>
      </c>
      <c r="AJ113" s="16" t="n">
        <f aca="false">SUM($T113:T113)</f>
        <v>4.57131073728791</v>
      </c>
      <c r="AK113" s="16" t="n">
        <f aca="false">SUM($T113:U113)</f>
        <v>8.69147358224562</v>
      </c>
      <c r="AL113" s="16" t="n">
        <f aca="false">SUM($T113:V113)</f>
        <v>13.5552756954958</v>
      </c>
      <c r="AM113" s="16" t="n">
        <f aca="false">SUM($T113:W113)</f>
        <v>17.7563304728068</v>
      </c>
      <c r="AN113" s="16" t="n">
        <f aca="false">SUM($T113:X113)</f>
        <v>22.6872542933812</v>
      </c>
      <c r="AO113" s="16" t="n">
        <f aca="false">SUM($T113:Y113)</f>
        <v>27.2556545433953</v>
      </c>
      <c r="AP113" s="16" t="n">
        <f aca="false">SUM($T113:Z113)</f>
        <v>31.9952967304219</v>
      </c>
      <c r="AQ113" s="16" t="n">
        <f aca="false">SUM($T113:AA113)</f>
        <v>37.6151423382388</v>
      </c>
      <c r="AR113" s="16" t="n">
        <f aca="false">SUM($T113:AB113)</f>
        <v>42.5655895800024</v>
      </c>
      <c r="AS113" s="16" t="n">
        <f aca="false">SUM($T113:AC113)</f>
        <v>46.909425925948</v>
      </c>
      <c r="AT113" s="16" t="n">
        <f aca="false">SUM($T113:AD113)</f>
        <v>51.5795096131313</v>
      </c>
      <c r="AU113" s="16" t="n">
        <f aca="false">SUM($T113:AE113)</f>
        <v>55.7629646937663</v>
      </c>
      <c r="AV113" s="16" t="n">
        <f aca="false">SUM($T113:AF113)</f>
        <v>60.3507835196804</v>
      </c>
      <c r="AW113" s="16" t="n">
        <f aca="false">SUM($T113:AG113)</f>
        <v>65.559631554354</v>
      </c>
      <c r="AX113" s="16" t="n">
        <f aca="false">SUM($T113:AH113)</f>
        <v>69.6932571700313</v>
      </c>
      <c r="AY113" s="16" t="n">
        <f aca="false">SUM($T113:AI113)</f>
        <v>75.6120477144369</v>
      </c>
      <c r="AZ113" s="16" t="n">
        <f aca="false">MAX(C113-AJ113,0)</f>
        <v>78.1999216714228</v>
      </c>
      <c r="BA113" s="16" t="n">
        <f aca="false">MAX(C113-AK113,0)</f>
        <v>74.0797588264651</v>
      </c>
      <c r="BB113" s="16" t="n">
        <f aca="false">MAX(C113-AL113,0)</f>
        <v>69.2159567132149</v>
      </c>
      <c r="BC113" s="16" t="n">
        <f aca="false">MAX(C113-AM113,0)</f>
        <v>65.0149019359039</v>
      </c>
      <c r="BD113" s="16" t="n">
        <f aca="false">MAX(C113-AN113,0)</f>
        <v>60.0839781153294</v>
      </c>
      <c r="BE113" s="16" t="n">
        <f aca="false">MAX(C113-AO113,0)</f>
        <v>55.5155778653153</v>
      </c>
      <c r="BF113" s="16" t="n">
        <f aca="false">MAX(C113-AP113,0)</f>
        <v>50.7759356782888</v>
      </c>
      <c r="BG113" s="16" t="n">
        <f aca="false">MAX(C113-AQ113,0)</f>
        <v>45.1560900704719</v>
      </c>
      <c r="BH113" s="16" t="n">
        <f aca="false">MAX(C113-AR113,0)</f>
        <v>40.2056428287082</v>
      </c>
      <c r="BI113" s="16" t="n">
        <f aca="false">MAX(C113-AS113,0)</f>
        <v>35.8618064827627</v>
      </c>
      <c r="BJ113" s="16" t="n">
        <f aca="false">MAX(C113-AT113,0)</f>
        <v>31.1917227955794</v>
      </c>
      <c r="BK113" s="16" t="n">
        <f aca="false">MAX(C113-AU113,0)</f>
        <v>27.0082677149444</v>
      </c>
      <c r="BL113" s="16" t="n">
        <f aca="false">MAX(C113-AV113,0)</f>
        <v>22.4204488890303</v>
      </c>
      <c r="BM113" s="16" t="n">
        <f aca="false">MAX(C113-AW113,0)</f>
        <v>17.2116008543567</v>
      </c>
      <c r="BN113" s="16" t="n">
        <f aca="false">MAX(C113-AX113,0)</f>
        <v>13.0779752386794</v>
      </c>
      <c r="BO113" s="16" t="n">
        <f aca="false">MAX(C113-AY113,0)</f>
        <v>7.15918469427379</v>
      </c>
    </row>
    <row r="114" customFormat="false" ht="15" hidden="false" customHeight="false" outlineLevel="0" collapsed="false">
      <c r="A114" s="3" t="n">
        <v>84</v>
      </c>
      <c r="B114" s="15" t="n">
        <f aca="true">RAND()</f>
        <v>0.786512748516231</v>
      </c>
      <c r="C114" s="16" t="n">
        <f aca="false">LOOKUP(B114,$E$12:$E$17,$A$12:$A$17)+LOOKUP(B114,$E$12:$E$17,$D$12:$D$17)*(B114-LOOKUP(B114,$E$12:$E$17))/LOOKUP(B114,$E$12:$E$17,$C$12:$C$17)</f>
        <v>68.3787535502319</v>
      </c>
      <c r="D114" s="15" t="n">
        <f aca="true">RAND()</f>
        <v>0.514160582429233</v>
      </c>
      <c r="E114" s="15" t="n">
        <f aca="true">RAND()</f>
        <v>0.237004073909245</v>
      </c>
      <c r="F114" s="15" t="n">
        <f aca="true">RAND()</f>
        <v>0.554048401624751</v>
      </c>
      <c r="G114" s="15" t="n">
        <f aca="true">RAND()</f>
        <v>0.942903143455496</v>
      </c>
      <c r="H114" s="15" t="n">
        <f aca="true">RAND()</f>
        <v>0.0209897290355589</v>
      </c>
      <c r="I114" s="15" t="n">
        <f aca="true">RAND()</f>
        <v>0.840574552015672</v>
      </c>
      <c r="J114" s="15" t="n">
        <f aca="true">RAND()</f>
        <v>0.826475510036979</v>
      </c>
      <c r="K114" s="15" t="n">
        <f aca="true">RAND()</f>
        <v>0.246065435534146</v>
      </c>
      <c r="L114" s="15" t="n">
        <f aca="true">RAND()</f>
        <v>0.646051895400143</v>
      </c>
      <c r="M114" s="15" t="n">
        <f aca="true">RAND()</f>
        <v>0.86731351417371</v>
      </c>
      <c r="N114" s="15" t="n">
        <f aca="true">RAND()</f>
        <v>0.125707578514006</v>
      </c>
      <c r="O114" s="15" t="n">
        <f aca="true">RAND()</f>
        <v>0.977101627340711</v>
      </c>
      <c r="P114" s="15" t="n">
        <f aca="true">RAND()</f>
        <v>0.727076480039781</v>
      </c>
      <c r="Q114" s="15" t="n">
        <f aca="true">RAND()</f>
        <v>0.547236209011875</v>
      </c>
      <c r="R114" s="15" t="n">
        <f aca="true">RAND()</f>
        <v>0.15825624129489</v>
      </c>
      <c r="S114" s="15" t="n">
        <f aca="true">RAND()</f>
        <v>0.253562407977069</v>
      </c>
      <c r="T114" s="16" t="n">
        <f aca="false">LOOKUP(D114,$E$23:$E$26,$A$23:$A$26)+LOOKUP(D114,$E$23:$E$26,$D$23:$D$26)*(D114-LOOKUP(D114,$E$23:$E$26))/LOOKUP(D114,$E$23:$E$26,$C$23:$C$26)</f>
        <v>4.76770072803654</v>
      </c>
      <c r="U114" s="16" t="n">
        <f aca="false">LOOKUP(E114,$E$23:$E$26,$A$23:$A$26)+LOOKUP(E114,$E$23:$E$26,$D$23:$D$26)*(E114-LOOKUP(E114,$E$23:$E$26))/LOOKUP(E114,$E$23:$E$26,$C$23:$C$26)</f>
        <v>4.39500678984874</v>
      </c>
      <c r="V114" s="16" t="n">
        <f aca="false">LOOKUP(F114,$E$23:$E$26,$A$23:$A$26)+LOOKUP(F114,$E$23:$E$26,$D$23:$D$26)*(F114-LOOKUP(F114,$E$23:$E$26))/LOOKUP(F114,$E$23:$E$26,$C$23:$C$26)</f>
        <v>4.81756050203094</v>
      </c>
      <c r="W114" s="16" t="n">
        <f aca="false">LOOKUP(G114,$E$23:$E$26,$A$23:$A$26)+LOOKUP(G114,$E$23:$E$26,$D$23:$D$26)*(G114-LOOKUP(G114,$E$23:$E$26))/LOOKUP(G114,$E$23:$E$26,$C$23:$C$26)</f>
        <v>5.71451571727748</v>
      </c>
      <c r="X114" s="16" t="n">
        <f aca="false">LOOKUP(H114,$E$23:$E$26,$A$23:$A$26)+LOOKUP(H114,$E$23:$E$26,$D$23:$D$26)*(H114-LOOKUP(H114,$E$23:$E$26))/LOOKUP(H114,$E$23:$E$26,$C$23:$C$26)</f>
        <v>4.03498288172593</v>
      </c>
      <c r="Y114" s="16" t="n">
        <f aca="false">LOOKUP(I114,$E$23:$E$26,$A$23:$A$26)+LOOKUP(I114,$E$23:$E$26,$D$23:$D$26)*(I114-LOOKUP(I114,$E$23:$E$26))/LOOKUP(I114,$E$23:$E$26,$C$23:$C$26)</f>
        <v>5.35143638003918</v>
      </c>
      <c r="Z114" s="16" t="n">
        <f aca="false">LOOKUP(J114,$E$23:$E$26,$A$23:$A$26)+LOOKUP(J114,$E$23:$E$26,$D$23:$D$26)*(J114-LOOKUP(J114,$E$23:$E$26))/LOOKUP(J114,$E$23:$E$26,$C$23:$C$26)</f>
        <v>5.31618877509245</v>
      </c>
      <c r="AA114" s="16" t="n">
        <f aca="false">LOOKUP(K114,$E$23:$E$26,$A$23:$A$26)+LOOKUP(K114,$E$23:$E$26,$D$23:$D$26)*(K114-LOOKUP(K114,$E$23:$E$26))/LOOKUP(K114,$E$23:$E$26,$C$23:$C$26)</f>
        <v>4.41010905922358</v>
      </c>
      <c r="AB114" s="16" t="n">
        <f aca="false">LOOKUP(L114,$E$23:$E$26,$A$23:$A$26)+LOOKUP(L114,$E$23:$E$26,$D$23:$D$26)*(L114-LOOKUP(L114,$E$23:$E$26))/LOOKUP(L114,$E$23:$E$26,$C$23:$C$26)</f>
        <v>4.93256486925018</v>
      </c>
      <c r="AC114" s="16" t="n">
        <f aca="false">LOOKUP(M114,$E$23:$E$26,$A$23:$A$26)+LOOKUP(M114,$E$23:$E$26,$D$23:$D$26)*(M114-LOOKUP(M114,$E$23:$E$26))/LOOKUP(M114,$E$23:$E$26,$C$23:$C$26)</f>
        <v>5.41828378543428</v>
      </c>
      <c r="AD114" s="16" t="n">
        <f aca="false">LOOKUP(N114,$E$23:$E$26,$A$23:$A$26)+LOOKUP(N114,$E$23:$E$26,$D$23:$D$26)*(N114-LOOKUP(N114,$E$23:$E$26))/LOOKUP(N114,$E$23:$E$26,$C$23:$C$26)</f>
        <v>4.20951263085668</v>
      </c>
      <c r="AE114" s="16" t="n">
        <f aca="false">LOOKUP(O114,$E$23:$E$26,$A$23:$A$26)+LOOKUP(O114,$E$23:$E$26,$D$23:$D$26)*(O114-LOOKUP(O114,$E$23:$E$26))/LOOKUP(O114,$E$23:$E$26,$C$23:$C$26)</f>
        <v>5.88550813670355</v>
      </c>
      <c r="AF114" s="16" t="n">
        <f aca="false">LOOKUP(P114,$E$23:$E$26,$A$23:$A$26)+LOOKUP(P114,$E$23:$E$26,$D$23:$D$26)*(P114-LOOKUP(P114,$E$23:$E$26))/LOOKUP(P114,$E$23:$E$26,$C$23:$C$26)</f>
        <v>5.06769120009945</v>
      </c>
      <c r="AG114" s="16" t="n">
        <f aca="false">LOOKUP(Q114,$E$23:$E$26,$A$23:$A$26)+LOOKUP(Q114,$E$23:$E$26,$D$23:$D$26)*(Q114-LOOKUP(Q114,$E$23:$E$26))/LOOKUP(Q114,$E$23:$E$26,$C$23:$C$26)</f>
        <v>4.80904526126484</v>
      </c>
      <c r="AH114" s="16" t="n">
        <f aca="false">LOOKUP(R114,$E$23:$E$26,$A$23:$A$26)+LOOKUP(R114,$E$23:$E$26,$D$23:$D$26)*(R114-LOOKUP(R114,$E$23:$E$26))/LOOKUP(R114,$E$23:$E$26,$C$23:$C$26)</f>
        <v>4.26376040215815</v>
      </c>
      <c r="AI114" s="16" t="n">
        <f aca="false">LOOKUP(S114,$E$23:$E$26,$A$23:$A$26)+LOOKUP(S114,$E$23:$E$26,$D$23:$D$26)*(S114-LOOKUP(S114,$E$23:$E$26))/LOOKUP(S114,$E$23:$E$26,$C$23:$C$26)</f>
        <v>4.42260401329512</v>
      </c>
      <c r="AJ114" s="16" t="n">
        <f aca="false">SUM($T114:T114)</f>
        <v>4.76770072803654</v>
      </c>
      <c r="AK114" s="16" t="n">
        <f aca="false">SUM($T114:U114)</f>
        <v>9.16270751788528</v>
      </c>
      <c r="AL114" s="16" t="n">
        <f aca="false">SUM($T114:V114)</f>
        <v>13.9802680199162</v>
      </c>
      <c r="AM114" s="16" t="n">
        <f aca="false">SUM($T114:W114)</f>
        <v>19.6947837371937</v>
      </c>
      <c r="AN114" s="16" t="n">
        <f aca="false">SUM($T114:X114)</f>
        <v>23.7297666189196</v>
      </c>
      <c r="AO114" s="16" t="n">
        <f aca="false">SUM($T114:Y114)</f>
        <v>29.0812029989588</v>
      </c>
      <c r="AP114" s="16" t="n">
        <f aca="false">SUM($T114:Z114)</f>
        <v>34.3973917740513</v>
      </c>
      <c r="AQ114" s="16" t="n">
        <f aca="false">SUM($T114:AA114)</f>
        <v>38.8075008332748</v>
      </c>
      <c r="AR114" s="16" t="n">
        <f aca="false">SUM($T114:AB114)</f>
        <v>43.740065702525</v>
      </c>
      <c r="AS114" s="16" t="n">
        <f aca="false">SUM($T114:AC114)</f>
        <v>49.1583494879593</v>
      </c>
      <c r="AT114" s="16" t="n">
        <f aca="false">SUM($T114:AD114)</f>
        <v>53.367862118816</v>
      </c>
      <c r="AU114" s="16" t="n">
        <f aca="false">SUM($T114:AE114)</f>
        <v>59.2533702555195</v>
      </c>
      <c r="AV114" s="16" t="n">
        <f aca="false">SUM($T114:AF114)</f>
        <v>64.321061455619</v>
      </c>
      <c r="AW114" s="16" t="n">
        <f aca="false">SUM($T114:AG114)</f>
        <v>69.1301067168838</v>
      </c>
      <c r="AX114" s="16" t="n">
        <f aca="false">SUM($T114:AH114)</f>
        <v>73.393867119042</v>
      </c>
      <c r="AY114" s="16" t="n">
        <f aca="false">SUM($T114:AI114)</f>
        <v>77.8164711323371</v>
      </c>
      <c r="AZ114" s="16" t="n">
        <f aca="false">MAX(C114-AJ114,0)</f>
        <v>63.6110528221953</v>
      </c>
      <c r="BA114" s="16" t="n">
        <f aca="false">MAX(C114-AK114,0)</f>
        <v>59.2160460323466</v>
      </c>
      <c r="BB114" s="16" t="n">
        <f aca="false">MAX(C114-AL114,0)</f>
        <v>54.3984855303157</v>
      </c>
      <c r="BC114" s="16" t="n">
        <f aca="false">MAX(C114-AM114,0)</f>
        <v>48.6839698130382</v>
      </c>
      <c r="BD114" s="16" t="n">
        <f aca="false">MAX(C114-AN114,0)</f>
        <v>44.6489869313122</v>
      </c>
      <c r="BE114" s="16" t="n">
        <f aca="false">MAX(C114-AO114,0)</f>
        <v>39.2975505512731</v>
      </c>
      <c r="BF114" s="16" t="n">
        <f aca="false">MAX(C114-AP114,0)</f>
        <v>33.9813617761806</v>
      </c>
      <c r="BG114" s="16" t="n">
        <f aca="false">MAX(C114-AQ114,0)</f>
        <v>29.571252716957</v>
      </c>
      <c r="BH114" s="16" t="n">
        <f aca="false">MAX(C114-AR114,0)</f>
        <v>24.6386878477069</v>
      </c>
      <c r="BI114" s="16" t="n">
        <f aca="false">MAX(C114-AS114,0)</f>
        <v>19.2204040622726</v>
      </c>
      <c r="BJ114" s="16" t="n">
        <f aca="false">MAX(C114-AT114,0)</f>
        <v>15.0108914314159</v>
      </c>
      <c r="BK114" s="16" t="n">
        <f aca="false">MAX(C114-AU114,0)</f>
        <v>9.12538329471236</v>
      </c>
      <c r="BL114" s="16" t="n">
        <f aca="false">MAX(C114-AV114,0)</f>
        <v>4.0576920946129</v>
      </c>
      <c r="BM114" s="16" t="n">
        <f aca="false">MAX(C114-AW114,0)</f>
        <v>0</v>
      </c>
      <c r="BN114" s="16" t="n">
        <f aca="false">MAX(C114-AX114,0)</f>
        <v>0</v>
      </c>
      <c r="BO114" s="16" t="n">
        <f aca="false">MAX(C114-AY114,0)</f>
        <v>0</v>
      </c>
    </row>
    <row r="115" customFormat="false" ht="15" hidden="false" customHeight="false" outlineLevel="0" collapsed="false">
      <c r="A115" s="3" t="n">
        <v>85</v>
      </c>
      <c r="B115" s="15" t="n">
        <f aca="true">RAND()</f>
        <v>0.345901561729737</v>
      </c>
      <c r="C115" s="16" t="n">
        <f aca="false">LOOKUP(B115,$E$12:$E$17,$A$12:$A$17)+LOOKUP(B115,$E$12:$E$17,$D$12:$D$17)*(B115-LOOKUP(B115,$E$12:$E$17))/LOOKUP(B115,$E$12:$E$17,$C$12:$C$17)</f>
        <v>61.5983593621623</v>
      </c>
      <c r="D115" s="15" t="n">
        <f aca="true">RAND()</f>
        <v>0.0916304593607621</v>
      </c>
      <c r="E115" s="15" t="n">
        <f aca="true">RAND()</f>
        <v>0.421865482672303</v>
      </c>
      <c r="F115" s="15" t="n">
        <f aca="true">RAND()</f>
        <v>0.493493963123535</v>
      </c>
      <c r="G115" s="15" t="n">
        <f aca="true">RAND()</f>
        <v>0.798444259051657</v>
      </c>
      <c r="H115" s="15" t="n">
        <f aca="true">RAND()</f>
        <v>0.655344446256936</v>
      </c>
      <c r="I115" s="15" t="n">
        <f aca="true">RAND()</f>
        <v>0.216897757145443</v>
      </c>
      <c r="J115" s="15" t="n">
        <f aca="true">RAND()</f>
        <v>0.96154865731137</v>
      </c>
      <c r="K115" s="15" t="n">
        <f aca="true">RAND()</f>
        <v>0.835142555701704</v>
      </c>
      <c r="L115" s="15" t="n">
        <f aca="true">RAND()</f>
        <v>0.720934619196182</v>
      </c>
      <c r="M115" s="15" t="n">
        <f aca="true">RAND()</f>
        <v>0.387485176184539</v>
      </c>
      <c r="N115" s="15" t="n">
        <f aca="true">RAND()</f>
        <v>0.26972216961056</v>
      </c>
      <c r="O115" s="15" t="n">
        <f aca="true">RAND()</f>
        <v>0.214897744247878</v>
      </c>
      <c r="P115" s="15" t="n">
        <f aca="true">RAND()</f>
        <v>0.991888774095561</v>
      </c>
      <c r="Q115" s="15" t="n">
        <f aca="true">RAND()</f>
        <v>0.562924843800866</v>
      </c>
      <c r="R115" s="15" t="n">
        <f aca="true">RAND()</f>
        <v>0.865228329791791</v>
      </c>
      <c r="S115" s="15" t="n">
        <f aca="true">RAND()</f>
        <v>0.670019417729496</v>
      </c>
      <c r="T115" s="16" t="n">
        <f aca="false">LOOKUP(D115,$E$23:$E$26,$A$23:$A$26)+LOOKUP(D115,$E$23:$E$26,$D$23:$D$26)*(D115-LOOKUP(D115,$E$23:$E$26))/LOOKUP(D115,$E$23:$E$26,$C$23:$C$26)</f>
        <v>4.15271743226794</v>
      </c>
      <c r="U115" s="16" t="n">
        <f aca="false">LOOKUP(E115,$E$23:$E$26,$A$23:$A$26)+LOOKUP(E115,$E$23:$E$26,$D$23:$D$26)*(E115-LOOKUP(E115,$E$23:$E$26))/LOOKUP(E115,$E$23:$E$26,$C$23:$C$26)</f>
        <v>4.65233185334038</v>
      </c>
      <c r="V115" s="16" t="n">
        <f aca="false">LOOKUP(F115,$E$23:$E$26,$A$23:$A$26)+LOOKUP(F115,$E$23:$E$26,$D$23:$D$26)*(F115-LOOKUP(F115,$E$23:$E$26))/LOOKUP(F115,$E$23:$E$26,$C$23:$C$26)</f>
        <v>4.74186745390442</v>
      </c>
      <c r="W115" s="16" t="n">
        <f aca="false">LOOKUP(G115,$E$23:$E$26,$A$23:$A$26)+LOOKUP(G115,$E$23:$E$26,$D$23:$D$26)*(G115-LOOKUP(G115,$E$23:$E$26))/LOOKUP(G115,$E$23:$E$26,$C$23:$C$26)</f>
        <v>5.24611064762914</v>
      </c>
      <c r="X115" s="16" t="n">
        <f aca="false">LOOKUP(H115,$E$23:$E$26,$A$23:$A$26)+LOOKUP(H115,$E$23:$E$26,$D$23:$D$26)*(H115-LOOKUP(H115,$E$23:$E$26))/LOOKUP(H115,$E$23:$E$26,$C$23:$C$26)</f>
        <v>4.94418055782117</v>
      </c>
      <c r="Y115" s="16" t="n">
        <f aca="false">LOOKUP(I115,$E$23:$E$26,$A$23:$A$26)+LOOKUP(I115,$E$23:$E$26,$D$23:$D$26)*(I115-LOOKUP(I115,$E$23:$E$26))/LOOKUP(I115,$E$23:$E$26,$C$23:$C$26)</f>
        <v>4.36149626190907</v>
      </c>
      <c r="Z115" s="16" t="n">
        <f aca="false">LOOKUP(J115,$E$23:$E$26,$A$23:$A$26)+LOOKUP(J115,$E$23:$E$26,$D$23:$D$26)*(J115-LOOKUP(J115,$E$23:$E$26))/LOOKUP(J115,$E$23:$E$26,$C$23:$C$26)</f>
        <v>5.80774328655685</v>
      </c>
      <c r="AA115" s="16" t="n">
        <f aca="false">LOOKUP(K115,$E$23:$E$26,$A$23:$A$26)+LOOKUP(K115,$E$23:$E$26,$D$23:$D$26)*(K115-LOOKUP(K115,$E$23:$E$26))/LOOKUP(K115,$E$23:$E$26,$C$23:$C$26)</f>
        <v>5.33785638925426</v>
      </c>
      <c r="AB115" s="16" t="n">
        <f aca="false">LOOKUP(L115,$E$23:$E$26,$A$23:$A$26)+LOOKUP(L115,$E$23:$E$26,$D$23:$D$26)*(L115-LOOKUP(L115,$E$23:$E$26))/LOOKUP(L115,$E$23:$E$26,$C$23:$C$26)</f>
        <v>5.05233654799046</v>
      </c>
      <c r="AC115" s="16" t="n">
        <f aca="false">LOOKUP(M115,$E$23:$E$26,$A$23:$A$26)+LOOKUP(M115,$E$23:$E$26,$D$23:$D$26)*(M115-LOOKUP(M115,$E$23:$E$26))/LOOKUP(M115,$E$23:$E$26,$C$23:$C$26)</f>
        <v>4.60935647023067</v>
      </c>
      <c r="AD115" s="16" t="n">
        <f aca="false">LOOKUP(N115,$E$23:$E$26,$A$23:$A$26)+LOOKUP(N115,$E$23:$E$26,$D$23:$D$26)*(N115-LOOKUP(N115,$E$23:$E$26))/LOOKUP(N115,$E$23:$E$26,$C$23:$C$26)</f>
        <v>4.44953694935093</v>
      </c>
      <c r="AE115" s="16" t="n">
        <f aca="false">LOOKUP(O115,$E$23:$E$26,$A$23:$A$26)+LOOKUP(O115,$E$23:$E$26,$D$23:$D$26)*(O115-LOOKUP(O115,$E$23:$E$26))/LOOKUP(O115,$E$23:$E$26,$C$23:$C$26)</f>
        <v>4.3581629070798</v>
      </c>
      <c r="AF115" s="16" t="n">
        <f aca="false">LOOKUP(P115,$E$23:$E$26,$A$23:$A$26)+LOOKUP(P115,$E$23:$E$26,$D$23:$D$26)*(P115-LOOKUP(P115,$E$23:$E$26))/LOOKUP(P115,$E$23:$E$26,$C$23:$C$26)</f>
        <v>5.9594438704778</v>
      </c>
      <c r="AG115" s="16" t="n">
        <f aca="false">LOOKUP(Q115,$E$23:$E$26,$A$23:$A$26)+LOOKUP(Q115,$E$23:$E$26,$D$23:$D$26)*(Q115-LOOKUP(Q115,$E$23:$E$26))/LOOKUP(Q115,$E$23:$E$26,$C$23:$C$26)</f>
        <v>4.82865605475108</v>
      </c>
      <c r="AH115" s="16" t="n">
        <f aca="false">LOOKUP(R115,$E$23:$E$26,$A$23:$A$26)+LOOKUP(R115,$E$23:$E$26,$D$23:$D$26)*(R115-LOOKUP(R115,$E$23:$E$26))/LOOKUP(R115,$E$23:$E$26,$C$23:$C$26)</f>
        <v>5.41307082447948</v>
      </c>
      <c r="AI115" s="16" t="n">
        <f aca="false">LOOKUP(S115,$E$23:$E$26,$A$23:$A$26)+LOOKUP(S115,$E$23:$E$26,$D$23:$D$26)*(S115-LOOKUP(S115,$E$23:$E$26))/LOOKUP(S115,$E$23:$E$26,$C$23:$C$26)</f>
        <v>4.96252427216187</v>
      </c>
      <c r="AJ115" s="16" t="n">
        <f aca="false">SUM($T115:T115)</f>
        <v>4.15271743226794</v>
      </c>
      <c r="AK115" s="16" t="n">
        <f aca="false">SUM($T115:U115)</f>
        <v>8.80504928560832</v>
      </c>
      <c r="AL115" s="16" t="n">
        <f aca="false">SUM($T115:V115)</f>
        <v>13.5469167395127</v>
      </c>
      <c r="AM115" s="16" t="n">
        <f aca="false">SUM($T115:W115)</f>
        <v>18.7930273871419</v>
      </c>
      <c r="AN115" s="16" t="n">
        <f aca="false">SUM($T115:X115)</f>
        <v>23.737207944963</v>
      </c>
      <c r="AO115" s="16" t="n">
        <f aca="false">SUM($T115:Y115)</f>
        <v>28.0987042068721</v>
      </c>
      <c r="AP115" s="16" t="n">
        <f aca="false">SUM($T115:Z115)</f>
        <v>33.906447493429</v>
      </c>
      <c r="AQ115" s="16" t="n">
        <f aca="false">SUM($T115:AA115)</f>
        <v>39.2443038826832</v>
      </c>
      <c r="AR115" s="16" t="n">
        <f aca="false">SUM($T115:AB115)</f>
        <v>44.2966404306737</v>
      </c>
      <c r="AS115" s="16" t="n">
        <f aca="false">SUM($T115:AC115)</f>
        <v>48.9059969009044</v>
      </c>
      <c r="AT115" s="16" t="n">
        <f aca="false">SUM($T115:AD115)</f>
        <v>53.3555338502553</v>
      </c>
      <c r="AU115" s="16" t="n">
        <f aca="false">SUM($T115:AE115)</f>
        <v>57.7136967573351</v>
      </c>
      <c r="AV115" s="16" t="n">
        <f aca="false">SUM($T115:AF115)</f>
        <v>63.6731406278129</v>
      </c>
      <c r="AW115" s="16" t="n">
        <f aca="false">SUM($T115:AG115)</f>
        <v>68.501796682564</v>
      </c>
      <c r="AX115" s="16" t="n">
        <f aca="false">SUM($T115:AH115)</f>
        <v>73.9148675070435</v>
      </c>
      <c r="AY115" s="16" t="n">
        <f aca="false">SUM($T115:AI115)</f>
        <v>78.8773917792053</v>
      </c>
      <c r="AZ115" s="16" t="n">
        <f aca="false">MAX(C115-AJ115,0)</f>
        <v>57.4456419298944</v>
      </c>
      <c r="BA115" s="16" t="n">
        <f aca="false">MAX(C115-AK115,0)</f>
        <v>52.793310076554</v>
      </c>
      <c r="BB115" s="16" t="n">
        <f aca="false">MAX(C115-AL115,0)</f>
        <v>48.0514426226496</v>
      </c>
      <c r="BC115" s="16" t="n">
        <f aca="false">MAX(C115-AM115,0)</f>
        <v>42.8053319750204</v>
      </c>
      <c r="BD115" s="16" t="n">
        <f aca="false">MAX(C115-AN115,0)</f>
        <v>37.8611514171992</v>
      </c>
      <c r="BE115" s="16" t="n">
        <f aca="false">MAX(C115-AO115,0)</f>
        <v>33.4996551552902</v>
      </c>
      <c r="BF115" s="16" t="n">
        <f aca="false">MAX(C115-AP115,0)</f>
        <v>27.6919118687333</v>
      </c>
      <c r="BG115" s="16" t="n">
        <f aca="false">MAX(C115-AQ115,0)</f>
        <v>22.3540554794791</v>
      </c>
      <c r="BH115" s="16" t="n">
        <f aca="false">MAX(C115-AR115,0)</f>
        <v>17.3017189314886</v>
      </c>
      <c r="BI115" s="16" t="n">
        <f aca="false">MAX(C115-AS115,0)</f>
        <v>12.6923624612579</v>
      </c>
      <c r="BJ115" s="16" t="n">
        <f aca="false">MAX(C115-AT115,0)</f>
        <v>8.242825511907</v>
      </c>
      <c r="BK115" s="16" t="n">
        <f aca="false">MAX(C115-AU115,0)</f>
        <v>3.88466260482721</v>
      </c>
      <c r="BL115" s="16" t="n">
        <f aca="false">MAX(C115-AV115,0)</f>
        <v>0</v>
      </c>
      <c r="BM115" s="16" t="n">
        <f aca="false">MAX(C115-AW115,0)</f>
        <v>0</v>
      </c>
      <c r="BN115" s="16" t="n">
        <f aca="false">MAX(C115-AX115,0)</f>
        <v>0</v>
      </c>
      <c r="BO115" s="16" t="n">
        <f aca="false">MAX(C115-AY115,0)</f>
        <v>0</v>
      </c>
    </row>
    <row r="116" customFormat="false" ht="15" hidden="false" customHeight="false" outlineLevel="0" collapsed="false">
      <c r="A116" s="3" t="n">
        <v>86</v>
      </c>
      <c r="B116" s="15" t="n">
        <f aca="true">RAND()</f>
        <v>0.783822100503608</v>
      </c>
      <c r="C116" s="16" t="n">
        <f aca="false">LOOKUP(B116,$E$12:$E$17,$A$12:$A$17)+LOOKUP(B116,$E$12:$E$17,$D$12:$D$17)*(B116-LOOKUP(B116,$E$12:$E$17))/LOOKUP(B116,$E$12:$E$17,$C$12:$C$17)</f>
        <v>68.3403157214801</v>
      </c>
      <c r="D116" s="15" t="n">
        <f aca="true">RAND()</f>
        <v>0.010754515666837</v>
      </c>
      <c r="E116" s="15" t="n">
        <f aca="true">RAND()</f>
        <v>0.469019119068192</v>
      </c>
      <c r="F116" s="15" t="n">
        <f aca="true">RAND()</f>
        <v>0.42378150297273</v>
      </c>
      <c r="G116" s="15" t="n">
        <f aca="true">RAND()</f>
        <v>0.11578609830461</v>
      </c>
      <c r="H116" s="15" t="n">
        <f aca="true">RAND()</f>
        <v>0.0239033929787649</v>
      </c>
      <c r="I116" s="15" t="n">
        <f aca="true">RAND()</f>
        <v>0.824606300909104</v>
      </c>
      <c r="J116" s="15" t="n">
        <f aca="true">RAND()</f>
        <v>0.753030972402262</v>
      </c>
      <c r="K116" s="15" t="n">
        <f aca="true">RAND()</f>
        <v>0.625954784647835</v>
      </c>
      <c r="L116" s="15" t="n">
        <f aca="true">RAND()</f>
        <v>0.740287709759073</v>
      </c>
      <c r="M116" s="15" t="n">
        <f aca="true">RAND()</f>
        <v>0.930717595257485</v>
      </c>
      <c r="N116" s="15" t="n">
        <f aca="true">RAND()</f>
        <v>0.210093721017439</v>
      </c>
      <c r="O116" s="15" t="n">
        <f aca="true">RAND()</f>
        <v>0.896331539074765</v>
      </c>
      <c r="P116" s="15" t="n">
        <f aca="true">RAND()</f>
        <v>0.565621951110122</v>
      </c>
      <c r="Q116" s="15" t="n">
        <f aca="true">RAND()</f>
        <v>0.30019201343404</v>
      </c>
      <c r="R116" s="15" t="n">
        <f aca="true">RAND()</f>
        <v>0.836026959394871</v>
      </c>
      <c r="S116" s="15" t="n">
        <f aca="true">RAND()</f>
        <v>0.404124903445343</v>
      </c>
      <c r="T116" s="16" t="n">
        <f aca="false">LOOKUP(D116,$E$23:$E$26,$A$23:$A$26)+LOOKUP(D116,$E$23:$E$26,$D$23:$D$26)*(D116-LOOKUP(D116,$E$23:$E$26))/LOOKUP(D116,$E$23:$E$26,$C$23:$C$26)</f>
        <v>4.01792419277806</v>
      </c>
      <c r="U116" s="16" t="n">
        <f aca="false">LOOKUP(E116,$E$23:$E$26,$A$23:$A$26)+LOOKUP(E116,$E$23:$E$26,$D$23:$D$26)*(E116-LOOKUP(E116,$E$23:$E$26))/LOOKUP(E116,$E$23:$E$26,$C$23:$C$26)</f>
        <v>4.71127389883524</v>
      </c>
      <c r="V116" s="16" t="n">
        <f aca="false">LOOKUP(F116,$E$23:$E$26,$A$23:$A$26)+LOOKUP(F116,$E$23:$E$26,$D$23:$D$26)*(F116-LOOKUP(F116,$E$23:$E$26))/LOOKUP(F116,$E$23:$E$26,$C$23:$C$26)</f>
        <v>4.65472687871591</v>
      </c>
      <c r="W116" s="16" t="n">
        <f aca="false">LOOKUP(G116,$E$23:$E$26,$A$23:$A$26)+LOOKUP(G116,$E$23:$E$26,$D$23:$D$26)*(G116-LOOKUP(G116,$E$23:$E$26))/LOOKUP(G116,$E$23:$E$26,$C$23:$C$26)</f>
        <v>4.19297683050768</v>
      </c>
      <c r="X116" s="16" t="n">
        <f aca="false">LOOKUP(H116,$E$23:$E$26,$A$23:$A$26)+LOOKUP(H116,$E$23:$E$26,$D$23:$D$26)*(H116-LOOKUP(H116,$E$23:$E$26))/LOOKUP(H116,$E$23:$E$26,$C$23:$C$26)</f>
        <v>4.03983898829794</v>
      </c>
      <c r="Y116" s="16" t="n">
        <f aca="false">LOOKUP(I116,$E$23:$E$26,$A$23:$A$26)+LOOKUP(I116,$E$23:$E$26,$D$23:$D$26)*(I116-LOOKUP(I116,$E$23:$E$26))/LOOKUP(I116,$E$23:$E$26,$C$23:$C$26)</f>
        <v>5.31151575227276</v>
      </c>
      <c r="Z116" s="16" t="n">
        <f aca="false">LOOKUP(J116,$E$23:$E$26,$A$23:$A$26)+LOOKUP(J116,$E$23:$E$26,$D$23:$D$26)*(J116-LOOKUP(J116,$E$23:$E$26))/LOOKUP(J116,$E$23:$E$26,$C$23:$C$26)</f>
        <v>5.13257743100566</v>
      </c>
      <c r="AA116" s="16" t="n">
        <f aca="false">LOOKUP(K116,$E$23:$E$26,$A$23:$A$26)+LOOKUP(K116,$E$23:$E$26,$D$23:$D$26)*(K116-LOOKUP(K116,$E$23:$E$26))/LOOKUP(K116,$E$23:$E$26,$C$23:$C$26)</f>
        <v>4.90744348080979</v>
      </c>
      <c r="AB116" s="16" t="n">
        <f aca="false">LOOKUP(L116,$E$23:$E$26,$A$23:$A$26)+LOOKUP(L116,$E$23:$E$26,$D$23:$D$26)*(L116-LOOKUP(L116,$E$23:$E$26))/LOOKUP(L116,$E$23:$E$26,$C$23:$C$26)</f>
        <v>5.10071927439768</v>
      </c>
      <c r="AC116" s="16" t="n">
        <f aca="false">LOOKUP(M116,$E$23:$E$26,$A$23:$A$26)+LOOKUP(M116,$E$23:$E$26,$D$23:$D$26)*(M116-LOOKUP(M116,$E$23:$E$26))/LOOKUP(M116,$E$23:$E$26,$C$23:$C$26)</f>
        <v>5.65358797628743</v>
      </c>
      <c r="AD116" s="16" t="n">
        <f aca="false">LOOKUP(N116,$E$23:$E$26,$A$23:$A$26)+LOOKUP(N116,$E$23:$E$26,$D$23:$D$26)*(N116-LOOKUP(N116,$E$23:$E$26))/LOOKUP(N116,$E$23:$E$26,$C$23:$C$26)</f>
        <v>4.35015620169573</v>
      </c>
      <c r="AE116" s="16" t="n">
        <f aca="false">LOOKUP(O116,$E$23:$E$26,$A$23:$A$26)+LOOKUP(O116,$E$23:$E$26,$D$23:$D$26)*(O116-LOOKUP(O116,$E$23:$E$26))/LOOKUP(O116,$E$23:$E$26,$C$23:$C$26)</f>
        <v>5.49082884768691</v>
      </c>
      <c r="AF116" s="16" t="n">
        <f aca="false">LOOKUP(P116,$E$23:$E$26,$A$23:$A$26)+LOOKUP(P116,$E$23:$E$26,$D$23:$D$26)*(P116-LOOKUP(P116,$E$23:$E$26))/LOOKUP(P116,$E$23:$E$26,$C$23:$C$26)</f>
        <v>4.83202743888765</v>
      </c>
      <c r="AG116" s="16" t="n">
        <f aca="false">LOOKUP(Q116,$E$23:$E$26,$A$23:$A$26)+LOOKUP(Q116,$E$23:$E$26,$D$23:$D$26)*(Q116-LOOKUP(Q116,$E$23:$E$26))/LOOKUP(Q116,$E$23:$E$26,$C$23:$C$26)</f>
        <v>4.50024001679255</v>
      </c>
      <c r="AH116" s="16" t="n">
        <f aca="false">LOOKUP(R116,$E$23:$E$26,$A$23:$A$26)+LOOKUP(R116,$E$23:$E$26,$D$23:$D$26)*(R116-LOOKUP(R116,$E$23:$E$26))/LOOKUP(R116,$E$23:$E$26,$C$23:$C$26)</f>
        <v>5.34006739848718</v>
      </c>
      <c r="AI116" s="16" t="n">
        <f aca="false">LOOKUP(S116,$E$23:$E$26,$A$23:$A$26)+LOOKUP(S116,$E$23:$E$26,$D$23:$D$26)*(S116-LOOKUP(S116,$E$23:$E$26))/LOOKUP(S116,$E$23:$E$26,$C$23:$C$26)</f>
        <v>4.63015612930668</v>
      </c>
      <c r="AJ116" s="16" t="n">
        <f aca="false">SUM($T116:T116)</f>
        <v>4.01792419277806</v>
      </c>
      <c r="AK116" s="16" t="n">
        <f aca="false">SUM($T116:U116)</f>
        <v>8.7291980916133</v>
      </c>
      <c r="AL116" s="16" t="n">
        <f aca="false">SUM($T116:V116)</f>
        <v>13.3839249703292</v>
      </c>
      <c r="AM116" s="16" t="n">
        <f aca="false">SUM($T116:W116)</f>
        <v>17.5769018008369</v>
      </c>
      <c r="AN116" s="16" t="n">
        <f aca="false">SUM($T116:X116)</f>
        <v>21.6167407891348</v>
      </c>
      <c r="AO116" s="16" t="n">
        <f aca="false">SUM($T116:Y116)</f>
        <v>26.9282565414076</v>
      </c>
      <c r="AP116" s="16" t="n">
        <f aca="false">SUM($T116:Z116)</f>
        <v>32.0608339724133</v>
      </c>
      <c r="AQ116" s="16" t="n">
        <f aca="false">SUM($T116:AA116)</f>
        <v>36.9682774532231</v>
      </c>
      <c r="AR116" s="16" t="n">
        <f aca="false">SUM($T116:AB116)</f>
        <v>42.0689967276207</v>
      </c>
      <c r="AS116" s="16" t="n">
        <f aca="false">SUM($T116:AC116)</f>
        <v>47.7225847039082</v>
      </c>
      <c r="AT116" s="16" t="n">
        <f aca="false">SUM($T116:AD116)</f>
        <v>52.0727409056039</v>
      </c>
      <c r="AU116" s="16" t="n">
        <f aca="false">SUM($T116:AE116)</f>
        <v>57.5635697532908</v>
      </c>
      <c r="AV116" s="16" t="n">
        <f aca="false">SUM($T116:AF116)</f>
        <v>62.3955971921785</v>
      </c>
      <c r="AW116" s="16" t="n">
        <f aca="false">SUM($T116:AG116)</f>
        <v>66.895837208971</v>
      </c>
      <c r="AX116" s="16" t="n">
        <f aca="false">SUM($T116:AH116)</f>
        <v>72.2359046074582</v>
      </c>
      <c r="AY116" s="16" t="n">
        <f aca="false">SUM($T116:AI116)</f>
        <v>76.8660607367649</v>
      </c>
      <c r="AZ116" s="16" t="n">
        <f aca="false">MAX(C116-AJ116,0)</f>
        <v>64.3223915287021</v>
      </c>
      <c r="BA116" s="16" t="n">
        <f aca="false">MAX(C116-AK116,0)</f>
        <v>59.6111176298668</v>
      </c>
      <c r="BB116" s="16" t="n">
        <f aca="false">MAX(C116-AL116,0)</f>
        <v>54.9563907511509</v>
      </c>
      <c r="BC116" s="16" t="n">
        <f aca="false">MAX(C116-AM116,0)</f>
        <v>50.7634139206432</v>
      </c>
      <c r="BD116" s="16" t="n">
        <f aca="false">MAX(C116-AN116,0)</f>
        <v>46.7235749323453</v>
      </c>
      <c r="BE116" s="16" t="n">
        <f aca="false">MAX(C116-AO116,0)</f>
        <v>41.4120591800725</v>
      </c>
      <c r="BF116" s="16" t="n">
        <f aca="false">MAX(C116-AP116,0)</f>
        <v>36.2794817490669</v>
      </c>
      <c r="BG116" s="16" t="n">
        <f aca="false">MAX(C116-AQ116,0)</f>
        <v>31.3720382682571</v>
      </c>
      <c r="BH116" s="16" t="n">
        <f aca="false">MAX(C116-AR116,0)</f>
        <v>26.2713189938594</v>
      </c>
      <c r="BI116" s="16" t="n">
        <f aca="false">MAX(C116-AS116,0)</f>
        <v>20.617731017572</v>
      </c>
      <c r="BJ116" s="16" t="n">
        <f aca="false">MAX(C116-AT116,0)</f>
        <v>16.2675748158762</v>
      </c>
      <c r="BK116" s="16" t="n">
        <f aca="false">MAX(C116-AU116,0)</f>
        <v>10.7767459681893</v>
      </c>
      <c r="BL116" s="16" t="n">
        <f aca="false">MAX(C116-AV116,0)</f>
        <v>5.94471852930167</v>
      </c>
      <c r="BM116" s="16" t="n">
        <f aca="false">MAX(C116-AW116,0)</f>
        <v>1.44447851250912</v>
      </c>
      <c r="BN116" s="16" t="n">
        <f aca="false">MAX(C116-AX116,0)</f>
        <v>0</v>
      </c>
      <c r="BO116" s="16" t="n">
        <f aca="false">MAX(C116-AY116,0)</f>
        <v>0</v>
      </c>
    </row>
    <row r="117" customFormat="false" ht="15" hidden="false" customHeight="false" outlineLevel="0" collapsed="false">
      <c r="A117" s="3" t="n">
        <v>87</v>
      </c>
      <c r="B117" s="15" t="n">
        <f aca="true">RAND()</f>
        <v>0.843770245738011</v>
      </c>
      <c r="C117" s="16" t="n">
        <f aca="false">LOOKUP(B117,$E$12:$E$17,$A$12:$A$17)+LOOKUP(B117,$E$12:$E$17,$D$12:$D$17)*(B117-LOOKUP(B117,$E$12:$E$17))/LOOKUP(B117,$E$12:$E$17,$C$12:$C$17)</f>
        <v>69.1967177962573</v>
      </c>
      <c r="D117" s="15" t="n">
        <f aca="true">RAND()</f>
        <v>0.667401104282114</v>
      </c>
      <c r="E117" s="15" t="n">
        <f aca="true">RAND()</f>
        <v>0.358835550548163</v>
      </c>
      <c r="F117" s="15" t="n">
        <f aca="true">RAND()</f>
        <v>0.109454326775879</v>
      </c>
      <c r="G117" s="15" t="n">
        <f aca="true">RAND()</f>
        <v>0.733636809663276</v>
      </c>
      <c r="H117" s="15" t="n">
        <f aca="true">RAND()</f>
        <v>0.615016610389048</v>
      </c>
      <c r="I117" s="15" t="n">
        <f aca="true">RAND()</f>
        <v>0.815959859229163</v>
      </c>
      <c r="J117" s="15" t="n">
        <f aca="true">RAND()</f>
        <v>0.0340502563086755</v>
      </c>
      <c r="K117" s="15" t="n">
        <f aca="true">RAND()</f>
        <v>0.74546575110959</v>
      </c>
      <c r="L117" s="15" t="n">
        <f aca="true">RAND()</f>
        <v>0.345698380768786</v>
      </c>
      <c r="M117" s="15" t="n">
        <f aca="true">RAND()</f>
        <v>0.381888425301085</v>
      </c>
      <c r="N117" s="15" t="n">
        <f aca="true">RAND()</f>
        <v>0.543719999451113</v>
      </c>
      <c r="O117" s="15" t="n">
        <f aca="true">RAND()</f>
        <v>0.764873282146273</v>
      </c>
      <c r="P117" s="15" t="n">
        <f aca="true">RAND()</f>
        <v>0.395481469946297</v>
      </c>
      <c r="Q117" s="15" t="n">
        <f aca="true">RAND()</f>
        <v>0.602396016421269</v>
      </c>
      <c r="R117" s="15" t="n">
        <f aca="true">RAND()</f>
        <v>0.24621351092686</v>
      </c>
      <c r="S117" s="15" t="n">
        <f aca="true">RAND()</f>
        <v>0.895955407261089</v>
      </c>
      <c r="T117" s="16" t="n">
        <f aca="false">LOOKUP(D117,$E$23:$E$26,$A$23:$A$26)+LOOKUP(D117,$E$23:$E$26,$D$23:$D$26)*(D117-LOOKUP(D117,$E$23:$E$26))/LOOKUP(D117,$E$23:$E$26,$C$23:$C$26)</f>
        <v>4.95925138035264</v>
      </c>
      <c r="U117" s="16" t="n">
        <f aca="false">LOOKUP(E117,$E$23:$E$26,$A$23:$A$26)+LOOKUP(E117,$E$23:$E$26,$D$23:$D$26)*(E117-LOOKUP(E117,$E$23:$E$26))/LOOKUP(E117,$E$23:$E$26,$C$23:$C$26)</f>
        <v>4.5735444381852</v>
      </c>
      <c r="V117" s="16" t="n">
        <f aca="false">LOOKUP(F117,$E$23:$E$26,$A$23:$A$26)+LOOKUP(F117,$E$23:$E$26,$D$23:$D$26)*(F117-LOOKUP(F117,$E$23:$E$26))/LOOKUP(F117,$E$23:$E$26,$C$23:$C$26)</f>
        <v>4.1824238779598</v>
      </c>
      <c r="W117" s="16" t="n">
        <f aca="false">LOOKUP(G117,$E$23:$E$26,$A$23:$A$26)+LOOKUP(G117,$E$23:$E$26,$D$23:$D$26)*(G117-LOOKUP(G117,$E$23:$E$26))/LOOKUP(G117,$E$23:$E$26,$C$23:$C$26)</f>
        <v>5.08409202415819</v>
      </c>
      <c r="X117" s="16" t="n">
        <f aca="false">LOOKUP(H117,$E$23:$E$26,$A$23:$A$26)+LOOKUP(H117,$E$23:$E$26,$D$23:$D$26)*(H117-LOOKUP(H117,$E$23:$E$26))/LOOKUP(H117,$E$23:$E$26,$C$23:$C$26)</f>
        <v>4.89377076298631</v>
      </c>
      <c r="Y117" s="16" t="n">
        <f aca="false">LOOKUP(I117,$E$23:$E$26,$A$23:$A$26)+LOOKUP(I117,$E$23:$E$26,$D$23:$D$26)*(I117-LOOKUP(I117,$E$23:$E$26))/LOOKUP(I117,$E$23:$E$26,$C$23:$C$26)</f>
        <v>5.28989964807291</v>
      </c>
      <c r="Z117" s="16" t="n">
        <f aca="false">LOOKUP(J117,$E$23:$E$26,$A$23:$A$26)+LOOKUP(J117,$E$23:$E$26,$D$23:$D$26)*(J117-LOOKUP(J117,$E$23:$E$26))/LOOKUP(J117,$E$23:$E$26,$C$23:$C$26)</f>
        <v>4.05675042718113</v>
      </c>
      <c r="AA117" s="16" t="n">
        <f aca="false">LOOKUP(K117,$E$23:$E$26,$A$23:$A$26)+LOOKUP(K117,$E$23:$E$26,$D$23:$D$26)*(K117-LOOKUP(K117,$E$23:$E$26))/LOOKUP(K117,$E$23:$E$26,$C$23:$C$26)</f>
        <v>5.11366437777397</v>
      </c>
      <c r="AB117" s="16" t="n">
        <f aca="false">LOOKUP(L117,$E$23:$E$26,$A$23:$A$26)+LOOKUP(L117,$E$23:$E$26,$D$23:$D$26)*(L117-LOOKUP(L117,$E$23:$E$26))/LOOKUP(L117,$E$23:$E$26,$C$23:$C$26)</f>
        <v>4.55712297596098</v>
      </c>
      <c r="AC117" s="16" t="n">
        <f aca="false">LOOKUP(M117,$E$23:$E$26,$A$23:$A$26)+LOOKUP(M117,$E$23:$E$26,$D$23:$D$26)*(M117-LOOKUP(M117,$E$23:$E$26))/LOOKUP(M117,$E$23:$E$26,$C$23:$C$26)</f>
        <v>4.60236053162636</v>
      </c>
      <c r="AD117" s="16" t="n">
        <f aca="false">LOOKUP(N117,$E$23:$E$26,$A$23:$A$26)+LOOKUP(N117,$E$23:$E$26,$D$23:$D$26)*(N117-LOOKUP(N117,$E$23:$E$26))/LOOKUP(N117,$E$23:$E$26,$C$23:$C$26)</f>
        <v>4.80464999931389</v>
      </c>
      <c r="AE117" s="16" t="n">
        <f aca="false">LOOKUP(O117,$E$23:$E$26,$A$23:$A$26)+LOOKUP(O117,$E$23:$E$26,$D$23:$D$26)*(O117-LOOKUP(O117,$E$23:$E$26))/LOOKUP(O117,$E$23:$E$26,$C$23:$C$26)</f>
        <v>5.16218320536568</v>
      </c>
      <c r="AF117" s="16" t="n">
        <f aca="false">LOOKUP(P117,$E$23:$E$26,$A$23:$A$26)+LOOKUP(P117,$E$23:$E$26,$D$23:$D$26)*(P117-LOOKUP(P117,$E$23:$E$26))/LOOKUP(P117,$E$23:$E$26,$C$23:$C$26)</f>
        <v>4.61935183743287</v>
      </c>
      <c r="AG117" s="16" t="n">
        <f aca="false">LOOKUP(Q117,$E$23:$E$26,$A$23:$A$26)+LOOKUP(Q117,$E$23:$E$26,$D$23:$D$26)*(Q117-LOOKUP(Q117,$E$23:$E$26))/LOOKUP(Q117,$E$23:$E$26,$C$23:$C$26)</f>
        <v>4.87799502052659</v>
      </c>
      <c r="AH117" s="16" t="n">
        <f aca="false">LOOKUP(R117,$E$23:$E$26,$A$23:$A$26)+LOOKUP(R117,$E$23:$E$26,$D$23:$D$26)*(R117-LOOKUP(R117,$E$23:$E$26))/LOOKUP(R117,$E$23:$E$26,$C$23:$C$26)</f>
        <v>4.41035585154477</v>
      </c>
      <c r="AI117" s="16" t="n">
        <f aca="false">LOOKUP(S117,$E$23:$E$26,$A$23:$A$26)+LOOKUP(S117,$E$23:$E$26,$D$23:$D$26)*(S117-LOOKUP(S117,$E$23:$E$26))/LOOKUP(S117,$E$23:$E$26,$C$23:$C$26)</f>
        <v>5.48988851815272</v>
      </c>
      <c r="AJ117" s="16" t="n">
        <f aca="false">SUM($T117:T117)</f>
        <v>4.95925138035264</v>
      </c>
      <c r="AK117" s="16" t="n">
        <f aca="false">SUM($T117:U117)</f>
        <v>9.53279581853785</v>
      </c>
      <c r="AL117" s="16" t="n">
        <f aca="false">SUM($T117:V117)</f>
        <v>13.7152196964976</v>
      </c>
      <c r="AM117" s="16" t="n">
        <f aca="false">SUM($T117:W117)</f>
        <v>18.7993117206558</v>
      </c>
      <c r="AN117" s="16" t="n">
        <f aca="false">SUM($T117:X117)</f>
        <v>23.6930824836421</v>
      </c>
      <c r="AO117" s="16" t="n">
        <f aca="false">SUM($T117:Y117)</f>
        <v>28.9829821317151</v>
      </c>
      <c r="AP117" s="16" t="n">
        <f aca="false">SUM($T117:Z117)</f>
        <v>33.0397325588962</v>
      </c>
      <c r="AQ117" s="16" t="n">
        <f aca="false">SUM($T117:AA117)</f>
        <v>38.1533969366702</v>
      </c>
      <c r="AR117" s="16" t="n">
        <f aca="false">SUM($T117:AB117)</f>
        <v>42.7105199126311</v>
      </c>
      <c r="AS117" s="16" t="n">
        <f aca="false">SUM($T117:AC117)</f>
        <v>47.3128804442575</v>
      </c>
      <c r="AT117" s="16" t="n">
        <f aca="false">SUM($T117:AD117)</f>
        <v>52.1175304435714</v>
      </c>
      <c r="AU117" s="16" t="n">
        <f aca="false">SUM($T117:AE117)</f>
        <v>57.2797136489371</v>
      </c>
      <c r="AV117" s="16" t="n">
        <f aca="false">SUM($T117:AF117)</f>
        <v>61.8990654863699</v>
      </c>
      <c r="AW117" s="16" t="n">
        <f aca="false">SUM($T117:AG117)</f>
        <v>66.7770605068965</v>
      </c>
      <c r="AX117" s="16" t="n">
        <f aca="false">SUM($T117:AH117)</f>
        <v>71.1874163584413</v>
      </c>
      <c r="AY117" s="16" t="n">
        <f aca="false">SUM($T117:AI117)</f>
        <v>76.677304876594</v>
      </c>
      <c r="AZ117" s="16" t="n">
        <f aca="false">MAX(C117-AJ117,0)</f>
        <v>64.2374664159047</v>
      </c>
      <c r="BA117" s="16" t="n">
        <f aca="false">MAX(C117-AK117,0)</f>
        <v>59.6639219777194</v>
      </c>
      <c r="BB117" s="16" t="n">
        <f aca="false">MAX(C117-AL117,0)</f>
        <v>55.4814980997597</v>
      </c>
      <c r="BC117" s="16" t="n">
        <f aca="false">MAX(C117-AM117,0)</f>
        <v>50.3974060756015</v>
      </c>
      <c r="BD117" s="16" t="n">
        <f aca="false">MAX(C117-AN117,0)</f>
        <v>45.5036353126151</v>
      </c>
      <c r="BE117" s="16" t="n">
        <f aca="false">MAX(C117-AO117,0)</f>
        <v>40.2137356645422</v>
      </c>
      <c r="BF117" s="16" t="n">
        <f aca="false">MAX(C117-AP117,0)</f>
        <v>36.1569852373611</v>
      </c>
      <c r="BG117" s="16" t="n">
        <f aca="false">MAX(C117-AQ117,0)</f>
        <v>31.0433208595871</v>
      </c>
      <c r="BH117" s="16" t="n">
        <f aca="false">MAX(C117-AR117,0)</f>
        <v>26.4861978836262</v>
      </c>
      <c r="BI117" s="16" t="n">
        <f aca="false">MAX(C117-AS117,0)</f>
        <v>21.8838373519998</v>
      </c>
      <c r="BJ117" s="16" t="n">
        <f aca="false">MAX(C117-AT117,0)</f>
        <v>17.0791873526859</v>
      </c>
      <c r="BK117" s="16" t="n">
        <f aca="false">MAX(C117-AU117,0)</f>
        <v>11.9170041473202</v>
      </c>
      <c r="BL117" s="16" t="n">
        <f aca="false">MAX(C117-AV117,0)</f>
        <v>7.29765230988735</v>
      </c>
      <c r="BM117" s="16" t="n">
        <f aca="false">MAX(C117-AW117,0)</f>
        <v>2.41965728936077</v>
      </c>
      <c r="BN117" s="16" t="n">
        <f aca="false">MAX(C117-AX117,0)</f>
        <v>0</v>
      </c>
      <c r="BO117" s="16" t="n">
        <f aca="false">MAX(C117-AY117,0)</f>
        <v>0</v>
      </c>
    </row>
    <row r="118" customFormat="false" ht="15" hidden="false" customHeight="false" outlineLevel="0" collapsed="false">
      <c r="A118" s="3" t="n">
        <v>88</v>
      </c>
      <c r="B118" s="15" t="n">
        <f aca="true">RAND()</f>
        <v>0.384919171365837</v>
      </c>
      <c r="C118" s="16" t="n">
        <f aca="false">LOOKUP(B118,$E$12:$E$17,$A$12:$A$17)+LOOKUP(B118,$E$12:$E$17,$D$12:$D$17)*(B118-LOOKUP(B118,$E$12:$E$17))/LOOKUP(B118,$E$12:$E$17,$C$12:$C$17)</f>
        <v>62.2486528560973</v>
      </c>
      <c r="D118" s="15" t="n">
        <f aca="true">RAND()</f>
        <v>0.421075794101851</v>
      </c>
      <c r="E118" s="15" t="n">
        <f aca="true">RAND()</f>
        <v>0.0824396549874875</v>
      </c>
      <c r="F118" s="15" t="n">
        <f aca="true">RAND()</f>
        <v>0.825877035694082</v>
      </c>
      <c r="G118" s="15" t="n">
        <f aca="true">RAND()</f>
        <v>0.746549130626098</v>
      </c>
      <c r="H118" s="15" t="n">
        <f aca="true">RAND()</f>
        <v>0.589866104458325</v>
      </c>
      <c r="I118" s="15" t="n">
        <f aca="true">RAND()</f>
        <v>0.48771175706384</v>
      </c>
      <c r="J118" s="15" t="n">
        <f aca="true">RAND()</f>
        <v>0.837129306411973</v>
      </c>
      <c r="K118" s="15" t="n">
        <f aca="true">RAND()</f>
        <v>0.0542340800536678</v>
      </c>
      <c r="L118" s="15" t="n">
        <f aca="true">RAND()</f>
        <v>0.64176625153776</v>
      </c>
      <c r="M118" s="15" t="n">
        <f aca="true">RAND()</f>
        <v>0.126832228322393</v>
      </c>
      <c r="N118" s="15" t="n">
        <f aca="true">RAND()</f>
        <v>0.345392683883162</v>
      </c>
      <c r="O118" s="15" t="n">
        <f aca="true">RAND()</f>
        <v>0.777496767661203</v>
      </c>
      <c r="P118" s="15" t="n">
        <f aca="true">RAND()</f>
        <v>0.859211014345992</v>
      </c>
      <c r="Q118" s="15" t="n">
        <f aca="true">RAND()</f>
        <v>0.638194104902815</v>
      </c>
      <c r="R118" s="15" t="n">
        <f aca="true">RAND()</f>
        <v>0.0239933619426016</v>
      </c>
      <c r="S118" s="15" t="n">
        <f aca="true">RAND()</f>
        <v>0.658797543262494</v>
      </c>
      <c r="T118" s="16" t="n">
        <f aca="false">LOOKUP(D118,$E$23:$E$26,$A$23:$A$26)+LOOKUP(D118,$E$23:$E$26,$D$23:$D$26)*(D118-LOOKUP(D118,$E$23:$E$26))/LOOKUP(D118,$E$23:$E$26,$C$23:$C$26)</f>
        <v>4.65134474262731</v>
      </c>
      <c r="U118" s="16" t="n">
        <f aca="false">LOOKUP(E118,$E$23:$E$26,$A$23:$A$26)+LOOKUP(E118,$E$23:$E$26,$D$23:$D$26)*(E118-LOOKUP(E118,$E$23:$E$26))/LOOKUP(E118,$E$23:$E$26,$C$23:$C$26)</f>
        <v>4.13739942497915</v>
      </c>
      <c r="V118" s="16" t="n">
        <f aca="false">LOOKUP(F118,$E$23:$E$26,$A$23:$A$26)+LOOKUP(F118,$E$23:$E$26,$D$23:$D$26)*(F118-LOOKUP(F118,$E$23:$E$26))/LOOKUP(F118,$E$23:$E$26,$C$23:$C$26)</f>
        <v>5.31469258923521</v>
      </c>
      <c r="W118" s="16" t="n">
        <f aca="false">LOOKUP(G118,$E$23:$E$26,$A$23:$A$26)+LOOKUP(G118,$E$23:$E$26,$D$23:$D$26)*(G118-LOOKUP(G118,$E$23:$E$26))/LOOKUP(G118,$E$23:$E$26,$C$23:$C$26)</f>
        <v>5.11637282656525</v>
      </c>
      <c r="X118" s="16" t="n">
        <f aca="false">LOOKUP(H118,$E$23:$E$26,$A$23:$A$26)+LOOKUP(H118,$E$23:$E$26,$D$23:$D$26)*(H118-LOOKUP(H118,$E$23:$E$26))/LOOKUP(H118,$E$23:$E$26,$C$23:$C$26)</f>
        <v>4.86233263057291</v>
      </c>
      <c r="Y118" s="16" t="n">
        <f aca="false">LOOKUP(I118,$E$23:$E$26,$A$23:$A$26)+LOOKUP(I118,$E$23:$E$26,$D$23:$D$26)*(I118-LOOKUP(I118,$E$23:$E$26))/LOOKUP(I118,$E$23:$E$26,$C$23:$C$26)</f>
        <v>4.7346396963298</v>
      </c>
      <c r="Z118" s="16" t="n">
        <f aca="false">LOOKUP(J118,$E$23:$E$26,$A$23:$A$26)+LOOKUP(J118,$E$23:$E$26,$D$23:$D$26)*(J118-LOOKUP(J118,$E$23:$E$26))/LOOKUP(J118,$E$23:$E$26,$C$23:$C$26)</f>
        <v>5.34282326602993</v>
      </c>
      <c r="AA118" s="16" t="n">
        <f aca="false">LOOKUP(K118,$E$23:$E$26,$A$23:$A$26)+LOOKUP(K118,$E$23:$E$26,$D$23:$D$26)*(K118-LOOKUP(K118,$E$23:$E$26))/LOOKUP(K118,$E$23:$E$26,$C$23:$C$26)</f>
        <v>4.09039013342278</v>
      </c>
      <c r="AB118" s="16" t="n">
        <f aca="false">LOOKUP(L118,$E$23:$E$26,$A$23:$A$26)+LOOKUP(L118,$E$23:$E$26,$D$23:$D$26)*(L118-LOOKUP(L118,$E$23:$E$26))/LOOKUP(L118,$E$23:$E$26,$C$23:$C$26)</f>
        <v>4.9272078144222</v>
      </c>
      <c r="AC118" s="16" t="n">
        <f aca="false">LOOKUP(M118,$E$23:$E$26,$A$23:$A$26)+LOOKUP(M118,$E$23:$E$26,$D$23:$D$26)*(M118-LOOKUP(M118,$E$23:$E$26))/LOOKUP(M118,$E$23:$E$26,$C$23:$C$26)</f>
        <v>4.21138704720399</v>
      </c>
      <c r="AD118" s="16" t="n">
        <f aca="false">LOOKUP(N118,$E$23:$E$26,$A$23:$A$26)+LOOKUP(N118,$E$23:$E$26,$D$23:$D$26)*(N118-LOOKUP(N118,$E$23:$E$26))/LOOKUP(N118,$E$23:$E$26,$C$23:$C$26)</f>
        <v>4.55674085485395</v>
      </c>
      <c r="AE118" s="16" t="n">
        <f aca="false">LOOKUP(O118,$E$23:$E$26,$A$23:$A$26)+LOOKUP(O118,$E$23:$E$26,$D$23:$D$26)*(O118-LOOKUP(O118,$E$23:$E$26))/LOOKUP(O118,$E$23:$E$26,$C$23:$C$26)</f>
        <v>5.19374191915301</v>
      </c>
      <c r="AF118" s="16" t="n">
        <f aca="false">LOOKUP(P118,$E$23:$E$26,$A$23:$A$26)+LOOKUP(P118,$E$23:$E$26,$D$23:$D$26)*(P118-LOOKUP(P118,$E$23:$E$26))/LOOKUP(P118,$E$23:$E$26,$C$23:$C$26)</f>
        <v>5.39802753586498</v>
      </c>
      <c r="AG118" s="16" t="n">
        <f aca="false">LOOKUP(Q118,$E$23:$E$26,$A$23:$A$26)+LOOKUP(Q118,$E$23:$E$26,$D$23:$D$26)*(Q118-LOOKUP(Q118,$E$23:$E$26))/LOOKUP(Q118,$E$23:$E$26,$C$23:$C$26)</f>
        <v>4.92274263112852</v>
      </c>
      <c r="AH118" s="16" t="n">
        <f aca="false">LOOKUP(R118,$E$23:$E$26,$A$23:$A$26)+LOOKUP(R118,$E$23:$E$26,$D$23:$D$26)*(R118-LOOKUP(R118,$E$23:$E$26))/LOOKUP(R118,$E$23:$E$26,$C$23:$C$26)</f>
        <v>4.039988936571</v>
      </c>
      <c r="AI118" s="16" t="n">
        <f aca="false">LOOKUP(S118,$E$23:$E$26,$A$23:$A$26)+LOOKUP(S118,$E$23:$E$26,$D$23:$D$26)*(S118-LOOKUP(S118,$E$23:$E$26))/LOOKUP(S118,$E$23:$E$26,$C$23:$C$26)</f>
        <v>4.94849692907812</v>
      </c>
      <c r="AJ118" s="16" t="n">
        <f aca="false">SUM($T118:T118)</f>
        <v>4.65134474262731</v>
      </c>
      <c r="AK118" s="16" t="n">
        <f aca="false">SUM($T118:U118)</f>
        <v>8.78874416760646</v>
      </c>
      <c r="AL118" s="16" t="n">
        <f aca="false">SUM($T118:V118)</f>
        <v>14.1034367568417</v>
      </c>
      <c r="AM118" s="16" t="n">
        <f aca="false">SUM($T118:W118)</f>
        <v>19.2198095834069</v>
      </c>
      <c r="AN118" s="16" t="n">
        <f aca="false">SUM($T118:X118)</f>
        <v>24.0821422139798</v>
      </c>
      <c r="AO118" s="16" t="n">
        <f aca="false">SUM($T118:Y118)</f>
        <v>28.8167819103096</v>
      </c>
      <c r="AP118" s="16" t="n">
        <f aca="false">SUM($T118:Z118)</f>
        <v>34.1596051763396</v>
      </c>
      <c r="AQ118" s="16" t="n">
        <f aca="false">SUM($T118:AA118)</f>
        <v>38.2499953097623</v>
      </c>
      <c r="AR118" s="16" t="n">
        <f aca="false">SUM($T118:AB118)</f>
        <v>43.1772031241845</v>
      </c>
      <c r="AS118" s="16" t="n">
        <f aca="false">SUM($T118:AC118)</f>
        <v>47.3885901713885</v>
      </c>
      <c r="AT118" s="16" t="n">
        <f aca="false">SUM($T118:AD118)</f>
        <v>51.9453310262425</v>
      </c>
      <c r="AU118" s="16" t="n">
        <f aca="false">SUM($T118:AE118)</f>
        <v>57.1390729453955</v>
      </c>
      <c r="AV118" s="16" t="n">
        <f aca="false">SUM($T118:AF118)</f>
        <v>62.5371004812605</v>
      </c>
      <c r="AW118" s="16" t="n">
        <f aca="false">SUM($T118:AG118)</f>
        <v>67.459843112389</v>
      </c>
      <c r="AX118" s="16" t="n">
        <f aca="false">SUM($T118:AH118)</f>
        <v>71.49983204896</v>
      </c>
      <c r="AY118" s="16" t="n">
        <f aca="false">SUM($T118:AI118)</f>
        <v>76.4483289780381</v>
      </c>
      <c r="AZ118" s="16" t="n">
        <f aca="false">MAX(C118-AJ118,0)</f>
        <v>57.59730811347</v>
      </c>
      <c r="BA118" s="16" t="n">
        <f aca="false">MAX(C118-AK118,0)</f>
        <v>53.4599086884908</v>
      </c>
      <c r="BB118" s="16" t="n">
        <f aca="false">MAX(C118-AL118,0)</f>
        <v>48.1452160992556</v>
      </c>
      <c r="BC118" s="16" t="n">
        <f aca="false">MAX(C118-AM118,0)</f>
        <v>43.0288432726904</v>
      </c>
      <c r="BD118" s="16" t="n">
        <f aca="false">MAX(C118-AN118,0)</f>
        <v>38.1665106421175</v>
      </c>
      <c r="BE118" s="16" t="n">
        <f aca="false">MAX(C118-AO118,0)</f>
        <v>33.4318709457877</v>
      </c>
      <c r="BF118" s="16" t="n">
        <f aca="false">MAX(C118-AP118,0)</f>
        <v>28.0890476797577</v>
      </c>
      <c r="BG118" s="16" t="n">
        <f aca="false">MAX(C118-AQ118,0)</f>
        <v>23.998657546335</v>
      </c>
      <c r="BH118" s="16" t="n">
        <f aca="false">MAX(C118-AR118,0)</f>
        <v>19.0714497319128</v>
      </c>
      <c r="BI118" s="16" t="n">
        <f aca="false">MAX(C118-AS118,0)</f>
        <v>14.8600626847088</v>
      </c>
      <c r="BJ118" s="16" t="n">
        <f aca="false">MAX(C118-AT118,0)</f>
        <v>10.3033218298548</v>
      </c>
      <c r="BK118" s="16" t="n">
        <f aca="false">MAX(C118-AU118,0)</f>
        <v>5.10957991070182</v>
      </c>
      <c r="BL118" s="16" t="n">
        <f aca="false">MAX(C118-AV118,0)</f>
        <v>0</v>
      </c>
      <c r="BM118" s="16" t="n">
        <f aca="false">MAX(C118-AW118,0)</f>
        <v>0</v>
      </c>
      <c r="BN118" s="16" t="n">
        <f aca="false">MAX(C118-AX118,0)</f>
        <v>0</v>
      </c>
      <c r="BO118" s="16" t="n">
        <f aca="false">MAX(C118-AY118,0)</f>
        <v>0</v>
      </c>
    </row>
    <row r="119" customFormat="false" ht="15" hidden="false" customHeight="false" outlineLevel="0" collapsed="false">
      <c r="A119" s="3" t="n">
        <v>89</v>
      </c>
      <c r="B119" s="15" t="n">
        <f aca="true">RAND()</f>
        <v>0.509353283608912</v>
      </c>
      <c r="C119" s="16" t="n">
        <f aca="false">LOOKUP(B119,$E$12:$E$17,$A$12:$A$17)+LOOKUP(B119,$E$12:$E$17,$D$12:$D$17)*(B119-LOOKUP(B119,$E$12:$E$17))/LOOKUP(B119,$E$12:$E$17,$C$12:$C$17)</f>
        <v>64.3225547268152</v>
      </c>
      <c r="D119" s="15" t="n">
        <f aca="true">RAND()</f>
        <v>0.470056236691779</v>
      </c>
      <c r="E119" s="15" t="n">
        <f aca="true">RAND()</f>
        <v>0.185895093270576</v>
      </c>
      <c r="F119" s="15" t="n">
        <f aca="true">RAND()</f>
        <v>0.667577237289317</v>
      </c>
      <c r="G119" s="15" t="n">
        <f aca="true">RAND()</f>
        <v>0.656904927120872</v>
      </c>
      <c r="H119" s="15" t="n">
        <f aca="true">RAND()</f>
        <v>0.868562181754598</v>
      </c>
      <c r="I119" s="15" t="n">
        <f aca="true">RAND()</f>
        <v>0.520360046664156</v>
      </c>
      <c r="J119" s="15" t="n">
        <f aca="true">RAND()</f>
        <v>0.715485723584357</v>
      </c>
      <c r="K119" s="15" t="n">
        <f aca="true">RAND()</f>
        <v>0.364104739197952</v>
      </c>
      <c r="L119" s="15" t="n">
        <f aca="true">RAND()</f>
        <v>0.379819777008945</v>
      </c>
      <c r="M119" s="15" t="n">
        <f aca="true">RAND()</f>
        <v>0.701012574504962</v>
      </c>
      <c r="N119" s="15" t="n">
        <f aca="true">RAND()</f>
        <v>0.909311292745598</v>
      </c>
      <c r="O119" s="15" t="n">
        <f aca="true">RAND()</f>
        <v>0.041573674550493</v>
      </c>
      <c r="P119" s="15" t="n">
        <f aca="true">RAND()</f>
        <v>0.605093391741937</v>
      </c>
      <c r="Q119" s="15" t="n">
        <f aca="true">RAND()</f>
        <v>0.0931299690289766</v>
      </c>
      <c r="R119" s="15" t="n">
        <f aca="true">RAND()</f>
        <v>0.751905897523773</v>
      </c>
      <c r="S119" s="15" t="n">
        <f aca="true">RAND()</f>
        <v>0.786912355426365</v>
      </c>
      <c r="T119" s="16" t="n">
        <f aca="false">LOOKUP(D119,$E$23:$E$26,$A$23:$A$26)+LOOKUP(D119,$E$23:$E$26,$D$23:$D$26)*(D119-LOOKUP(D119,$E$23:$E$26))/LOOKUP(D119,$E$23:$E$26,$C$23:$C$26)</f>
        <v>4.71257029586472</v>
      </c>
      <c r="U119" s="16" t="n">
        <f aca="false">LOOKUP(E119,$E$23:$E$26,$A$23:$A$26)+LOOKUP(E119,$E$23:$E$26,$D$23:$D$26)*(E119-LOOKUP(E119,$E$23:$E$26))/LOOKUP(E119,$E$23:$E$26,$C$23:$C$26)</f>
        <v>4.30982515545096</v>
      </c>
      <c r="V119" s="16" t="n">
        <f aca="false">LOOKUP(F119,$E$23:$E$26,$A$23:$A$26)+LOOKUP(F119,$E$23:$E$26,$D$23:$D$26)*(F119-LOOKUP(F119,$E$23:$E$26))/LOOKUP(F119,$E$23:$E$26,$C$23:$C$26)</f>
        <v>4.95947154661165</v>
      </c>
      <c r="W119" s="16" t="n">
        <f aca="false">LOOKUP(G119,$E$23:$E$26,$A$23:$A$26)+LOOKUP(G119,$E$23:$E$26,$D$23:$D$26)*(G119-LOOKUP(G119,$E$23:$E$26))/LOOKUP(G119,$E$23:$E$26,$C$23:$C$26)</f>
        <v>4.94613115890109</v>
      </c>
      <c r="X119" s="16" t="n">
        <f aca="false">LOOKUP(H119,$E$23:$E$26,$A$23:$A$26)+LOOKUP(H119,$E$23:$E$26,$D$23:$D$26)*(H119-LOOKUP(H119,$E$23:$E$26))/LOOKUP(H119,$E$23:$E$26,$C$23:$C$26)</f>
        <v>5.4214054543865</v>
      </c>
      <c r="Y119" s="16" t="n">
        <f aca="false">LOOKUP(I119,$E$23:$E$26,$A$23:$A$26)+LOOKUP(I119,$E$23:$E$26,$D$23:$D$26)*(I119-LOOKUP(I119,$E$23:$E$26))/LOOKUP(I119,$E$23:$E$26,$C$23:$C$26)</f>
        <v>4.7754500583302</v>
      </c>
      <c r="Z119" s="16" t="n">
        <f aca="false">LOOKUP(J119,$E$23:$E$26,$A$23:$A$26)+LOOKUP(J119,$E$23:$E$26,$D$23:$D$26)*(J119-LOOKUP(J119,$E$23:$E$26))/LOOKUP(J119,$E$23:$E$26,$C$23:$C$26)</f>
        <v>5.03871430896089</v>
      </c>
      <c r="AA119" s="16" t="n">
        <f aca="false">LOOKUP(K119,$E$23:$E$26,$A$23:$A$26)+LOOKUP(K119,$E$23:$E$26,$D$23:$D$26)*(K119-LOOKUP(K119,$E$23:$E$26))/LOOKUP(K119,$E$23:$E$26,$C$23:$C$26)</f>
        <v>4.58013092399744</v>
      </c>
      <c r="AB119" s="16" t="n">
        <f aca="false">LOOKUP(L119,$E$23:$E$26,$A$23:$A$26)+LOOKUP(L119,$E$23:$E$26,$D$23:$D$26)*(L119-LOOKUP(L119,$E$23:$E$26))/LOOKUP(L119,$E$23:$E$26,$C$23:$C$26)</f>
        <v>4.59977472126118</v>
      </c>
      <c r="AC119" s="16" t="n">
        <f aca="false">LOOKUP(M119,$E$23:$E$26,$A$23:$A$26)+LOOKUP(M119,$E$23:$E$26,$D$23:$D$26)*(M119-LOOKUP(M119,$E$23:$E$26))/LOOKUP(M119,$E$23:$E$26,$C$23:$C$26)</f>
        <v>5.00253143626241</v>
      </c>
      <c r="AD119" s="16" t="n">
        <f aca="false">LOOKUP(N119,$E$23:$E$26,$A$23:$A$26)+LOOKUP(N119,$E$23:$E$26,$D$23:$D$26)*(N119-LOOKUP(N119,$E$23:$E$26))/LOOKUP(N119,$E$23:$E$26,$C$23:$C$26)</f>
        <v>5.54655646372799</v>
      </c>
      <c r="AE119" s="16" t="n">
        <f aca="false">LOOKUP(O119,$E$23:$E$26,$A$23:$A$26)+LOOKUP(O119,$E$23:$E$26,$D$23:$D$26)*(O119-LOOKUP(O119,$E$23:$E$26))/LOOKUP(O119,$E$23:$E$26,$C$23:$C$26)</f>
        <v>4.06928945758416</v>
      </c>
      <c r="AF119" s="16" t="n">
        <f aca="false">LOOKUP(P119,$E$23:$E$26,$A$23:$A$26)+LOOKUP(P119,$E$23:$E$26,$D$23:$D$26)*(P119-LOOKUP(P119,$E$23:$E$26))/LOOKUP(P119,$E$23:$E$26,$C$23:$C$26)</f>
        <v>4.88136673967742</v>
      </c>
      <c r="AG119" s="16" t="n">
        <f aca="false">LOOKUP(Q119,$E$23:$E$26,$A$23:$A$26)+LOOKUP(Q119,$E$23:$E$26,$D$23:$D$26)*(Q119-LOOKUP(Q119,$E$23:$E$26))/LOOKUP(Q119,$E$23:$E$26,$C$23:$C$26)</f>
        <v>4.15521661504829</v>
      </c>
      <c r="AH119" s="16" t="n">
        <f aca="false">LOOKUP(R119,$E$23:$E$26,$A$23:$A$26)+LOOKUP(R119,$E$23:$E$26,$D$23:$D$26)*(R119-LOOKUP(R119,$E$23:$E$26))/LOOKUP(R119,$E$23:$E$26,$C$23:$C$26)</f>
        <v>5.12976474380943</v>
      </c>
      <c r="AI119" s="16" t="n">
        <f aca="false">LOOKUP(S119,$E$23:$E$26,$A$23:$A$26)+LOOKUP(S119,$E$23:$E$26,$D$23:$D$26)*(S119-LOOKUP(S119,$E$23:$E$26))/LOOKUP(S119,$E$23:$E$26,$C$23:$C$26)</f>
        <v>5.21728088856591</v>
      </c>
      <c r="AJ119" s="16" t="n">
        <f aca="false">SUM($T119:T119)</f>
        <v>4.71257029586472</v>
      </c>
      <c r="AK119" s="16" t="n">
        <f aca="false">SUM($T119:U119)</f>
        <v>9.02239545131569</v>
      </c>
      <c r="AL119" s="16" t="n">
        <f aca="false">SUM($T119:V119)</f>
        <v>13.9818669979273</v>
      </c>
      <c r="AM119" s="16" t="n">
        <f aca="false">SUM($T119:W119)</f>
        <v>18.9279981568284</v>
      </c>
      <c r="AN119" s="16" t="n">
        <f aca="false">SUM($T119:X119)</f>
        <v>24.3494036112149</v>
      </c>
      <c r="AO119" s="16" t="n">
        <f aca="false">SUM($T119:Y119)</f>
        <v>29.1248536695451</v>
      </c>
      <c r="AP119" s="16" t="n">
        <f aca="false">SUM($T119:Z119)</f>
        <v>34.163567978506</v>
      </c>
      <c r="AQ119" s="16" t="n">
        <f aca="false">SUM($T119:AA119)</f>
        <v>38.7436989025034</v>
      </c>
      <c r="AR119" s="16" t="n">
        <f aca="false">SUM($T119:AB119)</f>
        <v>43.3434736237646</v>
      </c>
      <c r="AS119" s="16" t="n">
        <f aca="false">SUM($T119:AC119)</f>
        <v>48.346005060027</v>
      </c>
      <c r="AT119" s="16" t="n">
        <f aca="false">SUM($T119:AD119)</f>
        <v>53.892561523755</v>
      </c>
      <c r="AU119" s="16" t="n">
        <f aca="false">SUM($T119:AE119)</f>
        <v>57.9618509813392</v>
      </c>
      <c r="AV119" s="16" t="n">
        <f aca="false">SUM($T119:AF119)</f>
        <v>62.8432177210166</v>
      </c>
      <c r="AW119" s="16" t="n">
        <f aca="false">SUM($T119:AG119)</f>
        <v>66.9984343360649</v>
      </c>
      <c r="AX119" s="16" t="n">
        <f aca="false">SUM($T119:AH119)</f>
        <v>72.1281990798743</v>
      </c>
      <c r="AY119" s="16" t="n">
        <f aca="false">SUM($T119:AI119)</f>
        <v>77.3454799684402</v>
      </c>
      <c r="AZ119" s="16" t="n">
        <f aca="false">MAX(C119-AJ119,0)</f>
        <v>59.6099844309505</v>
      </c>
      <c r="BA119" s="16" t="n">
        <f aca="false">MAX(C119-AK119,0)</f>
        <v>55.3001592754995</v>
      </c>
      <c r="BB119" s="16" t="n">
        <f aca="false">MAX(C119-AL119,0)</f>
        <v>50.3406877288879</v>
      </c>
      <c r="BC119" s="16" t="n">
        <f aca="false">MAX(C119-AM119,0)</f>
        <v>45.3945565699868</v>
      </c>
      <c r="BD119" s="16" t="n">
        <f aca="false">MAX(C119-AN119,0)</f>
        <v>39.9731511156003</v>
      </c>
      <c r="BE119" s="16" t="n">
        <f aca="false">MAX(C119-AO119,0)</f>
        <v>35.1977010572701</v>
      </c>
      <c r="BF119" s="16" t="n">
        <f aca="false">MAX(C119-AP119,0)</f>
        <v>30.1589867483092</v>
      </c>
      <c r="BG119" s="16" t="n">
        <f aca="false">MAX(C119-AQ119,0)</f>
        <v>25.5788558243118</v>
      </c>
      <c r="BH119" s="16" t="n">
        <f aca="false">MAX(C119-AR119,0)</f>
        <v>20.9790811030506</v>
      </c>
      <c r="BI119" s="16" t="n">
        <f aca="false">MAX(C119-AS119,0)</f>
        <v>15.9765496667882</v>
      </c>
      <c r="BJ119" s="16" t="n">
        <f aca="false">MAX(C119-AT119,0)</f>
        <v>10.4299932030602</v>
      </c>
      <c r="BK119" s="16" t="n">
        <f aca="false">MAX(C119-AU119,0)</f>
        <v>6.36070374547603</v>
      </c>
      <c r="BL119" s="16" t="n">
        <f aca="false">MAX(C119-AV119,0)</f>
        <v>1.47933700579861</v>
      </c>
      <c r="BM119" s="16" t="n">
        <f aca="false">MAX(C119-AW119,0)</f>
        <v>0</v>
      </c>
      <c r="BN119" s="16" t="n">
        <f aca="false">MAX(C119-AX119,0)</f>
        <v>0</v>
      </c>
      <c r="BO119" s="16" t="n">
        <f aca="false">MAX(C119-AY119,0)</f>
        <v>0</v>
      </c>
    </row>
    <row r="120" customFormat="false" ht="15" hidden="false" customHeight="false" outlineLevel="0" collapsed="false">
      <c r="A120" s="3" t="n">
        <v>90</v>
      </c>
      <c r="B120" s="15" t="n">
        <f aca="true">RAND()</f>
        <v>0.537919450676499</v>
      </c>
      <c r="C120" s="16" t="n">
        <f aca="false">LOOKUP(B120,$E$12:$E$17,$A$12:$A$17)+LOOKUP(B120,$E$12:$E$17,$D$12:$D$17)*(B120-LOOKUP(B120,$E$12:$E$17))/LOOKUP(B120,$E$12:$E$17,$C$12:$C$17)</f>
        <v>64.798657511275</v>
      </c>
      <c r="D120" s="15" t="n">
        <f aca="true">RAND()</f>
        <v>0.490142237347695</v>
      </c>
      <c r="E120" s="15" t="n">
        <f aca="true">RAND()</f>
        <v>0.883502230755864</v>
      </c>
      <c r="F120" s="15" t="n">
        <f aca="true">RAND()</f>
        <v>0.48328927987982</v>
      </c>
      <c r="G120" s="15" t="n">
        <f aca="true">RAND()</f>
        <v>0.0755242978278225</v>
      </c>
      <c r="H120" s="15" t="n">
        <f aca="true">RAND()</f>
        <v>0.793634994896533</v>
      </c>
      <c r="I120" s="15" t="n">
        <f aca="true">RAND()</f>
        <v>0.43896554487407</v>
      </c>
      <c r="J120" s="15" t="n">
        <f aca="true">RAND()</f>
        <v>0.763769313495199</v>
      </c>
      <c r="K120" s="15" t="n">
        <f aca="true">RAND()</f>
        <v>0.370616750422815</v>
      </c>
      <c r="L120" s="15" t="n">
        <f aca="true">RAND()</f>
        <v>0.771159576437973</v>
      </c>
      <c r="M120" s="15" t="n">
        <f aca="true">RAND()</f>
        <v>0.12907632910615</v>
      </c>
      <c r="N120" s="15" t="n">
        <f aca="true">RAND()</f>
        <v>0.686248013510473</v>
      </c>
      <c r="O120" s="15" t="n">
        <f aca="true">RAND()</f>
        <v>0.941423255833997</v>
      </c>
      <c r="P120" s="15" t="n">
        <f aca="true">RAND()</f>
        <v>0.0916828299956093</v>
      </c>
      <c r="Q120" s="15" t="n">
        <f aca="true">RAND()</f>
        <v>0.795536092291499</v>
      </c>
      <c r="R120" s="15" t="n">
        <f aca="true">RAND()</f>
        <v>0.874556138716579</v>
      </c>
      <c r="S120" s="15" t="n">
        <f aca="true">RAND()</f>
        <v>0.604887879154826</v>
      </c>
      <c r="T120" s="16" t="n">
        <f aca="false">LOOKUP(D120,$E$23:$E$26,$A$23:$A$26)+LOOKUP(D120,$E$23:$E$26,$D$23:$D$26)*(D120-LOOKUP(D120,$E$23:$E$26))/LOOKUP(D120,$E$23:$E$26,$C$23:$C$26)</f>
        <v>4.73767779668462</v>
      </c>
      <c r="U120" s="16" t="n">
        <f aca="false">LOOKUP(E120,$E$23:$E$26,$A$23:$A$26)+LOOKUP(E120,$E$23:$E$26,$D$23:$D$26)*(E120-LOOKUP(E120,$E$23:$E$26))/LOOKUP(E120,$E$23:$E$26,$C$23:$C$26)</f>
        <v>5.45875557688966</v>
      </c>
      <c r="V120" s="16" t="n">
        <f aca="false">LOOKUP(F120,$E$23:$E$26,$A$23:$A$26)+LOOKUP(F120,$E$23:$E$26,$D$23:$D$26)*(F120-LOOKUP(F120,$E$23:$E$26))/LOOKUP(F120,$E$23:$E$26,$C$23:$C$26)</f>
        <v>4.72911159984978</v>
      </c>
      <c r="W120" s="16" t="n">
        <f aca="false">LOOKUP(G120,$E$23:$E$26,$A$23:$A$26)+LOOKUP(G120,$E$23:$E$26,$D$23:$D$26)*(G120-LOOKUP(G120,$E$23:$E$26))/LOOKUP(G120,$E$23:$E$26,$C$23:$C$26)</f>
        <v>4.12587382971304</v>
      </c>
      <c r="X120" s="16" t="n">
        <f aca="false">LOOKUP(H120,$E$23:$E$26,$A$23:$A$26)+LOOKUP(H120,$E$23:$E$26,$D$23:$D$26)*(H120-LOOKUP(H120,$E$23:$E$26))/LOOKUP(H120,$E$23:$E$26,$C$23:$C$26)</f>
        <v>5.23408748724133</v>
      </c>
      <c r="Y120" s="16" t="n">
        <f aca="false">LOOKUP(I120,$E$23:$E$26,$A$23:$A$26)+LOOKUP(I120,$E$23:$E$26,$D$23:$D$26)*(I120-LOOKUP(I120,$E$23:$E$26))/LOOKUP(I120,$E$23:$E$26,$C$23:$C$26)</f>
        <v>4.67370693109259</v>
      </c>
      <c r="Z120" s="16" t="n">
        <f aca="false">LOOKUP(J120,$E$23:$E$26,$A$23:$A$26)+LOOKUP(J120,$E$23:$E$26,$D$23:$D$26)*(J120-LOOKUP(J120,$E$23:$E$26))/LOOKUP(J120,$E$23:$E$26,$C$23:$C$26)</f>
        <v>5.159423283738</v>
      </c>
      <c r="AA120" s="16" t="n">
        <f aca="false">LOOKUP(K120,$E$23:$E$26,$A$23:$A$26)+LOOKUP(K120,$E$23:$E$26,$D$23:$D$26)*(K120-LOOKUP(K120,$E$23:$E$26))/LOOKUP(K120,$E$23:$E$26,$C$23:$C$26)</f>
        <v>4.58827093802852</v>
      </c>
      <c r="AB120" s="16" t="n">
        <f aca="false">LOOKUP(L120,$E$23:$E$26,$A$23:$A$26)+LOOKUP(L120,$E$23:$E$26,$D$23:$D$26)*(L120-LOOKUP(L120,$E$23:$E$26))/LOOKUP(L120,$E$23:$E$26,$C$23:$C$26)</f>
        <v>5.17789894109493</v>
      </c>
      <c r="AC120" s="16" t="n">
        <f aca="false">LOOKUP(M120,$E$23:$E$26,$A$23:$A$26)+LOOKUP(M120,$E$23:$E$26,$D$23:$D$26)*(M120-LOOKUP(M120,$E$23:$E$26))/LOOKUP(M120,$E$23:$E$26,$C$23:$C$26)</f>
        <v>4.21512721517692</v>
      </c>
      <c r="AD120" s="16" t="n">
        <f aca="false">LOOKUP(N120,$E$23:$E$26,$A$23:$A$26)+LOOKUP(N120,$E$23:$E$26,$D$23:$D$26)*(N120-LOOKUP(N120,$E$23:$E$26))/LOOKUP(N120,$E$23:$E$26,$C$23:$C$26)</f>
        <v>4.98281001688809</v>
      </c>
      <c r="AE120" s="16" t="n">
        <f aca="false">LOOKUP(O120,$E$23:$E$26,$A$23:$A$26)+LOOKUP(O120,$E$23:$E$26,$D$23:$D$26)*(O120-LOOKUP(O120,$E$23:$E$26))/LOOKUP(O120,$E$23:$E$26,$C$23:$C$26)</f>
        <v>5.70711627916998</v>
      </c>
      <c r="AF120" s="16" t="n">
        <f aca="false">LOOKUP(P120,$E$23:$E$26,$A$23:$A$26)+LOOKUP(P120,$E$23:$E$26,$D$23:$D$26)*(P120-LOOKUP(P120,$E$23:$E$26))/LOOKUP(P120,$E$23:$E$26,$C$23:$C$26)</f>
        <v>4.15280471665935</v>
      </c>
      <c r="AG120" s="16" t="n">
        <f aca="false">LOOKUP(Q120,$E$23:$E$26,$A$23:$A$26)+LOOKUP(Q120,$E$23:$E$26,$D$23:$D$26)*(Q120-LOOKUP(Q120,$E$23:$E$26))/LOOKUP(Q120,$E$23:$E$26,$C$23:$C$26)</f>
        <v>5.23884023072875</v>
      </c>
      <c r="AH120" s="16" t="n">
        <f aca="false">LOOKUP(R120,$E$23:$E$26,$A$23:$A$26)+LOOKUP(R120,$E$23:$E$26,$D$23:$D$26)*(R120-LOOKUP(R120,$E$23:$E$26))/LOOKUP(R120,$E$23:$E$26,$C$23:$C$26)</f>
        <v>5.43639034679145</v>
      </c>
      <c r="AI120" s="16" t="n">
        <f aca="false">LOOKUP(S120,$E$23:$E$26,$A$23:$A$26)+LOOKUP(S120,$E$23:$E$26,$D$23:$D$26)*(S120-LOOKUP(S120,$E$23:$E$26))/LOOKUP(S120,$E$23:$E$26,$C$23:$C$26)</f>
        <v>4.88110984894353</v>
      </c>
      <c r="AJ120" s="16" t="n">
        <f aca="false">SUM($T120:T120)</f>
        <v>4.73767779668462</v>
      </c>
      <c r="AK120" s="16" t="n">
        <f aca="false">SUM($T120:U120)</f>
        <v>10.1964333735743</v>
      </c>
      <c r="AL120" s="16" t="n">
        <f aca="false">SUM($T120:V120)</f>
        <v>14.9255449734241</v>
      </c>
      <c r="AM120" s="16" t="n">
        <f aca="false">SUM($T120:W120)</f>
        <v>19.0514188031371</v>
      </c>
      <c r="AN120" s="16" t="n">
        <f aca="false">SUM($T120:X120)</f>
        <v>24.2855062903784</v>
      </c>
      <c r="AO120" s="16" t="n">
        <f aca="false">SUM($T120:Y120)</f>
        <v>28.959213221471</v>
      </c>
      <c r="AP120" s="16" t="n">
        <f aca="false">SUM($T120:Z120)</f>
        <v>34.118636505209</v>
      </c>
      <c r="AQ120" s="16" t="n">
        <f aca="false">SUM($T120:AA120)</f>
        <v>38.7069074432375</v>
      </c>
      <c r="AR120" s="16" t="n">
        <f aca="false">SUM($T120:AB120)</f>
        <v>43.8848063843325</v>
      </c>
      <c r="AS120" s="16" t="n">
        <f aca="false">SUM($T120:AC120)</f>
        <v>48.0999335995094</v>
      </c>
      <c r="AT120" s="16" t="n">
        <f aca="false">SUM($T120:AD120)</f>
        <v>53.0827436163975</v>
      </c>
      <c r="AU120" s="16" t="n">
        <f aca="false">SUM($T120:AE120)</f>
        <v>58.7898598955674</v>
      </c>
      <c r="AV120" s="16" t="n">
        <f aca="false">SUM($T120:AF120)</f>
        <v>62.9426646122268</v>
      </c>
      <c r="AW120" s="16" t="n">
        <f aca="false">SUM($T120:AG120)</f>
        <v>68.1815048429556</v>
      </c>
      <c r="AX120" s="16" t="n">
        <f aca="false">SUM($T120:AH120)</f>
        <v>73.617895189747</v>
      </c>
      <c r="AY120" s="16" t="n">
        <f aca="false">SUM($T120:AI120)</f>
        <v>78.4990050386905</v>
      </c>
      <c r="AZ120" s="16" t="n">
        <f aca="false">MAX(C120-AJ120,0)</f>
        <v>60.0609797145904</v>
      </c>
      <c r="BA120" s="16" t="n">
        <f aca="false">MAX(C120-AK120,0)</f>
        <v>54.6022241377007</v>
      </c>
      <c r="BB120" s="16" t="n">
        <f aca="false">MAX(C120-AL120,0)</f>
        <v>49.8731125378509</v>
      </c>
      <c r="BC120" s="16" t="n">
        <f aca="false">MAX(C120-AM120,0)</f>
        <v>45.7472387081379</v>
      </c>
      <c r="BD120" s="16" t="n">
        <f aca="false">MAX(C120-AN120,0)</f>
        <v>40.5131512208966</v>
      </c>
      <c r="BE120" s="16" t="n">
        <f aca="false">MAX(C120-AO120,0)</f>
        <v>35.839444289804</v>
      </c>
      <c r="BF120" s="16" t="n">
        <f aca="false">MAX(C120-AP120,0)</f>
        <v>30.680021006066</v>
      </c>
      <c r="BG120" s="16" t="n">
        <f aca="false">MAX(C120-AQ120,0)</f>
        <v>26.0917500680375</v>
      </c>
      <c r="BH120" s="16" t="n">
        <f aca="false">MAX(C120-AR120,0)</f>
        <v>20.9138511269425</v>
      </c>
      <c r="BI120" s="16" t="n">
        <f aca="false">MAX(C120-AS120,0)</f>
        <v>16.6987239117656</v>
      </c>
      <c r="BJ120" s="16" t="n">
        <f aca="false">MAX(C120-AT120,0)</f>
        <v>11.7159138948775</v>
      </c>
      <c r="BK120" s="16" t="n">
        <f aca="false">MAX(C120-AU120,0)</f>
        <v>6.00879761570754</v>
      </c>
      <c r="BL120" s="16" t="n">
        <f aca="false">MAX(C120-AV120,0)</f>
        <v>1.85599289904818</v>
      </c>
      <c r="BM120" s="16" t="n">
        <f aca="false">MAX(C120-AW120,0)</f>
        <v>0</v>
      </c>
      <c r="BN120" s="16" t="n">
        <f aca="false">MAX(C120-AX120,0)</f>
        <v>0</v>
      </c>
      <c r="BO120" s="16" t="n">
        <f aca="false">MAX(C120-AY120,0)</f>
        <v>0</v>
      </c>
    </row>
    <row r="121" customFormat="false" ht="15" hidden="false" customHeight="false" outlineLevel="0" collapsed="false">
      <c r="A121" s="3" t="n">
        <v>91</v>
      </c>
      <c r="B121" s="15" t="n">
        <f aca="true">RAND()</f>
        <v>0.519028925940206</v>
      </c>
      <c r="C121" s="16" t="n">
        <f aca="false">LOOKUP(B121,$E$12:$E$17,$A$12:$A$17)+LOOKUP(B121,$E$12:$E$17,$D$12:$D$17)*(B121-LOOKUP(B121,$E$12:$E$17))/LOOKUP(B121,$E$12:$E$17,$C$12:$C$17)</f>
        <v>64.4838154323368</v>
      </c>
      <c r="D121" s="15" t="n">
        <f aca="true">RAND()</f>
        <v>0.924626581774188</v>
      </c>
      <c r="E121" s="15" t="n">
        <f aca="true">RAND()</f>
        <v>0.358875000474673</v>
      </c>
      <c r="F121" s="15" t="n">
        <f aca="true">RAND()</f>
        <v>0.770143548532891</v>
      </c>
      <c r="G121" s="15" t="n">
        <f aca="true">RAND()</f>
        <v>0.509965081707597</v>
      </c>
      <c r="H121" s="15" t="n">
        <f aca="true">RAND()</f>
        <v>0.0595527402164891</v>
      </c>
      <c r="I121" s="15" t="n">
        <f aca="true">RAND()</f>
        <v>0.476081356153839</v>
      </c>
      <c r="J121" s="15" t="n">
        <f aca="true">RAND()</f>
        <v>0.984832588970653</v>
      </c>
      <c r="K121" s="15" t="n">
        <f aca="true">RAND()</f>
        <v>0.222473161037301</v>
      </c>
      <c r="L121" s="15" t="n">
        <f aca="true">RAND()</f>
        <v>0.805330351044805</v>
      </c>
      <c r="M121" s="15" t="n">
        <f aca="true">RAND()</f>
        <v>0.837155777643064</v>
      </c>
      <c r="N121" s="15" t="n">
        <f aca="true">RAND()</f>
        <v>0.831205083121229</v>
      </c>
      <c r="O121" s="15" t="n">
        <f aca="true">RAND()</f>
        <v>0.981192956544876</v>
      </c>
      <c r="P121" s="15" t="n">
        <f aca="true">RAND()</f>
        <v>0.460188163142579</v>
      </c>
      <c r="Q121" s="15" t="n">
        <f aca="true">RAND()</f>
        <v>0.852056050761342</v>
      </c>
      <c r="R121" s="15" t="n">
        <f aca="true">RAND()</f>
        <v>0.908109211498778</v>
      </c>
      <c r="S121" s="15" t="n">
        <f aca="true">RAND()</f>
        <v>0.483194141133937</v>
      </c>
      <c r="T121" s="16" t="n">
        <f aca="false">LOOKUP(D121,$E$23:$E$26,$A$23:$A$26)+LOOKUP(D121,$E$23:$E$26,$D$23:$D$26)*(D121-LOOKUP(D121,$E$23:$E$26))/LOOKUP(D121,$E$23:$E$26,$C$23:$C$26)</f>
        <v>5.62313290887094</v>
      </c>
      <c r="U121" s="16" t="n">
        <f aca="false">LOOKUP(E121,$E$23:$E$26,$A$23:$A$26)+LOOKUP(E121,$E$23:$E$26,$D$23:$D$26)*(E121-LOOKUP(E121,$E$23:$E$26))/LOOKUP(E121,$E$23:$E$26,$C$23:$C$26)</f>
        <v>4.57359375059334</v>
      </c>
      <c r="V121" s="16" t="n">
        <f aca="false">LOOKUP(F121,$E$23:$E$26,$A$23:$A$26)+LOOKUP(F121,$E$23:$E$26,$D$23:$D$26)*(F121-LOOKUP(F121,$E$23:$E$26))/LOOKUP(F121,$E$23:$E$26,$C$23:$C$26)</f>
        <v>5.17535887133223</v>
      </c>
      <c r="W121" s="16" t="n">
        <f aca="false">LOOKUP(G121,$E$23:$E$26,$A$23:$A$26)+LOOKUP(G121,$E$23:$E$26,$D$23:$D$26)*(G121-LOOKUP(G121,$E$23:$E$26))/LOOKUP(G121,$E$23:$E$26,$C$23:$C$26)</f>
        <v>4.7624563521345</v>
      </c>
      <c r="X121" s="16" t="n">
        <f aca="false">LOOKUP(H121,$E$23:$E$26,$A$23:$A$26)+LOOKUP(H121,$E$23:$E$26,$D$23:$D$26)*(H121-LOOKUP(H121,$E$23:$E$26))/LOOKUP(H121,$E$23:$E$26,$C$23:$C$26)</f>
        <v>4.09925456702748</v>
      </c>
      <c r="Y121" s="16" t="n">
        <f aca="false">LOOKUP(I121,$E$23:$E$26,$A$23:$A$26)+LOOKUP(I121,$E$23:$E$26,$D$23:$D$26)*(I121-LOOKUP(I121,$E$23:$E$26))/LOOKUP(I121,$E$23:$E$26,$C$23:$C$26)</f>
        <v>4.7201016951923</v>
      </c>
      <c r="Z121" s="16" t="n">
        <f aca="false">LOOKUP(J121,$E$23:$E$26,$A$23:$A$26)+LOOKUP(J121,$E$23:$E$26,$D$23:$D$26)*(J121-LOOKUP(J121,$E$23:$E$26))/LOOKUP(J121,$E$23:$E$26,$C$23:$C$26)</f>
        <v>5.92416294485326</v>
      </c>
      <c r="AA121" s="16" t="n">
        <f aca="false">LOOKUP(K121,$E$23:$E$26,$A$23:$A$26)+LOOKUP(K121,$E$23:$E$26,$D$23:$D$26)*(K121-LOOKUP(K121,$E$23:$E$26))/LOOKUP(K121,$E$23:$E$26,$C$23:$C$26)</f>
        <v>4.37078860172884</v>
      </c>
      <c r="AB121" s="16" t="n">
        <f aca="false">LOOKUP(L121,$E$23:$E$26,$A$23:$A$26)+LOOKUP(L121,$E$23:$E$26,$D$23:$D$26)*(L121-LOOKUP(L121,$E$23:$E$26))/LOOKUP(L121,$E$23:$E$26,$C$23:$C$26)</f>
        <v>5.26332587761201</v>
      </c>
      <c r="AC121" s="16" t="n">
        <f aca="false">LOOKUP(M121,$E$23:$E$26,$A$23:$A$26)+LOOKUP(M121,$E$23:$E$26,$D$23:$D$26)*(M121-LOOKUP(M121,$E$23:$E$26))/LOOKUP(M121,$E$23:$E$26,$C$23:$C$26)</f>
        <v>5.34288944410766</v>
      </c>
      <c r="AD121" s="16" t="n">
        <f aca="false">LOOKUP(N121,$E$23:$E$26,$A$23:$A$26)+LOOKUP(N121,$E$23:$E$26,$D$23:$D$26)*(N121-LOOKUP(N121,$E$23:$E$26))/LOOKUP(N121,$E$23:$E$26,$C$23:$C$26)</f>
        <v>5.32801270780307</v>
      </c>
      <c r="AE121" s="16" t="n">
        <f aca="false">LOOKUP(O121,$E$23:$E$26,$A$23:$A$26)+LOOKUP(O121,$E$23:$E$26,$D$23:$D$26)*(O121-LOOKUP(O121,$E$23:$E$26))/LOOKUP(O121,$E$23:$E$26,$C$23:$C$26)</f>
        <v>5.90596478272438</v>
      </c>
      <c r="AF121" s="16" t="n">
        <f aca="false">LOOKUP(P121,$E$23:$E$26,$A$23:$A$26)+LOOKUP(P121,$E$23:$E$26,$D$23:$D$26)*(P121-LOOKUP(P121,$E$23:$E$26))/LOOKUP(P121,$E$23:$E$26,$C$23:$C$26)</f>
        <v>4.70023520392822</v>
      </c>
      <c r="AG121" s="16" t="n">
        <f aca="false">LOOKUP(Q121,$E$23:$E$26,$A$23:$A$26)+LOOKUP(Q121,$E$23:$E$26,$D$23:$D$26)*(Q121-LOOKUP(Q121,$E$23:$E$26))/LOOKUP(Q121,$E$23:$E$26,$C$23:$C$26)</f>
        <v>5.38014012690336</v>
      </c>
      <c r="AH121" s="16" t="n">
        <f aca="false">LOOKUP(R121,$E$23:$E$26,$A$23:$A$26)+LOOKUP(R121,$E$23:$E$26,$D$23:$D$26)*(R121-LOOKUP(R121,$E$23:$E$26))/LOOKUP(R121,$E$23:$E$26,$C$23:$C$26)</f>
        <v>5.54054605749389</v>
      </c>
      <c r="AI121" s="16" t="n">
        <f aca="false">LOOKUP(S121,$E$23:$E$26,$A$23:$A$26)+LOOKUP(S121,$E$23:$E$26,$D$23:$D$26)*(S121-LOOKUP(S121,$E$23:$E$26))/LOOKUP(S121,$E$23:$E$26,$C$23:$C$26)</f>
        <v>4.72899267641742</v>
      </c>
      <c r="AJ121" s="16" t="n">
        <f aca="false">SUM($T121:T121)</f>
        <v>5.62313290887094</v>
      </c>
      <c r="AK121" s="16" t="n">
        <f aca="false">SUM($T121:U121)</f>
        <v>10.1967266594643</v>
      </c>
      <c r="AL121" s="16" t="n">
        <f aca="false">SUM($T121:V121)</f>
        <v>15.3720855307965</v>
      </c>
      <c r="AM121" s="16" t="n">
        <f aca="false">SUM($T121:W121)</f>
        <v>20.134541882931</v>
      </c>
      <c r="AN121" s="16" t="n">
        <f aca="false">SUM($T121:X121)</f>
        <v>24.2337964499585</v>
      </c>
      <c r="AO121" s="16" t="n">
        <f aca="false">SUM($T121:Y121)</f>
        <v>28.9538981451508</v>
      </c>
      <c r="AP121" s="16" t="n">
        <f aca="false">SUM($T121:Z121)</f>
        <v>34.8780610900041</v>
      </c>
      <c r="AQ121" s="16" t="n">
        <f aca="false">SUM($T121:AA121)</f>
        <v>39.2488496917329</v>
      </c>
      <c r="AR121" s="16" t="n">
        <f aca="false">SUM($T121:AB121)</f>
        <v>44.5121755693449</v>
      </c>
      <c r="AS121" s="16" t="n">
        <f aca="false">SUM($T121:AC121)</f>
        <v>49.8550650134526</v>
      </c>
      <c r="AT121" s="16" t="n">
        <f aca="false">SUM($T121:AD121)</f>
        <v>55.1830777212556</v>
      </c>
      <c r="AU121" s="16" t="n">
        <f aca="false">SUM($T121:AE121)</f>
        <v>61.08904250398</v>
      </c>
      <c r="AV121" s="16" t="n">
        <f aca="false">SUM($T121:AF121)</f>
        <v>65.7892777079082</v>
      </c>
      <c r="AW121" s="16" t="n">
        <f aca="false">SUM($T121:AG121)</f>
        <v>71.1694178348116</v>
      </c>
      <c r="AX121" s="16" t="n">
        <f aca="false">SUM($T121:AH121)</f>
        <v>76.7099638923055</v>
      </c>
      <c r="AY121" s="16" t="n">
        <f aca="false">SUM($T121:AI121)</f>
        <v>81.4389565687229</v>
      </c>
      <c r="AZ121" s="16" t="n">
        <f aca="false">MAX(C121-AJ121,0)</f>
        <v>58.8606825234658</v>
      </c>
      <c r="BA121" s="16" t="n">
        <f aca="false">MAX(C121-AK121,0)</f>
        <v>54.2870887728725</v>
      </c>
      <c r="BB121" s="16" t="n">
        <f aca="false">MAX(C121-AL121,0)</f>
        <v>49.1117299015403</v>
      </c>
      <c r="BC121" s="16" t="n">
        <f aca="false">MAX(C121-AM121,0)</f>
        <v>44.3492735494058</v>
      </c>
      <c r="BD121" s="16" t="n">
        <f aca="false">MAX(C121-AN121,0)</f>
        <v>40.2500189823783</v>
      </c>
      <c r="BE121" s="16" t="n">
        <f aca="false">MAX(C121-AO121,0)</f>
        <v>35.529917287186</v>
      </c>
      <c r="BF121" s="16" t="n">
        <f aca="false">MAX(C121-AP121,0)</f>
        <v>29.6057543423327</v>
      </c>
      <c r="BG121" s="16" t="n">
        <f aca="false">MAX(C121-AQ121,0)</f>
        <v>25.2349657406039</v>
      </c>
      <c r="BH121" s="16" t="n">
        <f aca="false">MAX(C121-AR121,0)</f>
        <v>19.9716398629919</v>
      </c>
      <c r="BI121" s="16" t="n">
        <f aca="false">MAX(C121-AS121,0)</f>
        <v>14.6287504188842</v>
      </c>
      <c r="BJ121" s="16" t="n">
        <f aca="false">MAX(C121-AT121,0)</f>
        <v>9.30073771108113</v>
      </c>
      <c r="BK121" s="16" t="n">
        <f aca="false">MAX(C121-AU121,0)</f>
        <v>3.39477292835676</v>
      </c>
      <c r="BL121" s="16" t="n">
        <f aca="false">MAX(C121-AV121,0)</f>
        <v>0</v>
      </c>
      <c r="BM121" s="16" t="n">
        <f aca="false">MAX(C121-AW121,0)</f>
        <v>0</v>
      </c>
      <c r="BN121" s="16" t="n">
        <f aca="false">MAX(C121-AX121,0)</f>
        <v>0</v>
      </c>
      <c r="BO121" s="16" t="n">
        <f aca="false">MAX(C121-AY121,0)</f>
        <v>0</v>
      </c>
    </row>
    <row r="122" customFormat="false" ht="15" hidden="false" customHeight="false" outlineLevel="0" collapsed="false">
      <c r="A122" s="3" t="n">
        <v>92</v>
      </c>
      <c r="B122" s="15" t="n">
        <f aca="true">RAND()</f>
        <v>0.649820728770862</v>
      </c>
      <c r="C122" s="16" t="n">
        <f aca="false">LOOKUP(B122,$E$12:$E$17,$A$12:$A$17)+LOOKUP(B122,$E$12:$E$17,$D$12:$D$17)*(B122-LOOKUP(B122,$E$12:$E$17))/LOOKUP(B122,$E$12:$E$17,$C$12:$C$17)</f>
        <v>66.4260104110123</v>
      </c>
      <c r="D122" s="15" t="n">
        <f aca="true">RAND()</f>
        <v>0.242323413947738</v>
      </c>
      <c r="E122" s="15" t="n">
        <f aca="true">RAND()</f>
        <v>0.606212595217353</v>
      </c>
      <c r="F122" s="15" t="n">
        <f aca="true">RAND()</f>
        <v>0.776368073536055</v>
      </c>
      <c r="G122" s="15" t="n">
        <f aca="true">RAND()</f>
        <v>0.580099491318621</v>
      </c>
      <c r="H122" s="15" t="n">
        <f aca="true">RAND()</f>
        <v>0.69026788200868</v>
      </c>
      <c r="I122" s="15" t="n">
        <f aca="true">RAND()</f>
        <v>0.38328746583924</v>
      </c>
      <c r="J122" s="15" t="n">
        <f aca="true">RAND()</f>
        <v>0.197049704272521</v>
      </c>
      <c r="K122" s="15" t="n">
        <f aca="true">RAND()</f>
        <v>0.173630348379146</v>
      </c>
      <c r="L122" s="15" t="n">
        <f aca="true">RAND()</f>
        <v>0.398618670422181</v>
      </c>
      <c r="M122" s="15" t="n">
        <f aca="true">RAND()</f>
        <v>0.264942726204532</v>
      </c>
      <c r="N122" s="15" t="n">
        <f aca="true">RAND()</f>
        <v>0.104321393857191</v>
      </c>
      <c r="O122" s="15" t="n">
        <f aca="true">RAND()</f>
        <v>0.303040758176823</v>
      </c>
      <c r="P122" s="15" t="n">
        <f aca="true">RAND()</f>
        <v>0.135935975921801</v>
      </c>
      <c r="Q122" s="15" t="n">
        <f aca="true">RAND()</f>
        <v>0.405890965195465</v>
      </c>
      <c r="R122" s="15" t="n">
        <f aca="true">RAND()</f>
        <v>0.904341002884928</v>
      </c>
      <c r="S122" s="15" t="n">
        <f aca="true">RAND()</f>
        <v>0.501821888898886</v>
      </c>
      <c r="T122" s="16" t="n">
        <f aca="false">LOOKUP(D122,$E$23:$E$26,$A$23:$A$26)+LOOKUP(D122,$E$23:$E$26,$D$23:$D$26)*(D122-LOOKUP(D122,$E$23:$E$26))/LOOKUP(D122,$E$23:$E$26,$C$23:$C$26)</f>
        <v>4.40387235657956</v>
      </c>
      <c r="U122" s="16" t="n">
        <f aca="false">LOOKUP(E122,$E$23:$E$26,$A$23:$A$26)+LOOKUP(E122,$E$23:$E$26,$D$23:$D$26)*(E122-LOOKUP(E122,$E$23:$E$26))/LOOKUP(E122,$E$23:$E$26,$C$23:$C$26)</f>
        <v>4.88276574402169</v>
      </c>
      <c r="V122" s="16" t="n">
        <f aca="false">LOOKUP(F122,$E$23:$E$26,$A$23:$A$26)+LOOKUP(F122,$E$23:$E$26,$D$23:$D$26)*(F122-LOOKUP(F122,$E$23:$E$26))/LOOKUP(F122,$E$23:$E$26,$C$23:$C$26)</f>
        <v>5.19092018384014</v>
      </c>
      <c r="W122" s="16" t="n">
        <f aca="false">LOOKUP(G122,$E$23:$E$26,$A$23:$A$26)+LOOKUP(G122,$E$23:$E$26,$D$23:$D$26)*(G122-LOOKUP(G122,$E$23:$E$26))/LOOKUP(G122,$E$23:$E$26,$C$23:$C$26)</f>
        <v>4.85012436414828</v>
      </c>
      <c r="X122" s="16" t="n">
        <f aca="false">LOOKUP(H122,$E$23:$E$26,$A$23:$A$26)+LOOKUP(H122,$E$23:$E$26,$D$23:$D$26)*(H122-LOOKUP(H122,$E$23:$E$26))/LOOKUP(H122,$E$23:$E$26,$C$23:$C$26)</f>
        <v>4.98783485251085</v>
      </c>
      <c r="Y122" s="16" t="n">
        <f aca="false">LOOKUP(I122,$E$23:$E$26,$A$23:$A$26)+LOOKUP(I122,$E$23:$E$26,$D$23:$D$26)*(I122-LOOKUP(I122,$E$23:$E$26))/LOOKUP(I122,$E$23:$E$26,$C$23:$C$26)</f>
        <v>4.60410933229905</v>
      </c>
      <c r="Z122" s="16" t="n">
        <f aca="false">LOOKUP(J122,$E$23:$E$26,$A$23:$A$26)+LOOKUP(J122,$E$23:$E$26,$D$23:$D$26)*(J122-LOOKUP(J122,$E$23:$E$26))/LOOKUP(J122,$E$23:$E$26,$C$23:$C$26)</f>
        <v>4.32841617378754</v>
      </c>
      <c r="AA122" s="16" t="n">
        <f aca="false">LOOKUP(K122,$E$23:$E$26,$A$23:$A$26)+LOOKUP(K122,$E$23:$E$26,$D$23:$D$26)*(K122-LOOKUP(K122,$E$23:$E$26))/LOOKUP(K122,$E$23:$E$26,$C$23:$C$26)</f>
        <v>4.28938391396524</v>
      </c>
      <c r="AB122" s="16" t="n">
        <f aca="false">LOOKUP(L122,$E$23:$E$26,$A$23:$A$26)+LOOKUP(L122,$E$23:$E$26,$D$23:$D$26)*(L122-LOOKUP(L122,$E$23:$E$26))/LOOKUP(L122,$E$23:$E$26,$C$23:$C$26)</f>
        <v>4.62327333802773</v>
      </c>
      <c r="AC122" s="16" t="n">
        <f aca="false">LOOKUP(M122,$E$23:$E$26,$A$23:$A$26)+LOOKUP(M122,$E$23:$E$26,$D$23:$D$26)*(M122-LOOKUP(M122,$E$23:$E$26))/LOOKUP(M122,$E$23:$E$26,$C$23:$C$26)</f>
        <v>4.44157121034089</v>
      </c>
      <c r="AD122" s="16" t="n">
        <f aca="false">LOOKUP(N122,$E$23:$E$26,$A$23:$A$26)+LOOKUP(N122,$E$23:$E$26,$D$23:$D$26)*(N122-LOOKUP(N122,$E$23:$E$26))/LOOKUP(N122,$E$23:$E$26,$C$23:$C$26)</f>
        <v>4.17386898976199</v>
      </c>
      <c r="AE122" s="16" t="n">
        <f aca="false">LOOKUP(O122,$E$23:$E$26,$A$23:$A$26)+LOOKUP(O122,$E$23:$E$26,$D$23:$D$26)*(O122-LOOKUP(O122,$E$23:$E$26))/LOOKUP(O122,$E$23:$E$26,$C$23:$C$26)</f>
        <v>4.50380094772103</v>
      </c>
      <c r="AF122" s="16" t="n">
        <f aca="false">LOOKUP(P122,$E$23:$E$26,$A$23:$A$26)+LOOKUP(P122,$E$23:$E$26,$D$23:$D$26)*(P122-LOOKUP(P122,$E$23:$E$26))/LOOKUP(P122,$E$23:$E$26,$C$23:$C$26)</f>
        <v>4.22655995986967</v>
      </c>
      <c r="AG122" s="16" t="n">
        <f aca="false">LOOKUP(Q122,$E$23:$E$26,$A$23:$A$26)+LOOKUP(Q122,$E$23:$E$26,$D$23:$D$26)*(Q122-LOOKUP(Q122,$E$23:$E$26))/LOOKUP(Q122,$E$23:$E$26,$C$23:$C$26)</f>
        <v>4.63236370649433</v>
      </c>
      <c r="AH122" s="16" t="n">
        <f aca="false">LOOKUP(R122,$E$23:$E$26,$A$23:$A$26)+LOOKUP(R122,$E$23:$E$26,$D$23:$D$26)*(R122-LOOKUP(R122,$E$23:$E$26))/LOOKUP(R122,$E$23:$E$26,$C$23:$C$26)</f>
        <v>5.52170501442464</v>
      </c>
      <c r="AI122" s="16" t="n">
        <f aca="false">LOOKUP(S122,$E$23:$E$26,$A$23:$A$26)+LOOKUP(S122,$E$23:$E$26,$D$23:$D$26)*(S122-LOOKUP(S122,$E$23:$E$26))/LOOKUP(S122,$E$23:$E$26,$C$23:$C$26)</f>
        <v>4.75227736112361</v>
      </c>
      <c r="AJ122" s="16" t="n">
        <f aca="false">SUM($T122:T122)</f>
        <v>4.40387235657956</v>
      </c>
      <c r="AK122" s="16" t="n">
        <f aca="false">SUM($T122:U122)</f>
        <v>9.28663810060126</v>
      </c>
      <c r="AL122" s="16" t="n">
        <f aca="false">SUM($T122:V122)</f>
        <v>14.4775582844414</v>
      </c>
      <c r="AM122" s="16" t="n">
        <f aca="false">SUM($T122:W122)</f>
        <v>19.3276826485897</v>
      </c>
      <c r="AN122" s="16" t="n">
        <f aca="false">SUM($T122:X122)</f>
        <v>24.3155175011005</v>
      </c>
      <c r="AO122" s="16" t="n">
        <f aca="false">SUM($T122:Y122)</f>
        <v>28.9196268333996</v>
      </c>
      <c r="AP122" s="16" t="n">
        <f aca="false">SUM($T122:Z122)</f>
        <v>33.2480430071871</v>
      </c>
      <c r="AQ122" s="16" t="n">
        <f aca="false">SUM($T122:AA122)</f>
        <v>37.5374269211523</v>
      </c>
      <c r="AR122" s="16" t="n">
        <f aca="false">SUM($T122:AB122)</f>
        <v>42.1607002591801</v>
      </c>
      <c r="AS122" s="16" t="n">
        <f aca="false">SUM($T122:AC122)</f>
        <v>46.602271469521</v>
      </c>
      <c r="AT122" s="16" t="n">
        <f aca="false">SUM($T122:AD122)</f>
        <v>50.7761404592829</v>
      </c>
      <c r="AU122" s="16" t="n">
        <f aca="false">SUM($T122:AE122)</f>
        <v>55.279941407004</v>
      </c>
      <c r="AV122" s="16" t="n">
        <f aca="false">SUM($T122:AF122)</f>
        <v>59.5065013668736</v>
      </c>
      <c r="AW122" s="16" t="n">
        <f aca="false">SUM($T122:AG122)</f>
        <v>64.138865073368</v>
      </c>
      <c r="AX122" s="16" t="n">
        <f aca="false">SUM($T122:AH122)</f>
        <v>69.6605700877926</v>
      </c>
      <c r="AY122" s="16" t="n">
        <f aca="false">SUM($T122:AI122)</f>
        <v>74.4128474489162</v>
      </c>
      <c r="AZ122" s="16" t="n">
        <f aca="false">MAX(C122-AJ122,0)</f>
        <v>62.0221380544328</v>
      </c>
      <c r="BA122" s="16" t="n">
        <f aca="false">MAX(C122-AK122,0)</f>
        <v>57.1393723104111</v>
      </c>
      <c r="BB122" s="16" t="n">
        <f aca="false">MAX(C122-AL122,0)</f>
        <v>51.9484521265709</v>
      </c>
      <c r="BC122" s="16" t="n">
        <f aca="false">MAX(C122-AM122,0)</f>
        <v>47.0983277624227</v>
      </c>
      <c r="BD122" s="16" t="n">
        <f aca="false">MAX(C122-AN122,0)</f>
        <v>42.1104929099118</v>
      </c>
      <c r="BE122" s="16" t="n">
        <f aca="false">MAX(C122-AO122,0)</f>
        <v>37.5063835776128</v>
      </c>
      <c r="BF122" s="16" t="n">
        <f aca="false">MAX(C122-AP122,0)</f>
        <v>33.1779674038252</v>
      </c>
      <c r="BG122" s="16" t="n">
        <f aca="false">MAX(C122-AQ122,0)</f>
        <v>28.88858348986</v>
      </c>
      <c r="BH122" s="16" t="n">
        <f aca="false">MAX(C122-AR122,0)</f>
        <v>24.2653101518322</v>
      </c>
      <c r="BI122" s="16" t="n">
        <f aca="false">MAX(C122-AS122,0)</f>
        <v>19.8237389414914</v>
      </c>
      <c r="BJ122" s="16" t="n">
        <f aca="false">MAX(C122-AT122,0)</f>
        <v>15.6498699517294</v>
      </c>
      <c r="BK122" s="16" t="n">
        <f aca="false">MAX(C122-AU122,0)</f>
        <v>11.1460690040083</v>
      </c>
      <c r="BL122" s="16" t="n">
        <f aca="false">MAX(C122-AV122,0)</f>
        <v>6.91950904413867</v>
      </c>
      <c r="BM122" s="16" t="n">
        <f aca="false">MAX(C122-AW122,0)</f>
        <v>2.28714533764433</v>
      </c>
      <c r="BN122" s="16" t="n">
        <f aca="false">MAX(C122-AX122,0)</f>
        <v>0</v>
      </c>
      <c r="BO122" s="16" t="n">
        <f aca="false">MAX(C122-AY122,0)</f>
        <v>0</v>
      </c>
    </row>
    <row r="123" customFormat="false" ht="15" hidden="false" customHeight="false" outlineLevel="0" collapsed="false">
      <c r="A123" s="3" t="n">
        <v>93</v>
      </c>
      <c r="B123" s="15" t="n">
        <f aca="true">RAND()</f>
        <v>0.854159720381582</v>
      </c>
      <c r="C123" s="16" t="n">
        <f aca="false">LOOKUP(B123,$E$12:$E$17,$A$12:$A$17)+LOOKUP(B123,$E$12:$E$17,$D$12:$D$17)*(B123-LOOKUP(B123,$E$12:$E$17))/LOOKUP(B123,$E$12:$E$17,$C$12:$C$17)</f>
        <v>69.345138862594</v>
      </c>
      <c r="D123" s="15" t="n">
        <f aca="true">RAND()</f>
        <v>0.859233307306567</v>
      </c>
      <c r="E123" s="15" t="n">
        <f aca="true">RAND()</f>
        <v>0.929000523104699</v>
      </c>
      <c r="F123" s="15" t="n">
        <f aca="true">RAND()</f>
        <v>8.73374687413953E-005</v>
      </c>
      <c r="G123" s="15" t="n">
        <f aca="true">RAND()</f>
        <v>0.613700463695298</v>
      </c>
      <c r="H123" s="15" t="n">
        <f aca="true">RAND()</f>
        <v>0.931068815675106</v>
      </c>
      <c r="I123" s="15" t="n">
        <f aca="true">RAND()</f>
        <v>0.190676692393846</v>
      </c>
      <c r="J123" s="15" t="n">
        <f aca="true">RAND()</f>
        <v>0.485527675622024</v>
      </c>
      <c r="K123" s="15" t="n">
        <f aca="true">RAND()</f>
        <v>0.95869692271314</v>
      </c>
      <c r="L123" s="15" t="n">
        <f aca="true">RAND()</f>
        <v>0.950321471107942</v>
      </c>
      <c r="M123" s="15" t="n">
        <f aca="true">RAND()</f>
        <v>0.814001033461273</v>
      </c>
      <c r="N123" s="15" t="n">
        <f aca="true">RAND()</f>
        <v>0.661215577632591</v>
      </c>
      <c r="O123" s="15" t="n">
        <f aca="true">RAND()</f>
        <v>0.444376745972528</v>
      </c>
      <c r="P123" s="15" t="n">
        <f aca="true">RAND()</f>
        <v>0.423874542194432</v>
      </c>
      <c r="Q123" s="15" t="n">
        <f aca="true">RAND()</f>
        <v>0.090630089809936</v>
      </c>
      <c r="R123" s="15" t="n">
        <f aca="true">RAND()</f>
        <v>0.00154790462485886</v>
      </c>
      <c r="S123" s="15" t="n">
        <f aca="true">RAND()</f>
        <v>0.512507490407071</v>
      </c>
      <c r="T123" s="16" t="n">
        <f aca="false">LOOKUP(D123,$E$23:$E$26,$A$23:$A$26)+LOOKUP(D123,$E$23:$E$26,$D$23:$D$26)*(D123-LOOKUP(D123,$E$23:$E$26))/LOOKUP(D123,$E$23:$E$26,$C$23:$C$26)</f>
        <v>5.39808326826642</v>
      </c>
      <c r="U123" s="16" t="n">
        <f aca="false">LOOKUP(E123,$E$23:$E$26,$A$23:$A$26)+LOOKUP(E123,$E$23:$E$26,$D$23:$D$26)*(E123-LOOKUP(E123,$E$23:$E$26))/LOOKUP(E123,$E$23:$E$26,$C$23:$C$26)</f>
        <v>5.64500261552349</v>
      </c>
      <c r="V123" s="16" t="n">
        <f aca="false">LOOKUP(F123,$E$23:$E$26,$A$23:$A$26)+LOOKUP(F123,$E$23:$E$26,$D$23:$D$26)*(F123-LOOKUP(F123,$E$23:$E$26))/LOOKUP(F123,$E$23:$E$26,$C$23:$C$26)</f>
        <v>4.0001455624479</v>
      </c>
      <c r="W123" s="16" t="n">
        <f aca="false">LOOKUP(G123,$E$23:$E$26,$A$23:$A$26)+LOOKUP(G123,$E$23:$E$26,$D$23:$D$26)*(G123-LOOKUP(G123,$E$23:$E$26))/LOOKUP(G123,$E$23:$E$26,$C$23:$C$26)</f>
        <v>4.89212557961912</v>
      </c>
      <c r="X123" s="16" t="n">
        <f aca="false">LOOKUP(H123,$E$23:$E$26,$A$23:$A$26)+LOOKUP(H123,$E$23:$E$26,$D$23:$D$26)*(H123-LOOKUP(H123,$E$23:$E$26))/LOOKUP(H123,$E$23:$E$26,$C$23:$C$26)</f>
        <v>5.65534407837553</v>
      </c>
      <c r="Y123" s="16" t="n">
        <f aca="false">LOOKUP(I123,$E$23:$E$26,$A$23:$A$26)+LOOKUP(I123,$E$23:$E$26,$D$23:$D$26)*(I123-LOOKUP(I123,$E$23:$E$26))/LOOKUP(I123,$E$23:$E$26,$C$23:$C$26)</f>
        <v>4.31779448732308</v>
      </c>
      <c r="Z123" s="16" t="n">
        <f aca="false">LOOKUP(J123,$E$23:$E$26,$A$23:$A$26)+LOOKUP(J123,$E$23:$E$26,$D$23:$D$26)*(J123-LOOKUP(J123,$E$23:$E$26))/LOOKUP(J123,$E$23:$E$26,$C$23:$C$26)</f>
        <v>4.73190959452753</v>
      </c>
      <c r="AA123" s="16" t="n">
        <f aca="false">LOOKUP(K123,$E$23:$E$26,$A$23:$A$26)+LOOKUP(K123,$E$23:$E$26,$D$23:$D$26)*(K123-LOOKUP(K123,$E$23:$E$26))/LOOKUP(K123,$E$23:$E$26,$C$23:$C$26)</f>
        <v>5.7934846135657</v>
      </c>
      <c r="AB123" s="16" t="n">
        <f aca="false">LOOKUP(L123,$E$23:$E$26,$A$23:$A$26)+LOOKUP(L123,$E$23:$E$26,$D$23:$D$26)*(L123-LOOKUP(L123,$E$23:$E$26))/LOOKUP(L123,$E$23:$E$26,$C$23:$C$26)</f>
        <v>5.75160735553971</v>
      </c>
      <c r="AC123" s="16" t="n">
        <f aca="false">LOOKUP(M123,$E$23:$E$26,$A$23:$A$26)+LOOKUP(M123,$E$23:$E$26,$D$23:$D$26)*(M123-LOOKUP(M123,$E$23:$E$26))/LOOKUP(M123,$E$23:$E$26,$C$23:$C$26)</f>
        <v>5.28500258365318</v>
      </c>
      <c r="AD123" s="16" t="n">
        <f aca="false">LOOKUP(N123,$E$23:$E$26,$A$23:$A$26)+LOOKUP(N123,$E$23:$E$26,$D$23:$D$26)*(N123-LOOKUP(N123,$E$23:$E$26))/LOOKUP(N123,$E$23:$E$26,$C$23:$C$26)</f>
        <v>4.95151947204074</v>
      </c>
      <c r="AE123" s="16" t="n">
        <f aca="false">LOOKUP(O123,$E$23:$E$26,$A$23:$A$26)+LOOKUP(O123,$E$23:$E$26,$D$23:$D$26)*(O123-LOOKUP(O123,$E$23:$E$26))/LOOKUP(O123,$E$23:$E$26,$C$23:$C$26)</f>
        <v>4.68047093246566</v>
      </c>
      <c r="AF123" s="16" t="n">
        <f aca="false">LOOKUP(P123,$E$23:$E$26,$A$23:$A$26)+LOOKUP(P123,$E$23:$E$26,$D$23:$D$26)*(P123-LOOKUP(P123,$E$23:$E$26))/LOOKUP(P123,$E$23:$E$26,$C$23:$C$26)</f>
        <v>4.65484317774304</v>
      </c>
      <c r="AG123" s="16" t="n">
        <f aca="false">LOOKUP(Q123,$E$23:$E$26,$A$23:$A$26)+LOOKUP(Q123,$E$23:$E$26,$D$23:$D$26)*(Q123-LOOKUP(Q123,$E$23:$E$26))/LOOKUP(Q123,$E$23:$E$26,$C$23:$C$26)</f>
        <v>4.15105014968323</v>
      </c>
      <c r="AH123" s="16" t="n">
        <f aca="false">LOOKUP(R123,$E$23:$E$26,$A$23:$A$26)+LOOKUP(R123,$E$23:$E$26,$D$23:$D$26)*(R123-LOOKUP(R123,$E$23:$E$26))/LOOKUP(R123,$E$23:$E$26,$C$23:$C$26)</f>
        <v>4.00257984104143</v>
      </c>
      <c r="AI123" s="16" t="n">
        <f aca="false">LOOKUP(S123,$E$23:$E$26,$A$23:$A$26)+LOOKUP(S123,$E$23:$E$26,$D$23:$D$26)*(S123-LOOKUP(S123,$E$23:$E$26))/LOOKUP(S123,$E$23:$E$26,$C$23:$C$26)</f>
        <v>4.76563436300884</v>
      </c>
      <c r="AJ123" s="16" t="n">
        <f aca="false">SUM($T123:T123)</f>
        <v>5.39808326826642</v>
      </c>
      <c r="AK123" s="16" t="n">
        <f aca="false">SUM($T123:U123)</f>
        <v>11.0430858837899</v>
      </c>
      <c r="AL123" s="16" t="n">
        <f aca="false">SUM($T123:V123)</f>
        <v>15.0432314462378</v>
      </c>
      <c r="AM123" s="16" t="n">
        <f aca="false">SUM($T123:W123)</f>
        <v>19.9353570258569</v>
      </c>
      <c r="AN123" s="16" t="n">
        <f aca="false">SUM($T123:X123)</f>
        <v>25.5907011042325</v>
      </c>
      <c r="AO123" s="16" t="n">
        <f aca="false">SUM($T123:Y123)</f>
        <v>29.9084955915555</v>
      </c>
      <c r="AP123" s="16" t="n">
        <f aca="false">SUM($T123:Z123)</f>
        <v>34.6404051860831</v>
      </c>
      <c r="AQ123" s="16" t="n">
        <f aca="false">SUM($T123:AA123)</f>
        <v>40.4338897996488</v>
      </c>
      <c r="AR123" s="16" t="n">
        <f aca="false">SUM($T123:AB123)</f>
        <v>46.1854971551885</v>
      </c>
      <c r="AS123" s="16" t="n">
        <f aca="false">SUM($T123:AC123)</f>
        <v>51.4704997388417</v>
      </c>
      <c r="AT123" s="16" t="n">
        <f aca="false">SUM($T123:AD123)</f>
        <v>56.4220192108824</v>
      </c>
      <c r="AU123" s="16" t="n">
        <f aca="false">SUM($T123:AE123)</f>
        <v>61.1024901433481</v>
      </c>
      <c r="AV123" s="16" t="n">
        <f aca="false">SUM($T123:AF123)</f>
        <v>65.7573333210911</v>
      </c>
      <c r="AW123" s="16" t="n">
        <f aca="false">SUM($T123:AG123)</f>
        <v>69.9083834707743</v>
      </c>
      <c r="AX123" s="16" t="n">
        <f aca="false">SUM($T123:AH123)</f>
        <v>73.9109633118158</v>
      </c>
      <c r="AY123" s="16" t="n">
        <f aca="false">SUM($T123:AI123)</f>
        <v>78.6765976748246</v>
      </c>
      <c r="AZ123" s="16" t="n">
        <f aca="false">MAX(C123-AJ123,0)</f>
        <v>63.9470555943276</v>
      </c>
      <c r="BA123" s="16" t="n">
        <f aca="false">MAX(C123-AK123,0)</f>
        <v>58.3020529788041</v>
      </c>
      <c r="BB123" s="16" t="n">
        <f aca="false">MAX(C123-AL123,0)</f>
        <v>54.3019074163562</v>
      </c>
      <c r="BC123" s="16" t="n">
        <f aca="false">MAX(C123-AM123,0)</f>
        <v>49.4097818367371</v>
      </c>
      <c r="BD123" s="16" t="n">
        <f aca="false">MAX(C123-AN123,0)</f>
        <v>43.7544377583616</v>
      </c>
      <c r="BE123" s="16" t="n">
        <f aca="false">MAX(C123-AO123,0)</f>
        <v>39.4366432710385</v>
      </c>
      <c r="BF123" s="16" t="n">
        <f aca="false">MAX(C123-AP123,0)</f>
        <v>34.704733676511</v>
      </c>
      <c r="BG123" s="16" t="n">
        <f aca="false">MAX(C123-AQ123,0)</f>
        <v>28.9112490629453</v>
      </c>
      <c r="BH123" s="16" t="n">
        <f aca="false">MAX(C123-AR123,0)</f>
        <v>23.1596417074055</v>
      </c>
      <c r="BI123" s="16" t="n">
        <f aca="false">MAX(C123-AS123,0)</f>
        <v>17.8746391237524</v>
      </c>
      <c r="BJ123" s="16" t="n">
        <f aca="false">MAX(C123-AT123,0)</f>
        <v>12.9231196517116</v>
      </c>
      <c r="BK123" s="16" t="n">
        <f aca="false">MAX(C123-AU123,0)</f>
        <v>8.24264871924596</v>
      </c>
      <c r="BL123" s="16" t="n">
        <f aca="false">MAX(C123-AV123,0)</f>
        <v>3.58780554150293</v>
      </c>
      <c r="BM123" s="16" t="n">
        <f aca="false">MAX(C123-AW123,0)</f>
        <v>0</v>
      </c>
      <c r="BN123" s="16" t="n">
        <f aca="false">MAX(C123-AX123,0)</f>
        <v>0</v>
      </c>
      <c r="BO123" s="16" t="n">
        <f aca="false">MAX(C123-AY123,0)</f>
        <v>0</v>
      </c>
    </row>
    <row r="124" customFormat="false" ht="15" hidden="false" customHeight="false" outlineLevel="0" collapsed="false">
      <c r="A124" s="3" t="n">
        <v>94</v>
      </c>
      <c r="B124" s="15" t="n">
        <f aca="true">RAND()</f>
        <v>0.872446613996402</v>
      </c>
      <c r="C124" s="16" t="n">
        <f aca="false">LOOKUP(B124,$E$12:$E$17,$A$12:$A$17)+LOOKUP(B124,$E$12:$E$17,$D$12:$D$17)*(B124-LOOKUP(B124,$E$12:$E$17))/LOOKUP(B124,$E$12:$E$17,$C$12:$C$17)</f>
        <v>69.6063801999486</v>
      </c>
      <c r="D124" s="15" t="n">
        <f aca="true">RAND()</f>
        <v>0.0314085392489296</v>
      </c>
      <c r="E124" s="15" t="n">
        <f aca="true">RAND()</f>
        <v>0.99336340116091</v>
      </c>
      <c r="F124" s="15" t="n">
        <f aca="true">RAND()</f>
        <v>0.128448131072584</v>
      </c>
      <c r="G124" s="15" t="n">
        <f aca="true">RAND()</f>
        <v>0.45298508912701</v>
      </c>
      <c r="H124" s="15" t="n">
        <f aca="true">RAND()</f>
        <v>0.448127548100867</v>
      </c>
      <c r="I124" s="15" t="n">
        <f aca="true">RAND()</f>
        <v>0.612810009530826</v>
      </c>
      <c r="J124" s="15" t="n">
        <f aca="true">RAND()</f>
        <v>0.626824184623137</v>
      </c>
      <c r="K124" s="15" t="n">
        <f aca="true">RAND()</f>
        <v>0.140776382545991</v>
      </c>
      <c r="L124" s="15" t="n">
        <f aca="true">RAND()</f>
        <v>0.801673100923565</v>
      </c>
      <c r="M124" s="15" t="n">
        <f aca="true">RAND()</f>
        <v>0.918305255308348</v>
      </c>
      <c r="N124" s="15" t="n">
        <f aca="true">RAND()</f>
        <v>0.0269151249544584</v>
      </c>
      <c r="O124" s="15" t="n">
        <f aca="true">RAND()</f>
        <v>0.865993053889452</v>
      </c>
      <c r="P124" s="15" t="n">
        <f aca="true">RAND()</f>
        <v>0.334619991677155</v>
      </c>
      <c r="Q124" s="15" t="n">
        <f aca="true">RAND()</f>
        <v>0.960813409542334</v>
      </c>
      <c r="R124" s="15" t="n">
        <f aca="true">RAND()</f>
        <v>0.739897996814057</v>
      </c>
      <c r="S124" s="15" t="n">
        <f aca="true">RAND()</f>
        <v>0.0884053064599221</v>
      </c>
      <c r="T124" s="16" t="n">
        <f aca="false">LOOKUP(D124,$E$23:$E$26,$A$23:$A$26)+LOOKUP(D124,$E$23:$E$26,$D$23:$D$26)*(D124-LOOKUP(D124,$E$23:$E$26))/LOOKUP(D124,$E$23:$E$26,$C$23:$C$26)</f>
        <v>4.05234756541488</v>
      </c>
      <c r="U124" s="16" t="n">
        <f aca="false">LOOKUP(E124,$E$23:$E$26,$A$23:$A$26)+LOOKUP(E124,$E$23:$E$26,$D$23:$D$26)*(E124-LOOKUP(E124,$E$23:$E$26))/LOOKUP(E124,$E$23:$E$26,$C$23:$C$26)</f>
        <v>5.96681700580455</v>
      </c>
      <c r="V124" s="16" t="n">
        <f aca="false">LOOKUP(F124,$E$23:$E$26,$A$23:$A$26)+LOOKUP(F124,$E$23:$E$26,$D$23:$D$26)*(F124-LOOKUP(F124,$E$23:$E$26))/LOOKUP(F124,$E$23:$E$26,$C$23:$C$26)</f>
        <v>4.21408021845431</v>
      </c>
      <c r="W124" s="16" t="n">
        <f aca="false">LOOKUP(G124,$E$23:$E$26,$A$23:$A$26)+LOOKUP(G124,$E$23:$E$26,$D$23:$D$26)*(G124-LOOKUP(G124,$E$23:$E$26))/LOOKUP(G124,$E$23:$E$26,$C$23:$C$26)</f>
        <v>4.69123136140876</v>
      </c>
      <c r="X124" s="16" t="n">
        <f aca="false">LOOKUP(H124,$E$23:$E$26,$A$23:$A$26)+LOOKUP(H124,$E$23:$E$26,$D$23:$D$26)*(H124-LOOKUP(H124,$E$23:$E$26))/LOOKUP(H124,$E$23:$E$26,$C$23:$C$26)</f>
        <v>4.68515943512608</v>
      </c>
      <c r="Y124" s="16" t="n">
        <f aca="false">LOOKUP(I124,$E$23:$E$26,$A$23:$A$26)+LOOKUP(I124,$E$23:$E$26,$D$23:$D$26)*(I124-LOOKUP(I124,$E$23:$E$26))/LOOKUP(I124,$E$23:$E$26,$C$23:$C$26)</f>
        <v>4.89101251191353</v>
      </c>
      <c r="Z124" s="16" t="n">
        <f aca="false">LOOKUP(J124,$E$23:$E$26,$A$23:$A$26)+LOOKUP(J124,$E$23:$E$26,$D$23:$D$26)*(J124-LOOKUP(J124,$E$23:$E$26))/LOOKUP(J124,$E$23:$E$26,$C$23:$C$26)</f>
        <v>4.90853023077892</v>
      </c>
      <c r="AA124" s="16" t="n">
        <f aca="false">LOOKUP(K124,$E$23:$E$26,$A$23:$A$26)+LOOKUP(K124,$E$23:$E$26,$D$23:$D$26)*(K124-LOOKUP(K124,$E$23:$E$26))/LOOKUP(K124,$E$23:$E$26,$C$23:$C$26)</f>
        <v>4.23462730424332</v>
      </c>
      <c r="AB124" s="16" t="n">
        <f aca="false">LOOKUP(L124,$E$23:$E$26,$A$23:$A$26)+LOOKUP(L124,$E$23:$E$26,$D$23:$D$26)*(L124-LOOKUP(L124,$E$23:$E$26))/LOOKUP(L124,$E$23:$E$26,$C$23:$C$26)</f>
        <v>5.25418275230891</v>
      </c>
      <c r="AC124" s="16" t="n">
        <f aca="false">LOOKUP(M124,$E$23:$E$26,$A$23:$A$26)+LOOKUP(M124,$E$23:$E$26,$D$23:$D$26)*(M124-LOOKUP(M124,$E$23:$E$26))/LOOKUP(M124,$E$23:$E$26,$C$23:$C$26)</f>
        <v>5.59152627654174</v>
      </c>
      <c r="AD124" s="16" t="n">
        <f aca="false">LOOKUP(N124,$E$23:$E$26,$A$23:$A$26)+LOOKUP(N124,$E$23:$E$26,$D$23:$D$26)*(N124-LOOKUP(N124,$E$23:$E$26))/LOOKUP(N124,$E$23:$E$26,$C$23:$C$26)</f>
        <v>4.04485854159076</v>
      </c>
      <c r="AE124" s="16" t="n">
        <f aca="false">LOOKUP(O124,$E$23:$E$26,$A$23:$A$26)+LOOKUP(O124,$E$23:$E$26,$D$23:$D$26)*(O124-LOOKUP(O124,$E$23:$E$26))/LOOKUP(O124,$E$23:$E$26,$C$23:$C$26)</f>
        <v>5.41498263472363</v>
      </c>
      <c r="AF124" s="16" t="n">
        <f aca="false">LOOKUP(P124,$E$23:$E$26,$A$23:$A$26)+LOOKUP(P124,$E$23:$E$26,$D$23:$D$26)*(P124-LOOKUP(P124,$E$23:$E$26))/LOOKUP(P124,$E$23:$E$26,$C$23:$C$26)</f>
        <v>4.54327498959644</v>
      </c>
      <c r="AG124" s="16" t="n">
        <f aca="false">LOOKUP(Q124,$E$23:$E$26,$A$23:$A$26)+LOOKUP(Q124,$E$23:$E$26,$D$23:$D$26)*(Q124-LOOKUP(Q124,$E$23:$E$26))/LOOKUP(Q124,$E$23:$E$26,$C$23:$C$26)</f>
        <v>5.80406704771167</v>
      </c>
      <c r="AH124" s="16" t="n">
        <f aca="false">LOOKUP(R124,$E$23:$E$26,$A$23:$A$26)+LOOKUP(R124,$E$23:$E$26,$D$23:$D$26)*(R124-LOOKUP(R124,$E$23:$E$26))/LOOKUP(R124,$E$23:$E$26,$C$23:$C$26)</f>
        <v>5.09974499203514</v>
      </c>
      <c r="AI124" s="16" t="n">
        <f aca="false">LOOKUP(S124,$E$23:$E$26,$A$23:$A$26)+LOOKUP(S124,$E$23:$E$26,$D$23:$D$26)*(S124-LOOKUP(S124,$E$23:$E$26))/LOOKUP(S124,$E$23:$E$26,$C$23:$C$26)</f>
        <v>4.1473421774332</v>
      </c>
      <c r="AJ124" s="16" t="n">
        <f aca="false">SUM($T124:T124)</f>
        <v>4.05234756541488</v>
      </c>
      <c r="AK124" s="16" t="n">
        <f aca="false">SUM($T124:U124)</f>
        <v>10.0191645712194</v>
      </c>
      <c r="AL124" s="16" t="n">
        <f aca="false">SUM($T124:V124)</f>
        <v>14.2332447896737</v>
      </c>
      <c r="AM124" s="16" t="n">
        <f aca="false">SUM($T124:W124)</f>
        <v>18.9244761510825</v>
      </c>
      <c r="AN124" s="16" t="n">
        <f aca="false">SUM($T124:X124)</f>
        <v>23.6096355862086</v>
      </c>
      <c r="AO124" s="16" t="n">
        <f aca="false">SUM($T124:Y124)</f>
        <v>28.5006480981221</v>
      </c>
      <c r="AP124" s="16" t="n">
        <f aca="false">SUM($T124:Z124)</f>
        <v>33.409178328901</v>
      </c>
      <c r="AQ124" s="16" t="n">
        <f aca="false">SUM($T124:AA124)</f>
        <v>37.6438056331444</v>
      </c>
      <c r="AR124" s="16" t="n">
        <f aca="false">SUM($T124:AB124)</f>
        <v>42.8979883854533</v>
      </c>
      <c r="AS124" s="16" t="n">
        <f aca="false">SUM($T124:AC124)</f>
        <v>48.489514661995</v>
      </c>
      <c r="AT124" s="16" t="n">
        <f aca="false">SUM($T124:AD124)</f>
        <v>52.5343732035858</v>
      </c>
      <c r="AU124" s="16" t="n">
        <f aca="false">SUM($T124:AE124)</f>
        <v>57.9493558383094</v>
      </c>
      <c r="AV124" s="16" t="n">
        <f aca="false">SUM($T124:AF124)</f>
        <v>62.4926308279058</v>
      </c>
      <c r="AW124" s="16" t="n">
        <f aca="false">SUM($T124:AG124)</f>
        <v>68.2966978756175</v>
      </c>
      <c r="AX124" s="16" t="n">
        <f aca="false">SUM($T124:AH124)</f>
        <v>73.3964428676527</v>
      </c>
      <c r="AY124" s="16" t="n">
        <f aca="false">SUM($T124:AI124)</f>
        <v>77.5437850450859</v>
      </c>
      <c r="AZ124" s="16" t="n">
        <f aca="false">MAX(C124-AJ124,0)</f>
        <v>65.5540326345337</v>
      </c>
      <c r="BA124" s="16" t="n">
        <f aca="false">MAX(C124-AK124,0)</f>
        <v>59.5872156287292</v>
      </c>
      <c r="BB124" s="16" t="n">
        <f aca="false">MAX(C124-AL124,0)</f>
        <v>55.3731354102749</v>
      </c>
      <c r="BC124" s="16" t="n">
        <f aca="false">MAX(C124-AM124,0)</f>
        <v>50.6819040488661</v>
      </c>
      <c r="BD124" s="16" t="n">
        <f aca="false">MAX(C124-AN124,0)</f>
        <v>45.99674461374</v>
      </c>
      <c r="BE124" s="16" t="n">
        <f aca="false">MAX(C124-AO124,0)</f>
        <v>41.1057321018265</v>
      </c>
      <c r="BF124" s="16" t="n">
        <f aca="false">MAX(C124-AP124,0)</f>
        <v>36.1972018710476</v>
      </c>
      <c r="BG124" s="16" t="n">
        <f aca="false">MAX(C124-AQ124,0)</f>
        <v>31.9625745668043</v>
      </c>
      <c r="BH124" s="16" t="n">
        <f aca="false">MAX(C124-AR124,0)</f>
        <v>26.7083918144953</v>
      </c>
      <c r="BI124" s="16" t="n">
        <f aca="false">MAX(C124-AS124,0)</f>
        <v>21.1168655379536</v>
      </c>
      <c r="BJ124" s="16" t="n">
        <f aca="false">MAX(C124-AT124,0)</f>
        <v>17.0720069963628</v>
      </c>
      <c r="BK124" s="16" t="n">
        <f aca="false">MAX(C124-AU124,0)</f>
        <v>11.6570243616392</v>
      </c>
      <c r="BL124" s="16" t="n">
        <f aca="false">MAX(C124-AV124,0)</f>
        <v>7.11374937204276</v>
      </c>
      <c r="BM124" s="16" t="n">
        <f aca="false">MAX(C124-AW124,0)</f>
        <v>1.30968232433108</v>
      </c>
      <c r="BN124" s="16" t="n">
        <f aca="false">MAX(C124-AX124,0)</f>
        <v>0</v>
      </c>
      <c r="BO124" s="16" t="n">
        <f aca="false">MAX(C124-AY124,0)</f>
        <v>0</v>
      </c>
    </row>
    <row r="125" customFormat="false" ht="15" hidden="false" customHeight="false" outlineLevel="0" collapsed="false">
      <c r="A125" s="3" t="n">
        <v>95</v>
      </c>
      <c r="B125" s="15" t="n">
        <f aca="true">RAND()</f>
        <v>0.596443457981361</v>
      </c>
      <c r="C125" s="16" t="n">
        <f aca="false">LOOKUP(B125,$E$12:$E$17,$A$12:$A$17)+LOOKUP(B125,$E$12:$E$17,$D$12:$D$17)*(B125-LOOKUP(B125,$E$12:$E$17))/LOOKUP(B125,$E$12:$E$17,$C$12:$C$17)</f>
        <v>65.6634779711623</v>
      </c>
      <c r="D125" s="15" t="n">
        <f aca="true">RAND()</f>
        <v>0.559063570730314</v>
      </c>
      <c r="E125" s="15" t="n">
        <f aca="true">RAND()</f>
        <v>0.209336967554222</v>
      </c>
      <c r="F125" s="15" t="n">
        <f aca="true">RAND()</f>
        <v>0.572385220663246</v>
      </c>
      <c r="G125" s="15" t="n">
        <f aca="true">RAND()</f>
        <v>0.614851135462902</v>
      </c>
      <c r="H125" s="15" t="n">
        <f aca="true">RAND()</f>
        <v>0.999532066861785</v>
      </c>
      <c r="I125" s="15" t="n">
        <f aca="true">RAND()</f>
        <v>0.0860947363584764</v>
      </c>
      <c r="J125" s="15" t="n">
        <f aca="true">RAND()</f>
        <v>0.908573343438528</v>
      </c>
      <c r="K125" s="15" t="n">
        <f aca="true">RAND()</f>
        <v>0.465655625142672</v>
      </c>
      <c r="L125" s="15" t="n">
        <f aca="true">RAND()</f>
        <v>0.766434920437585</v>
      </c>
      <c r="M125" s="15" t="n">
        <f aca="true">RAND()</f>
        <v>0.260001162657673</v>
      </c>
      <c r="N125" s="15" t="n">
        <f aca="true">RAND()</f>
        <v>0.262232037800492</v>
      </c>
      <c r="O125" s="15" t="n">
        <f aca="true">RAND()</f>
        <v>0.480576878744299</v>
      </c>
      <c r="P125" s="15" t="n">
        <f aca="true">RAND()</f>
        <v>0.545175192239516</v>
      </c>
      <c r="Q125" s="15" t="n">
        <f aca="true">RAND()</f>
        <v>0.753867224395258</v>
      </c>
      <c r="R125" s="15" t="n">
        <f aca="true">RAND()</f>
        <v>0.397311814453561</v>
      </c>
      <c r="S125" s="15" t="n">
        <f aca="true">RAND()</f>
        <v>0.918031332492359</v>
      </c>
      <c r="T125" s="16" t="n">
        <f aca="false">LOOKUP(D125,$E$23:$E$26,$A$23:$A$26)+LOOKUP(D125,$E$23:$E$26,$D$23:$D$26)*(D125-LOOKUP(D125,$E$23:$E$26))/LOOKUP(D125,$E$23:$E$26,$C$23:$C$26)</f>
        <v>4.82382946341289</v>
      </c>
      <c r="U125" s="16" t="n">
        <f aca="false">LOOKUP(E125,$E$23:$E$26,$A$23:$A$26)+LOOKUP(E125,$E$23:$E$26,$D$23:$D$26)*(E125-LOOKUP(E125,$E$23:$E$26))/LOOKUP(E125,$E$23:$E$26,$C$23:$C$26)</f>
        <v>4.3488949459237</v>
      </c>
      <c r="V125" s="16" t="n">
        <f aca="false">LOOKUP(F125,$E$23:$E$26,$A$23:$A$26)+LOOKUP(F125,$E$23:$E$26,$D$23:$D$26)*(F125-LOOKUP(F125,$E$23:$E$26))/LOOKUP(F125,$E$23:$E$26,$C$23:$C$26)</f>
        <v>4.84048152582906</v>
      </c>
      <c r="W125" s="16" t="n">
        <f aca="false">LOOKUP(G125,$E$23:$E$26,$A$23:$A$26)+LOOKUP(G125,$E$23:$E$26,$D$23:$D$26)*(G125-LOOKUP(G125,$E$23:$E$26))/LOOKUP(G125,$E$23:$E$26,$C$23:$C$26)</f>
        <v>4.89356391932863</v>
      </c>
      <c r="X125" s="16" t="n">
        <f aca="false">LOOKUP(H125,$E$23:$E$26,$A$23:$A$26)+LOOKUP(H125,$E$23:$E$26,$D$23:$D$26)*(H125-LOOKUP(H125,$E$23:$E$26))/LOOKUP(H125,$E$23:$E$26,$C$23:$C$26)</f>
        <v>5.99766033430892</v>
      </c>
      <c r="Y125" s="16" t="n">
        <f aca="false">LOOKUP(I125,$E$23:$E$26,$A$23:$A$26)+LOOKUP(I125,$E$23:$E$26,$D$23:$D$26)*(I125-LOOKUP(I125,$E$23:$E$26))/LOOKUP(I125,$E$23:$E$26,$C$23:$C$26)</f>
        <v>4.14349122726413</v>
      </c>
      <c r="Z125" s="16" t="n">
        <f aca="false">LOOKUP(J125,$E$23:$E$26,$A$23:$A$26)+LOOKUP(J125,$E$23:$E$26,$D$23:$D$26)*(J125-LOOKUP(J125,$E$23:$E$26))/LOOKUP(J125,$E$23:$E$26,$C$23:$C$26)</f>
        <v>5.54286671719264</v>
      </c>
      <c r="AA125" s="16" t="n">
        <f aca="false">LOOKUP(K125,$E$23:$E$26,$A$23:$A$26)+LOOKUP(K125,$E$23:$E$26,$D$23:$D$26)*(K125-LOOKUP(K125,$E$23:$E$26))/LOOKUP(K125,$E$23:$E$26,$C$23:$C$26)</f>
        <v>4.70706953142834</v>
      </c>
      <c r="AB125" s="16" t="n">
        <f aca="false">LOOKUP(L125,$E$23:$E$26,$A$23:$A$26)+LOOKUP(L125,$E$23:$E$26,$D$23:$D$26)*(L125-LOOKUP(L125,$E$23:$E$26))/LOOKUP(L125,$E$23:$E$26,$C$23:$C$26)</f>
        <v>5.16608730109396</v>
      </c>
      <c r="AC125" s="16" t="n">
        <f aca="false">LOOKUP(M125,$E$23:$E$26,$A$23:$A$26)+LOOKUP(M125,$E$23:$E$26,$D$23:$D$26)*(M125-LOOKUP(M125,$E$23:$E$26))/LOOKUP(M125,$E$23:$E$26,$C$23:$C$26)</f>
        <v>4.43333527109612</v>
      </c>
      <c r="AD125" s="16" t="n">
        <f aca="false">LOOKUP(N125,$E$23:$E$26,$A$23:$A$26)+LOOKUP(N125,$E$23:$E$26,$D$23:$D$26)*(N125-LOOKUP(N125,$E$23:$E$26))/LOOKUP(N125,$E$23:$E$26,$C$23:$C$26)</f>
        <v>4.43705339633415</v>
      </c>
      <c r="AE125" s="16" t="n">
        <f aca="false">LOOKUP(O125,$E$23:$E$26,$A$23:$A$26)+LOOKUP(O125,$E$23:$E$26,$D$23:$D$26)*(O125-LOOKUP(O125,$E$23:$E$26))/LOOKUP(O125,$E$23:$E$26,$C$23:$C$26)</f>
        <v>4.72572109843037</v>
      </c>
      <c r="AF125" s="16" t="n">
        <f aca="false">LOOKUP(P125,$E$23:$E$26,$A$23:$A$26)+LOOKUP(P125,$E$23:$E$26,$D$23:$D$26)*(P125-LOOKUP(P125,$E$23:$E$26))/LOOKUP(P125,$E$23:$E$26,$C$23:$C$26)</f>
        <v>4.80646899029939</v>
      </c>
      <c r="AG125" s="16" t="n">
        <f aca="false">LOOKUP(Q125,$E$23:$E$26,$A$23:$A$26)+LOOKUP(Q125,$E$23:$E$26,$D$23:$D$26)*(Q125-LOOKUP(Q125,$E$23:$E$26))/LOOKUP(Q125,$E$23:$E$26,$C$23:$C$26)</f>
        <v>5.13466806098814</v>
      </c>
      <c r="AH125" s="16" t="n">
        <f aca="false">LOOKUP(R125,$E$23:$E$26,$A$23:$A$26)+LOOKUP(R125,$E$23:$E$26,$D$23:$D$26)*(R125-LOOKUP(R125,$E$23:$E$26))/LOOKUP(R125,$E$23:$E$26,$C$23:$C$26)</f>
        <v>4.62163976806695</v>
      </c>
      <c r="AI125" s="16" t="n">
        <f aca="false">LOOKUP(S125,$E$23:$E$26,$A$23:$A$26)+LOOKUP(S125,$E$23:$E$26,$D$23:$D$26)*(S125-LOOKUP(S125,$E$23:$E$26))/LOOKUP(S125,$E$23:$E$26,$C$23:$C$26)</f>
        <v>5.59015666246179</v>
      </c>
      <c r="AJ125" s="16" t="n">
        <f aca="false">SUM($T125:T125)</f>
        <v>4.82382946341289</v>
      </c>
      <c r="AK125" s="16" t="n">
        <f aca="false">SUM($T125:U125)</f>
        <v>9.1727244093366</v>
      </c>
      <c r="AL125" s="16" t="n">
        <f aca="false">SUM($T125:V125)</f>
        <v>14.0132059351657</v>
      </c>
      <c r="AM125" s="16" t="n">
        <f aca="false">SUM($T125:W125)</f>
        <v>18.9067698544943</v>
      </c>
      <c r="AN125" s="16" t="n">
        <f aca="false">SUM($T125:X125)</f>
        <v>24.9044301888032</v>
      </c>
      <c r="AO125" s="16" t="n">
        <f aca="false">SUM($T125:Y125)</f>
        <v>29.0479214160673</v>
      </c>
      <c r="AP125" s="16" t="n">
        <f aca="false">SUM($T125:Z125)</f>
        <v>34.59078813326</v>
      </c>
      <c r="AQ125" s="16" t="n">
        <f aca="false">SUM($T125:AA125)</f>
        <v>39.2978576646883</v>
      </c>
      <c r="AR125" s="16" t="n">
        <f aca="false">SUM($T125:AB125)</f>
        <v>44.4639449657823</v>
      </c>
      <c r="AS125" s="16" t="n">
        <f aca="false">SUM($T125:AC125)</f>
        <v>48.8972802368784</v>
      </c>
      <c r="AT125" s="16" t="n">
        <f aca="false">SUM($T125:AD125)</f>
        <v>53.3343336332125</v>
      </c>
      <c r="AU125" s="16" t="n">
        <f aca="false">SUM($T125:AE125)</f>
        <v>58.0600547316429</v>
      </c>
      <c r="AV125" s="16" t="n">
        <f aca="false">SUM($T125:AF125)</f>
        <v>62.8665237219423</v>
      </c>
      <c r="AW125" s="16" t="n">
        <f aca="false">SUM($T125:AG125)</f>
        <v>68.0011917829305</v>
      </c>
      <c r="AX125" s="16" t="n">
        <f aca="false">SUM($T125:AH125)</f>
        <v>72.6228315509974</v>
      </c>
      <c r="AY125" s="16" t="n">
        <f aca="false">SUM($T125:AI125)</f>
        <v>78.2129882134592</v>
      </c>
      <c r="AZ125" s="16" t="n">
        <f aca="false">MAX(C125-AJ125,0)</f>
        <v>60.8396485077494</v>
      </c>
      <c r="BA125" s="16" t="n">
        <f aca="false">MAX(C125-AK125,0)</f>
        <v>56.4907535618257</v>
      </c>
      <c r="BB125" s="16" t="n">
        <f aca="false">MAX(C125-AL125,0)</f>
        <v>51.6502720359966</v>
      </c>
      <c r="BC125" s="16" t="n">
        <f aca="false">MAX(C125-AM125,0)</f>
        <v>46.756708116668</v>
      </c>
      <c r="BD125" s="16" t="n">
        <f aca="false">MAX(C125-AN125,0)</f>
        <v>40.7590477823591</v>
      </c>
      <c r="BE125" s="16" t="n">
        <f aca="false">MAX(C125-AO125,0)</f>
        <v>36.615556555095</v>
      </c>
      <c r="BF125" s="16" t="n">
        <f aca="false">MAX(C125-AP125,0)</f>
        <v>31.0726898379023</v>
      </c>
      <c r="BG125" s="16" t="n">
        <f aca="false">MAX(C125-AQ125,0)</f>
        <v>26.365620306474</v>
      </c>
      <c r="BH125" s="16" t="n">
        <f aca="false">MAX(C125-AR125,0)</f>
        <v>21.19953300538</v>
      </c>
      <c r="BI125" s="16" t="n">
        <f aca="false">MAX(C125-AS125,0)</f>
        <v>16.7661977342839</v>
      </c>
      <c r="BJ125" s="16" t="n">
        <f aca="false">MAX(C125-AT125,0)</f>
        <v>12.3291443379498</v>
      </c>
      <c r="BK125" s="16" t="n">
        <f aca="false">MAX(C125-AU125,0)</f>
        <v>7.60342323951937</v>
      </c>
      <c r="BL125" s="16" t="n">
        <f aca="false">MAX(C125-AV125,0)</f>
        <v>2.79695424921998</v>
      </c>
      <c r="BM125" s="16" t="n">
        <f aca="false">MAX(C125-AW125,0)</f>
        <v>0</v>
      </c>
      <c r="BN125" s="16" t="n">
        <f aca="false">MAX(C125-AX125,0)</f>
        <v>0</v>
      </c>
      <c r="BO125" s="16" t="n">
        <f aca="false">MAX(C125-AY125,0)</f>
        <v>0</v>
      </c>
    </row>
    <row r="126" customFormat="false" ht="15" hidden="false" customHeight="false" outlineLevel="0" collapsed="false">
      <c r="A126" s="3" t="n">
        <v>96</v>
      </c>
      <c r="B126" s="15" t="n">
        <f aca="true">RAND()</f>
        <v>0.850784674716803</v>
      </c>
      <c r="C126" s="16" t="n">
        <f aca="false">LOOKUP(B126,$E$12:$E$17,$A$12:$A$17)+LOOKUP(B126,$E$12:$E$17,$D$12:$D$17)*(B126-LOOKUP(B126,$E$12:$E$17))/LOOKUP(B126,$E$12:$E$17,$C$12:$C$17)</f>
        <v>69.2969239245258</v>
      </c>
      <c r="D126" s="15" t="n">
        <f aca="true">RAND()</f>
        <v>0.0995820630210091</v>
      </c>
      <c r="E126" s="15" t="n">
        <f aca="true">RAND()</f>
        <v>0.211086329609494</v>
      </c>
      <c r="F126" s="15" t="n">
        <f aca="true">RAND()</f>
        <v>0.97595017796708</v>
      </c>
      <c r="G126" s="15" t="n">
        <f aca="true">RAND()</f>
        <v>0.553533762115155</v>
      </c>
      <c r="H126" s="15" t="n">
        <f aca="true">RAND()</f>
        <v>0.62411319735925</v>
      </c>
      <c r="I126" s="15" t="n">
        <f aca="true">RAND()</f>
        <v>0.843818559564313</v>
      </c>
      <c r="J126" s="15" t="n">
        <f aca="true">RAND()</f>
        <v>0.327987119505181</v>
      </c>
      <c r="K126" s="15" t="n">
        <f aca="true">RAND()</f>
        <v>0.302875105898757</v>
      </c>
      <c r="L126" s="15" t="n">
        <f aca="true">RAND()</f>
        <v>0.961615373699733</v>
      </c>
      <c r="M126" s="15" t="n">
        <f aca="true">RAND()</f>
        <v>0.147568776069049</v>
      </c>
      <c r="N126" s="15" t="n">
        <f aca="true">RAND()</f>
        <v>0.209990223449309</v>
      </c>
      <c r="O126" s="15" t="n">
        <f aca="true">RAND()</f>
        <v>0.0648784518286491</v>
      </c>
      <c r="P126" s="15" t="n">
        <f aca="true">RAND()</f>
        <v>0.997409103398461</v>
      </c>
      <c r="Q126" s="15" t="n">
        <f aca="true">RAND()</f>
        <v>0.299319574678525</v>
      </c>
      <c r="R126" s="15" t="n">
        <f aca="true">RAND()</f>
        <v>0.795649110790397</v>
      </c>
      <c r="S126" s="15" t="n">
        <f aca="true">RAND()</f>
        <v>0.59192743816142</v>
      </c>
      <c r="T126" s="16" t="n">
        <f aca="false">LOOKUP(D126,$E$23:$E$26,$A$23:$A$26)+LOOKUP(D126,$E$23:$E$26,$D$23:$D$26)*(D126-LOOKUP(D126,$E$23:$E$26))/LOOKUP(D126,$E$23:$E$26,$C$23:$C$26)</f>
        <v>4.16597010503502</v>
      </c>
      <c r="U126" s="16" t="n">
        <f aca="false">LOOKUP(E126,$E$23:$E$26,$A$23:$A$26)+LOOKUP(E126,$E$23:$E$26,$D$23:$D$26)*(E126-LOOKUP(E126,$E$23:$E$26))/LOOKUP(E126,$E$23:$E$26,$C$23:$C$26)</f>
        <v>4.35181054934916</v>
      </c>
      <c r="V126" s="16" t="n">
        <f aca="false">LOOKUP(F126,$E$23:$E$26,$A$23:$A$26)+LOOKUP(F126,$E$23:$E$26,$D$23:$D$26)*(F126-LOOKUP(F126,$E$23:$E$26))/LOOKUP(F126,$E$23:$E$26,$C$23:$C$26)</f>
        <v>5.8797508898354</v>
      </c>
      <c r="W126" s="16" t="n">
        <f aca="false">LOOKUP(G126,$E$23:$E$26,$A$23:$A$26)+LOOKUP(G126,$E$23:$E$26,$D$23:$D$26)*(G126-LOOKUP(G126,$E$23:$E$26))/LOOKUP(G126,$E$23:$E$26,$C$23:$C$26)</f>
        <v>4.81691720264394</v>
      </c>
      <c r="X126" s="16" t="n">
        <f aca="false">LOOKUP(H126,$E$23:$E$26,$A$23:$A$26)+LOOKUP(H126,$E$23:$E$26,$D$23:$D$26)*(H126-LOOKUP(H126,$E$23:$E$26))/LOOKUP(H126,$E$23:$E$26,$C$23:$C$26)</f>
        <v>4.90514149669906</v>
      </c>
      <c r="Y126" s="16" t="n">
        <f aca="false">LOOKUP(I126,$E$23:$E$26,$A$23:$A$26)+LOOKUP(I126,$E$23:$E$26,$D$23:$D$26)*(I126-LOOKUP(I126,$E$23:$E$26))/LOOKUP(I126,$E$23:$E$26,$C$23:$C$26)</f>
        <v>5.35954639891078</v>
      </c>
      <c r="Z126" s="16" t="n">
        <f aca="false">LOOKUP(J126,$E$23:$E$26,$A$23:$A$26)+LOOKUP(J126,$E$23:$E$26,$D$23:$D$26)*(J126-LOOKUP(J126,$E$23:$E$26))/LOOKUP(J126,$E$23:$E$26,$C$23:$C$26)</f>
        <v>4.53498389938148</v>
      </c>
      <c r="AA126" s="16" t="n">
        <f aca="false">LOOKUP(K126,$E$23:$E$26,$A$23:$A$26)+LOOKUP(K126,$E$23:$E$26,$D$23:$D$26)*(K126-LOOKUP(K126,$E$23:$E$26))/LOOKUP(K126,$E$23:$E$26,$C$23:$C$26)</f>
        <v>4.50359388237345</v>
      </c>
      <c r="AB126" s="16" t="n">
        <f aca="false">LOOKUP(L126,$E$23:$E$26,$A$23:$A$26)+LOOKUP(L126,$E$23:$E$26,$D$23:$D$26)*(L126-LOOKUP(L126,$E$23:$E$26))/LOOKUP(L126,$E$23:$E$26,$C$23:$C$26)</f>
        <v>5.80807686849867</v>
      </c>
      <c r="AC126" s="16" t="n">
        <f aca="false">LOOKUP(M126,$E$23:$E$26,$A$23:$A$26)+LOOKUP(M126,$E$23:$E$26,$D$23:$D$26)*(M126-LOOKUP(M126,$E$23:$E$26))/LOOKUP(M126,$E$23:$E$26,$C$23:$C$26)</f>
        <v>4.24594796011508</v>
      </c>
      <c r="AD126" s="16" t="n">
        <f aca="false">LOOKUP(N126,$E$23:$E$26,$A$23:$A$26)+LOOKUP(N126,$E$23:$E$26,$D$23:$D$26)*(N126-LOOKUP(N126,$E$23:$E$26))/LOOKUP(N126,$E$23:$E$26,$C$23:$C$26)</f>
        <v>4.34998370574885</v>
      </c>
      <c r="AE126" s="16" t="n">
        <f aca="false">LOOKUP(O126,$E$23:$E$26,$A$23:$A$26)+LOOKUP(O126,$E$23:$E$26,$D$23:$D$26)*(O126-LOOKUP(O126,$E$23:$E$26))/LOOKUP(O126,$E$23:$E$26,$C$23:$C$26)</f>
        <v>4.10813075304775</v>
      </c>
      <c r="AF126" s="16" t="n">
        <f aca="false">LOOKUP(P126,$E$23:$E$26,$A$23:$A$26)+LOOKUP(P126,$E$23:$E$26,$D$23:$D$26)*(P126-LOOKUP(P126,$E$23:$E$26))/LOOKUP(P126,$E$23:$E$26,$C$23:$C$26)</f>
        <v>5.98704551699231</v>
      </c>
      <c r="AG126" s="16" t="n">
        <f aca="false">LOOKUP(Q126,$E$23:$E$26,$A$23:$A$26)+LOOKUP(Q126,$E$23:$E$26,$D$23:$D$26)*(Q126-LOOKUP(Q126,$E$23:$E$26))/LOOKUP(Q126,$E$23:$E$26,$C$23:$C$26)</f>
        <v>4.49886595779754</v>
      </c>
      <c r="AH126" s="16" t="n">
        <f aca="false">LOOKUP(R126,$E$23:$E$26,$A$23:$A$26)+LOOKUP(R126,$E$23:$E$26,$D$23:$D$26)*(R126-LOOKUP(R126,$E$23:$E$26))/LOOKUP(R126,$E$23:$E$26,$C$23:$C$26)</f>
        <v>5.23912277697599</v>
      </c>
      <c r="AI126" s="16" t="n">
        <f aca="false">LOOKUP(S126,$E$23:$E$26,$A$23:$A$26)+LOOKUP(S126,$E$23:$E$26,$D$23:$D$26)*(S126-LOOKUP(S126,$E$23:$E$26))/LOOKUP(S126,$E$23:$E$26,$C$23:$C$26)</f>
        <v>4.86490929770177</v>
      </c>
      <c r="AJ126" s="16" t="n">
        <f aca="false">SUM($T126:T126)</f>
        <v>4.16597010503502</v>
      </c>
      <c r="AK126" s="16" t="n">
        <f aca="false">SUM($T126:U126)</f>
        <v>8.51778065438417</v>
      </c>
      <c r="AL126" s="16" t="n">
        <f aca="false">SUM($T126:V126)</f>
        <v>14.3975315442196</v>
      </c>
      <c r="AM126" s="16" t="n">
        <f aca="false">SUM($T126:W126)</f>
        <v>19.2144487468635</v>
      </c>
      <c r="AN126" s="16" t="n">
        <f aca="false">SUM($T126:X126)</f>
        <v>24.1195902435626</v>
      </c>
      <c r="AO126" s="16" t="n">
        <f aca="false">SUM($T126:Y126)</f>
        <v>29.4791366424734</v>
      </c>
      <c r="AP126" s="16" t="n">
        <f aca="false">SUM($T126:Z126)</f>
        <v>34.0141205418548</v>
      </c>
      <c r="AQ126" s="16" t="n">
        <f aca="false">SUM($T126:AA126)</f>
        <v>38.5177144242283</v>
      </c>
      <c r="AR126" s="16" t="n">
        <f aca="false">SUM($T126:AB126)</f>
        <v>44.325791292727</v>
      </c>
      <c r="AS126" s="16" t="n">
        <f aca="false">SUM($T126:AC126)</f>
        <v>48.571739252842</v>
      </c>
      <c r="AT126" s="16" t="n">
        <f aca="false">SUM($T126:AD126)</f>
        <v>52.9217229585909</v>
      </c>
      <c r="AU126" s="16" t="n">
        <f aca="false">SUM($T126:AE126)</f>
        <v>57.0298537116386</v>
      </c>
      <c r="AV126" s="16" t="n">
        <f aca="false">SUM($T126:AF126)</f>
        <v>63.0168992286309</v>
      </c>
      <c r="AW126" s="16" t="n">
        <f aca="false">SUM($T126:AG126)</f>
        <v>67.5157651864285</v>
      </c>
      <c r="AX126" s="16" t="n">
        <f aca="false">SUM($T126:AH126)</f>
        <v>72.7548879634045</v>
      </c>
      <c r="AY126" s="16" t="n">
        <f aca="false">SUM($T126:AI126)</f>
        <v>77.6197972611062</v>
      </c>
      <c r="AZ126" s="16" t="n">
        <f aca="false">MAX(C126-AJ126,0)</f>
        <v>65.1309538194907</v>
      </c>
      <c r="BA126" s="16" t="n">
        <f aca="false">MAX(C126-AK126,0)</f>
        <v>60.7791432701416</v>
      </c>
      <c r="BB126" s="16" t="n">
        <f aca="false">MAX(C126-AL126,0)</f>
        <v>54.8993923803062</v>
      </c>
      <c r="BC126" s="16" t="n">
        <f aca="false">MAX(C126-AM126,0)</f>
        <v>50.0824751776622</v>
      </c>
      <c r="BD126" s="16" t="n">
        <f aca="false">MAX(C126-AN126,0)</f>
        <v>45.1773336809632</v>
      </c>
      <c r="BE126" s="16" t="n">
        <f aca="false">MAX(C126-AO126,0)</f>
        <v>39.8177872820524</v>
      </c>
      <c r="BF126" s="16" t="n">
        <f aca="false">MAX(C126-AP126,0)</f>
        <v>35.2828033826709</v>
      </c>
      <c r="BG126" s="16" t="n">
        <f aca="false">MAX(C126-AQ126,0)</f>
        <v>30.7792095002975</v>
      </c>
      <c r="BH126" s="16" t="n">
        <f aca="false">MAX(C126-AR126,0)</f>
        <v>24.9711326317988</v>
      </c>
      <c r="BI126" s="16" t="n">
        <f aca="false">MAX(C126-AS126,0)</f>
        <v>20.7251846716837</v>
      </c>
      <c r="BJ126" s="16" t="n">
        <f aca="false">MAX(C126-AT126,0)</f>
        <v>16.3752009659349</v>
      </c>
      <c r="BK126" s="16" t="n">
        <f aca="false">MAX(C126-AU126,0)</f>
        <v>12.2670702128871</v>
      </c>
      <c r="BL126" s="16" t="n">
        <f aca="false">MAX(C126-AV126,0)</f>
        <v>6.28002469589483</v>
      </c>
      <c r="BM126" s="16" t="n">
        <f aca="false">MAX(C126-AW126,0)</f>
        <v>1.78115873809729</v>
      </c>
      <c r="BN126" s="16" t="n">
        <f aca="false">MAX(C126-AX126,0)</f>
        <v>0</v>
      </c>
      <c r="BO126" s="16" t="n">
        <f aca="false">MAX(C126-AY126,0)</f>
        <v>0</v>
      </c>
    </row>
    <row r="127" customFormat="false" ht="15" hidden="false" customHeight="false" outlineLevel="0" collapsed="false">
      <c r="A127" s="3" t="n">
        <v>97</v>
      </c>
      <c r="B127" s="15" t="n">
        <f aca="true">RAND()</f>
        <v>0.0312132881923542</v>
      </c>
      <c r="C127" s="16" t="n">
        <f aca="false">LOOKUP(B127,$E$12:$E$17,$A$12:$A$17)+LOOKUP(B127,$E$12:$E$17,$D$12:$D$17)*(B127-LOOKUP(B127,$E$12:$E$17))/LOOKUP(B127,$E$12:$E$17,$C$12:$C$17)</f>
        <v>51.5606644096177</v>
      </c>
      <c r="D127" s="15" t="n">
        <f aca="true">RAND()</f>
        <v>0.862325130270489</v>
      </c>
      <c r="E127" s="15" t="n">
        <f aca="true">RAND()</f>
        <v>0.621504595415783</v>
      </c>
      <c r="F127" s="15" t="n">
        <f aca="true">RAND()</f>
        <v>0.887021903554787</v>
      </c>
      <c r="G127" s="15" t="n">
        <f aca="true">RAND()</f>
        <v>0.908965821330454</v>
      </c>
      <c r="H127" s="15" t="n">
        <f aca="true">RAND()</f>
        <v>0.929553738153474</v>
      </c>
      <c r="I127" s="15" t="n">
        <f aca="true">RAND()</f>
        <v>0.627931324766451</v>
      </c>
      <c r="J127" s="15" t="n">
        <f aca="true">RAND()</f>
        <v>0.797212773587407</v>
      </c>
      <c r="K127" s="15" t="n">
        <f aca="true">RAND()</f>
        <v>0.0330881290665284</v>
      </c>
      <c r="L127" s="15" t="n">
        <f aca="true">RAND()</f>
        <v>0.0660270220344286</v>
      </c>
      <c r="M127" s="15" t="n">
        <f aca="true">RAND()</f>
        <v>0.135788070305296</v>
      </c>
      <c r="N127" s="15" t="n">
        <f aca="true">RAND()</f>
        <v>0.334574360978138</v>
      </c>
      <c r="O127" s="15" t="n">
        <f aca="true">RAND()</f>
        <v>0.126523663245839</v>
      </c>
      <c r="P127" s="15" t="n">
        <f aca="true">RAND()</f>
        <v>0.581018668666459</v>
      </c>
      <c r="Q127" s="15" t="n">
        <f aca="true">RAND()</f>
        <v>0.0123907961702615</v>
      </c>
      <c r="R127" s="15" t="n">
        <f aca="true">RAND()</f>
        <v>0.438754458465323</v>
      </c>
      <c r="S127" s="15" t="n">
        <f aca="true">RAND()</f>
        <v>0.373094810787128</v>
      </c>
      <c r="T127" s="16" t="n">
        <f aca="false">LOOKUP(D127,$E$23:$E$26,$A$23:$A$26)+LOOKUP(D127,$E$23:$E$26,$D$23:$D$26)*(D127-LOOKUP(D127,$E$23:$E$26))/LOOKUP(D127,$E$23:$E$26,$C$23:$C$26)</f>
        <v>5.40581282567622</v>
      </c>
      <c r="U127" s="16" t="n">
        <f aca="false">LOOKUP(E127,$E$23:$E$26,$A$23:$A$26)+LOOKUP(E127,$E$23:$E$26,$D$23:$D$26)*(E127-LOOKUP(E127,$E$23:$E$26))/LOOKUP(E127,$E$23:$E$26,$C$23:$C$26)</f>
        <v>4.90188074426973</v>
      </c>
      <c r="V127" s="16" t="n">
        <f aca="false">LOOKUP(F127,$E$23:$E$26,$A$23:$A$26)+LOOKUP(F127,$E$23:$E$26,$D$23:$D$26)*(F127-LOOKUP(F127,$E$23:$E$26))/LOOKUP(F127,$E$23:$E$26,$C$23:$C$26)</f>
        <v>5.46755475888697</v>
      </c>
      <c r="W127" s="16" t="n">
        <f aca="false">LOOKUP(G127,$E$23:$E$26,$A$23:$A$26)+LOOKUP(G127,$E$23:$E$26,$D$23:$D$26)*(G127-LOOKUP(G127,$E$23:$E$26))/LOOKUP(G127,$E$23:$E$26,$C$23:$C$26)</f>
        <v>5.54482910665227</v>
      </c>
      <c r="X127" s="16" t="n">
        <f aca="false">LOOKUP(H127,$E$23:$E$26,$A$23:$A$26)+LOOKUP(H127,$E$23:$E$26,$D$23:$D$26)*(H127-LOOKUP(H127,$E$23:$E$26))/LOOKUP(H127,$E$23:$E$26,$C$23:$C$26)</f>
        <v>5.64776869076737</v>
      </c>
      <c r="Y127" s="16" t="n">
        <f aca="false">LOOKUP(I127,$E$23:$E$26,$A$23:$A$26)+LOOKUP(I127,$E$23:$E$26,$D$23:$D$26)*(I127-LOOKUP(I127,$E$23:$E$26))/LOOKUP(I127,$E$23:$E$26,$C$23:$C$26)</f>
        <v>4.90991415595806</v>
      </c>
      <c r="Z127" s="16" t="n">
        <f aca="false">LOOKUP(J127,$E$23:$E$26,$A$23:$A$26)+LOOKUP(J127,$E$23:$E$26,$D$23:$D$26)*(J127-LOOKUP(J127,$E$23:$E$26))/LOOKUP(J127,$E$23:$E$26,$C$23:$C$26)</f>
        <v>5.24303193396852</v>
      </c>
      <c r="AA127" s="16" t="n">
        <f aca="false">LOOKUP(K127,$E$23:$E$26,$A$23:$A$26)+LOOKUP(K127,$E$23:$E$26,$D$23:$D$26)*(K127-LOOKUP(K127,$E$23:$E$26))/LOOKUP(K127,$E$23:$E$26,$C$23:$C$26)</f>
        <v>4.05514688177755</v>
      </c>
      <c r="AB127" s="16" t="n">
        <f aca="false">LOOKUP(L127,$E$23:$E$26,$A$23:$A$26)+LOOKUP(L127,$E$23:$E$26,$D$23:$D$26)*(L127-LOOKUP(L127,$E$23:$E$26))/LOOKUP(L127,$E$23:$E$26,$C$23:$C$26)</f>
        <v>4.11004503672405</v>
      </c>
      <c r="AC127" s="16" t="n">
        <f aca="false">LOOKUP(M127,$E$23:$E$26,$A$23:$A$26)+LOOKUP(M127,$E$23:$E$26,$D$23:$D$26)*(M127-LOOKUP(M127,$E$23:$E$26))/LOOKUP(M127,$E$23:$E$26,$C$23:$C$26)</f>
        <v>4.22631345050883</v>
      </c>
      <c r="AD127" s="16" t="n">
        <f aca="false">LOOKUP(N127,$E$23:$E$26,$A$23:$A$26)+LOOKUP(N127,$E$23:$E$26,$D$23:$D$26)*(N127-LOOKUP(N127,$E$23:$E$26))/LOOKUP(N127,$E$23:$E$26,$C$23:$C$26)</f>
        <v>4.54321795122267</v>
      </c>
      <c r="AE127" s="16" t="n">
        <f aca="false">LOOKUP(O127,$E$23:$E$26,$A$23:$A$26)+LOOKUP(O127,$E$23:$E$26,$D$23:$D$26)*(O127-LOOKUP(O127,$E$23:$E$26))/LOOKUP(O127,$E$23:$E$26,$C$23:$C$26)</f>
        <v>4.2108727720764</v>
      </c>
      <c r="AF127" s="16" t="n">
        <f aca="false">LOOKUP(P127,$E$23:$E$26,$A$23:$A$26)+LOOKUP(P127,$E$23:$E$26,$D$23:$D$26)*(P127-LOOKUP(P127,$E$23:$E$26))/LOOKUP(P127,$E$23:$E$26,$C$23:$C$26)</f>
        <v>4.85127333583307</v>
      </c>
      <c r="AG127" s="16" t="n">
        <f aca="false">LOOKUP(Q127,$E$23:$E$26,$A$23:$A$26)+LOOKUP(Q127,$E$23:$E$26,$D$23:$D$26)*(Q127-LOOKUP(Q127,$E$23:$E$26))/LOOKUP(Q127,$E$23:$E$26,$C$23:$C$26)</f>
        <v>4.02065132695044</v>
      </c>
      <c r="AH127" s="16" t="n">
        <f aca="false">LOOKUP(R127,$E$23:$E$26,$A$23:$A$26)+LOOKUP(R127,$E$23:$E$26,$D$23:$D$26)*(R127-LOOKUP(R127,$E$23:$E$26))/LOOKUP(R127,$E$23:$E$26,$C$23:$C$26)</f>
        <v>4.67344307308165</v>
      </c>
      <c r="AI127" s="16" t="n">
        <f aca="false">LOOKUP(S127,$E$23:$E$26,$A$23:$A$26)+LOOKUP(S127,$E$23:$E$26,$D$23:$D$26)*(S127-LOOKUP(S127,$E$23:$E$26))/LOOKUP(S127,$E$23:$E$26,$C$23:$C$26)</f>
        <v>4.59136851348391</v>
      </c>
      <c r="AJ127" s="16" t="n">
        <f aca="false">SUM($T127:T127)</f>
        <v>5.40581282567622</v>
      </c>
      <c r="AK127" s="16" t="n">
        <f aca="false">SUM($T127:U127)</f>
        <v>10.307693569946</v>
      </c>
      <c r="AL127" s="16" t="n">
        <f aca="false">SUM($T127:V127)</f>
        <v>15.7752483288329</v>
      </c>
      <c r="AM127" s="16" t="n">
        <f aca="false">SUM($T127:W127)</f>
        <v>21.3200774354852</v>
      </c>
      <c r="AN127" s="16" t="n">
        <f aca="false">SUM($T127:X127)</f>
        <v>26.9678461262526</v>
      </c>
      <c r="AO127" s="16" t="n">
        <f aca="false">SUM($T127:Y127)</f>
        <v>31.8777602822106</v>
      </c>
      <c r="AP127" s="16" t="n">
        <f aca="false">SUM($T127:Z127)</f>
        <v>37.1207922161792</v>
      </c>
      <c r="AQ127" s="16" t="n">
        <f aca="false">SUM($T127:AA127)</f>
        <v>41.1759390979567</v>
      </c>
      <c r="AR127" s="16" t="n">
        <f aca="false">SUM($T127:AB127)</f>
        <v>45.2859841346807</v>
      </c>
      <c r="AS127" s="16" t="n">
        <f aca="false">SUM($T127:AC127)</f>
        <v>49.5122975851896</v>
      </c>
      <c r="AT127" s="16" t="n">
        <f aca="false">SUM($T127:AD127)</f>
        <v>54.0555155364122</v>
      </c>
      <c r="AU127" s="16" t="n">
        <f aca="false">SUM($T127:AE127)</f>
        <v>58.2663883084886</v>
      </c>
      <c r="AV127" s="16" t="n">
        <f aca="false">SUM($T127:AF127)</f>
        <v>63.1176616443217</v>
      </c>
      <c r="AW127" s="16" t="n">
        <f aca="false">SUM($T127:AG127)</f>
        <v>67.1383129712721</v>
      </c>
      <c r="AX127" s="16" t="n">
        <f aca="false">SUM($T127:AH127)</f>
        <v>71.8117560443538</v>
      </c>
      <c r="AY127" s="16" t="n">
        <f aca="false">SUM($T127:AI127)</f>
        <v>76.4031245578377</v>
      </c>
      <c r="AZ127" s="16" t="n">
        <f aca="false">MAX(C127-AJ127,0)</f>
        <v>46.1548515839415</v>
      </c>
      <c r="BA127" s="16" t="n">
        <f aca="false">MAX(C127-AK127,0)</f>
        <v>41.2529708396718</v>
      </c>
      <c r="BB127" s="16" t="n">
        <f aca="false">MAX(C127-AL127,0)</f>
        <v>35.7854160807848</v>
      </c>
      <c r="BC127" s="16" t="n">
        <f aca="false">MAX(C127-AM127,0)</f>
        <v>30.2405869741325</v>
      </c>
      <c r="BD127" s="16" t="n">
        <f aca="false">MAX(C127-AN127,0)</f>
        <v>24.5928182833651</v>
      </c>
      <c r="BE127" s="16" t="n">
        <f aca="false">MAX(C127-AO127,0)</f>
        <v>19.6829041274071</v>
      </c>
      <c r="BF127" s="16" t="n">
        <f aca="false">MAX(C127-AP127,0)</f>
        <v>14.4398721934386</v>
      </c>
      <c r="BG127" s="16" t="n">
        <f aca="false">MAX(C127-AQ127,0)</f>
        <v>10.384725311661</v>
      </c>
      <c r="BH127" s="16" t="n">
        <f aca="false">MAX(C127-AR127,0)</f>
        <v>6.27468027493697</v>
      </c>
      <c r="BI127" s="16" t="n">
        <f aca="false">MAX(C127-AS127,0)</f>
        <v>2.04836682442814</v>
      </c>
      <c r="BJ127" s="16" t="n">
        <f aca="false">MAX(C127-AT127,0)</f>
        <v>0</v>
      </c>
      <c r="BK127" s="16" t="n">
        <f aca="false">MAX(C127-AU127,0)</f>
        <v>0</v>
      </c>
      <c r="BL127" s="16" t="n">
        <f aca="false">MAX(C127-AV127,0)</f>
        <v>0</v>
      </c>
      <c r="BM127" s="16" t="n">
        <f aca="false">MAX(C127-AW127,0)</f>
        <v>0</v>
      </c>
      <c r="BN127" s="16" t="n">
        <f aca="false">MAX(C127-AX127,0)</f>
        <v>0</v>
      </c>
      <c r="BO127" s="16" t="n">
        <f aca="false">MAX(C127-AY127,0)</f>
        <v>0</v>
      </c>
    </row>
    <row r="128" customFormat="false" ht="15" hidden="false" customHeight="false" outlineLevel="0" collapsed="false">
      <c r="A128" s="3" t="n">
        <v>98</v>
      </c>
      <c r="B128" s="15" t="n">
        <f aca="true">RAND()</f>
        <v>0.880132356651786</v>
      </c>
      <c r="C128" s="16" t="n">
        <f aca="false">LOOKUP(B128,$E$12:$E$17,$A$12:$A$17)+LOOKUP(B128,$E$12:$E$17,$D$12:$D$17)*(B128-LOOKUP(B128,$E$12:$E$17))/LOOKUP(B128,$E$12:$E$17,$C$12:$C$17)</f>
        <v>69.7161765235969</v>
      </c>
      <c r="D128" s="15" t="n">
        <f aca="true">RAND()</f>
        <v>0.410538487273392</v>
      </c>
      <c r="E128" s="15" t="n">
        <f aca="true">RAND()</f>
        <v>0.218637801568068</v>
      </c>
      <c r="F128" s="15" t="n">
        <f aca="true">RAND()</f>
        <v>0.796152494398044</v>
      </c>
      <c r="G128" s="15" t="n">
        <f aca="true">RAND()</f>
        <v>0.201558028975496</v>
      </c>
      <c r="H128" s="15" t="n">
        <f aca="true">RAND()</f>
        <v>0.0245445679076868</v>
      </c>
      <c r="I128" s="15" t="n">
        <f aca="true">RAND()</f>
        <v>0.0374899786934353</v>
      </c>
      <c r="J128" s="15" t="n">
        <f aca="true">RAND()</f>
        <v>0.330183556815276</v>
      </c>
      <c r="K128" s="15" t="n">
        <f aca="true">RAND()</f>
        <v>0.726317774725961</v>
      </c>
      <c r="L128" s="15" t="n">
        <f aca="true">RAND()</f>
        <v>0.448579240484834</v>
      </c>
      <c r="M128" s="15" t="n">
        <f aca="true">RAND()</f>
        <v>0.747379460173979</v>
      </c>
      <c r="N128" s="15" t="n">
        <f aca="true">RAND()</f>
        <v>0.902320193325658</v>
      </c>
      <c r="O128" s="15" t="n">
        <f aca="true">RAND()</f>
        <v>0.134562560944012</v>
      </c>
      <c r="P128" s="15" t="n">
        <f aca="true">RAND()</f>
        <v>0.701364999333888</v>
      </c>
      <c r="Q128" s="15" t="n">
        <f aca="true">RAND()</f>
        <v>0.602488593668149</v>
      </c>
      <c r="R128" s="15" t="n">
        <f aca="true">RAND()</f>
        <v>0.700122939206244</v>
      </c>
      <c r="S128" s="15" t="n">
        <f aca="true">RAND()</f>
        <v>0.0433237850239305</v>
      </c>
      <c r="T128" s="16" t="n">
        <f aca="false">LOOKUP(D128,$E$23:$E$26,$A$23:$A$26)+LOOKUP(D128,$E$23:$E$26,$D$23:$D$26)*(D128-LOOKUP(D128,$E$23:$E$26))/LOOKUP(D128,$E$23:$E$26,$C$23:$C$26)</f>
        <v>4.63817310909174</v>
      </c>
      <c r="U128" s="16" t="n">
        <f aca="false">LOOKUP(E128,$E$23:$E$26,$A$23:$A$26)+LOOKUP(E128,$E$23:$E$26,$D$23:$D$26)*(E128-LOOKUP(E128,$E$23:$E$26))/LOOKUP(E128,$E$23:$E$26,$C$23:$C$26)</f>
        <v>4.36439633594678</v>
      </c>
      <c r="V128" s="16" t="n">
        <f aca="false">LOOKUP(F128,$E$23:$E$26,$A$23:$A$26)+LOOKUP(F128,$E$23:$E$26,$D$23:$D$26)*(F128-LOOKUP(F128,$E$23:$E$26))/LOOKUP(F128,$E$23:$E$26,$C$23:$C$26)</f>
        <v>5.24038123599511</v>
      </c>
      <c r="W128" s="16" t="n">
        <f aca="false">LOOKUP(G128,$E$23:$E$26,$A$23:$A$26)+LOOKUP(G128,$E$23:$E$26,$D$23:$D$26)*(G128-LOOKUP(G128,$E$23:$E$26))/LOOKUP(G128,$E$23:$E$26,$C$23:$C$26)</f>
        <v>4.33593004829249</v>
      </c>
      <c r="X128" s="16" t="n">
        <f aca="false">LOOKUP(H128,$E$23:$E$26,$A$23:$A$26)+LOOKUP(H128,$E$23:$E$26,$D$23:$D$26)*(H128-LOOKUP(H128,$E$23:$E$26))/LOOKUP(H128,$E$23:$E$26,$C$23:$C$26)</f>
        <v>4.04090761317948</v>
      </c>
      <c r="Y128" s="16" t="n">
        <f aca="false">LOOKUP(I128,$E$23:$E$26,$A$23:$A$26)+LOOKUP(I128,$E$23:$E$26,$D$23:$D$26)*(I128-LOOKUP(I128,$E$23:$E$26))/LOOKUP(I128,$E$23:$E$26,$C$23:$C$26)</f>
        <v>4.06248329782239</v>
      </c>
      <c r="Z128" s="16" t="n">
        <f aca="false">LOOKUP(J128,$E$23:$E$26,$A$23:$A$26)+LOOKUP(J128,$E$23:$E$26,$D$23:$D$26)*(J128-LOOKUP(J128,$E$23:$E$26))/LOOKUP(J128,$E$23:$E$26,$C$23:$C$26)</f>
        <v>4.5377294460191</v>
      </c>
      <c r="AA128" s="16" t="n">
        <f aca="false">LOOKUP(K128,$E$23:$E$26,$A$23:$A$26)+LOOKUP(K128,$E$23:$E$26,$D$23:$D$26)*(K128-LOOKUP(K128,$E$23:$E$26))/LOOKUP(K128,$E$23:$E$26,$C$23:$C$26)</f>
        <v>5.0657944368149</v>
      </c>
      <c r="AB128" s="16" t="n">
        <f aca="false">LOOKUP(L128,$E$23:$E$26,$A$23:$A$26)+LOOKUP(L128,$E$23:$E$26,$D$23:$D$26)*(L128-LOOKUP(L128,$E$23:$E$26))/LOOKUP(L128,$E$23:$E$26,$C$23:$C$26)</f>
        <v>4.68572405060604</v>
      </c>
      <c r="AC128" s="16" t="n">
        <f aca="false">LOOKUP(M128,$E$23:$E$26,$A$23:$A$26)+LOOKUP(M128,$E$23:$E$26,$D$23:$D$26)*(M128-LOOKUP(M128,$E$23:$E$26))/LOOKUP(M128,$E$23:$E$26,$C$23:$C$26)</f>
        <v>5.11844865043495</v>
      </c>
      <c r="AD128" s="16" t="n">
        <f aca="false">LOOKUP(N128,$E$23:$E$26,$A$23:$A$26)+LOOKUP(N128,$E$23:$E$26,$D$23:$D$26)*(N128-LOOKUP(N128,$E$23:$E$26))/LOOKUP(N128,$E$23:$E$26,$C$23:$C$26)</f>
        <v>5.51160096662829</v>
      </c>
      <c r="AE128" s="16" t="n">
        <f aca="false">LOOKUP(O128,$E$23:$E$26,$A$23:$A$26)+LOOKUP(O128,$E$23:$E$26,$D$23:$D$26)*(O128-LOOKUP(O128,$E$23:$E$26))/LOOKUP(O128,$E$23:$E$26,$C$23:$C$26)</f>
        <v>4.22427093490669</v>
      </c>
      <c r="AF128" s="16" t="n">
        <f aca="false">LOOKUP(P128,$E$23:$E$26,$A$23:$A$26)+LOOKUP(P128,$E$23:$E$26,$D$23:$D$26)*(P128-LOOKUP(P128,$E$23:$E$26))/LOOKUP(P128,$E$23:$E$26,$C$23:$C$26)</f>
        <v>5.00341249833472</v>
      </c>
      <c r="AG128" s="16" t="n">
        <f aca="false">LOOKUP(Q128,$E$23:$E$26,$A$23:$A$26)+LOOKUP(Q128,$E$23:$E$26,$D$23:$D$26)*(Q128-LOOKUP(Q128,$E$23:$E$26))/LOOKUP(Q128,$E$23:$E$26,$C$23:$C$26)</f>
        <v>4.87811074208519</v>
      </c>
      <c r="AH128" s="16" t="n">
        <f aca="false">LOOKUP(R128,$E$23:$E$26,$A$23:$A$26)+LOOKUP(R128,$E$23:$E$26,$D$23:$D$26)*(R128-LOOKUP(R128,$E$23:$E$26))/LOOKUP(R128,$E$23:$E$26,$C$23:$C$26)</f>
        <v>5.00030734801561</v>
      </c>
      <c r="AI128" s="16" t="n">
        <f aca="false">LOOKUP(S128,$E$23:$E$26,$A$23:$A$26)+LOOKUP(S128,$E$23:$E$26,$D$23:$D$26)*(S128-LOOKUP(S128,$E$23:$E$26))/LOOKUP(S128,$E$23:$E$26,$C$23:$C$26)</f>
        <v>4.07220630837322</v>
      </c>
      <c r="AJ128" s="16" t="n">
        <f aca="false">SUM($T128:T128)</f>
        <v>4.63817310909174</v>
      </c>
      <c r="AK128" s="16" t="n">
        <f aca="false">SUM($T128:U128)</f>
        <v>9.00256944503852</v>
      </c>
      <c r="AL128" s="16" t="n">
        <f aca="false">SUM($T128:V128)</f>
        <v>14.2429506810336</v>
      </c>
      <c r="AM128" s="16" t="n">
        <f aca="false">SUM($T128:W128)</f>
        <v>18.5788807293261</v>
      </c>
      <c r="AN128" s="16" t="n">
        <f aca="false">SUM($T128:X128)</f>
        <v>22.6197883425056</v>
      </c>
      <c r="AO128" s="16" t="n">
        <f aca="false">SUM($T128:Y128)</f>
        <v>26.682271640328</v>
      </c>
      <c r="AP128" s="16" t="n">
        <f aca="false">SUM($T128:Z128)</f>
        <v>31.2200010863471</v>
      </c>
      <c r="AQ128" s="16" t="n">
        <f aca="false">SUM($T128:AA128)</f>
        <v>36.285795523162</v>
      </c>
      <c r="AR128" s="16" t="n">
        <f aca="false">SUM($T128:AB128)</f>
        <v>40.971519573768</v>
      </c>
      <c r="AS128" s="16" t="n">
        <f aca="false">SUM($T128:AC128)</f>
        <v>46.089968224203</v>
      </c>
      <c r="AT128" s="16" t="n">
        <f aca="false">SUM($T128:AD128)</f>
        <v>51.6015691908313</v>
      </c>
      <c r="AU128" s="16" t="n">
        <f aca="false">SUM($T128:AE128)</f>
        <v>55.825840125738</v>
      </c>
      <c r="AV128" s="16" t="n">
        <f aca="false">SUM($T128:AF128)</f>
        <v>60.8292526240727</v>
      </c>
      <c r="AW128" s="16" t="n">
        <f aca="false">SUM($T128:AG128)</f>
        <v>65.7073633661579</v>
      </c>
      <c r="AX128" s="16" t="n">
        <f aca="false">SUM($T128:AH128)</f>
        <v>70.7076707141735</v>
      </c>
      <c r="AY128" s="16" t="n">
        <f aca="false">SUM($T128:AI128)</f>
        <v>74.7798770225467</v>
      </c>
      <c r="AZ128" s="16" t="n">
        <f aca="false">MAX(C128-AJ128,0)</f>
        <v>65.0780034145052</v>
      </c>
      <c r="BA128" s="16" t="n">
        <f aca="false">MAX(C128-AK128,0)</f>
        <v>60.7136070785584</v>
      </c>
      <c r="BB128" s="16" t="n">
        <f aca="false">MAX(C128-AL128,0)</f>
        <v>55.4732258425633</v>
      </c>
      <c r="BC128" s="16" t="n">
        <f aca="false">MAX(C128-AM128,0)</f>
        <v>51.1372957942708</v>
      </c>
      <c r="BD128" s="16" t="n">
        <f aca="false">MAX(C128-AN128,0)</f>
        <v>47.0963881810913</v>
      </c>
      <c r="BE128" s="16" t="n">
        <f aca="false">MAX(C128-AO128,0)</f>
        <v>43.0339048832689</v>
      </c>
      <c r="BF128" s="16" t="n">
        <f aca="false">MAX(C128-AP128,0)</f>
        <v>38.4961754372499</v>
      </c>
      <c r="BG128" s="16" t="n">
        <f aca="false">MAX(C128-AQ128,0)</f>
        <v>33.430381000435</v>
      </c>
      <c r="BH128" s="16" t="n">
        <f aca="false">MAX(C128-AR128,0)</f>
        <v>28.7446569498289</v>
      </c>
      <c r="BI128" s="16" t="n">
        <f aca="false">MAX(C128-AS128,0)</f>
        <v>23.626208299394</v>
      </c>
      <c r="BJ128" s="16" t="n">
        <f aca="false">MAX(C128-AT128,0)</f>
        <v>18.1146073327657</v>
      </c>
      <c r="BK128" s="16" t="n">
        <f aca="false">MAX(C128-AU128,0)</f>
        <v>13.890336397859</v>
      </c>
      <c r="BL128" s="16" t="n">
        <f aca="false">MAX(C128-AV128,0)</f>
        <v>8.88692389952427</v>
      </c>
      <c r="BM128" s="16" t="n">
        <f aca="false">MAX(C128-AW128,0)</f>
        <v>4.00881315743908</v>
      </c>
      <c r="BN128" s="16" t="n">
        <f aca="false">MAX(C128-AX128,0)</f>
        <v>0</v>
      </c>
      <c r="BO128" s="16" t="n">
        <f aca="false">MAX(C128-AY128,0)</f>
        <v>0</v>
      </c>
    </row>
    <row r="129" customFormat="false" ht="15" hidden="false" customHeight="false" outlineLevel="0" collapsed="false">
      <c r="A129" s="3" t="n">
        <v>99</v>
      </c>
      <c r="B129" s="15" t="n">
        <f aca="true">RAND()</f>
        <v>0.635636370445177</v>
      </c>
      <c r="C129" s="16" t="n">
        <f aca="false">LOOKUP(B129,$E$12:$E$17,$A$12:$A$17)+LOOKUP(B129,$E$12:$E$17,$D$12:$D$17)*(B129-LOOKUP(B129,$E$12:$E$17))/LOOKUP(B129,$E$12:$E$17,$C$12:$C$17)</f>
        <v>66.2233767206454</v>
      </c>
      <c r="D129" s="15" t="n">
        <f aca="true">RAND()</f>
        <v>0.626020627545168</v>
      </c>
      <c r="E129" s="15" t="n">
        <f aca="true">RAND()</f>
        <v>0.522355517122997</v>
      </c>
      <c r="F129" s="15" t="n">
        <f aca="true">RAND()</f>
        <v>0.117040463982326</v>
      </c>
      <c r="G129" s="15" t="n">
        <f aca="true">RAND()</f>
        <v>0.503329691826664</v>
      </c>
      <c r="H129" s="15" t="n">
        <f aca="true">RAND()</f>
        <v>0.474959512413067</v>
      </c>
      <c r="I129" s="15" t="n">
        <f aca="true">RAND()</f>
        <v>0.353585397748438</v>
      </c>
      <c r="J129" s="15" t="n">
        <f aca="true">RAND()</f>
        <v>0.123219933113593</v>
      </c>
      <c r="K129" s="15" t="n">
        <f aca="true">RAND()</f>
        <v>0.623333681766884</v>
      </c>
      <c r="L129" s="15" t="n">
        <f aca="true">RAND()</f>
        <v>0.81351535290308</v>
      </c>
      <c r="M129" s="15" t="n">
        <f aca="true">RAND()</f>
        <v>0.844423612962113</v>
      </c>
      <c r="N129" s="15" t="n">
        <f aca="true">RAND()</f>
        <v>0.940358007472799</v>
      </c>
      <c r="O129" s="15" t="n">
        <f aca="true">RAND()</f>
        <v>0.108906817023781</v>
      </c>
      <c r="P129" s="15" t="n">
        <f aca="true">RAND()</f>
        <v>0.687288483681497</v>
      </c>
      <c r="Q129" s="15" t="n">
        <f aca="true">RAND()</f>
        <v>0.137001400526001</v>
      </c>
      <c r="R129" s="15" t="n">
        <f aca="true">RAND()</f>
        <v>0.717225710160687</v>
      </c>
      <c r="S129" s="15" t="n">
        <f aca="true">RAND()</f>
        <v>0.136269757784839</v>
      </c>
      <c r="T129" s="16" t="n">
        <f aca="false">LOOKUP(D129,$E$23:$E$26,$A$23:$A$26)+LOOKUP(D129,$E$23:$E$26,$D$23:$D$26)*(D129-LOOKUP(D129,$E$23:$E$26))/LOOKUP(D129,$E$23:$E$26,$C$23:$C$26)</f>
        <v>4.90752578443146</v>
      </c>
      <c r="U129" s="16" t="n">
        <f aca="false">LOOKUP(E129,$E$23:$E$26,$A$23:$A$26)+LOOKUP(E129,$E$23:$E$26,$D$23:$D$26)*(E129-LOOKUP(E129,$E$23:$E$26))/LOOKUP(E129,$E$23:$E$26,$C$23:$C$26)</f>
        <v>4.77794439640375</v>
      </c>
      <c r="V129" s="16" t="n">
        <f aca="false">LOOKUP(F129,$E$23:$E$26,$A$23:$A$26)+LOOKUP(F129,$E$23:$E$26,$D$23:$D$26)*(F129-LOOKUP(F129,$E$23:$E$26))/LOOKUP(F129,$E$23:$E$26,$C$23:$C$26)</f>
        <v>4.19506743997054</v>
      </c>
      <c r="W129" s="16" t="n">
        <f aca="false">LOOKUP(G129,$E$23:$E$26,$A$23:$A$26)+LOOKUP(G129,$E$23:$E$26,$D$23:$D$26)*(G129-LOOKUP(G129,$E$23:$E$26))/LOOKUP(G129,$E$23:$E$26,$C$23:$C$26)</f>
        <v>4.75416211478333</v>
      </c>
      <c r="X129" s="16" t="n">
        <f aca="false">LOOKUP(H129,$E$23:$E$26,$A$23:$A$26)+LOOKUP(H129,$E$23:$E$26,$D$23:$D$26)*(H129-LOOKUP(H129,$E$23:$E$26))/LOOKUP(H129,$E$23:$E$26,$C$23:$C$26)</f>
        <v>4.71869939051633</v>
      </c>
      <c r="Y129" s="16" t="n">
        <f aca="false">LOOKUP(I129,$E$23:$E$26,$A$23:$A$26)+LOOKUP(I129,$E$23:$E$26,$D$23:$D$26)*(I129-LOOKUP(I129,$E$23:$E$26))/LOOKUP(I129,$E$23:$E$26,$C$23:$C$26)</f>
        <v>4.56698174718555</v>
      </c>
      <c r="Z129" s="16" t="n">
        <f aca="false">LOOKUP(J129,$E$23:$E$26,$A$23:$A$26)+LOOKUP(J129,$E$23:$E$26,$D$23:$D$26)*(J129-LOOKUP(J129,$E$23:$E$26))/LOOKUP(J129,$E$23:$E$26,$C$23:$C$26)</f>
        <v>4.20536655518932</v>
      </c>
      <c r="AA129" s="16" t="n">
        <f aca="false">LOOKUP(K129,$E$23:$E$26,$A$23:$A$26)+LOOKUP(K129,$E$23:$E$26,$D$23:$D$26)*(K129-LOOKUP(K129,$E$23:$E$26))/LOOKUP(K129,$E$23:$E$26,$C$23:$C$26)</f>
        <v>4.90416710220861</v>
      </c>
      <c r="AB129" s="16" t="n">
        <f aca="false">LOOKUP(L129,$E$23:$E$26,$A$23:$A$26)+LOOKUP(L129,$E$23:$E$26,$D$23:$D$26)*(L129-LOOKUP(L129,$E$23:$E$26))/LOOKUP(L129,$E$23:$E$26,$C$23:$C$26)</f>
        <v>5.2837883822577</v>
      </c>
      <c r="AC129" s="16" t="n">
        <f aca="false">LOOKUP(M129,$E$23:$E$26,$A$23:$A$26)+LOOKUP(M129,$E$23:$E$26,$D$23:$D$26)*(M129-LOOKUP(M129,$E$23:$E$26))/LOOKUP(M129,$E$23:$E$26,$C$23:$C$26)</f>
        <v>5.36105903240528</v>
      </c>
      <c r="AD129" s="16" t="n">
        <f aca="false">LOOKUP(N129,$E$23:$E$26,$A$23:$A$26)+LOOKUP(N129,$E$23:$E$26,$D$23:$D$26)*(N129-LOOKUP(N129,$E$23:$E$26))/LOOKUP(N129,$E$23:$E$26,$C$23:$C$26)</f>
        <v>5.701790037364</v>
      </c>
      <c r="AE129" s="16" t="n">
        <f aca="false">LOOKUP(O129,$E$23:$E$26,$A$23:$A$26)+LOOKUP(O129,$E$23:$E$26,$D$23:$D$26)*(O129-LOOKUP(O129,$E$23:$E$26))/LOOKUP(O129,$E$23:$E$26,$C$23:$C$26)</f>
        <v>4.1815113617063</v>
      </c>
      <c r="AF129" s="16" t="n">
        <f aca="false">LOOKUP(P129,$E$23:$E$26,$A$23:$A$26)+LOOKUP(P129,$E$23:$E$26,$D$23:$D$26)*(P129-LOOKUP(P129,$E$23:$E$26))/LOOKUP(P129,$E$23:$E$26,$C$23:$C$26)</f>
        <v>4.98411060460187</v>
      </c>
      <c r="AG129" s="16" t="n">
        <f aca="false">LOOKUP(Q129,$E$23:$E$26,$A$23:$A$26)+LOOKUP(Q129,$E$23:$E$26,$D$23:$D$26)*(Q129-LOOKUP(Q129,$E$23:$E$26))/LOOKUP(Q129,$E$23:$E$26,$C$23:$C$26)</f>
        <v>4.22833566754334</v>
      </c>
      <c r="AH129" s="16" t="n">
        <f aca="false">LOOKUP(R129,$E$23:$E$26,$A$23:$A$26)+LOOKUP(R129,$E$23:$E$26,$D$23:$D$26)*(R129-LOOKUP(R129,$E$23:$E$26))/LOOKUP(R129,$E$23:$E$26,$C$23:$C$26)</f>
        <v>5.04306427540172</v>
      </c>
      <c r="AI129" s="16" t="n">
        <f aca="false">LOOKUP(S129,$E$23:$E$26,$A$23:$A$26)+LOOKUP(S129,$E$23:$E$26,$D$23:$D$26)*(S129-LOOKUP(S129,$E$23:$E$26))/LOOKUP(S129,$E$23:$E$26,$C$23:$C$26)</f>
        <v>4.22711626297473</v>
      </c>
      <c r="AJ129" s="16" t="n">
        <f aca="false">SUM($T129:T129)</f>
        <v>4.90752578443146</v>
      </c>
      <c r="AK129" s="16" t="n">
        <f aca="false">SUM($T129:U129)</f>
        <v>9.68547018083521</v>
      </c>
      <c r="AL129" s="16" t="n">
        <f aca="false">SUM($T129:V129)</f>
        <v>13.8805376208058</v>
      </c>
      <c r="AM129" s="16" t="n">
        <f aca="false">SUM($T129:W129)</f>
        <v>18.6346997355891</v>
      </c>
      <c r="AN129" s="16" t="n">
        <f aca="false">SUM($T129:X129)</f>
        <v>23.3533991261054</v>
      </c>
      <c r="AO129" s="16" t="n">
        <f aca="false">SUM($T129:Y129)</f>
        <v>27.920380873291</v>
      </c>
      <c r="AP129" s="16" t="n">
        <f aca="false">SUM($T129:Z129)</f>
        <v>32.1257474284803</v>
      </c>
      <c r="AQ129" s="16" t="n">
        <f aca="false">SUM($T129:AA129)</f>
        <v>37.0299145306889</v>
      </c>
      <c r="AR129" s="16" t="n">
        <f aca="false">SUM($T129:AB129)</f>
        <v>42.3137029129466</v>
      </c>
      <c r="AS129" s="16" t="n">
        <f aca="false">SUM($T129:AC129)</f>
        <v>47.6747619453519</v>
      </c>
      <c r="AT129" s="16" t="n">
        <f aca="false">SUM($T129:AD129)</f>
        <v>53.3765519827159</v>
      </c>
      <c r="AU129" s="16" t="n">
        <f aca="false">SUM($T129:AE129)</f>
        <v>57.5580633444222</v>
      </c>
      <c r="AV129" s="16" t="n">
        <f aca="false">SUM($T129:AF129)</f>
        <v>62.542173949024</v>
      </c>
      <c r="AW129" s="16" t="n">
        <f aca="false">SUM($T129:AG129)</f>
        <v>66.7705096165674</v>
      </c>
      <c r="AX129" s="16" t="n">
        <f aca="false">SUM($T129:AH129)</f>
        <v>71.8135738919691</v>
      </c>
      <c r="AY129" s="16" t="n">
        <f aca="false">SUM($T129:AI129)</f>
        <v>76.0406901549438</v>
      </c>
      <c r="AZ129" s="16" t="n">
        <f aca="false">MAX(C129-AJ129,0)</f>
        <v>61.3158509362139</v>
      </c>
      <c r="BA129" s="16" t="n">
        <f aca="false">MAX(C129-AK129,0)</f>
        <v>56.5379065398102</v>
      </c>
      <c r="BB129" s="16" t="n">
        <f aca="false">MAX(C129-AL129,0)</f>
        <v>52.3428390998396</v>
      </c>
      <c r="BC129" s="16" t="n">
        <f aca="false">MAX(C129-AM129,0)</f>
        <v>47.5886769850563</v>
      </c>
      <c r="BD129" s="16" t="n">
        <f aca="false">MAX(C129-AN129,0)</f>
        <v>42.86997759454</v>
      </c>
      <c r="BE129" s="16" t="n">
        <f aca="false">MAX(C129-AO129,0)</f>
        <v>38.3029958473544</v>
      </c>
      <c r="BF129" s="16" t="n">
        <f aca="false">MAX(C129-AP129,0)</f>
        <v>34.0976292921651</v>
      </c>
      <c r="BG129" s="16" t="n">
        <f aca="false">MAX(C129-AQ129,0)</f>
        <v>29.1934621899565</v>
      </c>
      <c r="BH129" s="16" t="n">
        <f aca="false">MAX(C129-AR129,0)</f>
        <v>23.9096738076988</v>
      </c>
      <c r="BI129" s="16" t="n">
        <f aca="false">MAX(C129-AS129,0)</f>
        <v>18.5486147752935</v>
      </c>
      <c r="BJ129" s="16" t="n">
        <f aca="false">MAX(C129-AT129,0)</f>
        <v>12.8468247379295</v>
      </c>
      <c r="BK129" s="16" t="n">
        <f aca="false">MAX(C129-AU129,0)</f>
        <v>8.66531337622322</v>
      </c>
      <c r="BL129" s="16" t="n">
        <f aca="false">MAX(C129-AV129,0)</f>
        <v>3.68120277162135</v>
      </c>
      <c r="BM129" s="16" t="n">
        <f aca="false">MAX(C129-AW129,0)</f>
        <v>0</v>
      </c>
      <c r="BN129" s="16" t="n">
        <f aca="false">MAX(C129-AX129,0)</f>
        <v>0</v>
      </c>
      <c r="BO129" s="16" t="n">
        <f aca="false">MAX(C129-AY129,0)</f>
        <v>0</v>
      </c>
    </row>
    <row r="130" customFormat="false" ht="15" hidden="false" customHeight="false" outlineLevel="0" collapsed="false">
      <c r="A130" s="3" t="n">
        <v>100</v>
      </c>
      <c r="B130" s="15" t="n">
        <f aca="true">RAND()</f>
        <v>0.210453382535937</v>
      </c>
      <c r="C130" s="16" t="n">
        <f aca="false">LOOKUP(B130,$E$12:$E$17,$A$12:$A$17)+LOOKUP(B130,$E$12:$E$17,$D$12:$D$17)*(B130-LOOKUP(B130,$E$12:$E$17))/LOOKUP(B130,$E$12:$E$17,$C$12:$C$17)</f>
        <v>58.6817794178646</v>
      </c>
      <c r="D130" s="15" t="n">
        <f aca="true">RAND()</f>
        <v>0.326286405102937</v>
      </c>
      <c r="E130" s="15" t="n">
        <f aca="true">RAND()</f>
        <v>0.337029500225843</v>
      </c>
      <c r="F130" s="15" t="n">
        <f aca="true">RAND()</f>
        <v>0.351085996576506</v>
      </c>
      <c r="G130" s="15" t="n">
        <f aca="true">RAND()</f>
        <v>0.382731377975473</v>
      </c>
      <c r="H130" s="15" t="n">
        <f aca="true">RAND()</f>
        <v>0.650484798623385</v>
      </c>
      <c r="I130" s="15" t="n">
        <f aca="true">RAND()</f>
        <v>0.224457077765299</v>
      </c>
      <c r="J130" s="15" t="n">
        <f aca="true">RAND()</f>
        <v>0.850718455410304</v>
      </c>
      <c r="K130" s="15" t="n">
        <f aca="true">RAND()</f>
        <v>0.312194290236002</v>
      </c>
      <c r="L130" s="15" t="n">
        <f aca="true">RAND()</f>
        <v>0.625664282023669</v>
      </c>
      <c r="M130" s="15" t="n">
        <f aca="true">RAND()</f>
        <v>0.121454483498596</v>
      </c>
      <c r="N130" s="15" t="n">
        <f aca="true">RAND()</f>
        <v>0.163912065068163</v>
      </c>
      <c r="O130" s="15" t="n">
        <f aca="true">RAND()</f>
        <v>0.181678963062163</v>
      </c>
      <c r="P130" s="15" t="n">
        <f aca="true">RAND()</f>
        <v>0.31270747502993</v>
      </c>
      <c r="Q130" s="15" t="n">
        <f aca="true">RAND()</f>
        <v>0.00505787795057731</v>
      </c>
      <c r="R130" s="15" t="n">
        <f aca="true">RAND()</f>
        <v>0.143535466886054</v>
      </c>
      <c r="S130" s="15" t="n">
        <f aca="true">RAND()</f>
        <v>0.428617465471908</v>
      </c>
      <c r="T130" s="16" t="n">
        <f aca="false">LOOKUP(D130,$E$23:$E$26,$A$23:$A$26)+LOOKUP(D130,$E$23:$E$26,$D$23:$D$26)*(D130-LOOKUP(D130,$E$23:$E$26))/LOOKUP(D130,$E$23:$E$26,$C$23:$C$26)</f>
        <v>4.53285800637867</v>
      </c>
      <c r="U130" s="16" t="n">
        <f aca="false">LOOKUP(E130,$E$23:$E$26,$A$23:$A$26)+LOOKUP(E130,$E$23:$E$26,$D$23:$D$26)*(E130-LOOKUP(E130,$E$23:$E$26))/LOOKUP(E130,$E$23:$E$26,$C$23:$C$26)</f>
        <v>4.5462868752823</v>
      </c>
      <c r="V130" s="16" t="n">
        <f aca="false">LOOKUP(F130,$E$23:$E$26,$A$23:$A$26)+LOOKUP(F130,$E$23:$E$26,$D$23:$D$26)*(F130-LOOKUP(F130,$E$23:$E$26))/LOOKUP(F130,$E$23:$E$26,$C$23:$C$26)</f>
        <v>4.56385749572063</v>
      </c>
      <c r="W130" s="16" t="n">
        <f aca="false">LOOKUP(G130,$E$23:$E$26,$A$23:$A$26)+LOOKUP(G130,$E$23:$E$26,$D$23:$D$26)*(G130-LOOKUP(G130,$E$23:$E$26))/LOOKUP(G130,$E$23:$E$26,$C$23:$C$26)</f>
        <v>4.60341422246934</v>
      </c>
      <c r="X130" s="16" t="n">
        <f aca="false">LOOKUP(H130,$E$23:$E$26,$A$23:$A$26)+LOOKUP(H130,$E$23:$E$26,$D$23:$D$26)*(H130-LOOKUP(H130,$E$23:$E$26))/LOOKUP(H130,$E$23:$E$26,$C$23:$C$26)</f>
        <v>4.93810599827923</v>
      </c>
      <c r="Y130" s="16" t="n">
        <f aca="false">LOOKUP(I130,$E$23:$E$26,$A$23:$A$26)+LOOKUP(I130,$E$23:$E$26,$D$23:$D$26)*(I130-LOOKUP(I130,$E$23:$E$26))/LOOKUP(I130,$E$23:$E$26,$C$23:$C$26)</f>
        <v>4.37409512960883</v>
      </c>
      <c r="Z130" s="16" t="n">
        <f aca="false">LOOKUP(J130,$E$23:$E$26,$A$23:$A$26)+LOOKUP(J130,$E$23:$E$26,$D$23:$D$26)*(J130-LOOKUP(J130,$E$23:$E$26))/LOOKUP(J130,$E$23:$E$26,$C$23:$C$26)</f>
        <v>5.37679613852576</v>
      </c>
      <c r="AA130" s="16" t="n">
        <f aca="false">LOOKUP(K130,$E$23:$E$26,$A$23:$A$26)+LOOKUP(K130,$E$23:$E$26,$D$23:$D$26)*(K130-LOOKUP(K130,$E$23:$E$26))/LOOKUP(K130,$E$23:$E$26,$C$23:$C$26)</f>
        <v>4.515242862795</v>
      </c>
      <c r="AB130" s="16" t="n">
        <f aca="false">LOOKUP(L130,$E$23:$E$26,$A$23:$A$26)+LOOKUP(L130,$E$23:$E$26,$D$23:$D$26)*(L130-LOOKUP(L130,$E$23:$E$26))/LOOKUP(L130,$E$23:$E$26,$C$23:$C$26)</f>
        <v>4.90708035252959</v>
      </c>
      <c r="AC130" s="16" t="n">
        <f aca="false">LOOKUP(M130,$E$23:$E$26,$A$23:$A$26)+LOOKUP(M130,$E$23:$E$26,$D$23:$D$26)*(M130-LOOKUP(M130,$E$23:$E$26))/LOOKUP(M130,$E$23:$E$26,$C$23:$C$26)</f>
        <v>4.20242413916433</v>
      </c>
      <c r="AD130" s="16" t="n">
        <f aca="false">LOOKUP(N130,$E$23:$E$26,$A$23:$A$26)+LOOKUP(N130,$E$23:$E$26,$D$23:$D$26)*(N130-LOOKUP(N130,$E$23:$E$26))/LOOKUP(N130,$E$23:$E$26,$C$23:$C$26)</f>
        <v>4.27318677511361</v>
      </c>
      <c r="AE130" s="16" t="n">
        <f aca="false">LOOKUP(O130,$E$23:$E$26,$A$23:$A$26)+LOOKUP(O130,$E$23:$E$26,$D$23:$D$26)*(O130-LOOKUP(O130,$E$23:$E$26))/LOOKUP(O130,$E$23:$E$26,$C$23:$C$26)</f>
        <v>4.30279827177027</v>
      </c>
      <c r="AF130" s="16" t="n">
        <f aca="false">LOOKUP(P130,$E$23:$E$26,$A$23:$A$26)+LOOKUP(P130,$E$23:$E$26,$D$23:$D$26)*(P130-LOOKUP(P130,$E$23:$E$26))/LOOKUP(P130,$E$23:$E$26,$C$23:$C$26)</f>
        <v>4.51588434378741</v>
      </c>
      <c r="AG130" s="16" t="n">
        <f aca="false">LOOKUP(Q130,$E$23:$E$26,$A$23:$A$26)+LOOKUP(Q130,$E$23:$E$26,$D$23:$D$26)*(Q130-LOOKUP(Q130,$E$23:$E$26))/LOOKUP(Q130,$E$23:$E$26,$C$23:$C$26)</f>
        <v>4.0084297965843</v>
      </c>
      <c r="AH130" s="16" t="n">
        <f aca="false">LOOKUP(R130,$E$23:$E$26,$A$23:$A$26)+LOOKUP(R130,$E$23:$E$26,$D$23:$D$26)*(R130-LOOKUP(R130,$E$23:$E$26))/LOOKUP(R130,$E$23:$E$26,$C$23:$C$26)</f>
        <v>4.23922577814342</v>
      </c>
      <c r="AI130" s="16" t="n">
        <f aca="false">LOOKUP(S130,$E$23:$E$26,$A$23:$A$26)+LOOKUP(S130,$E$23:$E$26,$D$23:$D$26)*(S130-LOOKUP(S130,$E$23:$E$26))/LOOKUP(S130,$E$23:$E$26,$C$23:$C$26)</f>
        <v>4.66077183183989</v>
      </c>
      <c r="AJ130" s="16" t="n">
        <f aca="false">SUM($T130:T130)</f>
        <v>4.53285800637867</v>
      </c>
      <c r="AK130" s="16" t="n">
        <f aca="false">SUM($T130:U130)</f>
        <v>9.07914488166098</v>
      </c>
      <c r="AL130" s="16" t="n">
        <f aca="false">SUM($T130:V130)</f>
        <v>13.6430023773816</v>
      </c>
      <c r="AM130" s="16" t="n">
        <f aca="false">SUM($T130:W130)</f>
        <v>18.246416599851</v>
      </c>
      <c r="AN130" s="16" t="n">
        <f aca="false">SUM($T130:X130)</f>
        <v>23.1845225981302</v>
      </c>
      <c r="AO130" s="16" t="n">
        <f aca="false">SUM($T130:Y130)</f>
        <v>27.558617727739</v>
      </c>
      <c r="AP130" s="16" t="n">
        <f aca="false">SUM($T130:Z130)</f>
        <v>32.9354138662648</v>
      </c>
      <c r="AQ130" s="16" t="n">
        <f aca="false">SUM($T130:AA130)</f>
        <v>37.4506567290598</v>
      </c>
      <c r="AR130" s="16" t="n">
        <f aca="false">SUM($T130:AB130)</f>
        <v>42.3577370815894</v>
      </c>
      <c r="AS130" s="16" t="n">
        <f aca="false">SUM($T130:AC130)</f>
        <v>46.5601612207537</v>
      </c>
      <c r="AT130" s="16" t="n">
        <f aca="false">SUM($T130:AD130)</f>
        <v>50.8333479958673</v>
      </c>
      <c r="AU130" s="16" t="n">
        <f aca="false">SUM($T130:AE130)</f>
        <v>55.1361462676376</v>
      </c>
      <c r="AV130" s="16" t="n">
        <f aca="false">SUM($T130:AF130)</f>
        <v>59.652030611425</v>
      </c>
      <c r="AW130" s="16" t="n">
        <f aca="false">SUM($T130:AG130)</f>
        <v>63.6604604080093</v>
      </c>
      <c r="AX130" s="16" t="n">
        <f aca="false">SUM($T130:AH130)</f>
        <v>67.8996861861527</v>
      </c>
      <c r="AY130" s="16" t="n">
        <f aca="false">SUM($T130:AI130)</f>
        <v>72.5604580179926</v>
      </c>
      <c r="AZ130" s="16" t="n">
        <f aca="false">MAX(C130-AJ130,0)</f>
        <v>54.1489214114859</v>
      </c>
      <c r="BA130" s="16" t="n">
        <f aca="false">MAX(C130-AK130,0)</f>
        <v>49.6026345362036</v>
      </c>
      <c r="BB130" s="16" t="n">
        <f aca="false">MAX(C130-AL130,0)</f>
        <v>45.038777040483</v>
      </c>
      <c r="BC130" s="16" t="n">
        <f aca="false">MAX(C130-AM130,0)</f>
        <v>40.4353628180136</v>
      </c>
      <c r="BD130" s="16" t="n">
        <f aca="false">MAX(C130-AN130,0)</f>
        <v>35.4972568197344</v>
      </c>
      <c r="BE130" s="16" t="n">
        <f aca="false">MAX(C130-AO130,0)</f>
        <v>31.1231616901256</v>
      </c>
      <c r="BF130" s="16" t="n">
        <f aca="false">MAX(C130-AP130,0)</f>
        <v>25.7463655515998</v>
      </c>
      <c r="BG130" s="16" t="n">
        <f aca="false">MAX(C130-AQ130,0)</f>
        <v>21.2311226888048</v>
      </c>
      <c r="BH130" s="16" t="n">
        <f aca="false">MAX(C130-AR130,0)</f>
        <v>16.3240423362752</v>
      </c>
      <c r="BI130" s="16" t="n">
        <f aca="false">MAX(C130-AS130,0)</f>
        <v>12.1216181971109</v>
      </c>
      <c r="BJ130" s="16" t="n">
        <f aca="false">MAX(C130-AT130,0)</f>
        <v>7.84843142199727</v>
      </c>
      <c r="BK130" s="16" t="n">
        <f aca="false">MAX(C130-AU130,0)</f>
        <v>3.545633150227</v>
      </c>
      <c r="BL130" s="16" t="n">
        <f aca="false">MAX(C130-AV130,0)</f>
        <v>0</v>
      </c>
      <c r="BM130" s="16" t="n">
        <f aca="false">MAX(C130-AW130,0)</f>
        <v>0</v>
      </c>
      <c r="BN130" s="16" t="n">
        <f aca="false">MAX(C130-AX130,0)</f>
        <v>0</v>
      </c>
      <c r="BO130" s="16" t="n">
        <f aca="false">MAX(C130-AY130,0)</f>
        <v>0</v>
      </c>
    </row>
    <row r="131" customFormat="false" ht="15" hidden="false" customHeight="false" outlineLevel="0" collapsed="false">
      <c r="A131" s="3" t="n">
        <v>101</v>
      </c>
      <c r="B131" s="15" t="n">
        <f aca="true">RAND()</f>
        <v>0.807443223815847</v>
      </c>
      <c r="C131" s="16" t="n">
        <f aca="false">LOOKUP(B131,$E$12:$E$17,$A$12:$A$17)+LOOKUP(B131,$E$12:$E$17,$D$12:$D$17)*(B131-LOOKUP(B131,$E$12:$E$17))/LOOKUP(B131,$E$12:$E$17,$C$12:$C$17)</f>
        <v>68.6777603402264</v>
      </c>
      <c r="D131" s="15" t="n">
        <f aca="true">RAND()</f>
        <v>0.549625297886617</v>
      </c>
      <c r="E131" s="15" t="n">
        <f aca="true">RAND()</f>
        <v>0.952171401816545</v>
      </c>
      <c r="F131" s="15" t="n">
        <f aca="true">RAND()</f>
        <v>0.0319467617723999</v>
      </c>
      <c r="G131" s="15" t="n">
        <f aca="true">RAND()</f>
        <v>0.841970146073358</v>
      </c>
      <c r="H131" s="15" t="n">
        <f aca="true">RAND()</f>
        <v>0.56649730892166</v>
      </c>
      <c r="I131" s="15" t="n">
        <f aca="true">RAND()</f>
        <v>0.0429792809416854</v>
      </c>
      <c r="J131" s="15" t="n">
        <f aca="true">RAND()</f>
        <v>0.168685392585069</v>
      </c>
      <c r="K131" s="15" t="n">
        <f aca="true">RAND()</f>
        <v>0.576129244226774</v>
      </c>
      <c r="L131" s="15" t="n">
        <f aca="true">RAND()</f>
        <v>0.0707839357746587</v>
      </c>
      <c r="M131" s="15" t="n">
        <f aca="true">RAND()</f>
        <v>0.194233748786667</v>
      </c>
      <c r="N131" s="15" t="n">
        <f aca="true">RAND()</f>
        <v>0.0212663931927459</v>
      </c>
      <c r="O131" s="15" t="n">
        <f aca="true">RAND()</f>
        <v>0.644080261788462</v>
      </c>
      <c r="P131" s="15" t="n">
        <f aca="true">RAND()</f>
        <v>0.340726884240699</v>
      </c>
      <c r="Q131" s="15" t="n">
        <f aca="true">RAND()</f>
        <v>0.0436580287746442</v>
      </c>
      <c r="R131" s="15" t="n">
        <f aca="true">RAND()</f>
        <v>0.117078911060889</v>
      </c>
      <c r="S131" s="15" t="n">
        <f aca="true">RAND()</f>
        <v>0.348857838395244</v>
      </c>
      <c r="T131" s="16" t="n">
        <f aca="false">LOOKUP(D131,$E$23:$E$26,$A$23:$A$26)+LOOKUP(D131,$E$23:$E$26,$D$23:$D$26)*(D131-LOOKUP(D131,$E$23:$E$26))/LOOKUP(D131,$E$23:$E$26,$C$23:$C$26)</f>
        <v>4.81203162235827</v>
      </c>
      <c r="U131" s="16" t="n">
        <f aca="false">LOOKUP(E131,$E$23:$E$26,$A$23:$A$26)+LOOKUP(E131,$E$23:$E$26,$D$23:$D$26)*(E131-LOOKUP(E131,$E$23:$E$26))/LOOKUP(E131,$E$23:$E$26,$C$23:$C$26)</f>
        <v>5.76085700908273</v>
      </c>
      <c r="V131" s="16" t="n">
        <f aca="false">LOOKUP(F131,$E$23:$E$26,$A$23:$A$26)+LOOKUP(F131,$E$23:$E$26,$D$23:$D$26)*(F131-LOOKUP(F131,$E$23:$E$26))/LOOKUP(F131,$E$23:$E$26,$C$23:$C$26)</f>
        <v>4.053244602954</v>
      </c>
      <c r="W131" s="16" t="n">
        <f aca="false">LOOKUP(G131,$E$23:$E$26,$A$23:$A$26)+LOOKUP(G131,$E$23:$E$26,$D$23:$D$26)*(G131-LOOKUP(G131,$E$23:$E$26))/LOOKUP(G131,$E$23:$E$26,$C$23:$C$26)</f>
        <v>5.35492536518339</v>
      </c>
      <c r="X131" s="16" t="n">
        <f aca="false">LOOKUP(H131,$E$23:$E$26,$A$23:$A$26)+LOOKUP(H131,$E$23:$E$26,$D$23:$D$26)*(H131-LOOKUP(H131,$E$23:$E$26))/LOOKUP(H131,$E$23:$E$26,$C$23:$C$26)</f>
        <v>4.83312163615208</v>
      </c>
      <c r="Y131" s="16" t="n">
        <f aca="false">LOOKUP(I131,$E$23:$E$26,$A$23:$A$26)+LOOKUP(I131,$E$23:$E$26,$D$23:$D$26)*(I131-LOOKUP(I131,$E$23:$E$26))/LOOKUP(I131,$E$23:$E$26,$C$23:$C$26)</f>
        <v>4.07163213490281</v>
      </c>
      <c r="Z131" s="16" t="n">
        <f aca="false">LOOKUP(J131,$E$23:$E$26,$A$23:$A$26)+LOOKUP(J131,$E$23:$E$26,$D$23:$D$26)*(J131-LOOKUP(J131,$E$23:$E$26))/LOOKUP(J131,$E$23:$E$26,$C$23:$C$26)</f>
        <v>4.28114232097512</v>
      </c>
      <c r="AA131" s="16" t="n">
        <f aca="false">LOOKUP(K131,$E$23:$E$26,$A$23:$A$26)+LOOKUP(K131,$E$23:$E$26,$D$23:$D$26)*(K131-LOOKUP(K131,$E$23:$E$26))/LOOKUP(K131,$E$23:$E$26,$C$23:$C$26)</f>
        <v>4.84516155528347</v>
      </c>
      <c r="AB131" s="16" t="n">
        <f aca="false">LOOKUP(L131,$E$23:$E$26,$A$23:$A$26)+LOOKUP(L131,$E$23:$E$26,$D$23:$D$26)*(L131-LOOKUP(L131,$E$23:$E$26))/LOOKUP(L131,$E$23:$E$26,$C$23:$C$26)</f>
        <v>4.1179732262911</v>
      </c>
      <c r="AC131" s="16" t="n">
        <f aca="false">LOOKUP(M131,$E$23:$E$26,$A$23:$A$26)+LOOKUP(M131,$E$23:$E$26,$D$23:$D$26)*(M131-LOOKUP(M131,$E$23:$E$26))/LOOKUP(M131,$E$23:$E$26,$C$23:$C$26)</f>
        <v>4.32372291464445</v>
      </c>
      <c r="AD131" s="16" t="n">
        <f aca="false">LOOKUP(N131,$E$23:$E$26,$A$23:$A$26)+LOOKUP(N131,$E$23:$E$26,$D$23:$D$26)*(N131-LOOKUP(N131,$E$23:$E$26))/LOOKUP(N131,$E$23:$E$26,$C$23:$C$26)</f>
        <v>4.03544398865458</v>
      </c>
      <c r="AE131" s="16" t="n">
        <f aca="false">LOOKUP(O131,$E$23:$E$26,$A$23:$A$26)+LOOKUP(O131,$E$23:$E$26,$D$23:$D$26)*(O131-LOOKUP(O131,$E$23:$E$26))/LOOKUP(O131,$E$23:$E$26,$C$23:$C$26)</f>
        <v>4.93010032723558</v>
      </c>
      <c r="AF131" s="16" t="n">
        <f aca="false">LOOKUP(P131,$E$23:$E$26,$A$23:$A$26)+LOOKUP(P131,$E$23:$E$26,$D$23:$D$26)*(P131-LOOKUP(P131,$E$23:$E$26))/LOOKUP(P131,$E$23:$E$26,$C$23:$C$26)</f>
        <v>4.55090860530087</v>
      </c>
      <c r="AG131" s="16" t="n">
        <f aca="false">LOOKUP(Q131,$E$23:$E$26,$A$23:$A$26)+LOOKUP(Q131,$E$23:$E$26,$D$23:$D$26)*(Q131-LOOKUP(Q131,$E$23:$E$26))/LOOKUP(Q131,$E$23:$E$26,$C$23:$C$26)</f>
        <v>4.07276338129107</v>
      </c>
      <c r="AH131" s="16" t="n">
        <f aca="false">LOOKUP(R131,$E$23:$E$26,$A$23:$A$26)+LOOKUP(R131,$E$23:$E$26,$D$23:$D$26)*(R131-LOOKUP(R131,$E$23:$E$26))/LOOKUP(R131,$E$23:$E$26,$C$23:$C$26)</f>
        <v>4.19513151843481</v>
      </c>
      <c r="AI131" s="16" t="n">
        <f aca="false">LOOKUP(S131,$E$23:$E$26,$A$23:$A$26)+LOOKUP(S131,$E$23:$E$26,$D$23:$D$26)*(S131-LOOKUP(S131,$E$23:$E$26))/LOOKUP(S131,$E$23:$E$26,$C$23:$C$26)</f>
        <v>4.56107229799406</v>
      </c>
      <c r="AJ131" s="16" t="n">
        <f aca="false">SUM($T131:T131)</f>
        <v>4.81203162235827</v>
      </c>
      <c r="AK131" s="16" t="n">
        <f aca="false">SUM($T131:U131)</f>
        <v>10.572888631441</v>
      </c>
      <c r="AL131" s="16" t="n">
        <f aca="false">SUM($T131:V131)</f>
        <v>14.626133234395</v>
      </c>
      <c r="AM131" s="16" t="n">
        <f aca="false">SUM($T131:W131)</f>
        <v>19.9810585995784</v>
      </c>
      <c r="AN131" s="16" t="n">
        <f aca="false">SUM($T131:X131)</f>
        <v>24.8141802357305</v>
      </c>
      <c r="AO131" s="16" t="n">
        <f aca="false">SUM($T131:Y131)</f>
        <v>28.8858123706333</v>
      </c>
      <c r="AP131" s="16" t="n">
        <f aca="false">SUM($T131:Z131)</f>
        <v>33.1669546916084</v>
      </c>
      <c r="AQ131" s="16" t="n">
        <f aca="false">SUM($T131:AA131)</f>
        <v>38.0121162468919</v>
      </c>
      <c r="AR131" s="16" t="n">
        <f aca="false">SUM($T131:AB131)</f>
        <v>42.130089473183</v>
      </c>
      <c r="AS131" s="16" t="n">
        <f aca="false">SUM($T131:AC131)</f>
        <v>46.4538123878274</v>
      </c>
      <c r="AT131" s="16" t="n">
        <f aca="false">SUM($T131:AD131)</f>
        <v>50.489256376482</v>
      </c>
      <c r="AU131" s="16" t="n">
        <f aca="false">SUM($T131:AE131)</f>
        <v>55.4193567037176</v>
      </c>
      <c r="AV131" s="16" t="n">
        <f aca="false">SUM($T131:AF131)</f>
        <v>59.9702653090184</v>
      </c>
      <c r="AW131" s="16" t="n">
        <f aca="false">SUM($T131:AG131)</f>
        <v>64.0430286903095</v>
      </c>
      <c r="AX131" s="16" t="n">
        <f aca="false">SUM($T131:AH131)</f>
        <v>68.2381602087443</v>
      </c>
      <c r="AY131" s="16" t="n">
        <f aca="false">SUM($T131:AI131)</f>
        <v>72.7992325067384</v>
      </c>
      <c r="AZ131" s="16" t="n">
        <f aca="false">MAX(C131-AJ131,0)</f>
        <v>63.8657287178681</v>
      </c>
      <c r="BA131" s="16" t="n">
        <f aca="false">MAX(C131-AK131,0)</f>
        <v>58.1048717087854</v>
      </c>
      <c r="BB131" s="16" t="n">
        <f aca="false">MAX(C131-AL131,0)</f>
        <v>54.0516271058314</v>
      </c>
      <c r="BC131" s="16" t="n">
        <f aca="false">MAX(C131-AM131,0)</f>
        <v>48.696701740648</v>
      </c>
      <c r="BD131" s="16" t="n">
        <f aca="false">MAX(C131-AN131,0)</f>
        <v>43.8635801044959</v>
      </c>
      <c r="BE131" s="16" t="n">
        <f aca="false">MAX(C131-AO131,0)</f>
        <v>39.7919479695931</v>
      </c>
      <c r="BF131" s="16" t="n">
        <f aca="false">MAX(C131-AP131,0)</f>
        <v>35.510805648618</v>
      </c>
      <c r="BG131" s="16" t="n">
        <f aca="false">MAX(C131-AQ131,0)</f>
        <v>30.6656440933345</v>
      </c>
      <c r="BH131" s="16" t="n">
        <f aca="false">MAX(C131-AR131,0)</f>
        <v>26.5476708670434</v>
      </c>
      <c r="BI131" s="16" t="n">
        <f aca="false">MAX(C131-AS131,0)</f>
        <v>22.223947952399</v>
      </c>
      <c r="BJ131" s="16" t="n">
        <f aca="false">MAX(C131-AT131,0)</f>
        <v>18.1885039637444</v>
      </c>
      <c r="BK131" s="16" t="n">
        <f aca="false">MAX(C131-AU131,0)</f>
        <v>13.2584036365088</v>
      </c>
      <c r="BL131" s="16" t="n">
        <f aca="false">MAX(C131-AV131,0)</f>
        <v>8.70749503120796</v>
      </c>
      <c r="BM131" s="16" t="n">
        <f aca="false">MAX(C131-AW131,0)</f>
        <v>4.63473164991689</v>
      </c>
      <c r="BN131" s="16" t="n">
        <f aca="false">MAX(C131-AX131,0)</f>
        <v>0.439600131482067</v>
      </c>
      <c r="BO131" s="16" t="n">
        <f aca="false">MAX(C131-AY131,0)</f>
        <v>0</v>
      </c>
    </row>
    <row r="132" customFormat="false" ht="15" hidden="false" customHeight="false" outlineLevel="0" collapsed="false">
      <c r="A132" s="3" t="n">
        <v>102</v>
      </c>
      <c r="B132" s="15" t="n">
        <f aca="true">RAND()</f>
        <v>0.867269297236412</v>
      </c>
      <c r="C132" s="16" t="n">
        <f aca="false">LOOKUP(B132,$E$12:$E$17,$A$12:$A$17)+LOOKUP(B132,$E$12:$E$17,$D$12:$D$17)*(B132-LOOKUP(B132,$E$12:$E$17))/LOOKUP(B132,$E$12:$E$17,$C$12:$C$17)</f>
        <v>69.5324185319488</v>
      </c>
      <c r="D132" s="15" t="n">
        <f aca="true">RAND()</f>
        <v>0.83178686313211</v>
      </c>
      <c r="E132" s="15" t="n">
        <f aca="true">RAND()</f>
        <v>0.874393766770388</v>
      </c>
      <c r="F132" s="15" t="n">
        <f aca="true">RAND()</f>
        <v>0.494184472380795</v>
      </c>
      <c r="G132" s="15" t="n">
        <f aca="true">RAND()</f>
        <v>0.480967012519107</v>
      </c>
      <c r="H132" s="15" t="n">
        <f aca="true">RAND()</f>
        <v>0.797864524891844</v>
      </c>
      <c r="I132" s="15" t="n">
        <f aca="true">RAND()</f>
        <v>0.606683752408441</v>
      </c>
      <c r="J132" s="15" t="n">
        <f aca="true">RAND()</f>
        <v>0.663906456652092</v>
      </c>
      <c r="K132" s="15" t="n">
        <f aca="true">RAND()</f>
        <v>0.814279664071235</v>
      </c>
      <c r="L132" s="15" t="n">
        <f aca="true">RAND()</f>
        <v>0.725782070124016</v>
      </c>
      <c r="M132" s="15" t="n">
        <f aca="true">RAND()</f>
        <v>0.38911200153733</v>
      </c>
      <c r="N132" s="15" t="n">
        <f aca="true">RAND()</f>
        <v>0.502436868517484</v>
      </c>
      <c r="O132" s="15" t="n">
        <f aca="true">RAND()</f>
        <v>0.970397979333825</v>
      </c>
      <c r="P132" s="15" t="n">
        <f aca="true">RAND()</f>
        <v>0.452773824914265</v>
      </c>
      <c r="Q132" s="15" t="n">
        <f aca="true">RAND()</f>
        <v>0.775056839072965</v>
      </c>
      <c r="R132" s="15" t="n">
        <f aca="true">RAND()</f>
        <v>0.186850176190688</v>
      </c>
      <c r="S132" s="15" t="n">
        <f aca="true">RAND()</f>
        <v>0.205379048714845</v>
      </c>
      <c r="T132" s="16" t="n">
        <f aca="false">LOOKUP(D132,$E$23:$E$26,$A$23:$A$26)+LOOKUP(D132,$E$23:$E$26,$D$23:$D$26)*(D132-LOOKUP(D132,$E$23:$E$26))/LOOKUP(D132,$E$23:$E$26,$C$23:$C$26)</f>
        <v>5.32946715783027</v>
      </c>
      <c r="U132" s="16" t="n">
        <f aca="false">LOOKUP(E132,$E$23:$E$26,$A$23:$A$26)+LOOKUP(E132,$E$23:$E$26,$D$23:$D$26)*(E132-LOOKUP(E132,$E$23:$E$26))/LOOKUP(E132,$E$23:$E$26,$C$23:$C$26)</f>
        <v>5.43598441692597</v>
      </c>
      <c r="V132" s="16" t="n">
        <f aca="false">LOOKUP(F132,$E$23:$E$26,$A$23:$A$26)+LOOKUP(F132,$E$23:$E$26,$D$23:$D$26)*(F132-LOOKUP(F132,$E$23:$E$26))/LOOKUP(F132,$E$23:$E$26,$C$23:$C$26)</f>
        <v>4.74273059047599</v>
      </c>
      <c r="W132" s="16" t="n">
        <f aca="false">LOOKUP(G132,$E$23:$E$26,$A$23:$A$26)+LOOKUP(G132,$E$23:$E$26,$D$23:$D$26)*(G132-LOOKUP(G132,$E$23:$E$26))/LOOKUP(G132,$E$23:$E$26,$C$23:$C$26)</f>
        <v>4.72620876564888</v>
      </c>
      <c r="X132" s="16" t="n">
        <f aca="false">LOOKUP(H132,$E$23:$E$26,$A$23:$A$26)+LOOKUP(H132,$E$23:$E$26,$D$23:$D$26)*(H132-LOOKUP(H132,$E$23:$E$26))/LOOKUP(H132,$E$23:$E$26,$C$23:$C$26)</f>
        <v>5.24466131222961</v>
      </c>
      <c r="Y132" s="16" t="n">
        <f aca="false">LOOKUP(I132,$E$23:$E$26,$A$23:$A$26)+LOOKUP(I132,$E$23:$E$26,$D$23:$D$26)*(I132-LOOKUP(I132,$E$23:$E$26))/LOOKUP(I132,$E$23:$E$26,$C$23:$C$26)</f>
        <v>4.88335469051055</v>
      </c>
      <c r="Z132" s="16" t="n">
        <f aca="false">LOOKUP(J132,$E$23:$E$26,$A$23:$A$26)+LOOKUP(J132,$E$23:$E$26,$D$23:$D$26)*(J132-LOOKUP(J132,$E$23:$E$26))/LOOKUP(J132,$E$23:$E$26,$C$23:$C$26)</f>
        <v>4.95488307081512</v>
      </c>
      <c r="AA132" s="16" t="n">
        <f aca="false">LOOKUP(K132,$E$23:$E$26,$A$23:$A$26)+LOOKUP(K132,$E$23:$E$26,$D$23:$D$26)*(K132-LOOKUP(K132,$E$23:$E$26))/LOOKUP(K132,$E$23:$E$26,$C$23:$C$26)</f>
        <v>5.28569916017809</v>
      </c>
      <c r="AB132" s="16" t="n">
        <f aca="false">LOOKUP(L132,$E$23:$E$26,$A$23:$A$26)+LOOKUP(L132,$E$23:$E$26,$D$23:$D$26)*(L132-LOOKUP(L132,$E$23:$E$26))/LOOKUP(L132,$E$23:$E$26,$C$23:$C$26)</f>
        <v>5.06445517531004</v>
      </c>
      <c r="AC132" s="16" t="n">
        <f aca="false">LOOKUP(M132,$E$23:$E$26,$A$23:$A$26)+LOOKUP(M132,$E$23:$E$26,$D$23:$D$26)*(M132-LOOKUP(M132,$E$23:$E$26))/LOOKUP(M132,$E$23:$E$26,$C$23:$C$26)</f>
        <v>4.61139000192166</v>
      </c>
      <c r="AD132" s="16" t="n">
        <f aca="false">LOOKUP(N132,$E$23:$E$26,$A$23:$A$26)+LOOKUP(N132,$E$23:$E$26,$D$23:$D$26)*(N132-LOOKUP(N132,$E$23:$E$26))/LOOKUP(N132,$E$23:$E$26,$C$23:$C$26)</f>
        <v>4.75304608564686</v>
      </c>
      <c r="AE132" s="16" t="n">
        <f aca="false">LOOKUP(O132,$E$23:$E$26,$A$23:$A$26)+LOOKUP(O132,$E$23:$E$26,$D$23:$D$26)*(O132-LOOKUP(O132,$E$23:$E$26))/LOOKUP(O132,$E$23:$E$26,$C$23:$C$26)</f>
        <v>5.85198989666912</v>
      </c>
      <c r="AF132" s="16" t="n">
        <f aca="false">LOOKUP(P132,$E$23:$E$26,$A$23:$A$26)+LOOKUP(P132,$E$23:$E$26,$D$23:$D$26)*(P132-LOOKUP(P132,$E$23:$E$26))/LOOKUP(P132,$E$23:$E$26,$C$23:$C$26)</f>
        <v>4.69096728114283</v>
      </c>
      <c r="AG132" s="16" t="n">
        <f aca="false">LOOKUP(Q132,$E$23:$E$26,$A$23:$A$26)+LOOKUP(Q132,$E$23:$E$26,$D$23:$D$26)*(Q132-LOOKUP(Q132,$E$23:$E$26))/LOOKUP(Q132,$E$23:$E$26,$C$23:$C$26)</f>
        <v>5.18764209768241</v>
      </c>
      <c r="AH132" s="16" t="n">
        <f aca="false">LOOKUP(R132,$E$23:$E$26,$A$23:$A$26)+LOOKUP(R132,$E$23:$E$26,$D$23:$D$26)*(R132-LOOKUP(R132,$E$23:$E$26))/LOOKUP(R132,$E$23:$E$26,$C$23:$C$26)</f>
        <v>4.31141696031781</v>
      </c>
      <c r="AI132" s="16" t="n">
        <f aca="false">LOOKUP(S132,$E$23:$E$26,$A$23:$A$26)+LOOKUP(S132,$E$23:$E$26,$D$23:$D$26)*(S132-LOOKUP(S132,$E$23:$E$26))/LOOKUP(S132,$E$23:$E$26,$C$23:$C$26)</f>
        <v>4.34229841452474</v>
      </c>
      <c r="AJ132" s="16" t="n">
        <f aca="false">SUM($T132:T132)</f>
        <v>5.32946715783027</v>
      </c>
      <c r="AK132" s="16" t="n">
        <f aca="false">SUM($T132:U132)</f>
        <v>10.7654515747562</v>
      </c>
      <c r="AL132" s="16" t="n">
        <f aca="false">SUM($T132:V132)</f>
        <v>15.5081821652322</v>
      </c>
      <c r="AM132" s="16" t="n">
        <f aca="false">SUM($T132:W132)</f>
        <v>20.2343909308811</v>
      </c>
      <c r="AN132" s="16" t="n">
        <f aca="false">SUM($T132:X132)</f>
        <v>25.4790522431107</v>
      </c>
      <c r="AO132" s="16" t="n">
        <f aca="false">SUM($T132:Y132)</f>
        <v>30.3624069336213</v>
      </c>
      <c r="AP132" s="16" t="n">
        <f aca="false">SUM($T132:Z132)</f>
        <v>35.3172900044364</v>
      </c>
      <c r="AQ132" s="16" t="n">
        <f aca="false">SUM($T132:AA132)</f>
        <v>40.6029891646145</v>
      </c>
      <c r="AR132" s="16" t="n">
        <f aca="false">SUM($T132:AB132)</f>
        <v>45.6674443399245</v>
      </c>
      <c r="AS132" s="16" t="n">
        <f aca="false">SUM($T132:AC132)</f>
        <v>50.2788343418462</v>
      </c>
      <c r="AT132" s="16" t="n">
        <f aca="false">SUM($T132:AD132)</f>
        <v>55.031880427493</v>
      </c>
      <c r="AU132" s="16" t="n">
        <f aca="false">SUM($T132:AE132)</f>
        <v>60.8838703241622</v>
      </c>
      <c r="AV132" s="16" t="n">
        <f aca="false">SUM($T132:AF132)</f>
        <v>65.574837605305</v>
      </c>
      <c r="AW132" s="16" t="n">
        <f aca="false">SUM($T132:AG132)</f>
        <v>70.7624797029874</v>
      </c>
      <c r="AX132" s="16" t="n">
        <f aca="false">SUM($T132:AH132)</f>
        <v>75.0738966633052</v>
      </c>
      <c r="AY132" s="16" t="n">
        <f aca="false">SUM($T132:AI132)</f>
        <v>79.41619507783</v>
      </c>
      <c r="AZ132" s="16" t="n">
        <f aca="false">MAX(C132-AJ132,0)</f>
        <v>64.2029513741185</v>
      </c>
      <c r="BA132" s="16" t="n">
        <f aca="false">MAX(C132-AK132,0)</f>
        <v>58.7669669571925</v>
      </c>
      <c r="BB132" s="16" t="n">
        <f aca="false">MAX(C132-AL132,0)</f>
        <v>54.0242363667165</v>
      </c>
      <c r="BC132" s="16" t="n">
        <f aca="false">MAX(C132-AM132,0)</f>
        <v>49.2980276010676</v>
      </c>
      <c r="BD132" s="16" t="n">
        <f aca="false">MAX(C132-AN132,0)</f>
        <v>44.053366288838</v>
      </c>
      <c r="BE132" s="16" t="n">
        <f aca="false">MAX(C132-AO132,0)</f>
        <v>39.1700115983275</v>
      </c>
      <c r="BF132" s="16" t="n">
        <f aca="false">MAX(C132-AP132,0)</f>
        <v>34.2151285275124</v>
      </c>
      <c r="BG132" s="16" t="n">
        <f aca="false">MAX(C132-AQ132,0)</f>
        <v>28.9294293673343</v>
      </c>
      <c r="BH132" s="16" t="n">
        <f aca="false">MAX(C132-AR132,0)</f>
        <v>23.8649741920242</v>
      </c>
      <c r="BI132" s="16" t="n">
        <f aca="false">MAX(C132-AS132,0)</f>
        <v>19.2535841901026</v>
      </c>
      <c r="BJ132" s="16" t="n">
        <f aca="false">MAX(C132-AT132,0)</f>
        <v>14.5005381044557</v>
      </c>
      <c r="BK132" s="16" t="n">
        <f aca="false">MAX(C132-AU132,0)</f>
        <v>8.64854820778658</v>
      </c>
      <c r="BL132" s="16" t="n">
        <f aca="false">MAX(C132-AV132,0)</f>
        <v>3.95758092664376</v>
      </c>
      <c r="BM132" s="16" t="n">
        <f aca="false">MAX(C132-AW132,0)</f>
        <v>0</v>
      </c>
      <c r="BN132" s="16" t="n">
        <f aca="false">MAX(C132-AX132,0)</f>
        <v>0</v>
      </c>
      <c r="BO132" s="16" t="n">
        <f aca="false">MAX(C132-AY132,0)</f>
        <v>0</v>
      </c>
    </row>
    <row r="133" customFormat="false" ht="15" hidden="false" customHeight="false" outlineLevel="0" collapsed="false">
      <c r="A133" s="3" t="n">
        <v>103</v>
      </c>
      <c r="B133" s="15" t="n">
        <f aca="true">RAND()</f>
        <v>0.661223248813817</v>
      </c>
      <c r="C133" s="16" t="n">
        <f aca="false">LOOKUP(B133,$E$12:$E$17,$A$12:$A$17)+LOOKUP(B133,$E$12:$E$17,$D$12:$D$17)*(B133-LOOKUP(B133,$E$12:$E$17))/LOOKUP(B133,$E$12:$E$17,$C$12:$C$17)</f>
        <v>66.5889035544831</v>
      </c>
      <c r="D133" s="15" t="n">
        <f aca="true">RAND()</f>
        <v>0.975136597724833</v>
      </c>
      <c r="E133" s="15" t="n">
        <f aca="true">RAND()</f>
        <v>0.803819332442376</v>
      </c>
      <c r="F133" s="15" t="n">
        <f aca="true">RAND()</f>
        <v>0.677135276239382</v>
      </c>
      <c r="G133" s="15" t="n">
        <f aca="true">RAND()</f>
        <v>0.934178081871571</v>
      </c>
      <c r="H133" s="15" t="n">
        <f aca="true">RAND()</f>
        <v>0.250630290354625</v>
      </c>
      <c r="I133" s="15" t="n">
        <f aca="true">RAND()</f>
        <v>0.24094306417369</v>
      </c>
      <c r="J133" s="15" t="n">
        <f aca="true">RAND()</f>
        <v>0.136271762199475</v>
      </c>
      <c r="K133" s="15" t="n">
        <f aca="true">RAND()</f>
        <v>0.451010779418676</v>
      </c>
      <c r="L133" s="15" t="n">
        <f aca="true">RAND()</f>
        <v>0.464870387604254</v>
      </c>
      <c r="M133" s="15" t="n">
        <f aca="true">RAND()</f>
        <v>0.986733685427748</v>
      </c>
      <c r="N133" s="15" t="n">
        <f aca="true">RAND()</f>
        <v>0.626666693684391</v>
      </c>
      <c r="O133" s="15" t="n">
        <f aca="true">RAND()</f>
        <v>0.51070432242152</v>
      </c>
      <c r="P133" s="15" t="n">
        <f aca="true">RAND()</f>
        <v>0.479418449671801</v>
      </c>
      <c r="Q133" s="15" t="n">
        <f aca="true">RAND()</f>
        <v>0.853139834878507</v>
      </c>
      <c r="R133" s="15" t="n">
        <f aca="true">RAND()</f>
        <v>0.256993621174247</v>
      </c>
      <c r="S133" s="15" t="n">
        <f aca="true">RAND()</f>
        <v>0.507932538033546</v>
      </c>
      <c r="T133" s="16" t="n">
        <f aca="false">LOOKUP(D133,$E$23:$E$26,$A$23:$A$26)+LOOKUP(D133,$E$23:$E$26,$D$23:$D$26)*(D133-LOOKUP(D133,$E$23:$E$26))/LOOKUP(D133,$E$23:$E$26,$C$23:$C$26)</f>
        <v>5.87568298862417</v>
      </c>
      <c r="U133" s="16" t="n">
        <f aca="false">LOOKUP(E133,$E$23:$E$26,$A$23:$A$26)+LOOKUP(E133,$E$23:$E$26,$D$23:$D$26)*(E133-LOOKUP(E133,$E$23:$E$26))/LOOKUP(E133,$E$23:$E$26,$C$23:$C$26)</f>
        <v>5.25954833110594</v>
      </c>
      <c r="V133" s="16" t="n">
        <f aca="false">LOOKUP(F133,$E$23:$E$26,$A$23:$A$26)+LOOKUP(F133,$E$23:$E$26,$D$23:$D$26)*(F133-LOOKUP(F133,$E$23:$E$26))/LOOKUP(F133,$E$23:$E$26,$C$23:$C$26)</f>
        <v>4.97141909529923</v>
      </c>
      <c r="W133" s="16" t="n">
        <f aca="false">LOOKUP(G133,$E$23:$E$26,$A$23:$A$26)+LOOKUP(G133,$E$23:$E$26,$D$23:$D$26)*(G133-LOOKUP(G133,$E$23:$E$26))/LOOKUP(G133,$E$23:$E$26,$C$23:$C$26)</f>
        <v>5.67089040935786</v>
      </c>
      <c r="X133" s="16" t="n">
        <f aca="false">LOOKUP(H133,$E$23:$E$26,$A$23:$A$26)+LOOKUP(H133,$E$23:$E$26,$D$23:$D$26)*(H133-LOOKUP(H133,$E$23:$E$26))/LOOKUP(H133,$E$23:$E$26,$C$23:$C$26)</f>
        <v>4.41771715059104</v>
      </c>
      <c r="Y133" s="16" t="n">
        <f aca="false">LOOKUP(I133,$E$23:$E$26,$A$23:$A$26)+LOOKUP(I133,$E$23:$E$26,$D$23:$D$26)*(I133-LOOKUP(I133,$E$23:$E$26))/LOOKUP(I133,$E$23:$E$26,$C$23:$C$26)</f>
        <v>4.40157177362282</v>
      </c>
      <c r="Z133" s="16" t="n">
        <f aca="false">LOOKUP(J133,$E$23:$E$26,$A$23:$A$26)+LOOKUP(J133,$E$23:$E$26,$D$23:$D$26)*(J133-LOOKUP(J133,$E$23:$E$26))/LOOKUP(J133,$E$23:$E$26,$C$23:$C$26)</f>
        <v>4.22711960366579</v>
      </c>
      <c r="AA133" s="16" t="n">
        <f aca="false">LOOKUP(K133,$E$23:$E$26,$A$23:$A$26)+LOOKUP(K133,$E$23:$E$26,$D$23:$D$26)*(K133-LOOKUP(K133,$E$23:$E$26))/LOOKUP(K133,$E$23:$E$26,$C$23:$C$26)</f>
        <v>4.68876347427335</v>
      </c>
      <c r="AB133" s="16" t="n">
        <f aca="false">LOOKUP(L133,$E$23:$E$26,$A$23:$A$26)+LOOKUP(L133,$E$23:$E$26,$D$23:$D$26)*(L133-LOOKUP(L133,$E$23:$E$26))/LOOKUP(L133,$E$23:$E$26,$C$23:$C$26)</f>
        <v>4.70608798450532</v>
      </c>
      <c r="AC133" s="16" t="n">
        <f aca="false">LOOKUP(M133,$E$23:$E$26,$A$23:$A$26)+LOOKUP(M133,$E$23:$E$26,$D$23:$D$26)*(M133-LOOKUP(M133,$E$23:$E$26))/LOOKUP(M133,$E$23:$E$26,$C$23:$C$26)</f>
        <v>5.93366842713874</v>
      </c>
      <c r="AD133" s="16" t="n">
        <f aca="false">LOOKUP(N133,$E$23:$E$26,$A$23:$A$26)+LOOKUP(N133,$E$23:$E$26,$D$23:$D$26)*(N133-LOOKUP(N133,$E$23:$E$26))/LOOKUP(N133,$E$23:$E$26,$C$23:$C$26)</f>
        <v>4.90833336710549</v>
      </c>
      <c r="AE133" s="16" t="n">
        <f aca="false">LOOKUP(O133,$E$23:$E$26,$A$23:$A$26)+LOOKUP(O133,$E$23:$E$26,$D$23:$D$26)*(O133-LOOKUP(O133,$E$23:$E$26))/LOOKUP(O133,$E$23:$E$26,$C$23:$C$26)</f>
        <v>4.7633804030269</v>
      </c>
      <c r="AF133" s="16" t="n">
        <f aca="false">LOOKUP(P133,$E$23:$E$26,$A$23:$A$26)+LOOKUP(P133,$E$23:$E$26,$D$23:$D$26)*(P133-LOOKUP(P133,$E$23:$E$26))/LOOKUP(P133,$E$23:$E$26,$C$23:$C$26)</f>
        <v>4.72427306208975</v>
      </c>
      <c r="AG133" s="16" t="n">
        <f aca="false">LOOKUP(Q133,$E$23:$E$26,$A$23:$A$26)+LOOKUP(Q133,$E$23:$E$26,$D$23:$D$26)*(Q133-LOOKUP(Q133,$E$23:$E$26))/LOOKUP(Q133,$E$23:$E$26,$C$23:$C$26)</f>
        <v>5.38284958719627</v>
      </c>
      <c r="AH133" s="16" t="n">
        <f aca="false">LOOKUP(R133,$E$23:$E$26,$A$23:$A$26)+LOOKUP(R133,$E$23:$E$26,$D$23:$D$26)*(R133-LOOKUP(R133,$E$23:$E$26))/LOOKUP(R133,$E$23:$E$26,$C$23:$C$26)</f>
        <v>4.42832270195708</v>
      </c>
      <c r="AI133" s="16" t="n">
        <f aca="false">LOOKUP(S133,$E$23:$E$26,$A$23:$A$26)+LOOKUP(S133,$E$23:$E$26,$D$23:$D$26)*(S133-LOOKUP(S133,$E$23:$E$26))/LOOKUP(S133,$E$23:$E$26,$C$23:$C$26)</f>
        <v>4.75991567254193</v>
      </c>
      <c r="AJ133" s="16" t="n">
        <f aca="false">SUM($T133:T133)</f>
        <v>5.87568298862417</v>
      </c>
      <c r="AK133" s="16" t="n">
        <f aca="false">SUM($T133:U133)</f>
        <v>11.1352313197301</v>
      </c>
      <c r="AL133" s="16" t="n">
        <f aca="false">SUM($T133:V133)</f>
        <v>16.1066504150293</v>
      </c>
      <c r="AM133" s="16" t="n">
        <f aca="false">SUM($T133:W133)</f>
        <v>21.7775408243872</v>
      </c>
      <c r="AN133" s="16" t="n">
        <f aca="false">SUM($T133:X133)</f>
        <v>26.1952579749782</v>
      </c>
      <c r="AO133" s="16" t="n">
        <f aca="false">SUM($T133:Y133)</f>
        <v>30.596829748601</v>
      </c>
      <c r="AP133" s="16" t="n">
        <f aca="false">SUM($T133:Z133)</f>
        <v>34.8239493522668</v>
      </c>
      <c r="AQ133" s="16" t="n">
        <f aca="false">SUM($T133:AA133)</f>
        <v>39.5127128265402</v>
      </c>
      <c r="AR133" s="16" t="n">
        <f aca="false">SUM($T133:AB133)</f>
        <v>44.2188008110455</v>
      </c>
      <c r="AS133" s="16" t="n">
        <f aca="false">SUM($T133:AC133)</f>
        <v>50.1524692381842</v>
      </c>
      <c r="AT133" s="16" t="n">
        <f aca="false">SUM($T133:AD133)</f>
        <v>55.0608026052897</v>
      </c>
      <c r="AU133" s="16" t="n">
        <f aca="false">SUM($T133:AE133)</f>
        <v>59.8241830083166</v>
      </c>
      <c r="AV133" s="16" t="n">
        <f aca="false">SUM($T133:AF133)</f>
        <v>64.5484560704064</v>
      </c>
      <c r="AW133" s="16" t="n">
        <f aca="false">SUM($T133:AG133)</f>
        <v>69.9313056576026</v>
      </c>
      <c r="AX133" s="16" t="n">
        <f aca="false">SUM($T133:AH133)</f>
        <v>74.3596283595597</v>
      </c>
      <c r="AY133" s="16" t="n">
        <f aca="false">SUM($T133:AI133)</f>
        <v>79.1195440321017</v>
      </c>
      <c r="AZ133" s="16" t="n">
        <f aca="false">MAX(C133-AJ133,0)</f>
        <v>60.713220565859</v>
      </c>
      <c r="BA133" s="16" t="n">
        <f aca="false">MAX(C133-AK133,0)</f>
        <v>55.453672234753</v>
      </c>
      <c r="BB133" s="16" t="n">
        <f aca="false">MAX(C133-AL133,0)</f>
        <v>50.4822531394538</v>
      </c>
      <c r="BC133" s="16" t="n">
        <f aca="false">MAX(C133-AM133,0)</f>
        <v>44.8113627300959</v>
      </c>
      <c r="BD133" s="16" t="n">
        <f aca="false">MAX(C133-AN133,0)</f>
        <v>40.3936455795049</v>
      </c>
      <c r="BE133" s="16" t="n">
        <f aca="false">MAX(C133-AO133,0)</f>
        <v>35.9920738058821</v>
      </c>
      <c r="BF133" s="16" t="n">
        <f aca="false">MAX(C133-AP133,0)</f>
        <v>31.7649542022163</v>
      </c>
      <c r="BG133" s="16" t="n">
        <f aca="false">MAX(C133-AQ133,0)</f>
        <v>27.0761907279429</v>
      </c>
      <c r="BH133" s="16" t="n">
        <f aca="false">MAX(C133-AR133,0)</f>
        <v>22.3701027434376</v>
      </c>
      <c r="BI133" s="16" t="n">
        <f aca="false">MAX(C133-AS133,0)</f>
        <v>16.4364343162989</v>
      </c>
      <c r="BJ133" s="16" t="n">
        <f aca="false">MAX(C133-AT133,0)</f>
        <v>11.5281009491934</v>
      </c>
      <c r="BK133" s="16" t="n">
        <f aca="false">MAX(C133-AU133,0)</f>
        <v>6.76472054616648</v>
      </c>
      <c r="BL133" s="16" t="n">
        <f aca="false">MAX(C133-AV133,0)</f>
        <v>2.04044748407672</v>
      </c>
      <c r="BM133" s="16" t="n">
        <f aca="false">MAX(C133-AW133,0)</f>
        <v>0</v>
      </c>
      <c r="BN133" s="16" t="n">
        <f aca="false">MAX(C133-AX133,0)</f>
        <v>0</v>
      </c>
      <c r="BO133" s="16" t="n">
        <f aca="false">MAX(C133-AY133,0)</f>
        <v>0</v>
      </c>
    </row>
    <row r="134" customFormat="false" ht="15" hidden="false" customHeight="false" outlineLevel="0" collapsed="false">
      <c r="A134" s="3" t="n">
        <v>104</v>
      </c>
      <c r="B134" s="15" t="n">
        <f aca="true">RAND()</f>
        <v>0.887253918518671</v>
      </c>
      <c r="C134" s="16" t="n">
        <f aca="false">LOOKUP(B134,$E$12:$E$17,$A$12:$A$17)+LOOKUP(B134,$E$12:$E$17,$D$12:$D$17)*(B134-LOOKUP(B134,$E$12:$E$17))/LOOKUP(B134,$E$12:$E$17,$C$12:$C$17)</f>
        <v>69.8179131216953</v>
      </c>
      <c r="D134" s="15" t="n">
        <f aca="true">RAND()</f>
        <v>0.824672472617106</v>
      </c>
      <c r="E134" s="15" t="n">
        <f aca="true">RAND()</f>
        <v>0.0959979271238792</v>
      </c>
      <c r="F134" s="15" t="n">
        <f aca="true">RAND()</f>
        <v>0.738248296134871</v>
      </c>
      <c r="G134" s="15" t="n">
        <f aca="true">RAND()</f>
        <v>0.157878183730726</v>
      </c>
      <c r="H134" s="15" t="n">
        <f aca="true">RAND()</f>
        <v>0.25375083978053</v>
      </c>
      <c r="I134" s="15" t="n">
        <f aca="true">RAND()</f>
        <v>0.287970060893056</v>
      </c>
      <c r="J134" s="15" t="n">
        <f aca="true">RAND()</f>
        <v>0.63548637370983</v>
      </c>
      <c r="K134" s="15" t="n">
        <f aca="true">RAND()</f>
        <v>0.440275788358896</v>
      </c>
      <c r="L134" s="15" t="n">
        <f aca="true">RAND()</f>
        <v>0.990860350475057</v>
      </c>
      <c r="M134" s="15" t="n">
        <f aca="true">RAND()</f>
        <v>0.0960435968846122</v>
      </c>
      <c r="N134" s="15" t="n">
        <f aca="true">RAND()</f>
        <v>0.651619038031026</v>
      </c>
      <c r="O134" s="15" t="n">
        <f aca="true">RAND()</f>
        <v>0.516463910574201</v>
      </c>
      <c r="P134" s="15" t="n">
        <f aca="true">RAND()</f>
        <v>0.331993350252719</v>
      </c>
      <c r="Q134" s="15" t="n">
        <f aca="true">RAND()</f>
        <v>0.031414847298608</v>
      </c>
      <c r="R134" s="15" t="n">
        <f aca="true">RAND()</f>
        <v>0.151439756367105</v>
      </c>
      <c r="S134" s="15" t="n">
        <f aca="true">RAND()</f>
        <v>0.124048772746247</v>
      </c>
      <c r="T134" s="16" t="n">
        <f aca="false">LOOKUP(D134,$E$23:$E$26,$A$23:$A$26)+LOOKUP(D134,$E$23:$E$26,$D$23:$D$26)*(D134-LOOKUP(D134,$E$23:$E$26))/LOOKUP(D134,$E$23:$E$26,$C$23:$C$26)</f>
        <v>5.31168118154277</v>
      </c>
      <c r="U134" s="16" t="n">
        <f aca="false">LOOKUP(E134,$E$23:$E$26,$A$23:$A$26)+LOOKUP(E134,$E$23:$E$26,$D$23:$D$26)*(E134-LOOKUP(E134,$E$23:$E$26))/LOOKUP(E134,$E$23:$E$26,$C$23:$C$26)</f>
        <v>4.15999654520647</v>
      </c>
      <c r="V134" s="16" t="n">
        <f aca="false">LOOKUP(F134,$E$23:$E$26,$A$23:$A$26)+LOOKUP(F134,$E$23:$E$26,$D$23:$D$26)*(F134-LOOKUP(F134,$E$23:$E$26))/LOOKUP(F134,$E$23:$E$26,$C$23:$C$26)</f>
        <v>5.09562074033718</v>
      </c>
      <c r="W134" s="16" t="n">
        <f aca="false">LOOKUP(G134,$E$23:$E$26,$A$23:$A$26)+LOOKUP(G134,$E$23:$E$26,$D$23:$D$26)*(G134-LOOKUP(G134,$E$23:$E$26))/LOOKUP(G134,$E$23:$E$26,$C$23:$C$26)</f>
        <v>4.26313030621788</v>
      </c>
      <c r="X134" s="16" t="n">
        <f aca="false">LOOKUP(H134,$E$23:$E$26,$A$23:$A$26)+LOOKUP(H134,$E$23:$E$26,$D$23:$D$26)*(H134-LOOKUP(H134,$E$23:$E$26))/LOOKUP(H134,$E$23:$E$26,$C$23:$C$26)</f>
        <v>4.42291806630088</v>
      </c>
      <c r="Y134" s="16" t="n">
        <f aca="false">LOOKUP(I134,$E$23:$E$26,$A$23:$A$26)+LOOKUP(I134,$E$23:$E$26,$D$23:$D$26)*(I134-LOOKUP(I134,$E$23:$E$26))/LOOKUP(I134,$E$23:$E$26,$C$23:$C$26)</f>
        <v>4.47995010148843</v>
      </c>
      <c r="Z134" s="16" t="n">
        <f aca="false">LOOKUP(J134,$E$23:$E$26,$A$23:$A$26)+LOOKUP(J134,$E$23:$E$26,$D$23:$D$26)*(J134-LOOKUP(J134,$E$23:$E$26))/LOOKUP(J134,$E$23:$E$26,$C$23:$C$26)</f>
        <v>4.91935796713729</v>
      </c>
      <c r="AA134" s="16" t="n">
        <f aca="false">LOOKUP(K134,$E$23:$E$26,$A$23:$A$26)+LOOKUP(K134,$E$23:$E$26,$D$23:$D$26)*(K134-LOOKUP(K134,$E$23:$E$26))/LOOKUP(K134,$E$23:$E$26,$C$23:$C$26)</f>
        <v>4.67534473544862</v>
      </c>
      <c r="AB134" s="16" t="n">
        <f aca="false">LOOKUP(L134,$E$23:$E$26,$A$23:$A$26)+LOOKUP(L134,$E$23:$E$26,$D$23:$D$26)*(L134-LOOKUP(L134,$E$23:$E$26))/LOOKUP(L134,$E$23:$E$26,$C$23:$C$26)</f>
        <v>5.95430175237529</v>
      </c>
      <c r="AC134" s="16" t="n">
        <f aca="false">LOOKUP(M134,$E$23:$E$26,$A$23:$A$26)+LOOKUP(M134,$E$23:$E$26,$D$23:$D$26)*(M134-LOOKUP(M134,$E$23:$E$26))/LOOKUP(M134,$E$23:$E$26,$C$23:$C$26)</f>
        <v>4.16007266147435</v>
      </c>
      <c r="AD134" s="16" t="n">
        <f aca="false">LOOKUP(N134,$E$23:$E$26,$A$23:$A$26)+LOOKUP(N134,$E$23:$E$26,$D$23:$D$26)*(N134-LOOKUP(N134,$E$23:$E$26))/LOOKUP(N134,$E$23:$E$26,$C$23:$C$26)</f>
        <v>4.93952379753878</v>
      </c>
      <c r="AE134" s="16" t="n">
        <f aca="false">LOOKUP(O134,$E$23:$E$26,$A$23:$A$26)+LOOKUP(O134,$E$23:$E$26,$D$23:$D$26)*(O134-LOOKUP(O134,$E$23:$E$26))/LOOKUP(O134,$E$23:$E$26,$C$23:$C$26)</f>
        <v>4.77057988821775</v>
      </c>
      <c r="AF134" s="16" t="n">
        <f aca="false">LOOKUP(P134,$E$23:$E$26,$A$23:$A$26)+LOOKUP(P134,$E$23:$E$26,$D$23:$D$26)*(P134-LOOKUP(P134,$E$23:$E$26))/LOOKUP(P134,$E$23:$E$26,$C$23:$C$26)</f>
        <v>4.5399916878159</v>
      </c>
      <c r="AG134" s="16" t="n">
        <f aca="false">LOOKUP(Q134,$E$23:$E$26,$A$23:$A$26)+LOOKUP(Q134,$E$23:$E$26,$D$23:$D$26)*(Q134-LOOKUP(Q134,$E$23:$E$26))/LOOKUP(Q134,$E$23:$E$26,$C$23:$C$26)</f>
        <v>4.05235807883101</v>
      </c>
      <c r="AH134" s="16" t="n">
        <f aca="false">LOOKUP(R134,$E$23:$E$26,$A$23:$A$26)+LOOKUP(R134,$E$23:$E$26,$D$23:$D$26)*(R134-LOOKUP(R134,$E$23:$E$26))/LOOKUP(R134,$E$23:$E$26,$C$23:$C$26)</f>
        <v>4.25239959394517</v>
      </c>
      <c r="AI134" s="16" t="n">
        <f aca="false">LOOKUP(S134,$E$23:$E$26,$A$23:$A$26)+LOOKUP(S134,$E$23:$E$26,$D$23:$D$26)*(S134-LOOKUP(S134,$E$23:$E$26))/LOOKUP(S134,$E$23:$E$26,$C$23:$C$26)</f>
        <v>4.20674795457708</v>
      </c>
      <c r="AJ134" s="16" t="n">
        <f aca="false">SUM($T134:T134)</f>
        <v>5.31168118154277</v>
      </c>
      <c r="AK134" s="16" t="n">
        <f aca="false">SUM($T134:U134)</f>
        <v>9.47167772674923</v>
      </c>
      <c r="AL134" s="16" t="n">
        <f aca="false">SUM($T134:V134)</f>
        <v>14.5672984670864</v>
      </c>
      <c r="AM134" s="16" t="n">
        <f aca="false">SUM($T134:W134)</f>
        <v>18.8304287733043</v>
      </c>
      <c r="AN134" s="16" t="n">
        <f aca="false">SUM($T134:X134)</f>
        <v>23.2533468396052</v>
      </c>
      <c r="AO134" s="16" t="n">
        <f aca="false">SUM($T134:Y134)</f>
        <v>27.7332969410936</v>
      </c>
      <c r="AP134" s="16" t="n">
        <f aca="false">SUM($T134:Z134)</f>
        <v>32.6526549082309</v>
      </c>
      <c r="AQ134" s="16" t="n">
        <f aca="false">SUM($T134:AA134)</f>
        <v>37.3279996436795</v>
      </c>
      <c r="AR134" s="16" t="n">
        <f aca="false">SUM($T134:AB134)</f>
        <v>43.2823013960548</v>
      </c>
      <c r="AS134" s="16" t="n">
        <f aca="false">SUM($T134:AC134)</f>
        <v>47.4423740575291</v>
      </c>
      <c r="AT134" s="16" t="n">
        <f aca="false">SUM($T134:AD134)</f>
        <v>52.3818978550679</v>
      </c>
      <c r="AU134" s="16" t="n">
        <f aca="false">SUM($T134:AE134)</f>
        <v>57.1524777432857</v>
      </c>
      <c r="AV134" s="16" t="n">
        <f aca="false">SUM($T134:AF134)</f>
        <v>61.6924694311016</v>
      </c>
      <c r="AW134" s="16" t="n">
        <f aca="false">SUM($T134:AG134)</f>
        <v>65.7448275099326</v>
      </c>
      <c r="AX134" s="16" t="n">
        <f aca="false">SUM($T134:AH134)</f>
        <v>69.9972271038778</v>
      </c>
      <c r="AY134" s="16" t="n">
        <f aca="false">SUM($T134:AI134)</f>
        <v>74.2039750584548</v>
      </c>
      <c r="AZ134" s="16" t="n">
        <f aca="false">MAX(C134-AJ134,0)</f>
        <v>64.5062319401525</v>
      </c>
      <c r="BA134" s="16" t="n">
        <f aca="false">MAX(C134-AK134,0)</f>
        <v>60.3462353949461</v>
      </c>
      <c r="BB134" s="16" t="n">
        <f aca="false">MAX(C134-AL134,0)</f>
        <v>55.2506146546089</v>
      </c>
      <c r="BC134" s="16" t="n">
        <f aca="false">MAX(C134-AM134,0)</f>
        <v>50.987484348391</v>
      </c>
      <c r="BD134" s="16" t="n">
        <f aca="false">MAX(C134-AN134,0)</f>
        <v>46.5645662820901</v>
      </c>
      <c r="BE134" s="16" t="n">
        <f aca="false">MAX(C134-AO134,0)</f>
        <v>42.0846161806017</v>
      </c>
      <c r="BF134" s="16" t="n">
        <f aca="false">MAX(C134-AP134,0)</f>
        <v>37.1652582134644</v>
      </c>
      <c r="BG134" s="16" t="n">
        <f aca="false">MAX(C134-AQ134,0)</f>
        <v>32.4899134780158</v>
      </c>
      <c r="BH134" s="16" t="n">
        <f aca="false">MAX(C134-AR134,0)</f>
        <v>26.5356117256405</v>
      </c>
      <c r="BI134" s="16" t="n">
        <f aca="false">MAX(C134-AS134,0)</f>
        <v>22.3755390641662</v>
      </c>
      <c r="BJ134" s="16" t="n">
        <f aca="false">MAX(C134-AT134,0)</f>
        <v>17.4360152666274</v>
      </c>
      <c r="BK134" s="16" t="n">
        <f aca="false">MAX(C134-AU134,0)</f>
        <v>12.6654353784096</v>
      </c>
      <c r="BL134" s="16" t="n">
        <f aca="false">MAX(C134-AV134,0)</f>
        <v>8.12544369059373</v>
      </c>
      <c r="BM134" s="16" t="n">
        <f aca="false">MAX(C134-AW134,0)</f>
        <v>4.07308561176271</v>
      </c>
      <c r="BN134" s="16" t="n">
        <f aca="false">MAX(C134-AX134,0)</f>
        <v>0</v>
      </c>
      <c r="BO134" s="16" t="n">
        <f aca="false">MAX(C134-AY134,0)</f>
        <v>0</v>
      </c>
    </row>
    <row r="135" customFormat="false" ht="15" hidden="false" customHeight="false" outlineLevel="0" collapsed="false">
      <c r="A135" s="3" t="n">
        <v>105</v>
      </c>
      <c r="B135" s="15" t="n">
        <f aca="true">RAND()</f>
        <v>0.975850029746872</v>
      </c>
      <c r="C135" s="16" t="n">
        <f aca="false">LOOKUP(B135,$E$12:$E$17,$A$12:$A$17)+LOOKUP(B135,$E$12:$E$17,$D$12:$D$17)*(B135-LOOKUP(B135,$E$12:$E$17))/LOOKUP(B135,$E$12:$E$17,$C$12:$C$17)</f>
        <v>79.7406268591795</v>
      </c>
      <c r="D135" s="15" t="n">
        <f aca="true">RAND()</f>
        <v>0.708290405572652</v>
      </c>
      <c r="E135" s="15" t="n">
        <f aca="true">RAND()</f>
        <v>0.887439379678601</v>
      </c>
      <c r="F135" s="15" t="n">
        <f aca="true">RAND()</f>
        <v>0.737696866784255</v>
      </c>
      <c r="G135" s="15" t="n">
        <f aca="true">RAND()</f>
        <v>0.363338904924344</v>
      </c>
      <c r="H135" s="15" t="n">
        <f aca="true">RAND()</f>
        <v>0.131152500782994</v>
      </c>
      <c r="I135" s="15" t="n">
        <f aca="true">RAND()</f>
        <v>0.118676926163831</v>
      </c>
      <c r="J135" s="15" t="n">
        <f aca="true">RAND()</f>
        <v>0.955426954790959</v>
      </c>
      <c r="K135" s="15" t="n">
        <f aca="true">RAND()</f>
        <v>0.929495882027828</v>
      </c>
      <c r="L135" s="15" t="n">
        <f aca="true">RAND()</f>
        <v>0.927163199856658</v>
      </c>
      <c r="M135" s="15" t="n">
        <f aca="true">RAND()</f>
        <v>0.941640102333499</v>
      </c>
      <c r="N135" s="15" t="n">
        <f aca="true">RAND()</f>
        <v>0.985454773469819</v>
      </c>
      <c r="O135" s="15" t="n">
        <f aca="true">RAND()</f>
        <v>0.980041748134294</v>
      </c>
      <c r="P135" s="15" t="n">
        <f aca="true">RAND()</f>
        <v>0.840766710023744</v>
      </c>
      <c r="Q135" s="15" t="n">
        <f aca="true">RAND()</f>
        <v>0.102992855668883</v>
      </c>
      <c r="R135" s="15" t="n">
        <f aca="true">RAND()</f>
        <v>0.268966917944465</v>
      </c>
      <c r="S135" s="15" t="n">
        <f aca="true">RAND()</f>
        <v>0.760518731578218</v>
      </c>
      <c r="T135" s="16" t="n">
        <f aca="false">LOOKUP(D135,$E$23:$E$26,$A$23:$A$26)+LOOKUP(D135,$E$23:$E$26,$D$23:$D$26)*(D135-LOOKUP(D135,$E$23:$E$26))/LOOKUP(D135,$E$23:$E$26,$C$23:$C$26)</f>
        <v>5.02072601393163</v>
      </c>
      <c r="U135" s="16" t="n">
        <f aca="false">LOOKUP(E135,$E$23:$E$26,$A$23:$A$26)+LOOKUP(E135,$E$23:$E$26,$D$23:$D$26)*(E135-LOOKUP(E135,$E$23:$E$26))/LOOKUP(E135,$E$23:$E$26,$C$23:$C$26)</f>
        <v>5.4685984491965</v>
      </c>
      <c r="V135" s="16" t="n">
        <f aca="false">LOOKUP(F135,$E$23:$E$26,$A$23:$A$26)+LOOKUP(F135,$E$23:$E$26,$D$23:$D$26)*(F135-LOOKUP(F135,$E$23:$E$26))/LOOKUP(F135,$E$23:$E$26,$C$23:$C$26)</f>
        <v>5.09424216696064</v>
      </c>
      <c r="W135" s="16" t="n">
        <f aca="false">LOOKUP(G135,$E$23:$E$26,$A$23:$A$26)+LOOKUP(G135,$E$23:$E$26,$D$23:$D$26)*(G135-LOOKUP(G135,$E$23:$E$26))/LOOKUP(G135,$E$23:$E$26,$C$23:$C$26)</f>
        <v>4.57917363115543</v>
      </c>
      <c r="X135" s="16" t="n">
        <f aca="false">LOOKUP(H135,$E$23:$E$26,$A$23:$A$26)+LOOKUP(H135,$E$23:$E$26,$D$23:$D$26)*(H135-LOOKUP(H135,$E$23:$E$26))/LOOKUP(H135,$E$23:$E$26,$C$23:$C$26)</f>
        <v>4.21858750130499</v>
      </c>
      <c r="Y135" s="16" t="n">
        <f aca="false">LOOKUP(I135,$E$23:$E$26,$A$23:$A$26)+LOOKUP(I135,$E$23:$E$26,$D$23:$D$26)*(I135-LOOKUP(I135,$E$23:$E$26))/LOOKUP(I135,$E$23:$E$26,$C$23:$C$26)</f>
        <v>4.19779487693972</v>
      </c>
      <c r="Z135" s="16" t="n">
        <f aca="false">LOOKUP(J135,$E$23:$E$26,$A$23:$A$26)+LOOKUP(J135,$E$23:$E$26,$D$23:$D$26)*(J135-LOOKUP(J135,$E$23:$E$26))/LOOKUP(J135,$E$23:$E$26,$C$23:$C$26)</f>
        <v>5.7771347739548</v>
      </c>
      <c r="AA135" s="16" t="n">
        <f aca="false">LOOKUP(K135,$E$23:$E$26,$A$23:$A$26)+LOOKUP(K135,$E$23:$E$26,$D$23:$D$26)*(K135-LOOKUP(K135,$E$23:$E$26))/LOOKUP(K135,$E$23:$E$26,$C$23:$C$26)</f>
        <v>5.64747941013914</v>
      </c>
      <c r="AB135" s="16" t="n">
        <f aca="false">LOOKUP(L135,$E$23:$E$26,$A$23:$A$26)+LOOKUP(L135,$E$23:$E$26,$D$23:$D$26)*(L135-LOOKUP(L135,$E$23:$E$26))/LOOKUP(L135,$E$23:$E$26,$C$23:$C$26)</f>
        <v>5.63581599928329</v>
      </c>
      <c r="AC135" s="16" t="n">
        <f aca="false">LOOKUP(M135,$E$23:$E$26,$A$23:$A$26)+LOOKUP(M135,$E$23:$E$26,$D$23:$D$26)*(M135-LOOKUP(M135,$E$23:$E$26))/LOOKUP(M135,$E$23:$E$26,$C$23:$C$26)</f>
        <v>5.7082005116675</v>
      </c>
      <c r="AD135" s="16" t="n">
        <f aca="false">LOOKUP(N135,$E$23:$E$26,$A$23:$A$26)+LOOKUP(N135,$E$23:$E$26,$D$23:$D$26)*(N135-LOOKUP(N135,$E$23:$E$26))/LOOKUP(N135,$E$23:$E$26,$C$23:$C$26)</f>
        <v>5.9272738673491</v>
      </c>
      <c r="AE135" s="16" t="n">
        <f aca="false">LOOKUP(O135,$E$23:$E$26,$A$23:$A$26)+LOOKUP(O135,$E$23:$E$26,$D$23:$D$26)*(O135-LOOKUP(O135,$E$23:$E$26))/LOOKUP(O135,$E$23:$E$26,$C$23:$C$26)</f>
        <v>5.90020874067147</v>
      </c>
      <c r="AF135" s="16" t="n">
        <f aca="false">LOOKUP(P135,$E$23:$E$26,$A$23:$A$26)+LOOKUP(P135,$E$23:$E$26,$D$23:$D$26)*(P135-LOOKUP(P135,$E$23:$E$26))/LOOKUP(P135,$E$23:$E$26,$C$23:$C$26)</f>
        <v>5.35191677505936</v>
      </c>
      <c r="AG135" s="16" t="n">
        <f aca="false">LOOKUP(Q135,$E$23:$E$26,$A$23:$A$26)+LOOKUP(Q135,$E$23:$E$26,$D$23:$D$26)*(Q135-LOOKUP(Q135,$E$23:$E$26))/LOOKUP(Q135,$E$23:$E$26,$C$23:$C$26)</f>
        <v>4.17165475944814</v>
      </c>
      <c r="AH135" s="16" t="n">
        <f aca="false">LOOKUP(R135,$E$23:$E$26,$A$23:$A$26)+LOOKUP(R135,$E$23:$E$26,$D$23:$D$26)*(R135-LOOKUP(R135,$E$23:$E$26))/LOOKUP(R135,$E$23:$E$26,$C$23:$C$26)</f>
        <v>4.44827819657411</v>
      </c>
      <c r="AI135" s="16" t="n">
        <f aca="false">LOOKUP(S135,$E$23:$E$26,$A$23:$A$26)+LOOKUP(S135,$E$23:$E$26,$D$23:$D$26)*(S135-LOOKUP(S135,$E$23:$E$26))/LOOKUP(S135,$E$23:$E$26,$C$23:$C$26)</f>
        <v>5.15129682894554</v>
      </c>
      <c r="AJ135" s="16" t="n">
        <f aca="false">SUM($T135:T135)</f>
        <v>5.02072601393163</v>
      </c>
      <c r="AK135" s="16" t="n">
        <f aca="false">SUM($T135:U135)</f>
        <v>10.4893244631281</v>
      </c>
      <c r="AL135" s="16" t="n">
        <f aca="false">SUM($T135:V135)</f>
        <v>15.5835666300888</v>
      </c>
      <c r="AM135" s="16" t="n">
        <f aca="false">SUM($T135:W135)</f>
        <v>20.1627402612442</v>
      </c>
      <c r="AN135" s="16" t="n">
        <f aca="false">SUM($T135:X135)</f>
        <v>24.3813277625492</v>
      </c>
      <c r="AO135" s="16" t="n">
        <f aca="false">SUM($T135:Y135)</f>
        <v>28.5791226394889</v>
      </c>
      <c r="AP135" s="16" t="n">
        <f aca="false">SUM($T135:Z135)</f>
        <v>34.3562574134437</v>
      </c>
      <c r="AQ135" s="16" t="n">
        <f aca="false">SUM($T135:AA135)</f>
        <v>40.0037368235829</v>
      </c>
      <c r="AR135" s="16" t="n">
        <f aca="false">SUM($T135:AB135)</f>
        <v>45.6395528228661</v>
      </c>
      <c r="AS135" s="16" t="n">
        <f aca="false">SUM($T135:AC135)</f>
        <v>51.3477533345336</v>
      </c>
      <c r="AT135" s="16" t="n">
        <f aca="false">SUM($T135:AD135)</f>
        <v>57.2750272018827</v>
      </c>
      <c r="AU135" s="16" t="n">
        <f aca="false">SUM($T135:AE135)</f>
        <v>63.1752359425542</v>
      </c>
      <c r="AV135" s="16" t="n">
        <f aca="false">SUM($T135:AF135)</f>
        <v>68.5271527176136</v>
      </c>
      <c r="AW135" s="16" t="n">
        <f aca="false">SUM($T135:AG135)</f>
        <v>72.6988074770617</v>
      </c>
      <c r="AX135" s="16" t="n">
        <f aca="false">SUM($T135:AH135)</f>
        <v>77.1470856736358</v>
      </c>
      <c r="AY135" s="16" t="n">
        <f aca="false">SUM($T135:AI135)</f>
        <v>82.2983825025814</v>
      </c>
      <c r="AZ135" s="16" t="n">
        <f aca="false">MAX(C135-AJ135,0)</f>
        <v>74.7199008452479</v>
      </c>
      <c r="BA135" s="16" t="n">
        <f aca="false">MAX(C135-AK135,0)</f>
        <v>69.2513023960514</v>
      </c>
      <c r="BB135" s="16" t="n">
        <f aca="false">MAX(C135-AL135,0)</f>
        <v>64.1570602290908</v>
      </c>
      <c r="BC135" s="16" t="n">
        <f aca="false">MAX(C135-AM135,0)</f>
        <v>59.5778865979353</v>
      </c>
      <c r="BD135" s="16" t="n">
        <f aca="false">MAX(C135-AN135,0)</f>
        <v>55.3592990966303</v>
      </c>
      <c r="BE135" s="16" t="n">
        <f aca="false">MAX(C135-AO135,0)</f>
        <v>51.1615042196906</v>
      </c>
      <c r="BF135" s="16" t="n">
        <f aca="false">MAX(C135-AP135,0)</f>
        <v>45.3843694457358</v>
      </c>
      <c r="BG135" s="16" t="n">
        <f aca="false">MAX(C135-AQ135,0)</f>
        <v>39.7368900355967</v>
      </c>
      <c r="BH135" s="16" t="n">
        <f aca="false">MAX(C135-AR135,0)</f>
        <v>34.1010740363134</v>
      </c>
      <c r="BI135" s="16" t="n">
        <f aca="false">MAX(C135-AS135,0)</f>
        <v>28.3928735246459</v>
      </c>
      <c r="BJ135" s="16" t="n">
        <f aca="false">MAX(C135-AT135,0)</f>
        <v>22.4655996572968</v>
      </c>
      <c r="BK135" s="16" t="n">
        <f aca="false">MAX(C135-AU135,0)</f>
        <v>16.5653909166253</v>
      </c>
      <c r="BL135" s="16" t="n">
        <f aca="false">MAX(C135-AV135,0)</f>
        <v>11.213474141566</v>
      </c>
      <c r="BM135" s="16" t="n">
        <f aca="false">MAX(C135-AW135,0)</f>
        <v>7.04181938211782</v>
      </c>
      <c r="BN135" s="16" t="n">
        <f aca="false">MAX(C135-AX135,0)</f>
        <v>2.59354118554371</v>
      </c>
      <c r="BO135" s="16" t="n">
        <f aca="false">MAX(C135-AY135,0)</f>
        <v>0</v>
      </c>
    </row>
    <row r="136" customFormat="false" ht="15" hidden="false" customHeight="false" outlineLevel="0" collapsed="false">
      <c r="A136" s="3" t="n">
        <v>106</v>
      </c>
      <c r="B136" s="15" t="n">
        <f aca="true">RAND()</f>
        <v>0.901912881762846</v>
      </c>
      <c r="C136" s="16" t="n">
        <f aca="false">LOOKUP(B136,$E$12:$E$17,$A$12:$A$17)+LOOKUP(B136,$E$12:$E$17,$D$12:$D$17)*(B136-LOOKUP(B136,$E$12:$E$17))/LOOKUP(B136,$E$12:$E$17,$C$12:$C$17)</f>
        <v>75.1195551101779</v>
      </c>
      <c r="D136" s="15" t="n">
        <f aca="true">RAND()</f>
        <v>0.606827983489204</v>
      </c>
      <c r="E136" s="15" t="n">
        <f aca="true">RAND()</f>
        <v>0.505166189985258</v>
      </c>
      <c r="F136" s="15" t="n">
        <f aca="true">RAND()</f>
        <v>0.236094252101273</v>
      </c>
      <c r="G136" s="15" t="n">
        <f aca="true">RAND()</f>
        <v>0.446312687891881</v>
      </c>
      <c r="H136" s="15" t="n">
        <f aca="true">RAND()</f>
        <v>0.787554371378766</v>
      </c>
      <c r="I136" s="15" t="n">
        <f aca="true">RAND()</f>
        <v>0.59658244276471</v>
      </c>
      <c r="J136" s="15" t="n">
        <f aca="true">RAND()</f>
        <v>0.957985583612026</v>
      </c>
      <c r="K136" s="15" t="n">
        <f aca="true">RAND()</f>
        <v>0.868557463640331</v>
      </c>
      <c r="L136" s="15" t="n">
        <f aca="true">RAND()</f>
        <v>0.745091105072326</v>
      </c>
      <c r="M136" s="15" t="n">
        <f aca="true">RAND()</f>
        <v>0.308292756618568</v>
      </c>
      <c r="N136" s="15" t="n">
        <f aca="true">RAND()</f>
        <v>0.105683953209357</v>
      </c>
      <c r="O136" s="15" t="n">
        <f aca="true">RAND()</f>
        <v>0.574189363901246</v>
      </c>
      <c r="P136" s="15" t="n">
        <f aca="true">RAND()</f>
        <v>0.420355398015001</v>
      </c>
      <c r="Q136" s="15" t="n">
        <f aca="true">RAND()</f>
        <v>0.808226917628367</v>
      </c>
      <c r="R136" s="15" t="n">
        <f aca="true">RAND()</f>
        <v>0.746088890102263</v>
      </c>
      <c r="S136" s="15" t="n">
        <f aca="true">RAND()</f>
        <v>0.689682278641572</v>
      </c>
      <c r="T136" s="16" t="n">
        <f aca="false">LOOKUP(D136,$E$23:$E$26,$A$23:$A$26)+LOOKUP(D136,$E$23:$E$26,$D$23:$D$26)*(D136-LOOKUP(D136,$E$23:$E$26))/LOOKUP(D136,$E$23:$E$26,$C$23:$C$26)</f>
        <v>4.88353497936151</v>
      </c>
      <c r="U136" s="16" t="n">
        <f aca="false">LOOKUP(E136,$E$23:$E$26,$A$23:$A$26)+LOOKUP(E136,$E$23:$E$26,$D$23:$D$26)*(E136-LOOKUP(E136,$E$23:$E$26))/LOOKUP(E136,$E$23:$E$26,$C$23:$C$26)</f>
        <v>4.75645773748157</v>
      </c>
      <c r="V136" s="16" t="n">
        <f aca="false">LOOKUP(F136,$E$23:$E$26,$A$23:$A$26)+LOOKUP(F136,$E$23:$E$26,$D$23:$D$26)*(F136-LOOKUP(F136,$E$23:$E$26))/LOOKUP(F136,$E$23:$E$26,$C$23:$C$26)</f>
        <v>4.39349042016879</v>
      </c>
      <c r="W136" s="16" t="n">
        <f aca="false">LOOKUP(G136,$E$23:$E$26,$A$23:$A$26)+LOOKUP(G136,$E$23:$E$26,$D$23:$D$26)*(G136-LOOKUP(G136,$E$23:$E$26))/LOOKUP(G136,$E$23:$E$26,$C$23:$C$26)</f>
        <v>4.68289085986485</v>
      </c>
      <c r="X136" s="16" t="n">
        <f aca="false">LOOKUP(H136,$E$23:$E$26,$A$23:$A$26)+LOOKUP(H136,$E$23:$E$26,$D$23:$D$26)*(H136-LOOKUP(H136,$E$23:$E$26))/LOOKUP(H136,$E$23:$E$26,$C$23:$C$26)</f>
        <v>5.21888592844691</v>
      </c>
      <c r="Y136" s="16" t="n">
        <f aca="false">LOOKUP(I136,$E$23:$E$26,$A$23:$A$26)+LOOKUP(I136,$E$23:$E$26,$D$23:$D$26)*(I136-LOOKUP(I136,$E$23:$E$26))/LOOKUP(I136,$E$23:$E$26,$C$23:$C$26)</f>
        <v>4.87072805345589</v>
      </c>
      <c r="Z136" s="16" t="n">
        <f aca="false">LOOKUP(J136,$E$23:$E$26,$A$23:$A$26)+LOOKUP(J136,$E$23:$E$26,$D$23:$D$26)*(J136-LOOKUP(J136,$E$23:$E$26))/LOOKUP(J136,$E$23:$E$26,$C$23:$C$26)</f>
        <v>5.78992791806013</v>
      </c>
      <c r="AA136" s="16" t="n">
        <f aca="false">LOOKUP(K136,$E$23:$E$26,$A$23:$A$26)+LOOKUP(K136,$E$23:$E$26,$D$23:$D$26)*(K136-LOOKUP(K136,$E$23:$E$26))/LOOKUP(K136,$E$23:$E$26,$C$23:$C$26)</f>
        <v>5.42139365910083</v>
      </c>
      <c r="AB136" s="16" t="n">
        <f aca="false">LOOKUP(L136,$E$23:$E$26,$A$23:$A$26)+LOOKUP(L136,$E$23:$E$26,$D$23:$D$26)*(L136-LOOKUP(L136,$E$23:$E$26))/LOOKUP(L136,$E$23:$E$26,$C$23:$C$26)</f>
        <v>5.11272776268082</v>
      </c>
      <c r="AC136" s="16" t="n">
        <f aca="false">LOOKUP(M136,$E$23:$E$26,$A$23:$A$26)+LOOKUP(M136,$E$23:$E$26,$D$23:$D$26)*(M136-LOOKUP(M136,$E$23:$E$26))/LOOKUP(M136,$E$23:$E$26,$C$23:$C$26)</f>
        <v>4.51036594577321</v>
      </c>
      <c r="AD136" s="16" t="n">
        <f aca="false">LOOKUP(N136,$E$23:$E$26,$A$23:$A$26)+LOOKUP(N136,$E$23:$E$26,$D$23:$D$26)*(N136-LOOKUP(N136,$E$23:$E$26))/LOOKUP(N136,$E$23:$E$26,$C$23:$C$26)</f>
        <v>4.1761399220156</v>
      </c>
      <c r="AE136" s="16" t="n">
        <f aca="false">LOOKUP(O136,$E$23:$E$26,$A$23:$A$26)+LOOKUP(O136,$E$23:$E$26,$D$23:$D$26)*(O136-LOOKUP(O136,$E$23:$E$26))/LOOKUP(O136,$E$23:$E$26,$C$23:$C$26)</f>
        <v>4.84273670487656</v>
      </c>
      <c r="AF136" s="16" t="n">
        <f aca="false">LOOKUP(P136,$E$23:$E$26,$A$23:$A$26)+LOOKUP(P136,$E$23:$E$26,$D$23:$D$26)*(P136-LOOKUP(P136,$E$23:$E$26))/LOOKUP(P136,$E$23:$E$26,$C$23:$C$26)</f>
        <v>4.65044424751875</v>
      </c>
      <c r="AG136" s="16" t="n">
        <f aca="false">LOOKUP(Q136,$E$23:$E$26,$A$23:$A$26)+LOOKUP(Q136,$E$23:$E$26,$D$23:$D$26)*(Q136-LOOKUP(Q136,$E$23:$E$26))/LOOKUP(Q136,$E$23:$E$26,$C$23:$C$26)</f>
        <v>5.27056729407092</v>
      </c>
      <c r="AH136" s="16" t="n">
        <f aca="false">LOOKUP(R136,$E$23:$E$26,$A$23:$A$26)+LOOKUP(R136,$E$23:$E$26,$D$23:$D$26)*(R136-LOOKUP(R136,$E$23:$E$26))/LOOKUP(R136,$E$23:$E$26,$C$23:$C$26)</f>
        <v>5.11522222525566</v>
      </c>
      <c r="AI136" s="16" t="n">
        <f aca="false">LOOKUP(S136,$E$23:$E$26,$A$23:$A$26)+LOOKUP(S136,$E$23:$E$26,$D$23:$D$26)*(S136-LOOKUP(S136,$E$23:$E$26))/LOOKUP(S136,$E$23:$E$26,$C$23:$C$26)</f>
        <v>4.98710284830197</v>
      </c>
      <c r="AJ136" s="16" t="n">
        <f aca="false">SUM($T136:T136)</f>
        <v>4.88353497936151</v>
      </c>
      <c r="AK136" s="16" t="n">
        <f aca="false">SUM($T136:U136)</f>
        <v>9.63999271684308</v>
      </c>
      <c r="AL136" s="16" t="n">
        <f aca="false">SUM($T136:V136)</f>
        <v>14.0334831370119</v>
      </c>
      <c r="AM136" s="16" t="n">
        <f aca="false">SUM($T136:W136)</f>
        <v>18.7163739968767</v>
      </c>
      <c r="AN136" s="16" t="n">
        <f aca="false">SUM($T136:X136)</f>
        <v>23.9352599253236</v>
      </c>
      <c r="AO136" s="16" t="n">
        <f aca="false">SUM($T136:Y136)</f>
        <v>28.8059879787795</v>
      </c>
      <c r="AP136" s="16" t="n">
        <f aca="false">SUM($T136:Z136)</f>
        <v>34.5959158968397</v>
      </c>
      <c r="AQ136" s="16" t="n">
        <f aca="false">SUM($T136:AA136)</f>
        <v>40.0173095559405</v>
      </c>
      <c r="AR136" s="16" t="n">
        <f aca="false">SUM($T136:AB136)</f>
        <v>45.1300373186213</v>
      </c>
      <c r="AS136" s="16" t="n">
        <f aca="false">SUM($T136:AC136)</f>
        <v>49.6404032643945</v>
      </c>
      <c r="AT136" s="16" t="n">
        <f aca="false">SUM($T136:AD136)</f>
        <v>53.8165431864101</v>
      </c>
      <c r="AU136" s="16" t="n">
        <f aca="false">SUM($T136:AE136)</f>
        <v>58.6592798912867</v>
      </c>
      <c r="AV136" s="16" t="n">
        <f aca="false">SUM($T136:AF136)</f>
        <v>63.3097241388054</v>
      </c>
      <c r="AW136" s="16" t="n">
        <f aca="false">SUM($T136:AG136)</f>
        <v>68.5802914328763</v>
      </c>
      <c r="AX136" s="16" t="n">
        <f aca="false">SUM($T136:AH136)</f>
        <v>73.695513658132</v>
      </c>
      <c r="AY136" s="16" t="n">
        <f aca="false">SUM($T136:AI136)</f>
        <v>78.6826165064339</v>
      </c>
      <c r="AZ136" s="16" t="n">
        <f aca="false">MAX(C136-AJ136,0)</f>
        <v>70.2360201308164</v>
      </c>
      <c r="BA136" s="16" t="n">
        <f aca="false">MAX(C136-AK136,0)</f>
        <v>65.4795623933348</v>
      </c>
      <c r="BB136" s="16" t="n">
        <f aca="false">MAX(C136-AL136,0)</f>
        <v>61.086071973166</v>
      </c>
      <c r="BC136" s="16" t="n">
        <f aca="false">MAX(C136-AM136,0)</f>
        <v>56.4031811133012</v>
      </c>
      <c r="BD136" s="16" t="n">
        <f aca="false">MAX(C136-AN136,0)</f>
        <v>51.1842951848543</v>
      </c>
      <c r="BE136" s="16" t="n">
        <f aca="false">MAX(C136-AO136,0)</f>
        <v>46.3135671313984</v>
      </c>
      <c r="BF136" s="16" t="n">
        <f aca="false">MAX(C136-AP136,0)</f>
        <v>40.5236392133382</v>
      </c>
      <c r="BG136" s="16" t="n">
        <f aca="false">MAX(C136-AQ136,0)</f>
        <v>35.1022455542374</v>
      </c>
      <c r="BH136" s="16" t="n">
        <f aca="false">MAX(C136-AR136,0)</f>
        <v>29.9895177915566</v>
      </c>
      <c r="BI136" s="16" t="n">
        <f aca="false">MAX(C136-AS136,0)</f>
        <v>25.4791518457834</v>
      </c>
      <c r="BJ136" s="16" t="n">
        <f aca="false">MAX(C136-AT136,0)</f>
        <v>21.3030119237678</v>
      </c>
      <c r="BK136" s="16" t="n">
        <f aca="false">MAX(C136-AU136,0)</f>
        <v>16.4602752188912</v>
      </c>
      <c r="BL136" s="16" t="n">
        <f aca="false">MAX(C136-AV136,0)</f>
        <v>11.8098309713725</v>
      </c>
      <c r="BM136" s="16" t="n">
        <f aca="false">MAX(C136-AW136,0)</f>
        <v>6.53926367730156</v>
      </c>
      <c r="BN136" s="16" t="n">
        <f aca="false">MAX(C136-AX136,0)</f>
        <v>1.4240414520459</v>
      </c>
      <c r="BO136" s="16" t="n">
        <f aca="false">MAX(C136-AY136,0)</f>
        <v>0</v>
      </c>
    </row>
    <row r="137" customFormat="false" ht="15" hidden="false" customHeight="false" outlineLevel="0" collapsed="false">
      <c r="A137" s="3" t="n">
        <v>107</v>
      </c>
      <c r="B137" s="15" t="n">
        <f aca="true">RAND()</f>
        <v>0.711773579946299</v>
      </c>
      <c r="C137" s="16" t="n">
        <f aca="false">LOOKUP(B137,$E$12:$E$17,$A$12:$A$17)+LOOKUP(B137,$E$12:$E$17,$D$12:$D$17)*(B137-LOOKUP(B137,$E$12:$E$17))/LOOKUP(B137,$E$12:$E$17,$C$12:$C$17)</f>
        <v>67.31105114209</v>
      </c>
      <c r="D137" s="15" t="n">
        <f aca="true">RAND()</f>
        <v>0.92146231348464</v>
      </c>
      <c r="E137" s="15" t="n">
        <f aca="true">RAND()</f>
        <v>0.757167449200522</v>
      </c>
      <c r="F137" s="15" t="n">
        <f aca="true">RAND()</f>
        <v>0.0337469583458356</v>
      </c>
      <c r="G137" s="15" t="n">
        <f aca="true">RAND()</f>
        <v>0.568891635438893</v>
      </c>
      <c r="H137" s="15" t="n">
        <f aca="true">RAND()</f>
        <v>0.828383461110605</v>
      </c>
      <c r="I137" s="15" t="n">
        <f aca="true">RAND()</f>
        <v>0.53438006962082</v>
      </c>
      <c r="J137" s="15" t="n">
        <f aca="true">RAND()</f>
        <v>0.837880869962845</v>
      </c>
      <c r="K137" s="15" t="n">
        <f aca="true">RAND()</f>
        <v>0.121923915267631</v>
      </c>
      <c r="L137" s="15" t="n">
        <f aca="true">RAND()</f>
        <v>0.628400292142392</v>
      </c>
      <c r="M137" s="15" t="n">
        <f aca="true">RAND()</f>
        <v>0.755367598347786</v>
      </c>
      <c r="N137" s="15" t="n">
        <f aca="true">RAND()</f>
        <v>0.10145069872463</v>
      </c>
      <c r="O137" s="15" t="n">
        <f aca="true">RAND()</f>
        <v>0.371309977582021</v>
      </c>
      <c r="P137" s="15" t="n">
        <f aca="true">RAND()</f>
        <v>0.663807125559313</v>
      </c>
      <c r="Q137" s="15" t="n">
        <f aca="true">RAND()</f>
        <v>0.608604840952275</v>
      </c>
      <c r="R137" s="15" t="n">
        <f aca="true">RAND()</f>
        <v>0.877450498957961</v>
      </c>
      <c r="S137" s="15" t="n">
        <f aca="true">RAND()</f>
        <v>0.313723927120159</v>
      </c>
      <c r="T137" s="16" t="n">
        <f aca="false">LOOKUP(D137,$E$23:$E$26,$A$23:$A$26)+LOOKUP(D137,$E$23:$E$26,$D$23:$D$26)*(D137-LOOKUP(D137,$E$23:$E$26))/LOOKUP(D137,$E$23:$E$26,$C$23:$C$26)</f>
        <v>5.6073115674232</v>
      </c>
      <c r="U137" s="16" t="n">
        <f aca="false">LOOKUP(E137,$E$23:$E$26,$A$23:$A$26)+LOOKUP(E137,$E$23:$E$26,$D$23:$D$26)*(E137-LOOKUP(E137,$E$23:$E$26))/LOOKUP(E137,$E$23:$E$26,$C$23:$C$26)</f>
        <v>5.1429186230013</v>
      </c>
      <c r="V137" s="16" t="n">
        <f aca="false">LOOKUP(F137,$E$23:$E$26,$A$23:$A$26)+LOOKUP(F137,$E$23:$E$26,$D$23:$D$26)*(F137-LOOKUP(F137,$E$23:$E$26))/LOOKUP(F137,$E$23:$E$26,$C$23:$C$26)</f>
        <v>4.05624493057639</v>
      </c>
      <c r="W137" s="16" t="n">
        <f aca="false">LOOKUP(G137,$E$23:$E$26,$A$23:$A$26)+LOOKUP(G137,$E$23:$E$26,$D$23:$D$26)*(G137-LOOKUP(G137,$E$23:$E$26))/LOOKUP(G137,$E$23:$E$26,$C$23:$C$26)</f>
        <v>4.83611454429862</v>
      </c>
      <c r="X137" s="16" t="n">
        <f aca="false">LOOKUP(H137,$E$23:$E$26,$A$23:$A$26)+LOOKUP(H137,$E$23:$E$26,$D$23:$D$26)*(H137-LOOKUP(H137,$E$23:$E$26))/LOOKUP(H137,$E$23:$E$26,$C$23:$C$26)</f>
        <v>5.32095865277651</v>
      </c>
      <c r="Y137" s="16" t="n">
        <f aca="false">LOOKUP(I137,$E$23:$E$26,$A$23:$A$26)+LOOKUP(I137,$E$23:$E$26,$D$23:$D$26)*(I137-LOOKUP(I137,$E$23:$E$26))/LOOKUP(I137,$E$23:$E$26,$C$23:$C$26)</f>
        <v>4.79297508702603</v>
      </c>
      <c r="Z137" s="16" t="n">
        <f aca="false">LOOKUP(J137,$E$23:$E$26,$A$23:$A$26)+LOOKUP(J137,$E$23:$E$26,$D$23:$D$26)*(J137-LOOKUP(J137,$E$23:$E$26))/LOOKUP(J137,$E$23:$E$26,$C$23:$C$26)</f>
        <v>5.34470217490711</v>
      </c>
      <c r="AA137" s="16" t="n">
        <f aca="false">LOOKUP(K137,$E$23:$E$26,$A$23:$A$26)+LOOKUP(K137,$E$23:$E$26,$D$23:$D$26)*(K137-LOOKUP(K137,$E$23:$E$26))/LOOKUP(K137,$E$23:$E$26,$C$23:$C$26)</f>
        <v>4.20320652544605</v>
      </c>
      <c r="AB137" s="16" t="n">
        <f aca="false">LOOKUP(L137,$E$23:$E$26,$A$23:$A$26)+LOOKUP(L137,$E$23:$E$26,$D$23:$D$26)*(L137-LOOKUP(L137,$E$23:$E$26))/LOOKUP(L137,$E$23:$E$26,$C$23:$C$26)</f>
        <v>4.91050036517799</v>
      </c>
      <c r="AC137" s="16" t="n">
        <f aca="false">LOOKUP(M137,$E$23:$E$26,$A$23:$A$26)+LOOKUP(M137,$E$23:$E$26,$D$23:$D$26)*(M137-LOOKUP(M137,$E$23:$E$26))/LOOKUP(M137,$E$23:$E$26,$C$23:$C$26)</f>
        <v>5.13841899586947</v>
      </c>
      <c r="AD137" s="16" t="n">
        <f aca="false">LOOKUP(N137,$E$23:$E$26,$A$23:$A$26)+LOOKUP(N137,$E$23:$E$26,$D$23:$D$26)*(N137-LOOKUP(N137,$E$23:$E$26))/LOOKUP(N137,$E$23:$E$26,$C$23:$C$26)</f>
        <v>4.16908449787438</v>
      </c>
      <c r="AE137" s="16" t="n">
        <f aca="false">LOOKUP(O137,$E$23:$E$26,$A$23:$A$26)+LOOKUP(O137,$E$23:$E$26,$D$23:$D$26)*(O137-LOOKUP(O137,$E$23:$E$26))/LOOKUP(O137,$E$23:$E$26,$C$23:$C$26)</f>
        <v>4.58913747197753</v>
      </c>
      <c r="AF137" s="16" t="n">
        <f aca="false">LOOKUP(P137,$E$23:$E$26,$A$23:$A$26)+LOOKUP(P137,$E$23:$E$26,$D$23:$D$26)*(P137-LOOKUP(P137,$E$23:$E$26))/LOOKUP(P137,$E$23:$E$26,$C$23:$C$26)</f>
        <v>4.95475890694914</v>
      </c>
      <c r="AG137" s="16" t="n">
        <f aca="false">LOOKUP(Q137,$E$23:$E$26,$A$23:$A$26)+LOOKUP(Q137,$E$23:$E$26,$D$23:$D$26)*(Q137-LOOKUP(Q137,$E$23:$E$26))/LOOKUP(Q137,$E$23:$E$26,$C$23:$C$26)</f>
        <v>4.88575605119034</v>
      </c>
      <c r="AH137" s="16" t="n">
        <f aca="false">LOOKUP(R137,$E$23:$E$26,$A$23:$A$26)+LOOKUP(R137,$E$23:$E$26,$D$23:$D$26)*(R137-LOOKUP(R137,$E$23:$E$26))/LOOKUP(R137,$E$23:$E$26,$C$23:$C$26)</f>
        <v>5.4436262473949</v>
      </c>
      <c r="AI137" s="16" t="n">
        <f aca="false">LOOKUP(S137,$E$23:$E$26,$A$23:$A$26)+LOOKUP(S137,$E$23:$E$26,$D$23:$D$26)*(S137-LOOKUP(S137,$E$23:$E$26))/LOOKUP(S137,$E$23:$E$26,$C$23:$C$26)</f>
        <v>4.5171549089002</v>
      </c>
      <c r="AJ137" s="16" t="n">
        <f aca="false">SUM($T137:T137)</f>
        <v>5.6073115674232</v>
      </c>
      <c r="AK137" s="16" t="n">
        <f aca="false">SUM($T137:U137)</f>
        <v>10.7502301904245</v>
      </c>
      <c r="AL137" s="16" t="n">
        <f aca="false">SUM($T137:V137)</f>
        <v>14.8064751210009</v>
      </c>
      <c r="AM137" s="16" t="n">
        <f aca="false">SUM($T137:W137)</f>
        <v>19.6425896652995</v>
      </c>
      <c r="AN137" s="16" t="n">
        <f aca="false">SUM($T137:X137)</f>
        <v>24.963548318076</v>
      </c>
      <c r="AO137" s="16" t="n">
        <f aca="false">SUM($T137:Y137)</f>
        <v>29.7565234051021</v>
      </c>
      <c r="AP137" s="16" t="n">
        <f aca="false">SUM($T137:Z137)</f>
        <v>35.1012255800092</v>
      </c>
      <c r="AQ137" s="16" t="n">
        <f aca="false">SUM($T137:AA137)</f>
        <v>39.3044321054552</v>
      </c>
      <c r="AR137" s="16" t="n">
        <f aca="false">SUM($T137:AB137)</f>
        <v>44.2149324706332</v>
      </c>
      <c r="AS137" s="16" t="n">
        <f aca="false">SUM($T137:AC137)</f>
        <v>49.3533514665027</v>
      </c>
      <c r="AT137" s="16" t="n">
        <f aca="false">SUM($T137:AD137)</f>
        <v>53.5224359643771</v>
      </c>
      <c r="AU137" s="16" t="n">
        <f aca="false">SUM($T137:AE137)</f>
        <v>58.1115734363546</v>
      </c>
      <c r="AV137" s="16" t="n">
        <f aca="false">SUM($T137:AF137)</f>
        <v>63.0663323433037</v>
      </c>
      <c r="AW137" s="16" t="n">
        <f aca="false">SUM($T137:AG137)</f>
        <v>67.9520883944941</v>
      </c>
      <c r="AX137" s="16" t="n">
        <f aca="false">SUM($T137:AH137)</f>
        <v>73.395714641889</v>
      </c>
      <c r="AY137" s="16" t="n">
        <f aca="false">SUM($T137:AI137)</f>
        <v>77.9128695507892</v>
      </c>
      <c r="AZ137" s="16" t="n">
        <f aca="false">MAX(C137-AJ137,0)</f>
        <v>61.7037395746668</v>
      </c>
      <c r="BA137" s="16" t="n">
        <f aca="false">MAX(C137-AK137,0)</f>
        <v>56.5608209516655</v>
      </c>
      <c r="BB137" s="16" t="n">
        <f aca="false">MAX(C137-AL137,0)</f>
        <v>52.5045760210891</v>
      </c>
      <c r="BC137" s="16" t="n">
        <f aca="false">MAX(C137-AM137,0)</f>
        <v>47.6684614767905</v>
      </c>
      <c r="BD137" s="16" t="n">
        <f aca="false">MAX(C137-AN137,0)</f>
        <v>42.347502824014</v>
      </c>
      <c r="BE137" s="16" t="n">
        <f aca="false">MAX(C137-AO137,0)</f>
        <v>37.5545277369879</v>
      </c>
      <c r="BF137" s="16" t="n">
        <f aca="false">MAX(C137-AP137,0)</f>
        <v>32.2098255620808</v>
      </c>
      <c r="BG137" s="16" t="n">
        <f aca="false">MAX(C137-AQ137,0)</f>
        <v>28.0066190366348</v>
      </c>
      <c r="BH137" s="16" t="n">
        <f aca="false">MAX(C137-AR137,0)</f>
        <v>23.0961186714568</v>
      </c>
      <c r="BI137" s="16" t="n">
        <f aca="false">MAX(C137-AS137,0)</f>
        <v>17.9576996755873</v>
      </c>
      <c r="BJ137" s="16" t="n">
        <f aca="false">MAX(C137-AT137,0)</f>
        <v>13.7886151777129</v>
      </c>
      <c r="BK137" s="16" t="n">
        <f aca="false">MAX(C137-AU137,0)</f>
        <v>9.1994777057354</v>
      </c>
      <c r="BL137" s="16" t="n">
        <f aca="false">MAX(C137-AV137,0)</f>
        <v>4.24471879878625</v>
      </c>
      <c r="BM137" s="16" t="n">
        <f aca="false">MAX(C137-AW137,0)</f>
        <v>0</v>
      </c>
      <c r="BN137" s="16" t="n">
        <f aca="false">MAX(C137-AX137,0)</f>
        <v>0</v>
      </c>
      <c r="BO137" s="16" t="n">
        <f aca="false">MAX(C137-AY137,0)</f>
        <v>0</v>
      </c>
    </row>
    <row r="138" customFormat="false" ht="15" hidden="false" customHeight="false" outlineLevel="0" collapsed="false">
      <c r="A138" s="3" t="n">
        <v>108</v>
      </c>
      <c r="B138" s="15" t="n">
        <f aca="true">RAND()</f>
        <v>0.369290186155068</v>
      </c>
      <c r="C138" s="16" t="n">
        <f aca="false">LOOKUP(B138,$E$12:$E$17,$A$12:$A$17)+LOOKUP(B138,$E$12:$E$17,$D$12:$D$17)*(B138-LOOKUP(B138,$E$12:$E$17))/LOOKUP(B138,$E$12:$E$17,$C$12:$C$17)</f>
        <v>61.9881697692511</v>
      </c>
      <c r="D138" s="15" t="n">
        <f aca="true">RAND()</f>
        <v>0.126589293576371</v>
      </c>
      <c r="E138" s="15" t="n">
        <f aca="true">RAND()</f>
        <v>0.499683686655274</v>
      </c>
      <c r="F138" s="15" t="n">
        <f aca="true">RAND()</f>
        <v>0.159488858917807</v>
      </c>
      <c r="G138" s="15" t="n">
        <f aca="true">RAND()</f>
        <v>0.565370384808868</v>
      </c>
      <c r="H138" s="15" t="n">
        <f aca="true">RAND()</f>
        <v>0.500300559708894</v>
      </c>
      <c r="I138" s="15" t="n">
        <f aca="true">RAND()</f>
        <v>0.0838094748032944</v>
      </c>
      <c r="J138" s="15" t="n">
        <f aca="true">RAND()</f>
        <v>0.264712236343579</v>
      </c>
      <c r="K138" s="15" t="n">
        <f aca="true">RAND()</f>
        <v>0.206583306399003</v>
      </c>
      <c r="L138" s="15" t="n">
        <f aca="true">RAND()</f>
        <v>0.769312271454903</v>
      </c>
      <c r="M138" s="15" t="n">
        <f aca="true">RAND()</f>
        <v>0.713124993366838</v>
      </c>
      <c r="N138" s="15" t="n">
        <f aca="true">RAND()</f>
        <v>0.0474972679087022</v>
      </c>
      <c r="O138" s="15" t="n">
        <f aca="true">RAND()</f>
        <v>0.644964752185564</v>
      </c>
      <c r="P138" s="15" t="n">
        <f aca="true">RAND()</f>
        <v>0.0853703897357385</v>
      </c>
      <c r="Q138" s="15" t="n">
        <f aca="true">RAND()</f>
        <v>0.498042503691859</v>
      </c>
      <c r="R138" s="15" t="n">
        <f aca="true">RAND()</f>
        <v>0.960745512452485</v>
      </c>
      <c r="S138" s="15" t="n">
        <f aca="true">RAND()</f>
        <v>0.331858098813289</v>
      </c>
      <c r="T138" s="16" t="n">
        <f aca="false">LOOKUP(D138,$E$23:$E$26,$A$23:$A$26)+LOOKUP(D138,$E$23:$E$26,$D$23:$D$26)*(D138-LOOKUP(D138,$E$23:$E$26))/LOOKUP(D138,$E$23:$E$26,$C$23:$C$26)</f>
        <v>4.21098215596062</v>
      </c>
      <c r="U138" s="16" t="n">
        <f aca="false">LOOKUP(E138,$E$23:$E$26,$A$23:$A$26)+LOOKUP(E138,$E$23:$E$26,$D$23:$D$26)*(E138-LOOKUP(E138,$E$23:$E$26))/LOOKUP(E138,$E$23:$E$26,$C$23:$C$26)</f>
        <v>4.74960460831909</v>
      </c>
      <c r="V138" s="16" t="n">
        <f aca="false">LOOKUP(F138,$E$23:$E$26,$A$23:$A$26)+LOOKUP(F138,$E$23:$E$26,$D$23:$D$26)*(F138-LOOKUP(F138,$E$23:$E$26))/LOOKUP(F138,$E$23:$E$26,$C$23:$C$26)</f>
        <v>4.26581476486301</v>
      </c>
      <c r="W138" s="16" t="n">
        <f aca="false">LOOKUP(G138,$E$23:$E$26,$A$23:$A$26)+LOOKUP(G138,$E$23:$E$26,$D$23:$D$26)*(G138-LOOKUP(G138,$E$23:$E$26))/LOOKUP(G138,$E$23:$E$26,$C$23:$C$26)</f>
        <v>4.83171298101108</v>
      </c>
      <c r="X138" s="16" t="n">
        <f aca="false">LOOKUP(H138,$E$23:$E$26,$A$23:$A$26)+LOOKUP(H138,$E$23:$E$26,$D$23:$D$26)*(H138-LOOKUP(H138,$E$23:$E$26))/LOOKUP(H138,$E$23:$E$26,$C$23:$C$26)</f>
        <v>4.75037569963612</v>
      </c>
      <c r="Y138" s="16" t="n">
        <f aca="false">LOOKUP(I138,$E$23:$E$26,$A$23:$A$26)+LOOKUP(I138,$E$23:$E$26,$D$23:$D$26)*(I138-LOOKUP(I138,$E$23:$E$26))/LOOKUP(I138,$E$23:$E$26,$C$23:$C$26)</f>
        <v>4.13968245800549</v>
      </c>
      <c r="Z138" s="16" t="n">
        <f aca="false">LOOKUP(J138,$E$23:$E$26,$A$23:$A$26)+LOOKUP(J138,$E$23:$E$26,$D$23:$D$26)*(J138-LOOKUP(J138,$E$23:$E$26))/LOOKUP(J138,$E$23:$E$26,$C$23:$C$26)</f>
        <v>4.44118706057263</v>
      </c>
      <c r="AA138" s="16" t="n">
        <f aca="false">LOOKUP(K138,$E$23:$E$26,$A$23:$A$26)+LOOKUP(K138,$E$23:$E$26,$D$23:$D$26)*(K138-LOOKUP(K138,$E$23:$E$26))/LOOKUP(K138,$E$23:$E$26,$C$23:$C$26)</f>
        <v>4.34430551066501</v>
      </c>
      <c r="AB138" s="16" t="n">
        <f aca="false">LOOKUP(L138,$E$23:$E$26,$A$23:$A$26)+LOOKUP(L138,$E$23:$E$26,$D$23:$D$26)*(L138-LOOKUP(L138,$E$23:$E$26))/LOOKUP(L138,$E$23:$E$26,$C$23:$C$26)</f>
        <v>5.17328067863726</v>
      </c>
      <c r="AC138" s="16" t="n">
        <f aca="false">LOOKUP(M138,$E$23:$E$26,$A$23:$A$26)+LOOKUP(M138,$E$23:$E$26,$D$23:$D$26)*(M138-LOOKUP(M138,$E$23:$E$26))/LOOKUP(M138,$E$23:$E$26,$C$23:$C$26)</f>
        <v>5.0328124834171</v>
      </c>
      <c r="AD138" s="16" t="n">
        <f aca="false">LOOKUP(N138,$E$23:$E$26,$A$23:$A$26)+LOOKUP(N138,$E$23:$E$26,$D$23:$D$26)*(N138-LOOKUP(N138,$E$23:$E$26))/LOOKUP(N138,$E$23:$E$26,$C$23:$C$26)</f>
        <v>4.07916211318117</v>
      </c>
      <c r="AE138" s="16" t="n">
        <f aca="false">LOOKUP(O138,$E$23:$E$26,$A$23:$A$26)+LOOKUP(O138,$E$23:$E$26,$D$23:$D$26)*(O138-LOOKUP(O138,$E$23:$E$26))/LOOKUP(O138,$E$23:$E$26,$C$23:$C$26)</f>
        <v>4.93120594023196</v>
      </c>
      <c r="AF138" s="16" t="n">
        <f aca="false">LOOKUP(P138,$E$23:$E$26,$A$23:$A$26)+LOOKUP(P138,$E$23:$E$26,$D$23:$D$26)*(P138-LOOKUP(P138,$E$23:$E$26))/LOOKUP(P138,$E$23:$E$26,$C$23:$C$26)</f>
        <v>4.1422839828929</v>
      </c>
      <c r="AG138" s="16" t="n">
        <f aca="false">LOOKUP(Q138,$E$23:$E$26,$A$23:$A$26)+LOOKUP(Q138,$E$23:$E$26,$D$23:$D$26)*(Q138-LOOKUP(Q138,$E$23:$E$26))/LOOKUP(Q138,$E$23:$E$26,$C$23:$C$26)</f>
        <v>4.74755312961482</v>
      </c>
      <c r="AH138" s="16" t="n">
        <f aca="false">LOOKUP(R138,$E$23:$E$26,$A$23:$A$26)+LOOKUP(R138,$E$23:$E$26,$D$23:$D$26)*(R138-LOOKUP(R138,$E$23:$E$26))/LOOKUP(R138,$E$23:$E$26,$C$23:$C$26)</f>
        <v>5.80372756226243</v>
      </c>
      <c r="AI138" s="16" t="n">
        <f aca="false">LOOKUP(S138,$E$23:$E$26,$A$23:$A$26)+LOOKUP(S138,$E$23:$E$26,$D$23:$D$26)*(S138-LOOKUP(S138,$E$23:$E$26))/LOOKUP(S138,$E$23:$E$26,$C$23:$C$26)</f>
        <v>4.53982262351661</v>
      </c>
      <c r="AJ138" s="16" t="n">
        <f aca="false">SUM($T138:T138)</f>
        <v>4.21098215596062</v>
      </c>
      <c r="AK138" s="16" t="n">
        <f aca="false">SUM($T138:U138)</f>
        <v>8.96058676427971</v>
      </c>
      <c r="AL138" s="16" t="n">
        <f aca="false">SUM($T138:V138)</f>
        <v>13.2264015291427</v>
      </c>
      <c r="AM138" s="16" t="n">
        <f aca="false">SUM($T138:W138)</f>
        <v>18.0581145101538</v>
      </c>
      <c r="AN138" s="16" t="n">
        <f aca="false">SUM($T138:X138)</f>
        <v>22.8084902097899</v>
      </c>
      <c r="AO138" s="16" t="n">
        <f aca="false">SUM($T138:Y138)</f>
        <v>26.9481726677954</v>
      </c>
      <c r="AP138" s="16" t="n">
        <f aca="false">SUM($T138:Z138)</f>
        <v>31.3893597283681</v>
      </c>
      <c r="AQ138" s="16" t="n">
        <f aca="false">SUM($T138:AA138)</f>
        <v>35.7336652390331</v>
      </c>
      <c r="AR138" s="16" t="n">
        <f aca="false">SUM($T138:AB138)</f>
        <v>40.9069459176703</v>
      </c>
      <c r="AS138" s="16" t="n">
        <f aca="false">SUM($T138:AC138)</f>
        <v>45.9397584010874</v>
      </c>
      <c r="AT138" s="16" t="n">
        <f aca="false">SUM($T138:AD138)</f>
        <v>50.0189205142686</v>
      </c>
      <c r="AU138" s="16" t="n">
        <f aca="false">SUM($T138:AE138)</f>
        <v>54.9501264545005</v>
      </c>
      <c r="AV138" s="16" t="n">
        <f aca="false">SUM($T138:AF138)</f>
        <v>59.0924104373934</v>
      </c>
      <c r="AW138" s="16" t="n">
        <f aca="false">SUM($T138:AG138)</f>
        <v>63.8399635670083</v>
      </c>
      <c r="AX138" s="16" t="n">
        <f aca="false">SUM($T138:AH138)</f>
        <v>69.6436911292707</v>
      </c>
      <c r="AY138" s="16" t="n">
        <f aca="false">SUM($T138:AI138)</f>
        <v>74.1835137527873</v>
      </c>
      <c r="AZ138" s="16" t="n">
        <f aca="false">MAX(C138-AJ138,0)</f>
        <v>57.7771876132905</v>
      </c>
      <c r="BA138" s="16" t="n">
        <f aca="false">MAX(C138-AK138,0)</f>
        <v>53.0275830049714</v>
      </c>
      <c r="BB138" s="16" t="n">
        <f aca="false">MAX(C138-AL138,0)</f>
        <v>48.7617682401084</v>
      </c>
      <c r="BC138" s="16" t="n">
        <f aca="false">MAX(C138-AM138,0)</f>
        <v>43.9300552590973</v>
      </c>
      <c r="BD138" s="16" t="n">
        <f aca="false">MAX(C138-AN138,0)</f>
        <v>39.1796795594612</v>
      </c>
      <c r="BE138" s="16" t="n">
        <f aca="false">MAX(C138-AO138,0)</f>
        <v>35.0399971014557</v>
      </c>
      <c r="BF138" s="16" t="n">
        <f aca="false">MAX(C138-AP138,0)</f>
        <v>30.5988100408831</v>
      </c>
      <c r="BG138" s="16" t="n">
        <f aca="false">MAX(C138-AQ138,0)</f>
        <v>26.2545045302181</v>
      </c>
      <c r="BH138" s="16" t="n">
        <f aca="false">MAX(C138-AR138,0)</f>
        <v>21.0812238515808</v>
      </c>
      <c r="BI138" s="16" t="n">
        <f aca="false">MAX(C138-AS138,0)</f>
        <v>16.0484113681637</v>
      </c>
      <c r="BJ138" s="16" t="n">
        <f aca="false">MAX(C138-AT138,0)</f>
        <v>11.9692492549826</v>
      </c>
      <c r="BK138" s="16" t="n">
        <f aca="false">MAX(C138-AU138,0)</f>
        <v>7.0380433147506</v>
      </c>
      <c r="BL138" s="16" t="n">
        <f aca="false">MAX(C138-AV138,0)</f>
        <v>2.8957593318577</v>
      </c>
      <c r="BM138" s="16" t="n">
        <f aca="false">MAX(C138-AW138,0)</f>
        <v>0</v>
      </c>
      <c r="BN138" s="16" t="n">
        <f aca="false">MAX(C138-AX138,0)</f>
        <v>0</v>
      </c>
      <c r="BO138" s="16" t="n">
        <f aca="false">MAX(C138-AY138,0)</f>
        <v>0</v>
      </c>
    </row>
    <row r="139" customFormat="false" ht="15" hidden="false" customHeight="false" outlineLevel="0" collapsed="false">
      <c r="A139" s="3" t="n">
        <v>109</v>
      </c>
      <c r="B139" s="15" t="n">
        <f aca="true">RAND()</f>
        <v>0.214396530263771</v>
      </c>
      <c r="C139" s="16" t="n">
        <f aca="false">LOOKUP(B139,$E$12:$E$17,$A$12:$A$17)+LOOKUP(B139,$E$12:$E$17,$D$12:$D$17)*(B139-LOOKUP(B139,$E$12:$E$17))/LOOKUP(B139,$E$12:$E$17,$C$12:$C$17)</f>
        <v>58.813217675459</v>
      </c>
      <c r="D139" s="15" t="n">
        <f aca="true">RAND()</f>
        <v>0.0144255152455498</v>
      </c>
      <c r="E139" s="15" t="n">
        <f aca="true">RAND()</f>
        <v>0.347647047287618</v>
      </c>
      <c r="F139" s="15" t="n">
        <f aca="true">RAND()</f>
        <v>0.283791922908024</v>
      </c>
      <c r="G139" s="15" t="n">
        <f aca="true">RAND()</f>
        <v>0.593185993030095</v>
      </c>
      <c r="H139" s="15" t="n">
        <f aca="true">RAND()</f>
        <v>0.0464759817719017</v>
      </c>
      <c r="I139" s="15" t="n">
        <f aca="true">RAND()</f>
        <v>0.429706375551743</v>
      </c>
      <c r="J139" s="15" t="n">
        <f aca="true">RAND()</f>
        <v>0.741051253279496</v>
      </c>
      <c r="K139" s="15" t="n">
        <f aca="true">RAND()</f>
        <v>0.224485530567159</v>
      </c>
      <c r="L139" s="15" t="n">
        <f aca="true">RAND()</f>
        <v>0.268903701713022</v>
      </c>
      <c r="M139" s="15" t="n">
        <f aca="true">RAND()</f>
        <v>0.956563654039609</v>
      </c>
      <c r="N139" s="15" t="n">
        <f aca="true">RAND()</f>
        <v>0.758118466844883</v>
      </c>
      <c r="O139" s="15" t="n">
        <f aca="true">RAND()</f>
        <v>0.853125689783512</v>
      </c>
      <c r="P139" s="15" t="n">
        <f aca="true">RAND()</f>
        <v>0.337096386951773</v>
      </c>
      <c r="Q139" s="15" t="n">
        <f aca="true">RAND()</f>
        <v>0.239998813392523</v>
      </c>
      <c r="R139" s="15" t="n">
        <f aca="true">RAND()</f>
        <v>0.958250717320876</v>
      </c>
      <c r="S139" s="15" t="n">
        <f aca="true">RAND()</f>
        <v>0.473316640511088</v>
      </c>
      <c r="T139" s="16" t="n">
        <f aca="false">LOOKUP(D139,$E$23:$E$26,$A$23:$A$26)+LOOKUP(D139,$E$23:$E$26,$D$23:$D$26)*(D139-LOOKUP(D139,$E$23:$E$26))/LOOKUP(D139,$E$23:$E$26,$C$23:$C$26)</f>
        <v>4.02404252540925</v>
      </c>
      <c r="U139" s="16" t="n">
        <f aca="false">LOOKUP(E139,$E$23:$E$26,$A$23:$A$26)+LOOKUP(E139,$E$23:$E$26,$D$23:$D$26)*(E139-LOOKUP(E139,$E$23:$E$26))/LOOKUP(E139,$E$23:$E$26,$C$23:$C$26)</f>
        <v>4.55955880910952</v>
      </c>
      <c r="V139" s="16" t="n">
        <f aca="false">LOOKUP(F139,$E$23:$E$26,$A$23:$A$26)+LOOKUP(F139,$E$23:$E$26,$D$23:$D$26)*(F139-LOOKUP(F139,$E$23:$E$26))/LOOKUP(F139,$E$23:$E$26,$C$23:$C$26)</f>
        <v>4.47298653818004</v>
      </c>
      <c r="W139" s="16" t="n">
        <f aca="false">LOOKUP(G139,$E$23:$E$26,$A$23:$A$26)+LOOKUP(G139,$E$23:$E$26,$D$23:$D$26)*(G139-LOOKUP(G139,$E$23:$E$26))/LOOKUP(G139,$E$23:$E$26,$C$23:$C$26)</f>
        <v>4.86648249128762</v>
      </c>
      <c r="X139" s="16" t="n">
        <f aca="false">LOOKUP(H139,$E$23:$E$26,$A$23:$A$26)+LOOKUP(H139,$E$23:$E$26,$D$23:$D$26)*(H139-LOOKUP(H139,$E$23:$E$26))/LOOKUP(H139,$E$23:$E$26,$C$23:$C$26)</f>
        <v>4.07745996961984</v>
      </c>
      <c r="Y139" s="16" t="n">
        <f aca="false">LOOKUP(I139,$E$23:$E$26,$A$23:$A$26)+LOOKUP(I139,$E$23:$E$26,$D$23:$D$26)*(I139-LOOKUP(I139,$E$23:$E$26))/LOOKUP(I139,$E$23:$E$26,$C$23:$C$26)</f>
        <v>4.66213296943968</v>
      </c>
      <c r="Z139" s="16" t="n">
        <f aca="false">LOOKUP(J139,$E$23:$E$26,$A$23:$A$26)+LOOKUP(J139,$E$23:$E$26,$D$23:$D$26)*(J139-LOOKUP(J139,$E$23:$E$26))/LOOKUP(J139,$E$23:$E$26,$C$23:$C$26)</f>
        <v>5.10262813319874</v>
      </c>
      <c r="AA139" s="16" t="n">
        <f aca="false">LOOKUP(K139,$E$23:$E$26,$A$23:$A$26)+LOOKUP(K139,$E$23:$E$26,$D$23:$D$26)*(K139-LOOKUP(K139,$E$23:$E$26))/LOOKUP(K139,$E$23:$E$26,$C$23:$C$26)</f>
        <v>4.37414255094527</v>
      </c>
      <c r="AB139" s="16" t="n">
        <f aca="false">LOOKUP(L139,$E$23:$E$26,$A$23:$A$26)+LOOKUP(L139,$E$23:$E$26,$D$23:$D$26)*(L139-LOOKUP(L139,$E$23:$E$26))/LOOKUP(L139,$E$23:$E$26,$C$23:$C$26)</f>
        <v>4.44817283618837</v>
      </c>
      <c r="AC139" s="16" t="n">
        <f aca="false">LOOKUP(M139,$E$23:$E$26,$A$23:$A$26)+LOOKUP(M139,$E$23:$E$26,$D$23:$D$26)*(M139-LOOKUP(M139,$E$23:$E$26))/LOOKUP(M139,$E$23:$E$26,$C$23:$C$26)</f>
        <v>5.78281827019805</v>
      </c>
      <c r="AD139" s="16" t="n">
        <f aca="false">LOOKUP(N139,$E$23:$E$26,$A$23:$A$26)+LOOKUP(N139,$E$23:$E$26,$D$23:$D$26)*(N139-LOOKUP(N139,$E$23:$E$26))/LOOKUP(N139,$E$23:$E$26,$C$23:$C$26)</f>
        <v>5.14529616711221</v>
      </c>
      <c r="AE139" s="16" t="n">
        <f aca="false">LOOKUP(O139,$E$23:$E$26,$A$23:$A$26)+LOOKUP(O139,$E$23:$E$26,$D$23:$D$26)*(O139-LOOKUP(O139,$E$23:$E$26))/LOOKUP(O139,$E$23:$E$26,$C$23:$C$26)</f>
        <v>5.38281422445878</v>
      </c>
      <c r="AF139" s="16" t="n">
        <f aca="false">LOOKUP(P139,$E$23:$E$26,$A$23:$A$26)+LOOKUP(P139,$E$23:$E$26,$D$23:$D$26)*(P139-LOOKUP(P139,$E$23:$E$26))/LOOKUP(P139,$E$23:$E$26,$C$23:$C$26)</f>
        <v>4.54637048368972</v>
      </c>
      <c r="AG139" s="16" t="n">
        <f aca="false">LOOKUP(Q139,$E$23:$E$26,$A$23:$A$26)+LOOKUP(Q139,$E$23:$E$26,$D$23:$D$26)*(Q139-LOOKUP(Q139,$E$23:$E$26))/LOOKUP(Q139,$E$23:$E$26,$C$23:$C$26)</f>
        <v>4.39999802232087</v>
      </c>
      <c r="AH139" s="16" t="n">
        <f aca="false">LOOKUP(R139,$E$23:$E$26,$A$23:$A$26)+LOOKUP(R139,$E$23:$E$26,$D$23:$D$26)*(R139-LOOKUP(R139,$E$23:$E$26))/LOOKUP(R139,$E$23:$E$26,$C$23:$C$26)</f>
        <v>5.79125358660438</v>
      </c>
      <c r="AI139" s="16" t="n">
        <f aca="false">LOOKUP(S139,$E$23:$E$26,$A$23:$A$26)+LOOKUP(S139,$E$23:$E$26,$D$23:$D$26)*(S139-LOOKUP(S139,$E$23:$E$26))/LOOKUP(S139,$E$23:$E$26,$C$23:$C$26)</f>
        <v>4.71664580063886</v>
      </c>
      <c r="AJ139" s="16" t="n">
        <f aca="false">SUM($T139:T139)</f>
        <v>4.02404252540925</v>
      </c>
      <c r="AK139" s="16" t="n">
        <f aca="false">SUM($T139:U139)</f>
        <v>8.58360133451877</v>
      </c>
      <c r="AL139" s="16" t="n">
        <f aca="false">SUM($T139:V139)</f>
        <v>13.0565878726988</v>
      </c>
      <c r="AM139" s="16" t="n">
        <f aca="false">SUM($T139:W139)</f>
        <v>17.9230703639864</v>
      </c>
      <c r="AN139" s="16" t="n">
        <f aca="false">SUM($T139:X139)</f>
        <v>22.0005303336063</v>
      </c>
      <c r="AO139" s="16" t="n">
        <f aca="false">SUM($T139:Y139)</f>
        <v>26.6626633030459</v>
      </c>
      <c r="AP139" s="16" t="n">
        <f aca="false">SUM($T139:Z139)</f>
        <v>31.7652914362447</v>
      </c>
      <c r="AQ139" s="16" t="n">
        <f aca="false">SUM($T139:AA139)</f>
        <v>36.13943398719</v>
      </c>
      <c r="AR139" s="16" t="n">
        <f aca="false">SUM($T139:AB139)</f>
        <v>40.5876068233783</v>
      </c>
      <c r="AS139" s="16" t="n">
        <f aca="false">SUM($T139:AC139)</f>
        <v>46.3704250935764</v>
      </c>
      <c r="AT139" s="16" t="n">
        <f aca="false">SUM($T139:AD139)</f>
        <v>51.5157212606886</v>
      </c>
      <c r="AU139" s="16" t="n">
        <f aca="false">SUM($T139:AE139)</f>
        <v>56.8985354851474</v>
      </c>
      <c r="AV139" s="16" t="n">
        <f aca="false">SUM($T139:AF139)</f>
        <v>61.4449059688371</v>
      </c>
      <c r="AW139" s="16" t="n">
        <f aca="false">SUM($T139:AG139)</f>
        <v>65.8449039911579</v>
      </c>
      <c r="AX139" s="16" t="n">
        <f aca="false">SUM($T139:AH139)</f>
        <v>71.6361575777623</v>
      </c>
      <c r="AY139" s="16" t="n">
        <f aca="false">SUM($T139:AI139)</f>
        <v>76.3528033784012</v>
      </c>
      <c r="AZ139" s="16" t="n">
        <f aca="false">MAX(C139-AJ139,0)</f>
        <v>54.7891751500498</v>
      </c>
      <c r="BA139" s="16" t="n">
        <f aca="false">MAX(C139-AK139,0)</f>
        <v>50.2296163409403</v>
      </c>
      <c r="BB139" s="16" t="n">
        <f aca="false">MAX(C139-AL139,0)</f>
        <v>45.7566298027602</v>
      </c>
      <c r="BC139" s="16" t="n">
        <f aca="false">MAX(C139-AM139,0)</f>
        <v>40.8901473114726</v>
      </c>
      <c r="BD139" s="16" t="n">
        <f aca="false">MAX(C139-AN139,0)</f>
        <v>36.8126873418528</v>
      </c>
      <c r="BE139" s="16" t="n">
        <f aca="false">MAX(C139-AO139,0)</f>
        <v>32.1505543724131</v>
      </c>
      <c r="BF139" s="16" t="n">
        <f aca="false">MAX(C139-AP139,0)</f>
        <v>27.0479262392144</v>
      </c>
      <c r="BG139" s="16" t="n">
        <f aca="false">MAX(C139-AQ139,0)</f>
        <v>22.6737836882691</v>
      </c>
      <c r="BH139" s="16" t="n">
        <f aca="false">MAX(C139-AR139,0)</f>
        <v>18.2256108520807</v>
      </c>
      <c r="BI139" s="16" t="n">
        <f aca="false">MAX(C139-AS139,0)</f>
        <v>12.4427925818827</v>
      </c>
      <c r="BJ139" s="16" t="n">
        <f aca="false">MAX(C139-AT139,0)</f>
        <v>7.29749641477046</v>
      </c>
      <c r="BK139" s="16" t="n">
        <f aca="false">MAX(C139-AU139,0)</f>
        <v>1.91468219031168</v>
      </c>
      <c r="BL139" s="16" t="n">
        <f aca="false">MAX(C139-AV139,0)</f>
        <v>0</v>
      </c>
      <c r="BM139" s="16" t="n">
        <f aca="false">MAX(C139-AW139,0)</f>
        <v>0</v>
      </c>
      <c r="BN139" s="16" t="n">
        <f aca="false">MAX(C139-AX139,0)</f>
        <v>0</v>
      </c>
      <c r="BO139" s="16" t="n">
        <f aca="false">MAX(C139-AY139,0)</f>
        <v>0</v>
      </c>
    </row>
    <row r="140" customFormat="false" ht="15" hidden="false" customHeight="false" outlineLevel="0" collapsed="false">
      <c r="A140" s="3" t="n">
        <v>110</v>
      </c>
      <c r="B140" s="15" t="n">
        <f aca="true">RAND()</f>
        <v>0.128146750961699</v>
      </c>
      <c r="C140" s="16" t="n">
        <f aca="false">LOOKUP(B140,$E$12:$E$17,$A$12:$A$17)+LOOKUP(B140,$E$12:$E$17,$D$12:$D$17)*(B140-LOOKUP(B140,$E$12:$E$17))/LOOKUP(B140,$E$12:$E$17,$C$12:$C$17)</f>
        <v>55.9382250320566</v>
      </c>
      <c r="D140" s="15" t="n">
        <f aca="true">RAND()</f>
        <v>0.753468651205777</v>
      </c>
      <c r="E140" s="15" t="n">
        <f aca="true">RAND()</f>
        <v>0.264663831977296</v>
      </c>
      <c r="F140" s="15" t="n">
        <f aca="true">RAND()</f>
        <v>0.313463175390782</v>
      </c>
      <c r="G140" s="15" t="n">
        <f aca="true">RAND()</f>
        <v>0.256443663607822</v>
      </c>
      <c r="H140" s="15" t="n">
        <f aca="true">RAND()</f>
        <v>0.146422074129018</v>
      </c>
      <c r="I140" s="15" t="n">
        <f aca="true">RAND()</f>
        <v>0.088563897742725</v>
      </c>
      <c r="J140" s="15" t="n">
        <f aca="true">RAND()</f>
        <v>0.191228308146712</v>
      </c>
      <c r="K140" s="15" t="n">
        <f aca="true">RAND()</f>
        <v>0.9039931015098</v>
      </c>
      <c r="L140" s="15" t="n">
        <f aca="true">RAND()</f>
        <v>0.995912178753623</v>
      </c>
      <c r="M140" s="15" t="n">
        <f aca="true">RAND()</f>
        <v>0.842748657299881</v>
      </c>
      <c r="N140" s="15" t="n">
        <f aca="true">RAND()</f>
        <v>0.395985148123962</v>
      </c>
      <c r="O140" s="15" t="n">
        <f aca="true">RAND()</f>
        <v>0.406835152094703</v>
      </c>
      <c r="P140" s="15" t="n">
        <f aca="true">RAND()</f>
        <v>0.47570714978386</v>
      </c>
      <c r="Q140" s="15" t="n">
        <f aca="true">RAND()</f>
        <v>0.826641103171659</v>
      </c>
      <c r="R140" s="15" t="n">
        <f aca="true">RAND()</f>
        <v>0.0300175733339737</v>
      </c>
      <c r="S140" s="15" t="n">
        <f aca="true">RAND()</f>
        <v>0.926177745170444</v>
      </c>
      <c r="T140" s="16" t="n">
        <f aca="false">LOOKUP(D140,$E$23:$E$26,$A$23:$A$26)+LOOKUP(D140,$E$23:$E$26,$D$23:$D$26)*(D140-LOOKUP(D140,$E$23:$E$26))/LOOKUP(D140,$E$23:$E$26,$C$23:$C$26)</f>
        <v>5.13367162801444</v>
      </c>
      <c r="U140" s="16" t="n">
        <f aca="false">LOOKUP(E140,$E$23:$E$26,$A$23:$A$26)+LOOKUP(E140,$E$23:$E$26,$D$23:$D$26)*(E140-LOOKUP(E140,$E$23:$E$26))/LOOKUP(E140,$E$23:$E$26,$C$23:$C$26)</f>
        <v>4.44110638662883</v>
      </c>
      <c r="V140" s="16" t="n">
        <f aca="false">LOOKUP(F140,$E$23:$E$26,$A$23:$A$26)+LOOKUP(F140,$E$23:$E$26,$D$23:$D$26)*(F140-LOOKUP(F140,$E$23:$E$26))/LOOKUP(F140,$E$23:$E$26,$C$23:$C$26)</f>
        <v>4.51682896923848</v>
      </c>
      <c r="W140" s="16" t="n">
        <f aca="false">LOOKUP(G140,$E$23:$E$26,$A$23:$A$26)+LOOKUP(G140,$E$23:$E$26,$D$23:$D$26)*(G140-LOOKUP(G140,$E$23:$E$26))/LOOKUP(G140,$E$23:$E$26,$C$23:$C$26)</f>
        <v>4.42740610601304</v>
      </c>
      <c r="X140" s="16" t="n">
        <f aca="false">LOOKUP(H140,$E$23:$E$26,$A$23:$A$26)+LOOKUP(H140,$E$23:$E$26,$D$23:$D$26)*(H140-LOOKUP(H140,$E$23:$E$26))/LOOKUP(H140,$E$23:$E$26,$C$23:$C$26)</f>
        <v>4.24403679021503</v>
      </c>
      <c r="Y140" s="16" t="n">
        <f aca="false">LOOKUP(I140,$E$23:$E$26,$A$23:$A$26)+LOOKUP(I140,$E$23:$E$26,$D$23:$D$26)*(I140-LOOKUP(I140,$E$23:$E$26))/LOOKUP(I140,$E$23:$E$26,$C$23:$C$26)</f>
        <v>4.14760649623788</v>
      </c>
      <c r="Z140" s="16" t="n">
        <f aca="false">LOOKUP(J140,$E$23:$E$26,$A$23:$A$26)+LOOKUP(J140,$E$23:$E$26,$D$23:$D$26)*(J140-LOOKUP(J140,$E$23:$E$26))/LOOKUP(J140,$E$23:$E$26,$C$23:$C$26)</f>
        <v>4.31871384691119</v>
      </c>
      <c r="AA140" s="16" t="n">
        <f aca="false">LOOKUP(K140,$E$23:$E$26,$A$23:$A$26)+LOOKUP(K140,$E$23:$E$26,$D$23:$D$26)*(K140-LOOKUP(K140,$E$23:$E$26))/LOOKUP(K140,$E$23:$E$26,$C$23:$C$26)</f>
        <v>5.519965507549</v>
      </c>
      <c r="AB140" s="16" t="n">
        <f aca="false">LOOKUP(L140,$E$23:$E$26,$A$23:$A$26)+LOOKUP(L140,$E$23:$E$26,$D$23:$D$26)*(L140-LOOKUP(L140,$E$23:$E$26))/LOOKUP(L140,$E$23:$E$26,$C$23:$C$26)</f>
        <v>5.97956089376811</v>
      </c>
      <c r="AC140" s="16" t="n">
        <f aca="false">LOOKUP(M140,$E$23:$E$26,$A$23:$A$26)+LOOKUP(M140,$E$23:$E$26,$D$23:$D$26)*(M140-LOOKUP(M140,$E$23:$E$26))/LOOKUP(M140,$E$23:$E$26,$C$23:$C$26)</f>
        <v>5.3568716432497</v>
      </c>
      <c r="AD140" s="16" t="n">
        <f aca="false">LOOKUP(N140,$E$23:$E$26,$A$23:$A$26)+LOOKUP(N140,$E$23:$E$26,$D$23:$D$26)*(N140-LOOKUP(N140,$E$23:$E$26))/LOOKUP(N140,$E$23:$E$26,$C$23:$C$26)</f>
        <v>4.61998143515495</v>
      </c>
      <c r="AE140" s="16" t="n">
        <f aca="false">LOOKUP(O140,$E$23:$E$26,$A$23:$A$26)+LOOKUP(O140,$E$23:$E$26,$D$23:$D$26)*(O140-LOOKUP(O140,$E$23:$E$26))/LOOKUP(O140,$E$23:$E$26,$C$23:$C$26)</f>
        <v>4.63354394011838</v>
      </c>
      <c r="AF140" s="16" t="n">
        <f aca="false">LOOKUP(P140,$E$23:$E$26,$A$23:$A$26)+LOOKUP(P140,$E$23:$E$26,$D$23:$D$26)*(P140-LOOKUP(P140,$E$23:$E$26))/LOOKUP(P140,$E$23:$E$26,$C$23:$C$26)</f>
        <v>4.71963393722982</v>
      </c>
      <c r="AG140" s="16" t="n">
        <f aca="false">LOOKUP(Q140,$E$23:$E$26,$A$23:$A$26)+LOOKUP(Q140,$E$23:$E$26,$D$23:$D$26)*(Q140-LOOKUP(Q140,$E$23:$E$26))/LOOKUP(Q140,$E$23:$E$26,$C$23:$C$26)</f>
        <v>5.31660275792915</v>
      </c>
      <c r="AH140" s="16" t="n">
        <f aca="false">LOOKUP(R140,$E$23:$E$26,$A$23:$A$26)+LOOKUP(R140,$E$23:$E$26,$D$23:$D$26)*(R140-LOOKUP(R140,$E$23:$E$26))/LOOKUP(R140,$E$23:$E$26,$C$23:$C$26)</f>
        <v>4.05002928888996</v>
      </c>
      <c r="AI140" s="16" t="n">
        <f aca="false">LOOKUP(S140,$E$23:$E$26,$A$23:$A$26)+LOOKUP(S140,$E$23:$E$26,$D$23:$D$26)*(S140-LOOKUP(S140,$E$23:$E$26))/LOOKUP(S140,$E$23:$E$26,$C$23:$C$26)</f>
        <v>5.63088872585222</v>
      </c>
      <c r="AJ140" s="16" t="n">
        <f aca="false">SUM($T140:T140)</f>
        <v>5.13367162801444</v>
      </c>
      <c r="AK140" s="16" t="n">
        <f aca="false">SUM($T140:U140)</f>
        <v>9.57477801464327</v>
      </c>
      <c r="AL140" s="16" t="n">
        <f aca="false">SUM($T140:V140)</f>
        <v>14.0916069838817</v>
      </c>
      <c r="AM140" s="16" t="n">
        <f aca="false">SUM($T140:W140)</f>
        <v>18.5190130898948</v>
      </c>
      <c r="AN140" s="16" t="n">
        <f aca="false">SUM($T140:X140)</f>
        <v>22.7630498801098</v>
      </c>
      <c r="AO140" s="16" t="n">
        <f aca="false">SUM($T140:Y140)</f>
        <v>26.9106563763477</v>
      </c>
      <c r="AP140" s="16" t="n">
        <f aca="false">SUM($T140:Z140)</f>
        <v>31.2293702232589</v>
      </c>
      <c r="AQ140" s="16" t="n">
        <f aca="false">SUM($T140:AA140)</f>
        <v>36.7493357308079</v>
      </c>
      <c r="AR140" s="16" t="n">
        <f aca="false">SUM($T140:AB140)</f>
        <v>42.728896624576</v>
      </c>
      <c r="AS140" s="16" t="n">
        <f aca="false">SUM($T140:AC140)</f>
        <v>48.0857682678257</v>
      </c>
      <c r="AT140" s="16" t="n">
        <f aca="false">SUM($T140:AD140)</f>
        <v>52.7057497029807</v>
      </c>
      <c r="AU140" s="16" t="n">
        <f aca="false">SUM($T140:AE140)</f>
        <v>57.339293643099</v>
      </c>
      <c r="AV140" s="16" t="n">
        <f aca="false">SUM($T140:AF140)</f>
        <v>62.0589275803289</v>
      </c>
      <c r="AW140" s="16" t="n">
        <f aca="false">SUM($T140:AG140)</f>
        <v>67.375530338258</v>
      </c>
      <c r="AX140" s="16" t="n">
        <f aca="false">SUM($T140:AH140)</f>
        <v>71.425559627148</v>
      </c>
      <c r="AY140" s="16" t="n">
        <f aca="false">SUM($T140:AI140)</f>
        <v>77.0564483530002</v>
      </c>
      <c r="AZ140" s="16" t="n">
        <f aca="false">MAX(C140-AJ140,0)</f>
        <v>50.8045534040422</v>
      </c>
      <c r="BA140" s="16" t="n">
        <f aca="false">MAX(C140-AK140,0)</f>
        <v>46.3634470174134</v>
      </c>
      <c r="BB140" s="16" t="n">
        <f aca="false">MAX(C140-AL140,0)</f>
        <v>41.8466180481749</v>
      </c>
      <c r="BC140" s="16" t="n">
        <f aca="false">MAX(C140-AM140,0)</f>
        <v>37.4192119421619</v>
      </c>
      <c r="BD140" s="16" t="n">
        <f aca="false">MAX(C140-AN140,0)</f>
        <v>33.1751751519468</v>
      </c>
      <c r="BE140" s="16" t="n">
        <f aca="false">MAX(C140-AO140,0)</f>
        <v>29.027568655709</v>
      </c>
      <c r="BF140" s="16" t="n">
        <f aca="false">MAX(C140-AP140,0)</f>
        <v>24.7088548087978</v>
      </c>
      <c r="BG140" s="16" t="n">
        <f aca="false">MAX(C140-AQ140,0)</f>
        <v>19.1888893012488</v>
      </c>
      <c r="BH140" s="16" t="n">
        <f aca="false">MAX(C140-AR140,0)</f>
        <v>13.2093284074806</v>
      </c>
      <c r="BI140" s="16" t="n">
        <f aca="false">MAX(C140-AS140,0)</f>
        <v>7.85245676423095</v>
      </c>
      <c r="BJ140" s="16" t="n">
        <f aca="false">MAX(C140-AT140,0)</f>
        <v>3.232475329076</v>
      </c>
      <c r="BK140" s="16" t="n">
        <f aca="false">MAX(C140-AU140,0)</f>
        <v>0</v>
      </c>
      <c r="BL140" s="16" t="n">
        <f aca="false">MAX(C140-AV140,0)</f>
        <v>0</v>
      </c>
      <c r="BM140" s="16" t="n">
        <f aca="false">MAX(C140-AW140,0)</f>
        <v>0</v>
      </c>
      <c r="BN140" s="16" t="n">
        <f aca="false">MAX(C140-AX140,0)</f>
        <v>0</v>
      </c>
      <c r="BO140" s="16" t="n">
        <f aca="false">MAX(C140-AY140,0)</f>
        <v>0</v>
      </c>
    </row>
    <row r="141" customFormat="false" ht="15" hidden="false" customHeight="false" outlineLevel="0" collapsed="false">
      <c r="A141" s="3" t="n">
        <v>111</v>
      </c>
      <c r="B141" s="15" t="n">
        <f aca="true">RAND()</f>
        <v>0.525744692472507</v>
      </c>
      <c r="C141" s="16" t="n">
        <f aca="false">LOOKUP(B141,$E$12:$E$17,$A$12:$A$17)+LOOKUP(B141,$E$12:$E$17,$D$12:$D$17)*(B141-LOOKUP(B141,$E$12:$E$17))/LOOKUP(B141,$E$12:$E$17,$C$12:$C$17)</f>
        <v>64.5957448745418</v>
      </c>
      <c r="D141" s="15" t="n">
        <f aca="true">RAND()</f>
        <v>0.978856076157403</v>
      </c>
      <c r="E141" s="15" t="n">
        <f aca="true">RAND()</f>
        <v>0.191480622647749</v>
      </c>
      <c r="F141" s="15" t="n">
        <f aca="true">RAND()</f>
        <v>0.532699948196352</v>
      </c>
      <c r="G141" s="15" t="n">
        <f aca="true">RAND()</f>
        <v>0.506118614813632</v>
      </c>
      <c r="H141" s="15" t="n">
        <f aca="true">RAND()</f>
        <v>0.0058497024645687</v>
      </c>
      <c r="I141" s="15" t="n">
        <f aca="true">RAND()</f>
        <v>0.177162342429329</v>
      </c>
      <c r="J141" s="15" t="n">
        <f aca="true">RAND()</f>
        <v>0.144919229541657</v>
      </c>
      <c r="K141" s="15" t="n">
        <f aca="true">RAND()</f>
        <v>0.788789910957303</v>
      </c>
      <c r="L141" s="15" t="n">
        <f aca="true">RAND()</f>
        <v>0.492165362714917</v>
      </c>
      <c r="M141" s="15" t="n">
        <f aca="true">RAND()</f>
        <v>0.899282663241507</v>
      </c>
      <c r="N141" s="15" t="n">
        <f aca="true">RAND()</f>
        <v>0.381547874125743</v>
      </c>
      <c r="O141" s="15" t="n">
        <f aca="true">RAND()</f>
        <v>0.765172412972664</v>
      </c>
      <c r="P141" s="15" t="n">
        <f aca="true">RAND()</f>
        <v>0.672662455370165</v>
      </c>
      <c r="Q141" s="15" t="n">
        <f aca="true">RAND()</f>
        <v>0.79509319489522</v>
      </c>
      <c r="R141" s="15" t="n">
        <f aca="true">RAND()</f>
        <v>0.346663969358869</v>
      </c>
      <c r="S141" s="15" t="n">
        <f aca="true">RAND()</f>
        <v>0.272493390622801</v>
      </c>
      <c r="T141" s="16" t="n">
        <f aca="false">LOOKUP(D141,$E$23:$E$26,$A$23:$A$26)+LOOKUP(D141,$E$23:$E$26,$D$23:$D$26)*(D141-LOOKUP(D141,$E$23:$E$26))/LOOKUP(D141,$E$23:$E$26,$C$23:$C$26)</f>
        <v>5.89428038078701</v>
      </c>
      <c r="U141" s="16" t="n">
        <f aca="false">LOOKUP(E141,$E$23:$E$26,$A$23:$A$26)+LOOKUP(E141,$E$23:$E$26,$D$23:$D$26)*(E141-LOOKUP(E141,$E$23:$E$26))/LOOKUP(E141,$E$23:$E$26,$C$23:$C$26)</f>
        <v>4.31913437107958</v>
      </c>
      <c r="V141" s="16" t="n">
        <f aca="false">LOOKUP(F141,$E$23:$E$26,$A$23:$A$26)+LOOKUP(F141,$E$23:$E$26,$D$23:$D$26)*(F141-LOOKUP(F141,$E$23:$E$26))/LOOKUP(F141,$E$23:$E$26,$C$23:$C$26)</f>
        <v>4.79087493524544</v>
      </c>
      <c r="W141" s="16" t="n">
        <f aca="false">LOOKUP(G141,$E$23:$E$26,$A$23:$A$26)+LOOKUP(G141,$E$23:$E$26,$D$23:$D$26)*(G141-LOOKUP(G141,$E$23:$E$26))/LOOKUP(G141,$E$23:$E$26,$C$23:$C$26)</f>
        <v>4.75764826851704</v>
      </c>
      <c r="X141" s="16" t="n">
        <f aca="false">LOOKUP(H141,$E$23:$E$26,$A$23:$A$26)+LOOKUP(H141,$E$23:$E$26,$D$23:$D$26)*(H141-LOOKUP(H141,$E$23:$E$26))/LOOKUP(H141,$E$23:$E$26,$C$23:$C$26)</f>
        <v>4.00974950410761</v>
      </c>
      <c r="Y141" s="16" t="n">
        <f aca="false">LOOKUP(I141,$E$23:$E$26,$A$23:$A$26)+LOOKUP(I141,$E$23:$E$26,$D$23:$D$26)*(I141-LOOKUP(I141,$E$23:$E$26))/LOOKUP(I141,$E$23:$E$26,$C$23:$C$26)</f>
        <v>4.29527057071555</v>
      </c>
      <c r="Z141" s="16" t="n">
        <f aca="false">LOOKUP(J141,$E$23:$E$26,$A$23:$A$26)+LOOKUP(J141,$E$23:$E$26,$D$23:$D$26)*(J141-LOOKUP(J141,$E$23:$E$26))/LOOKUP(J141,$E$23:$E$26,$C$23:$C$26)</f>
        <v>4.2415320492361</v>
      </c>
      <c r="AA141" s="16" t="n">
        <f aca="false">LOOKUP(K141,$E$23:$E$26,$A$23:$A$26)+LOOKUP(K141,$E$23:$E$26,$D$23:$D$26)*(K141-LOOKUP(K141,$E$23:$E$26))/LOOKUP(K141,$E$23:$E$26,$C$23:$C$26)</f>
        <v>5.22197477739326</v>
      </c>
      <c r="AB141" s="16" t="n">
        <f aca="false">LOOKUP(L141,$E$23:$E$26,$A$23:$A$26)+LOOKUP(L141,$E$23:$E$26,$D$23:$D$26)*(L141-LOOKUP(L141,$E$23:$E$26))/LOOKUP(L141,$E$23:$E$26,$C$23:$C$26)</f>
        <v>4.74020670339365</v>
      </c>
      <c r="AC141" s="16" t="n">
        <f aca="false">LOOKUP(M141,$E$23:$E$26,$A$23:$A$26)+LOOKUP(M141,$E$23:$E$26,$D$23:$D$26)*(M141-LOOKUP(M141,$E$23:$E$26))/LOOKUP(M141,$E$23:$E$26,$C$23:$C$26)</f>
        <v>5.49820665810377</v>
      </c>
      <c r="AD141" s="16" t="n">
        <f aca="false">LOOKUP(N141,$E$23:$E$26,$A$23:$A$26)+LOOKUP(N141,$E$23:$E$26,$D$23:$D$26)*(N141-LOOKUP(N141,$E$23:$E$26))/LOOKUP(N141,$E$23:$E$26,$C$23:$C$26)</f>
        <v>4.60193484265718</v>
      </c>
      <c r="AE141" s="16" t="n">
        <f aca="false">LOOKUP(O141,$E$23:$E$26,$A$23:$A$26)+LOOKUP(O141,$E$23:$E$26,$D$23:$D$26)*(O141-LOOKUP(O141,$E$23:$E$26))/LOOKUP(O141,$E$23:$E$26,$C$23:$C$26)</f>
        <v>5.16293103243166</v>
      </c>
      <c r="AF141" s="16" t="n">
        <f aca="false">LOOKUP(P141,$E$23:$E$26,$A$23:$A$26)+LOOKUP(P141,$E$23:$E$26,$D$23:$D$26)*(P141-LOOKUP(P141,$E$23:$E$26))/LOOKUP(P141,$E$23:$E$26,$C$23:$C$26)</f>
        <v>4.96582806921271</v>
      </c>
      <c r="AG141" s="16" t="n">
        <f aca="false">LOOKUP(Q141,$E$23:$E$26,$A$23:$A$26)+LOOKUP(Q141,$E$23:$E$26,$D$23:$D$26)*(Q141-LOOKUP(Q141,$E$23:$E$26))/LOOKUP(Q141,$E$23:$E$26,$C$23:$C$26)</f>
        <v>5.23773298723805</v>
      </c>
      <c r="AH141" s="16" t="n">
        <f aca="false">LOOKUP(R141,$E$23:$E$26,$A$23:$A$26)+LOOKUP(R141,$E$23:$E$26,$D$23:$D$26)*(R141-LOOKUP(R141,$E$23:$E$26))/LOOKUP(R141,$E$23:$E$26,$C$23:$C$26)</f>
        <v>4.55832996169859</v>
      </c>
      <c r="AI141" s="16" t="n">
        <f aca="false">LOOKUP(S141,$E$23:$E$26,$A$23:$A$26)+LOOKUP(S141,$E$23:$E$26,$D$23:$D$26)*(S141-LOOKUP(S141,$E$23:$E$26))/LOOKUP(S141,$E$23:$E$26,$C$23:$C$26)</f>
        <v>4.454155651038</v>
      </c>
      <c r="AJ141" s="16" t="n">
        <f aca="false">SUM($T141:T141)</f>
        <v>5.89428038078701</v>
      </c>
      <c r="AK141" s="16" t="n">
        <f aca="false">SUM($T141:U141)</f>
        <v>10.2134147518666</v>
      </c>
      <c r="AL141" s="16" t="n">
        <f aca="false">SUM($T141:V141)</f>
        <v>15.004289687112</v>
      </c>
      <c r="AM141" s="16" t="n">
        <f aca="false">SUM($T141:W141)</f>
        <v>19.7619379556291</v>
      </c>
      <c r="AN141" s="16" t="n">
        <f aca="false">SUM($T141:X141)</f>
        <v>23.7716874597367</v>
      </c>
      <c r="AO141" s="16" t="n">
        <f aca="false">SUM($T141:Y141)</f>
        <v>28.0669580304522</v>
      </c>
      <c r="AP141" s="16" t="n">
        <f aca="false">SUM($T141:Z141)</f>
        <v>32.3084900796883</v>
      </c>
      <c r="AQ141" s="16" t="n">
        <f aca="false">SUM($T141:AA141)</f>
        <v>37.5304648570816</v>
      </c>
      <c r="AR141" s="16" t="n">
        <f aca="false">SUM($T141:AB141)</f>
        <v>42.2706715604752</v>
      </c>
      <c r="AS141" s="16" t="n">
        <f aca="false">SUM($T141:AC141)</f>
        <v>47.768878218579</v>
      </c>
      <c r="AT141" s="16" t="n">
        <f aca="false">SUM($T141:AD141)</f>
        <v>52.3708130612362</v>
      </c>
      <c r="AU141" s="16" t="n">
        <f aca="false">SUM($T141:AE141)</f>
        <v>57.5337440936678</v>
      </c>
      <c r="AV141" s="16" t="n">
        <f aca="false">SUM($T141:AF141)</f>
        <v>62.4995721628806</v>
      </c>
      <c r="AW141" s="16" t="n">
        <f aca="false">SUM($T141:AG141)</f>
        <v>67.7373051501186</v>
      </c>
      <c r="AX141" s="16" t="n">
        <f aca="false">SUM($T141:AH141)</f>
        <v>72.2956351118172</v>
      </c>
      <c r="AY141" s="16" t="n">
        <f aca="false">SUM($T141:AI141)</f>
        <v>76.7497907628552</v>
      </c>
      <c r="AZ141" s="16" t="n">
        <f aca="false">MAX(C141-AJ141,0)</f>
        <v>58.7014644937548</v>
      </c>
      <c r="BA141" s="16" t="n">
        <f aca="false">MAX(C141-AK141,0)</f>
        <v>54.3823301226752</v>
      </c>
      <c r="BB141" s="16" t="n">
        <f aca="false">MAX(C141-AL141,0)</f>
        <v>49.5914551874297</v>
      </c>
      <c r="BC141" s="16" t="n">
        <f aca="false">MAX(C141-AM141,0)</f>
        <v>44.8338069189127</v>
      </c>
      <c r="BD141" s="16" t="n">
        <f aca="false">MAX(C141-AN141,0)</f>
        <v>40.8240574148051</v>
      </c>
      <c r="BE141" s="16" t="n">
        <f aca="false">MAX(C141-AO141,0)</f>
        <v>36.5287868440895</v>
      </c>
      <c r="BF141" s="16" t="n">
        <f aca="false">MAX(C141-AP141,0)</f>
        <v>32.2872547948534</v>
      </c>
      <c r="BG141" s="16" t="n">
        <f aca="false">MAX(C141-AQ141,0)</f>
        <v>27.0652800174602</v>
      </c>
      <c r="BH141" s="16" t="n">
        <f aca="false">MAX(C141-AR141,0)</f>
        <v>22.3250733140665</v>
      </c>
      <c r="BI141" s="16" t="n">
        <f aca="false">MAX(C141-AS141,0)</f>
        <v>16.8268666559628</v>
      </c>
      <c r="BJ141" s="16" t="n">
        <f aca="false">MAX(C141-AT141,0)</f>
        <v>12.2249318133056</v>
      </c>
      <c r="BK141" s="16" t="n">
        <f aca="false">MAX(C141-AU141,0)</f>
        <v>7.06200078087394</v>
      </c>
      <c r="BL141" s="16" t="n">
        <f aca="false">MAX(C141-AV141,0)</f>
        <v>2.09617271166123</v>
      </c>
      <c r="BM141" s="16" t="n">
        <f aca="false">MAX(C141-AW141,0)</f>
        <v>0</v>
      </c>
      <c r="BN141" s="16" t="n">
        <f aca="false">MAX(C141-AX141,0)</f>
        <v>0</v>
      </c>
      <c r="BO141" s="16" t="n">
        <f aca="false">MAX(C141-AY141,0)</f>
        <v>0</v>
      </c>
    </row>
    <row r="142" customFormat="false" ht="15" hidden="false" customHeight="false" outlineLevel="0" collapsed="false">
      <c r="A142" s="3" t="n">
        <v>112</v>
      </c>
      <c r="B142" s="15" t="n">
        <f aca="true">RAND()</f>
        <v>0.204581284967919</v>
      </c>
      <c r="C142" s="16" t="n">
        <f aca="false">LOOKUP(B142,$E$12:$E$17,$A$12:$A$17)+LOOKUP(B142,$E$12:$E$17,$D$12:$D$17)*(B142-LOOKUP(B142,$E$12:$E$17))/LOOKUP(B142,$E$12:$E$17,$C$12:$C$17)</f>
        <v>58.486042832264</v>
      </c>
      <c r="D142" s="15" t="n">
        <f aca="true">RAND()</f>
        <v>0.429283995752953</v>
      </c>
      <c r="E142" s="15" t="n">
        <f aca="true">RAND()</f>
        <v>0.121955657163426</v>
      </c>
      <c r="F142" s="15" t="n">
        <f aca="true">RAND()</f>
        <v>0.776237295396729</v>
      </c>
      <c r="G142" s="15" t="n">
        <f aca="true">RAND()</f>
        <v>0.0991595700095174</v>
      </c>
      <c r="H142" s="15" t="n">
        <f aca="true">RAND()</f>
        <v>0.622706914719824</v>
      </c>
      <c r="I142" s="15" t="n">
        <f aca="true">RAND()</f>
        <v>0.00539043957396988</v>
      </c>
      <c r="J142" s="15" t="n">
        <f aca="true">RAND()</f>
        <v>0.602471528440312</v>
      </c>
      <c r="K142" s="15" t="n">
        <f aca="true">RAND()</f>
        <v>0.17292454148851</v>
      </c>
      <c r="L142" s="15" t="n">
        <f aca="true">RAND()</f>
        <v>0.192402473682776</v>
      </c>
      <c r="M142" s="15" t="n">
        <f aca="true">RAND()</f>
        <v>0.196756183765537</v>
      </c>
      <c r="N142" s="15" t="n">
        <f aca="true">RAND()</f>
        <v>0.623726518159972</v>
      </c>
      <c r="O142" s="15" t="n">
        <f aca="true">RAND()</f>
        <v>0.558119259365291</v>
      </c>
      <c r="P142" s="15" t="n">
        <f aca="true">RAND()</f>
        <v>0.724914919230765</v>
      </c>
      <c r="Q142" s="15" t="n">
        <f aca="true">RAND()</f>
        <v>0.589094099793193</v>
      </c>
      <c r="R142" s="15" t="n">
        <f aca="true">RAND()</f>
        <v>0.328145090333622</v>
      </c>
      <c r="S142" s="15" t="n">
        <f aca="true">RAND()</f>
        <v>0.018422302481857</v>
      </c>
      <c r="T142" s="16" t="n">
        <f aca="false">LOOKUP(D142,$E$23:$E$26,$A$23:$A$26)+LOOKUP(D142,$E$23:$E$26,$D$23:$D$26)*(D142-LOOKUP(D142,$E$23:$E$26))/LOOKUP(D142,$E$23:$E$26,$C$23:$C$26)</f>
        <v>4.66160499469119</v>
      </c>
      <c r="U142" s="16" t="n">
        <f aca="false">LOOKUP(E142,$E$23:$E$26,$A$23:$A$26)+LOOKUP(E142,$E$23:$E$26,$D$23:$D$26)*(E142-LOOKUP(E142,$E$23:$E$26))/LOOKUP(E142,$E$23:$E$26,$C$23:$C$26)</f>
        <v>4.20325942860571</v>
      </c>
      <c r="V142" s="16" t="n">
        <f aca="false">LOOKUP(F142,$E$23:$E$26,$A$23:$A$26)+LOOKUP(F142,$E$23:$E$26,$D$23:$D$26)*(F142-LOOKUP(F142,$E$23:$E$26))/LOOKUP(F142,$E$23:$E$26,$C$23:$C$26)</f>
        <v>5.19059323849182</v>
      </c>
      <c r="W142" s="16" t="n">
        <f aca="false">LOOKUP(G142,$E$23:$E$26,$A$23:$A$26)+LOOKUP(G142,$E$23:$E$26,$D$23:$D$26)*(G142-LOOKUP(G142,$E$23:$E$26))/LOOKUP(G142,$E$23:$E$26,$C$23:$C$26)</f>
        <v>4.16526595001586</v>
      </c>
      <c r="X142" s="16" t="n">
        <f aca="false">LOOKUP(H142,$E$23:$E$26,$A$23:$A$26)+LOOKUP(H142,$E$23:$E$26,$D$23:$D$26)*(H142-LOOKUP(H142,$E$23:$E$26))/LOOKUP(H142,$E$23:$E$26,$C$23:$C$26)</f>
        <v>4.90338364339978</v>
      </c>
      <c r="Y142" s="16" t="n">
        <f aca="false">LOOKUP(I142,$E$23:$E$26,$A$23:$A$26)+LOOKUP(I142,$E$23:$E$26,$D$23:$D$26)*(I142-LOOKUP(I142,$E$23:$E$26))/LOOKUP(I142,$E$23:$E$26,$C$23:$C$26)</f>
        <v>4.00898406595662</v>
      </c>
      <c r="Z142" s="16" t="n">
        <f aca="false">LOOKUP(J142,$E$23:$E$26,$A$23:$A$26)+LOOKUP(J142,$E$23:$E$26,$D$23:$D$26)*(J142-LOOKUP(J142,$E$23:$E$26))/LOOKUP(J142,$E$23:$E$26,$C$23:$C$26)</f>
        <v>4.87808941055039</v>
      </c>
      <c r="AA142" s="16" t="n">
        <f aca="false">LOOKUP(K142,$E$23:$E$26,$A$23:$A$26)+LOOKUP(K142,$E$23:$E$26,$D$23:$D$26)*(K142-LOOKUP(K142,$E$23:$E$26))/LOOKUP(K142,$E$23:$E$26,$C$23:$C$26)</f>
        <v>4.28820756914752</v>
      </c>
      <c r="AB142" s="16" t="n">
        <f aca="false">LOOKUP(L142,$E$23:$E$26,$A$23:$A$26)+LOOKUP(L142,$E$23:$E$26,$D$23:$D$26)*(L142-LOOKUP(L142,$E$23:$E$26))/LOOKUP(L142,$E$23:$E$26,$C$23:$C$26)</f>
        <v>4.32067078947129</v>
      </c>
      <c r="AC142" s="16" t="n">
        <f aca="false">LOOKUP(M142,$E$23:$E$26,$A$23:$A$26)+LOOKUP(M142,$E$23:$E$26,$D$23:$D$26)*(M142-LOOKUP(M142,$E$23:$E$26))/LOOKUP(M142,$E$23:$E$26,$C$23:$C$26)</f>
        <v>4.32792697294256</v>
      </c>
      <c r="AD142" s="16" t="n">
        <f aca="false">LOOKUP(N142,$E$23:$E$26,$A$23:$A$26)+LOOKUP(N142,$E$23:$E$26,$D$23:$D$26)*(N142-LOOKUP(N142,$E$23:$E$26))/LOOKUP(N142,$E$23:$E$26,$C$23:$C$26)</f>
        <v>4.90465814769997</v>
      </c>
      <c r="AE142" s="16" t="n">
        <f aca="false">LOOKUP(O142,$E$23:$E$26,$A$23:$A$26)+LOOKUP(O142,$E$23:$E$26,$D$23:$D$26)*(O142-LOOKUP(O142,$E$23:$E$26))/LOOKUP(O142,$E$23:$E$26,$C$23:$C$26)</f>
        <v>4.82264907420661</v>
      </c>
      <c r="AF142" s="16" t="n">
        <f aca="false">LOOKUP(P142,$E$23:$E$26,$A$23:$A$26)+LOOKUP(P142,$E$23:$E$26,$D$23:$D$26)*(P142-LOOKUP(P142,$E$23:$E$26))/LOOKUP(P142,$E$23:$E$26,$C$23:$C$26)</f>
        <v>5.06228729807691</v>
      </c>
      <c r="AG142" s="16" t="n">
        <f aca="false">LOOKUP(Q142,$E$23:$E$26,$A$23:$A$26)+LOOKUP(Q142,$E$23:$E$26,$D$23:$D$26)*(Q142-LOOKUP(Q142,$E$23:$E$26))/LOOKUP(Q142,$E$23:$E$26,$C$23:$C$26)</f>
        <v>4.86136762474149</v>
      </c>
      <c r="AH142" s="16" t="n">
        <f aca="false">LOOKUP(R142,$E$23:$E$26,$A$23:$A$26)+LOOKUP(R142,$E$23:$E$26,$D$23:$D$26)*(R142-LOOKUP(R142,$E$23:$E$26))/LOOKUP(R142,$E$23:$E$26,$C$23:$C$26)</f>
        <v>4.53518136291703</v>
      </c>
      <c r="AI142" s="16" t="n">
        <f aca="false">LOOKUP(S142,$E$23:$E$26,$A$23:$A$26)+LOOKUP(S142,$E$23:$E$26,$D$23:$D$26)*(S142-LOOKUP(S142,$E$23:$E$26))/LOOKUP(S142,$E$23:$E$26,$C$23:$C$26)</f>
        <v>4.03070383746976</v>
      </c>
      <c r="AJ142" s="16" t="n">
        <f aca="false">SUM($T142:T142)</f>
        <v>4.66160499469119</v>
      </c>
      <c r="AK142" s="16" t="n">
        <f aca="false">SUM($T142:U142)</f>
        <v>8.8648644232969</v>
      </c>
      <c r="AL142" s="16" t="n">
        <f aca="false">SUM($T142:V142)</f>
        <v>14.0554576617887</v>
      </c>
      <c r="AM142" s="16" t="n">
        <f aca="false">SUM($T142:W142)</f>
        <v>18.2207236118046</v>
      </c>
      <c r="AN142" s="16" t="n">
        <f aca="false">SUM($T142:X142)</f>
        <v>23.1241072552044</v>
      </c>
      <c r="AO142" s="16" t="n">
        <f aca="false">SUM($T142:Y142)</f>
        <v>27.133091321161</v>
      </c>
      <c r="AP142" s="16" t="n">
        <f aca="false">SUM($T142:Z142)</f>
        <v>32.0111807317114</v>
      </c>
      <c r="AQ142" s="16" t="n">
        <f aca="false">SUM($T142:AA142)</f>
        <v>36.2993883008589</v>
      </c>
      <c r="AR142" s="16" t="n">
        <f aca="false">SUM($T142:AB142)</f>
        <v>40.6200590903302</v>
      </c>
      <c r="AS142" s="16" t="n">
        <f aca="false">SUM($T142:AC142)</f>
        <v>44.9479860632727</v>
      </c>
      <c r="AT142" s="16" t="n">
        <f aca="false">SUM($T142:AD142)</f>
        <v>49.8526442109727</v>
      </c>
      <c r="AU142" s="16" t="n">
        <f aca="false">SUM($T142:AE142)</f>
        <v>54.6752932851793</v>
      </c>
      <c r="AV142" s="16" t="n">
        <f aca="false">SUM($T142:AF142)</f>
        <v>59.7375805832562</v>
      </c>
      <c r="AW142" s="16" t="n">
        <f aca="false">SUM($T142:AG142)</f>
        <v>64.5989482079977</v>
      </c>
      <c r="AX142" s="16" t="n">
        <f aca="false">SUM($T142:AH142)</f>
        <v>69.1341295709148</v>
      </c>
      <c r="AY142" s="16" t="n">
        <f aca="false">SUM($T142:AI142)</f>
        <v>73.1648334083845</v>
      </c>
      <c r="AZ142" s="16" t="n">
        <f aca="false">MAX(C142-AJ142,0)</f>
        <v>53.8244378375728</v>
      </c>
      <c r="BA142" s="16" t="n">
        <f aca="false">MAX(C142-AK142,0)</f>
        <v>49.6211784089671</v>
      </c>
      <c r="BB142" s="16" t="n">
        <f aca="false">MAX(C142-AL142,0)</f>
        <v>44.4305851704752</v>
      </c>
      <c r="BC142" s="16" t="n">
        <f aca="false">MAX(C142-AM142,0)</f>
        <v>40.2653192204594</v>
      </c>
      <c r="BD142" s="16" t="n">
        <f aca="false">MAX(C142-AN142,0)</f>
        <v>35.3619355770596</v>
      </c>
      <c r="BE142" s="16" t="n">
        <f aca="false">MAX(C142-AO142,0)</f>
        <v>31.352951511103</v>
      </c>
      <c r="BF142" s="16" t="n">
        <f aca="false">MAX(C142-AP142,0)</f>
        <v>26.4748621005526</v>
      </c>
      <c r="BG142" s="16" t="n">
        <f aca="false">MAX(C142-AQ142,0)</f>
        <v>22.1866545314051</v>
      </c>
      <c r="BH142" s="16" t="n">
        <f aca="false">MAX(C142-AR142,0)</f>
        <v>17.8659837419338</v>
      </c>
      <c r="BI142" s="16" t="n">
        <f aca="false">MAX(C142-AS142,0)</f>
        <v>13.5380567689912</v>
      </c>
      <c r="BJ142" s="16" t="n">
        <f aca="false">MAX(C142-AT142,0)</f>
        <v>8.63339862129126</v>
      </c>
      <c r="BK142" s="16" t="n">
        <f aca="false">MAX(C142-AU142,0)</f>
        <v>3.81074954708464</v>
      </c>
      <c r="BL142" s="16" t="n">
        <f aca="false">MAX(C142-AV142,0)</f>
        <v>0</v>
      </c>
      <c r="BM142" s="16" t="n">
        <f aca="false">MAX(C142-AW142,0)</f>
        <v>0</v>
      </c>
      <c r="BN142" s="16" t="n">
        <f aca="false">MAX(C142-AX142,0)</f>
        <v>0</v>
      </c>
      <c r="BO142" s="16" t="n">
        <f aca="false">MAX(C142-AY142,0)</f>
        <v>0</v>
      </c>
    </row>
    <row r="143" customFormat="false" ht="15" hidden="false" customHeight="false" outlineLevel="0" collapsed="false">
      <c r="A143" s="3" t="n">
        <v>113</v>
      </c>
      <c r="B143" s="15" t="n">
        <f aca="true">RAND()</f>
        <v>0.847825009487419</v>
      </c>
      <c r="C143" s="16" t="n">
        <f aca="false">LOOKUP(B143,$E$12:$E$17,$A$12:$A$17)+LOOKUP(B143,$E$12:$E$17,$D$12:$D$17)*(B143-LOOKUP(B143,$E$12:$E$17))/LOOKUP(B143,$E$12:$E$17,$C$12:$C$17)</f>
        <v>69.2546429926774</v>
      </c>
      <c r="D143" s="15" t="n">
        <f aca="true">RAND()</f>
        <v>0.763986178884838</v>
      </c>
      <c r="E143" s="15" t="n">
        <f aca="true">RAND()</f>
        <v>0.702888500710809</v>
      </c>
      <c r="F143" s="15" t="n">
        <f aca="true">RAND()</f>
        <v>0.962334001242785</v>
      </c>
      <c r="G143" s="15" t="n">
        <f aca="true">RAND()</f>
        <v>0.906321274750365</v>
      </c>
      <c r="H143" s="15" t="n">
        <f aca="true">RAND()</f>
        <v>0.109723388484553</v>
      </c>
      <c r="I143" s="15" t="n">
        <f aca="true">RAND()</f>
        <v>0.944408580081076</v>
      </c>
      <c r="J143" s="15" t="n">
        <f aca="true">RAND()</f>
        <v>0.70953893740746</v>
      </c>
      <c r="K143" s="15" t="n">
        <f aca="true">RAND()</f>
        <v>0.696560010394299</v>
      </c>
      <c r="L143" s="15" t="n">
        <f aca="true">RAND()</f>
        <v>0.581310785640405</v>
      </c>
      <c r="M143" s="15" t="n">
        <f aca="true">RAND()</f>
        <v>0.127151613757798</v>
      </c>
      <c r="N143" s="15" t="n">
        <f aca="true">RAND()</f>
        <v>0.933951981382273</v>
      </c>
      <c r="O143" s="15" t="n">
        <f aca="true">RAND()</f>
        <v>0.0274679559407216</v>
      </c>
      <c r="P143" s="15" t="n">
        <f aca="true">RAND()</f>
        <v>0.951811938366966</v>
      </c>
      <c r="Q143" s="15" t="n">
        <f aca="true">RAND()</f>
        <v>0.0540548551206775</v>
      </c>
      <c r="R143" s="15" t="n">
        <f aca="true">RAND()</f>
        <v>0.369831864746811</v>
      </c>
      <c r="S143" s="15" t="n">
        <f aca="true">RAND()</f>
        <v>0.650045311948025</v>
      </c>
      <c r="T143" s="16" t="n">
        <f aca="false">LOOKUP(D143,$E$23:$E$26,$A$23:$A$26)+LOOKUP(D143,$E$23:$E$26,$D$23:$D$26)*(D143-LOOKUP(D143,$E$23:$E$26))/LOOKUP(D143,$E$23:$E$26,$C$23:$C$26)</f>
        <v>5.1599654472121</v>
      </c>
      <c r="U143" s="16" t="n">
        <f aca="false">LOOKUP(E143,$E$23:$E$26,$A$23:$A$26)+LOOKUP(E143,$E$23:$E$26,$D$23:$D$26)*(E143-LOOKUP(E143,$E$23:$E$26))/LOOKUP(E143,$E$23:$E$26,$C$23:$C$26)</f>
        <v>5.00722125177702</v>
      </c>
      <c r="V143" s="16" t="n">
        <f aca="false">LOOKUP(F143,$E$23:$E$26,$A$23:$A$26)+LOOKUP(F143,$E$23:$E$26,$D$23:$D$26)*(F143-LOOKUP(F143,$E$23:$E$26))/LOOKUP(F143,$E$23:$E$26,$C$23:$C$26)</f>
        <v>5.81167000621392</v>
      </c>
      <c r="W143" s="16" t="n">
        <f aca="false">LOOKUP(G143,$E$23:$E$26,$A$23:$A$26)+LOOKUP(G143,$E$23:$E$26,$D$23:$D$26)*(G143-LOOKUP(G143,$E$23:$E$26))/LOOKUP(G143,$E$23:$E$26,$C$23:$C$26)</f>
        <v>5.53160637375182</v>
      </c>
      <c r="X143" s="16" t="n">
        <f aca="false">LOOKUP(H143,$E$23:$E$26,$A$23:$A$26)+LOOKUP(H143,$E$23:$E$26,$D$23:$D$26)*(H143-LOOKUP(H143,$E$23:$E$26))/LOOKUP(H143,$E$23:$E$26,$C$23:$C$26)</f>
        <v>4.18287231414092</v>
      </c>
      <c r="Y143" s="16" t="n">
        <f aca="false">LOOKUP(I143,$E$23:$E$26,$A$23:$A$26)+LOOKUP(I143,$E$23:$E$26,$D$23:$D$26)*(I143-LOOKUP(I143,$E$23:$E$26))/LOOKUP(I143,$E$23:$E$26,$C$23:$C$26)</f>
        <v>5.72204290040538</v>
      </c>
      <c r="Z143" s="16" t="n">
        <f aca="false">LOOKUP(J143,$E$23:$E$26,$A$23:$A$26)+LOOKUP(J143,$E$23:$E$26,$D$23:$D$26)*(J143-LOOKUP(J143,$E$23:$E$26))/LOOKUP(J143,$E$23:$E$26,$C$23:$C$26)</f>
        <v>5.02384734351865</v>
      </c>
      <c r="AA143" s="16" t="n">
        <f aca="false">LOOKUP(K143,$E$23:$E$26,$A$23:$A$26)+LOOKUP(K143,$E$23:$E$26,$D$23:$D$26)*(K143-LOOKUP(K143,$E$23:$E$26))/LOOKUP(K143,$E$23:$E$26,$C$23:$C$26)</f>
        <v>4.99570001299287</v>
      </c>
      <c r="AB143" s="16" t="n">
        <f aca="false">LOOKUP(L143,$E$23:$E$26,$A$23:$A$26)+LOOKUP(L143,$E$23:$E$26,$D$23:$D$26)*(L143-LOOKUP(L143,$E$23:$E$26))/LOOKUP(L143,$E$23:$E$26,$C$23:$C$26)</f>
        <v>4.85163848205051</v>
      </c>
      <c r="AC143" s="16" t="n">
        <f aca="false">LOOKUP(M143,$E$23:$E$26,$A$23:$A$26)+LOOKUP(M143,$E$23:$E$26,$D$23:$D$26)*(M143-LOOKUP(M143,$E$23:$E$26))/LOOKUP(M143,$E$23:$E$26,$C$23:$C$26)</f>
        <v>4.211919356263</v>
      </c>
      <c r="AD143" s="16" t="n">
        <f aca="false">LOOKUP(N143,$E$23:$E$26,$A$23:$A$26)+LOOKUP(N143,$E$23:$E$26,$D$23:$D$26)*(N143-LOOKUP(N143,$E$23:$E$26))/LOOKUP(N143,$E$23:$E$26,$C$23:$C$26)</f>
        <v>5.66975990691137</v>
      </c>
      <c r="AE143" s="16" t="n">
        <f aca="false">LOOKUP(O143,$E$23:$E$26,$A$23:$A$26)+LOOKUP(O143,$E$23:$E$26,$D$23:$D$26)*(O143-LOOKUP(O143,$E$23:$E$26))/LOOKUP(O143,$E$23:$E$26,$C$23:$C$26)</f>
        <v>4.04577992656787</v>
      </c>
      <c r="AF143" s="16" t="n">
        <f aca="false">LOOKUP(P143,$E$23:$E$26,$A$23:$A$26)+LOOKUP(P143,$E$23:$E$26,$D$23:$D$26)*(P143-LOOKUP(P143,$E$23:$E$26))/LOOKUP(P143,$E$23:$E$26,$C$23:$C$26)</f>
        <v>5.75905969183483</v>
      </c>
      <c r="AG143" s="16" t="n">
        <f aca="false">LOOKUP(Q143,$E$23:$E$26,$A$23:$A$26)+LOOKUP(Q143,$E$23:$E$26,$D$23:$D$26)*(Q143-LOOKUP(Q143,$E$23:$E$26))/LOOKUP(Q143,$E$23:$E$26,$C$23:$C$26)</f>
        <v>4.09009142520113</v>
      </c>
      <c r="AH143" s="16" t="n">
        <f aca="false">LOOKUP(R143,$E$23:$E$26,$A$23:$A$26)+LOOKUP(R143,$E$23:$E$26,$D$23:$D$26)*(R143-LOOKUP(R143,$E$23:$E$26))/LOOKUP(R143,$E$23:$E$26,$C$23:$C$26)</f>
        <v>4.58728983093351</v>
      </c>
      <c r="AI143" s="16" t="n">
        <f aca="false">LOOKUP(S143,$E$23:$E$26,$A$23:$A$26)+LOOKUP(S143,$E$23:$E$26,$D$23:$D$26)*(S143-LOOKUP(S143,$E$23:$E$26))/LOOKUP(S143,$E$23:$E$26,$C$23:$C$26)</f>
        <v>4.93755663993503</v>
      </c>
      <c r="AJ143" s="16" t="n">
        <f aca="false">SUM($T143:T143)</f>
        <v>5.1599654472121</v>
      </c>
      <c r="AK143" s="16" t="n">
        <f aca="false">SUM($T143:U143)</f>
        <v>10.1671866989891</v>
      </c>
      <c r="AL143" s="16" t="n">
        <f aca="false">SUM($T143:V143)</f>
        <v>15.978856705203</v>
      </c>
      <c r="AM143" s="16" t="n">
        <f aca="false">SUM($T143:W143)</f>
        <v>21.5104630789549</v>
      </c>
      <c r="AN143" s="16" t="n">
        <f aca="false">SUM($T143:X143)</f>
        <v>25.6933353930958</v>
      </c>
      <c r="AO143" s="16" t="n">
        <f aca="false">SUM($T143:Y143)</f>
        <v>31.4153782935012</v>
      </c>
      <c r="AP143" s="16" t="n">
        <f aca="false">SUM($T143:Z143)</f>
        <v>36.4392256370198</v>
      </c>
      <c r="AQ143" s="16" t="n">
        <f aca="false">SUM($T143:AA143)</f>
        <v>41.4349256500127</v>
      </c>
      <c r="AR143" s="16" t="n">
        <f aca="false">SUM($T143:AB143)</f>
        <v>46.2865641320632</v>
      </c>
      <c r="AS143" s="16" t="n">
        <f aca="false">SUM($T143:AC143)</f>
        <v>50.4984834883262</v>
      </c>
      <c r="AT143" s="16" t="n">
        <f aca="false">SUM($T143:AD143)</f>
        <v>56.1682433952376</v>
      </c>
      <c r="AU143" s="16" t="n">
        <f aca="false">SUM($T143:AE143)</f>
        <v>60.2140233218054</v>
      </c>
      <c r="AV143" s="16" t="n">
        <f aca="false">SUM($T143:AF143)</f>
        <v>65.9730830136403</v>
      </c>
      <c r="AW143" s="16" t="n">
        <f aca="false">SUM($T143:AG143)</f>
        <v>70.0631744388414</v>
      </c>
      <c r="AX143" s="16" t="n">
        <f aca="false">SUM($T143:AH143)</f>
        <v>74.6504642697749</v>
      </c>
      <c r="AY143" s="16" t="n">
        <f aca="false">SUM($T143:AI143)</f>
        <v>79.5880209097099</v>
      </c>
      <c r="AZ143" s="16" t="n">
        <f aca="false">MAX(C143-AJ143,0)</f>
        <v>64.0946775454653</v>
      </c>
      <c r="BA143" s="16" t="n">
        <f aca="false">MAX(C143-AK143,0)</f>
        <v>59.0874562936883</v>
      </c>
      <c r="BB143" s="16" t="n">
        <f aca="false">MAX(C143-AL143,0)</f>
        <v>53.2757862874744</v>
      </c>
      <c r="BC143" s="16" t="n">
        <f aca="false">MAX(C143-AM143,0)</f>
        <v>47.7441799137226</v>
      </c>
      <c r="BD143" s="16" t="n">
        <f aca="false">MAX(C143-AN143,0)</f>
        <v>43.5613075995816</v>
      </c>
      <c r="BE143" s="16" t="n">
        <f aca="false">MAX(C143-AO143,0)</f>
        <v>37.8392646991763</v>
      </c>
      <c r="BF143" s="16" t="n">
        <f aca="false">MAX(C143-AP143,0)</f>
        <v>32.8154173556576</v>
      </c>
      <c r="BG143" s="16" t="n">
        <f aca="false">MAX(C143-AQ143,0)</f>
        <v>27.8197173426647</v>
      </c>
      <c r="BH143" s="16" t="n">
        <f aca="false">MAX(C143-AR143,0)</f>
        <v>22.9680788606142</v>
      </c>
      <c r="BI143" s="16" t="n">
        <f aca="false">MAX(C143-AS143,0)</f>
        <v>18.7561595043512</v>
      </c>
      <c r="BJ143" s="16" t="n">
        <f aca="false">MAX(C143-AT143,0)</f>
        <v>13.0863995974399</v>
      </c>
      <c r="BK143" s="16" t="n">
        <f aca="false">MAX(C143-AU143,0)</f>
        <v>9.040619670872</v>
      </c>
      <c r="BL143" s="16" t="n">
        <f aca="false">MAX(C143-AV143,0)</f>
        <v>3.28155997903716</v>
      </c>
      <c r="BM143" s="16" t="n">
        <f aca="false">MAX(C143-AW143,0)</f>
        <v>0</v>
      </c>
      <c r="BN143" s="16" t="n">
        <f aca="false">MAX(C143-AX143,0)</f>
        <v>0</v>
      </c>
      <c r="BO143" s="16" t="n">
        <f aca="false">MAX(C143-AY143,0)</f>
        <v>0</v>
      </c>
    </row>
    <row r="144" customFormat="false" ht="15" hidden="false" customHeight="false" outlineLevel="0" collapsed="false">
      <c r="A144" s="3" t="n">
        <v>114</v>
      </c>
      <c r="B144" s="15" t="n">
        <f aca="true">RAND()</f>
        <v>0.454596782014255</v>
      </c>
      <c r="C144" s="16" t="n">
        <f aca="false">LOOKUP(B144,$E$12:$E$17,$A$12:$A$17)+LOOKUP(B144,$E$12:$E$17,$D$12:$D$17)*(B144-LOOKUP(B144,$E$12:$E$17))/LOOKUP(B144,$E$12:$E$17,$C$12:$C$17)</f>
        <v>63.4099463669043</v>
      </c>
      <c r="D144" s="15" t="n">
        <f aca="true">RAND()</f>
        <v>0.425722587419456</v>
      </c>
      <c r="E144" s="15" t="n">
        <f aca="true">RAND()</f>
        <v>0.649036539331621</v>
      </c>
      <c r="F144" s="15" t="n">
        <f aca="true">RAND()</f>
        <v>0.833611932514416</v>
      </c>
      <c r="G144" s="15" t="n">
        <f aca="true">RAND()</f>
        <v>0.680652910572813</v>
      </c>
      <c r="H144" s="15" t="n">
        <f aca="true">RAND()</f>
        <v>0.472206506735448</v>
      </c>
      <c r="I144" s="15" t="n">
        <f aca="true">RAND()</f>
        <v>0.163802904339279</v>
      </c>
      <c r="J144" s="15" t="n">
        <f aca="true">RAND()</f>
        <v>0.865209845684335</v>
      </c>
      <c r="K144" s="15" t="n">
        <f aca="true">RAND()</f>
        <v>0.0711371818202402</v>
      </c>
      <c r="L144" s="15" t="n">
        <f aca="true">RAND()</f>
        <v>0.507010263789143</v>
      </c>
      <c r="M144" s="15" t="n">
        <f aca="true">RAND()</f>
        <v>0.309923577206888</v>
      </c>
      <c r="N144" s="15" t="n">
        <f aca="true">RAND()</f>
        <v>0.733368987788064</v>
      </c>
      <c r="O144" s="15" t="n">
        <f aca="true">RAND()</f>
        <v>0.701253646910698</v>
      </c>
      <c r="P144" s="15" t="n">
        <f aca="true">RAND()</f>
        <v>0.0470545375595943</v>
      </c>
      <c r="Q144" s="15" t="n">
        <f aca="true">RAND()</f>
        <v>0.376053132022153</v>
      </c>
      <c r="R144" s="15" t="n">
        <f aca="true">RAND()</f>
        <v>0.694003525050109</v>
      </c>
      <c r="S144" s="15" t="n">
        <f aca="true">RAND()</f>
        <v>0.0120522008009455</v>
      </c>
      <c r="T144" s="16" t="n">
        <f aca="false">LOOKUP(D144,$E$23:$E$26,$A$23:$A$26)+LOOKUP(D144,$E$23:$E$26,$D$23:$D$26)*(D144-LOOKUP(D144,$E$23:$E$26))/LOOKUP(D144,$E$23:$E$26,$C$23:$C$26)</f>
        <v>4.65715323427432</v>
      </c>
      <c r="U144" s="16" t="n">
        <f aca="false">LOOKUP(E144,$E$23:$E$26,$A$23:$A$26)+LOOKUP(E144,$E$23:$E$26,$D$23:$D$26)*(E144-LOOKUP(E144,$E$23:$E$26))/LOOKUP(E144,$E$23:$E$26,$C$23:$C$26)</f>
        <v>4.93629567416453</v>
      </c>
      <c r="V144" s="16" t="n">
        <f aca="false">LOOKUP(F144,$E$23:$E$26,$A$23:$A$26)+LOOKUP(F144,$E$23:$E$26,$D$23:$D$26)*(F144-LOOKUP(F144,$E$23:$E$26))/LOOKUP(F144,$E$23:$E$26,$C$23:$C$26)</f>
        <v>5.33402983128604</v>
      </c>
      <c r="W144" s="16" t="n">
        <f aca="false">LOOKUP(G144,$E$23:$E$26,$A$23:$A$26)+LOOKUP(G144,$E$23:$E$26,$D$23:$D$26)*(G144-LOOKUP(G144,$E$23:$E$26))/LOOKUP(G144,$E$23:$E$26,$C$23:$C$26)</f>
        <v>4.97581613821602</v>
      </c>
      <c r="X144" s="16" t="n">
        <f aca="false">LOOKUP(H144,$E$23:$E$26,$A$23:$A$26)+LOOKUP(H144,$E$23:$E$26,$D$23:$D$26)*(H144-LOOKUP(H144,$E$23:$E$26))/LOOKUP(H144,$E$23:$E$26,$C$23:$C$26)</f>
        <v>4.71525813341931</v>
      </c>
      <c r="Y144" s="16" t="n">
        <f aca="false">LOOKUP(I144,$E$23:$E$26,$A$23:$A$26)+LOOKUP(I144,$E$23:$E$26,$D$23:$D$26)*(I144-LOOKUP(I144,$E$23:$E$26))/LOOKUP(I144,$E$23:$E$26,$C$23:$C$26)</f>
        <v>4.27300484056547</v>
      </c>
      <c r="Z144" s="16" t="n">
        <f aca="false">LOOKUP(J144,$E$23:$E$26,$A$23:$A$26)+LOOKUP(J144,$E$23:$E$26,$D$23:$D$26)*(J144-LOOKUP(J144,$E$23:$E$26))/LOOKUP(J144,$E$23:$E$26,$C$23:$C$26)</f>
        <v>5.41302461421084</v>
      </c>
      <c r="AA144" s="16" t="n">
        <f aca="false">LOOKUP(K144,$E$23:$E$26,$A$23:$A$26)+LOOKUP(K144,$E$23:$E$26,$D$23:$D$26)*(K144-LOOKUP(K144,$E$23:$E$26))/LOOKUP(K144,$E$23:$E$26,$C$23:$C$26)</f>
        <v>4.1185619697004</v>
      </c>
      <c r="AB144" s="16" t="n">
        <f aca="false">LOOKUP(L144,$E$23:$E$26,$A$23:$A$26)+LOOKUP(L144,$E$23:$E$26,$D$23:$D$26)*(L144-LOOKUP(L144,$E$23:$E$26))/LOOKUP(L144,$E$23:$E$26,$C$23:$C$26)</f>
        <v>4.75876282973643</v>
      </c>
      <c r="AC144" s="16" t="n">
        <f aca="false">LOOKUP(M144,$E$23:$E$26,$A$23:$A$26)+LOOKUP(M144,$E$23:$E$26,$D$23:$D$26)*(M144-LOOKUP(M144,$E$23:$E$26))/LOOKUP(M144,$E$23:$E$26,$C$23:$C$26)</f>
        <v>4.51240447150861</v>
      </c>
      <c r="AD144" s="16" t="n">
        <f aca="false">LOOKUP(N144,$E$23:$E$26,$A$23:$A$26)+LOOKUP(N144,$E$23:$E$26,$D$23:$D$26)*(N144-LOOKUP(N144,$E$23:$E$26))/LOOKUP(N144,$E$23:$E$26,$C$23:$C$26)</f>
        <v>5.08342246947016</v>
      </c>
      <c r="AE144" s="16" t="n">
        <f aca="false">LOOKUP(O144,$E$23:$E$26,$A$23:$A$26)+LOOKUP(O144,$E$23:$E$26,$D$23:$D$26)*(O144-LOOKUP(O144,$E$23:$E$26))/LOOKUP(O144,$E$23:$E$26,$C$23:$C$26)</f>
        <v>5.00313411727674</v>
      </c>
      <c r="AF144" s="16" t="n">
        <f aca="false">LOOKUP(P144,$E$23:$E$26,$A$23:$A$26)+LOOKUP(P144,$E$23:$E$26,$D$23:$D$26)*(P144-LOOKUP(P144,$E$23:$E$26))/LOOKUP(P144,$E$23:$E$26,$C$23:$C$26)</f>
        <v>4.07842422926599</v>
      </c>
      <c r="AG144" s="16" t="n">
        <f aca="false">LOOKUP(Q144,$E$23:$E$26,$A$23:$A$26)+LOOKUP(Q144,$E$23:$E$26,$D$23:$D$26)*(Q144-LOOKUP(Q144,$E$23:$E$26))/LOOKUP(Q144,$E$23:$E$26,$C$23:$C$26)</f>
        <v>4.59506641502769</v>
      </c>
      <c r="AH144" s="16" t="n">
        <f aca="false">LOOKUP(R144,$E$23:$E$26,$A$23:$A$26)+LOOKUP(R144,$E$23:$E$26,$D$23:$D$26)*(R144-LOOKUP(R144,$E$23:$E$26))/LOOKUP(R144,$E$23:$E$26,$C$23:$C$26)</f>
        <v>4.99250440631264</v>
      </c>
      <c r="AI144" s="16" t="n">
        <f aca="false">LOOKUP(S144,$E$23:$E$26,$A$23:$A$26)+LOOKUP(S144,$E$23:$E$26,$D$23:$D$26)*(S144-LOOKUP(S144,$E$23:$E$26))/LOOKUP(S144,$E$23:$E$26,$C$23:$C$26)</f>
        <v>4.02008700133491</v>
      </c>
      <c r="AJ144" s="16" t="n">
        <f aca="false">SUM($T144:T144)</f>
        <v>4.65715323427432</v>
      </c>
      <c r="AK144" s="16" t="n">
        <f aca="false">SUM($T144:U144)</f>
        <v>9.59344890843885</v>
      </c>
      <c r="AL144" s="16" t="n">
        <f aca="false">SUM($T144:V144)</f>
        <v>14.9274787397249</v>
      </c>
      <c r="AM144" s="16" t="n">
        <f aca="false">SUM($T144:W144)</f>
        <v>19.9032948779409</v>
      </c>
      <c r="AN144" s="16" t="n">
        <f aca="false">SUM($T144:X144)</f>
        <v>24.6185530113602</v>
      </c>
      <c r="AO144" s="16" t="n">
        <f aca="false">SUM($T144:Y144)</f>
        <v>28.8915578519257</v>
      </c>
      <c r="AP144" s="16" t="n">
        <f aca="false">SUM($T144:Z144)</f>
        <v>34.3045824661365</v>
      </c>
      <c r="AQ144" s="16" t="n">
        <f aca="false">SUM($T144:AA144)</f>
        <v>38.4231444358369</v>
      </c>
      <c r="AR144" s="16" t="n">
        <f aca="false">SUM($T144:AB144)</f>
        <v>43.1819072655733</v>
      </c>
      <c r="AS144" s="16" t="n">
        <f aca="false">SUM($T144:AC144)</f>
        <v>47.694311737082</v>
      </c>
      <c r="AT144" s="16" t="n">
        <f aca="false">SUM($T144:AD144)</f>
        <v>52.7777342065521</v>
      </c>
      <c r="AU144" s="16" t="n">
        <f aca="false">SUM($T144:AE144)</f>
        <v>57.7808683238289</v>
      </c>
      <c r="AV144" s="16" t="n">
        <f aca="false">SUM($T144:AF144)</f>
        <v>61.8592925530948</v>
      </c>
      <c r="AW144" s="16" t="n">
        <f aca="false">SUM($T144:AG144)</f>
        <v>66.4543589681225</v>
      </c>
      <c r="AX144" s="16" t="n">
        <f aca="false">SUM($T144:AH144)</f>
        <v>71.4468633744352</v>
      </c>
      <c r="AY144" s="16" t="n">
        <f aca="false">SUM($T144:AI144)</f>
        <v>75.4669503757701</v>
      </c>
      <c r="AZ144" s="16" t="n">
        <f aca="false">MAX(C144-AJ144,0)</f>
        <v>58.7527931326299</v>
      </c>
      <c r="BA144" s="16" t="n">
        <f aca="false">MAX(C144-AK144,0)</f>
        <v>53.8164974584654</v>
      </c>
      <c r="BB144" s="16" t="n">
        <f aca="false">MAX(C144-AL144,0)</f>
        <v>48.4824676271794</v>
      </c>
      <c r="BC144" s="16" t="n">
        <f aca="false">MAX(C144-AM144,0)</f>
        <v>43.5066514889634</v>
      </c>
      <c r="BD144" s="16" t="n">
        <f aca="false">MAX(C144-AN144,0)</f>
        <v>38.791393355544</v>
      </c>
      <c r="BE144" s="16" t="n">
        <f aca="false">MAX(C144-AO144,0)</f>
        <v>34.5183885149786</v>
      </c>
      <c r="BF144" s="16" t="n">
        <f aca="false">MAX(C144-AP144,0)</f>
        <v>29.1053639007677</v>
      </c>
      <c r="BG144" s="16" t="n">
        <f aca="false">MAX(C144-AQ144,0)</f>
        <v>24.9868019310673</v>
      </c>
      <c r="BH144" s="16" t="n">
        <f aca="false">MAX(C144-AR144,0)</f>
        <v>20.2280391013309</v>
      </c>
      <c r="BI144" s="16" t="n">
        <f aca="false">MAX(C144-AS144,0)</f>
        <v>15.7156346298223</v>
      </c>
      <c r="BJ144" s="16" t="n">
        <f aca="false">MAX(C144-AT144,0)</f>
        <v>10.6322121603521</v>
      </c>
      <c r="BK144" s="16" t="n">
        <f aca="false">MAX(C144-AU144,0)</f>
        <v>5.6290780430754</v>
      </c>
      <c r="BL144" s="16" t="n">
        <f aca="false">MAX(C144-AV144,0)</f>
        <v>1.55065381380941</v>
      </c>
      <c r="BM144" s="16" t="n">
        <f aca="false">MAX(C144-AW144,0)</f>
        <v>0</v>
      </c>
      <c r="BN144" s="16" t="n">
        <f aca="false">MAX(C144-AX144,0)</f>
        <v>0</v>
      </c>
      <c r="BO144" s="16" t="n">
        <f aca="false">MAX(C144-AY144,0)</f>
        <v>0</v>
      </c>
    </row>
    <row r="145" customFormat="false" ht="15" hidden="false" customHeight="false" outlineLevel="0" collapsed="false">
      <c r="A145" s="3" t="n">
        <v>115</v>
      </c>
      <c r="B145" s="15" t="n">
        <f aca="true">RAND()</f>
        <v>0.0342128045007181</v>
      </c>
      <c r="C145" s="16" t="n">
        <f aca="false">LOOKUP(B145,$E$12:$E$17,$A$12:$A$17)+LOOKUP(B145,$E$12:$E$17,$D$12:$D$17)*(B145-LOOKUP(B145,$E$12:$E$17))/LOOKUP(B145,$E$12:$E$17,$C$12:$C$17)</f>
        <v>51.7106402250359</v>
      </c>
      <c r="D145" s="15" t="n">
        <f aca="true">RAND()</f>
        <v>0.739330510171499</v>
      </c>
      <c r="E145" s="15" t="n">
        <f aca="true">RAND()</f>
        <v>0.575625397894246</v>
      </c>
      <c r="F145" s="15" t="n">
        <f aca="true">RAND()</f>
        <v>0.298370421682259</v>
      </c>
      <c r="G145" s="15" t="n">
        <f aca="true">RAND()</f>
        <v>0.856745215018982</v>
      </c>
      <c r="H145" s="15" t="n">
        <f aca="true">RAND()</f>
        <v>0.85400660979617</v>
      </c>
      <c r="I145" s="15" t="n">
        <f aca="true">RAND()</f>
        <v>0.368025082868526</v>
      </c>
      <c r="J145" s="15" t="n">
        <f aca="true">RAND()</f>
        <v>0.134754163705094</v>
      </c>
      <c r="K145" s="15" t="n">
        <f aca="true">RAND()</f>
        <v>0.707973861182489</v>
      </c>
      <c r="L145" s="15" t="n">
        <f aca="true">RAND()</f>
        <v>0.691407496319339</v>
      </c>
      <c r="M145" s="15" t="n">
        <f aca="true">RAND()</f>
        <v>0.970010123829465</v>
      </c>
      <c r="N145" s="15" t="n">
        <f aca="true">RAND()</f>
        <v>0.145056214696815</v>
      </c>
      <c r="O145" s="15" t="n">
        <f aca="true">RAND()</f>
        <v>0.722054398658992</v>
      </c>
      <c r="P145" s="15" t="n">
        <f aca="true">RAND()</f>
        <v>0.405631445873667</v>
      </c>
      <c r="Q145" s="15" t="n">
        <f aca="true">RAND()</f>
        <v>0.847645056186835</v>
      </c>
      <c r="R145" s="15" t="n">
        <f aca="true">RAND()</f>
        <v>0.423613983832067</v>
      </c>
      <c r="S145" s="15" t="n">
        <f aca="true">RAND()</f>
        <v>0.629993890781062</v>
      </c>
      <c r="T145" s="16" t="n">
        <f aca="false">LOOKUP(D145,$E$23:$E$26,$A$23:$A$26)+LOOKUP(D145,$E$23:$E$26,$D$23:$D$26)*(D145-LOOKUP(D145,$E$23:$E$26))/LOOKUP(D145,$E$23:$E$26,$C$23:$C$26)</f>
        <v>5.09832627542875</v>
      </c>
      <c r="U145" s="16" t="n">
        <f aca="false">LOOKUP(E145,$E$23:$E$26,$A$23:$A$26)+LOOKUP(E145,$E$23:$E$26,$D$23:$D$26)*(E145-LOOKUP(E145,$E$23:$E$26))/LOOKUP(E145,$E$23:$E$26,$C$23:$C$26)</f>
        <v>4.84453174736781</v>
      </c>
      <c r="V145" s="16" t="n">
        <f aca="false">LOOKUP(F145,$E$23:$E$26,$A$23:$A$26)+LOOKUP(F145,$E$23:$E$26,$D$23:$D$26)*(F145-LOOKUP(F145,$E$23:$E$26))/LOOKUP(F145,$E$23:$E$26,$C$23:$C$26)</f>
        <v>4.4972840361371</v>
      </c>
      <c r="W145" s="16" t="n">
        <f aca="false">LOOKUP(G145,$E$23:$E$26,$A$23:$A$26)+LOOKUP(G145,$E$23:$E$26,$D$23:$D$26)*(G145-LOOKUP(G145,$E$23:$E$26))/LOOKUP(G145,$E$23:$E$26,$C$23:$C$26)</f>
        <v>5.39186303754746</v>
      </c>
      <c r="X145" s="16" t="n">
        <f aca="false">LOOKUP(H145,$E$23:$E$26,$A$23:$A$26)+LOOKUP(H145,$E$23:$E$26,$D$23:$D$26)*(H145-LOOKUP(H145,$E$23:$E$26))/LOOKUP(H145,$E$23:$E$26,$C$23:$C$26)</f>
        <v>5.38501652449043</v>
      </c>
      <c r="Y145" s="16" t="n">
        <f aca="false">LOOKUP(I145,$E$23:$E$26,$A$23:$A$26)+LOOKUP(I145,$E$23:$E$26,$D$23:$D$26)*(I145-LOOKUP(I145,$E$23:$E$26))/LOOKUP(I145,$E$23:$E$26,$C$23:$C$26)</f>
        <v>4.58503135358566</v>
      </c>
      <c r="Z145" s="16" t="n">
        <f aca="false">LOOKUP(J145,$E$23:$E$26,$A$23:$A$26)+LOOKUP(J145,$E$23:$E$26,$D$23:$D$26)*(J145-LOOKUP(J145,$E$23:$E$26))/LOOKUP(J145,$E$23:$E$26,$C$23:$C$26)</f>
        <v>4.22459027284182</v>
      </c>
      <c r="AA145" s="16" t="n">
        <f aca="false">LOOKUP(K145,$E$23:$E$26,$A$23:$A$26)+LOOKUP(K145,$E$23:$E$26,$D$23:$D$26)*(K145-LOOKUP(K145,$E$23:$E$26))/LOOKUP(K145,$E$23:$E$26,$C$23:$C$26)</f>
        <v>5.01993465295622</v>
      </c>
      <c r="AB145" s="16" t="n">
        <f aca="false">LOOKUP(L145,$E$23:$E$26,$A$23:$A$26)+LOOKUP(L145,$E$23:$E$26,$D$23:$D$26)*(L145-LOOKUP(L145,$E$23:$E$26))/LOOKUP(L145,$E$23:$E$26,$C$23:$C$26)</f>
        <v>4.98925937039917</v>
      </c>
      <c r="AC145" s="16" t="n">
        <f aca="false">LOOKUP(M145,$E$23:$E$26,$A$23:$A$26)+LOOKUP(M145,$E$23:$E$26,$D$23:$D$26)*(M145-LOOKUP(M145,$E$23:$E$26))/LOOKUP(M145,$E$23:$E$26,$C$23:$C$26)</f>
        <v>5.85005061914733</v>
      </c>
      <c r="AD145" s="16" t="n">
        <f aca="false">LOOKUP(N145,$E$23:$E$26,$A$23:$A$26)+LOOKUP(N145,$E$23:$E$26,$D$23:$D$26)*(N145-LOOKUP(N145,$E$23:$E$26))/LOOKUP(N145,$E$23:$E$26,$C$23:$C$26)</f>
        <v>4.24176035782803</v>
      </c>
      <c r="AE145" s="16" t="n">
        <f aca="false">LOOKUP(O145,$E$23:$E$26,$A$23:$A$26)+LOOKUP(O145,$E$23:$E$26,$D$23:$D$26)*(O145-LOOKUP(O145,$E$23:$E$26))/LOOKUP(O145,$E$23:$E$26,$C$23:$C$26)</f>
        <v>5.05513599664748</v>
      </c>
      <c r="AF145" s="16" t="n">
        <f aca="false">LOOKUP(P145,$E$23:$E$26,$A$23:$A$26)+LOOKUP(P145,$E$23:$E$26,$D$23:$D$26)*(P145-LOOKUP(P145,$E$23:$E$26))/LOOKUP(P145,$E$23:$E$26,$C$23:$C$26)</f>
        <v>4.63203930734208</v>
      </c>
      <c r="AG145" s="16" t="n">
        <f aca="false">LOOKUP(Q145,$E$23:$E$26,$A$23:$A$26)+LOOKUP(Q145,$E$23:$E$26,$D$23:$D$26)*(Q145-LOOKUP(Q145,$E$23:$E$26))/LOOKUP(Q145,$E$23:$E$26,$C$23:$C$26)</f>
        <v>5.36911264046709</v>
      </c>
      <c r="AH145" s="16" t="n">
        <f aca="false">LOOKUP(R145,$E$23:$E$26,$A$23:$A$26)+LOOKUP(R145,$E$23:$E$26,$D$23:$D$26)*(R145-LOOKUP(R145,$E$23:$E$26))/LOOKUP(R145,$E$23:$E$26,$C$23:$C$26)</f>
        <v>4.65451747979008</v>
      </c>
      <c r="AI145" s="16" t="n">
        <f aca="false">LOOKUP(S145,$E$23:$E$26,$A$23:$A$26)+LOOKUP(S145,$E$23:$E$26,$D$23:$D$26)*(S145-LOOKUP(S145,$E$23:$E$26))/LOOKUP(S145,$E$23:$E$26,$C$23:$C$26)</f>
        <v>4.91249236347633</v>
      </c>
      <c r="AJ145" s="16" t="n">
        <f aca="false">SUM($T145:T145)</f>
        <v>5.09832627542875</v>
      </c>
      <c r="AK145" s="16" t="n">
        <f aca="false">SUM($T145:U145)</f>
        <v>9.94285802279656</v>
      </c>
      <c r="AL145" s="16" t="n">
        <f aca="false">SUM($T145:V145)</f>
        <v>14.4401420589337</v>
      </c>
      <c r="AM145" s="16" t="n">
        <f aca="false">SUM($T145:W145)</f>
        <v>19.8320050964811</v>
      </c>
      <c r="AN145" s="16" t="n">
        <f aca="false">SUM($T145:X145)</f>
        <v>25.2170216209715</v>
      </c>
      <c r="AO145" s="16" t="n">
        <f aca="false">SUM($T145:Y145)</f>
        <v>29.8020529745572</v>
      </c>
      <c r="AP145" s="16" t="n">
        <f aca="false">SUM($T145:Z145)</f>
        <v>34.026643247399</v>
      </c>
      <c r="AQ145" s="16" t="n">
        <f aca="false">SUM($T145:AA145)</f>
        <v>39.0465779003552</v>
      </c>
      <c r="AR145" s="16" t="n">
        <f aca="false">SUM($T145:AB145)</f>
        <v>44.0358372707544</v>
      </c>
      <c r="AS145" s="16" t="n">
        <f aca="false">SUM($T145:AC145)</f>
        <v>49.8858878899017</v>
      </c>
      <c r="AT145" s="16" t="n">
        <f aca="false">SUM($T145:AD145)</f>
        <v>54.1276482477298</v>
      </c>
      <c r="AU145" s="16" t="n">
        <f aca="false">SUM($T145:AE145)</f>
        <v>59.1827842443772</v>
      </c>
      <c r="AV145" s="16" t="n">
        <f aca="false">SUM($T145:AF145)</f>
        <v>63.8148235517193</v>
      </c>
      <c r="AW145" s="16" t="n">
        <f aca="false">SUM($T145:AG145)</f>
        <v>69.1839361921864</v>
      </c>
      <c r="AX145" s="16" t="n">
        <f aca="false">SUM($T145:AH145)</f>
        <v>73.8384536719765</v>
      </c>
      <c r="AY145" s="16" t="n">
        <f aca="false">SUM($T145:AI145)</f>
        <v>78.7509460354528</v>
      </c>
      <c r="AZ145" s="16" t="n">
        <f aca="false">MAX(C145-AJ145,0)</f>
        <v>46.6123139496072</v>
      </c>
      <c r="BA145" s="16" t="n">
        <f aca="false">MAX(C145-AK145,0)</f>
        <v>41.7677822022393</v>
      </c>
      <c r="BB145" s="16" t="n">
        <f aca="false">MAX(C145-AL145,0)</f>
        <v>37.2704981661022</v>
      </c>
      <c r="BC145" s="16" t="n">
        <f aca="false">MAX(C145-AM145,0)</f>
        <v>31.8786351285548</v>
      </c>
      <c r="BD145" s="16" t="n">
        <f aca="false">MAX(C145-AN145,0)</f>
        <v>26.4936186040644</v>
      </c>
      <c r="BE145" s="16" t="n">
        <f aca="false">MAX(C145-AO145,0)</f>
        <v>21.9085872504787</v>
      </c>
      <c r="BF145" s="16" t="n">
        <f aca="false">MAX(C145-AP145,0)</f>
        <v>17.6839969776369</v>
      </c>
      <c r="BG145" s="16" t="n">
        <f aca="false">MAX(C145-AQ145,0)</f>
        <v>12.6640623246807</v>
      </c>
      <c r="BH145" s="16" t="n">
        <f aca="false">MAX(C145-AR145,0)</f>
        <v>7.67480295428149</v>
      </c>
      <c r="BI145" s="16" t="n">
        <f aca="false">MAX(C145-AS145,0)</f>
        <v>1.82475233513416</v>
      </c>
      <c r="BJ145" s="16" t="n">
        <f aca="false">MAX(C145-AT145,0)</f>
        <v>0</v>
      </c>
      <c r="BK145" s="16" t="n">
        <f aca="false">MAX(C145-AU145,0)</f>
        <v>0</v>
      </c>
      <c r="BL145" s="16" t="n">
        <f aca="false">MAX(C145-AV145,0)</f>
        <v>0</v>
      </c>
      <c r="BM145" s="16" t="n">
        <f aca="false">MAX(C145-AW145,0)</f>
        <v>0</v>
      </c>
      <c r="BN145" s="16" t="n">
        <f aca="false">MAX(C145-AX145,0)</f>
        <v>0</v>
      </c>
      <c r="BO145" s="16" t="n">
        <f aca="false">MAX(C145-AY145,0)</f>
        <v>0</v>
      </c>
    </row>
    <row r="146" customFormat="false" ht="15" hidden="false" customHeight="false" outlineLevel="0" collapsed="false">
      <c r="A146" s="3" t="n">
        <v>116</v>
      </c>
      <c r="B146" s="15" t="n">
        <f aca="true">RAND()</f>
        <v>0.716335309572135</v>
      </c>
      <c r="C146" s="16" t="n">
        <f aca="false">LOOKUP(B146,$E$12:$E$17,$A$12:$A$17)+LOOKUP(B146,$E$12:$E$17,$D$12:$D$17)*(B146-LOOKUP(B146,$E$12:$E$17))/LOOKUP(B146,$E$12:$E$17,$C$12:$C$17)</f>
        <v>67.3762187081734</v>
      </c>
      <c r="D146" s="15" t="n">
        <f aca="true">RAND()</f>
        <v>0.880270856129656</v>
      </c>
      <c r="E146" s="15" t="n">
        <f aca="true">RAND()</f>
        <v>0.653092863783954</v>
      </c>
      <c r="F146" s="15" t="n">
        <f aca="true">RAND()</f>
        <v>0.953790683326162</v>
      </c>
      <c r="G146" s="15" t="n">
        <f aca="true">RAND()</f>
        <v>0.601276928143544</v>
      </c>
      <c r="H146" s="15" t="n">
        <f aca="true">RAND()</f>
        <v>0.480523757990116</v>
      </c>
      <c r="I146" s="15" t="n">
        <f aca="true">RAND()</f>
        <v>0.347958514832343</v>
      </c>
      <c r="J146" s="15" t="n">
        <f aca="true">RAND()</f>
        <v>0.0942310878301902</v>
      </c>
      <c r="K146" s="15" t="n">
        <f aca="true">RAND()</f>
        <v>0.0590608679561722</v>
      </c>
      <c r="L146" s="15" t="n">
        <f aca="true">RAND()</f>
        <v>0.907511804503997</v>
      </c>
      <c r="M146" s="15" t="n">
        <f aca="true">RAND()</f>
        <v>0.722919383438378</v>
      </c>
      <c r="N146" s="15" t="n">
        <f aca="true">RAND()</f>
        <v>0.109981748864616</v>
      </c>
      <c r="O146" s="15" t="n">
        <f aca="true">RAND()</f>
        <v>0.601012709901777</v>
      </c>
      <c r="P146" s="15" t="n">
        <f aca="true">RAND()</f>
        <v>0.719702564314922</v>
      </c>
      <c r="Q146" s="15" t="n">
        <f aca="true">RAND()</f>
        <v>0.278027663872533</v>
      </c>
      <c r="R146" s="15" t="n">
        <f aca="true">RAND()</f>
        <v>0.636988675456754</v>
      </c>
      <c r="S146" s="15" t="n">
        <f aca="true">RAND()</f>
        <v>0.578000793996574</v>
      </c>
      <c r="T146" s="16" t="n">
        <f aca="false">LOOKUP(D146,$E$23:$E$26,$A$23:$A$26)+LOOKUP(D146,$E$23:$E$26,$D$23:$D$26)*(D146-LOOKUP(D146,$E$23:$E$26))/LOOKUP(D146,$E$23:$E$26,$C$23:$C$26)</f>
        <v>5.45067714032414</v>
      </c>
      <c r="U146" s="16" t="n">
        <f aca="false">LOOKUP(E146,$E$23:$E$26,$A$23:$A$26)+LOOKUP(E146,$E$23:$E$26,$D$23:$D$26)*(E146-LOOKUP(E146,$E$23:$E$26))/LOOKUP(E146,$E$23:$E$26,$C$23:$C$26)</f>
        <v>4.94136607972994</v>
      </c>
      <c r="V146" s="16" t="n">
        <f aca="false">LOOKUP(F146,$E$23:$E$26,$A$23:$A$26)+LOOKUP(F146,$E$23:$E$26,$D$23:$D$26)*(F146-LOOKUP(F146,$E$23:$E$26))/LOOKUP(F146,$E$23:$E$26,$C$23:$C$26)</f>
        <v>5.76895341663081</v>
      </c>
      <c r="W146" s="16" t="n">
        <f aca="false">LOOKUP(G146,$E$23:$E$26,$A$23:$A$26)+LOOKUP(G146,$E$23:$E$26,$D$23:$D$26)*(G146-LOOKUP(G146,$E$23:$E$26))/LOOKUP(G146,$E$23:$E$26,$C$23:$C$26)</f>
        <v>4.87659616017943</v>
      </c>
      <c r="X146" s="16" t="n">
        <f aca="false">LOOKUP(H146,$E$23:$E$26,$A$23:$A$26)+LOOKUP(H146,$E$23:$E$26,$D$23:$D$26)*(H146-LOOKUP(H146,$E$23:$E$26))/LOOKUP(H146,$E$23:$E$26,$C$23:$C$26)</f>
        <v>4.72565469748765</v>
      </c>
      <c r="Y146" s="16" t="n">
        <f aca="false">LOOKUP(I146,$E$23:$E$26,$A$23:$A$26)+LOOKUP(I146,$E$23:$E$26,$D$23:$D$26)*(I146-LOOKUP(I146,$E$23:$E$26))/LOOKUP(I146,$E$23:$E$26,$C$23:$C$26)</f>
        <v>4.55994814354043</v>
      </c>
      <c r="Z146" s="16" t="n">
        <f aca="false">LOOKUP(J146,$E$23:$E$26,$A$23:$A$26)+LOOKUP(J146,$E$23:$E$26,$D$23:$D$26)*(J146-LOOKUP(J146,$E$23:$E$26))/LOOKUP(J146,$E$23:$E$26,$C$23:$C$26)</f>
        <v>4.15705181305032</v>
      </c>
      <c r="AA146" s="16" t="n">
        <f aca="false">LOOKUP(K146,$E$23:$E$26,$A$23:$A$26)+LOOKUP(K146,$E$23:$E$26,$D$23:$D$26)*(K146-LOOKUP(K146,$E$23:$E$26))/LOOKUP(K146,$E$23:$E$26,$C$23:$C$26)</f>
        <v>4.09843477992695</v>
      </c>
      <c r="AB146" s="16" t="n">
        <f aca="false">LOOKUP(L146,$E$23:$E$26,$A$23:$A$26)+LOOKUP(L146,$E$23:$E$26,$D$23:$D$26)*(L146-LOOKUP(L146,$E$23:$E$26))/LOOKUP(L146,$E$23:$E$26,$C$23:$C$26)</f>
        <v>5.53755902251998</v>
      </c>
      <c r="AC146" s="16" t="n">
        <f aca="false">LOOKUP(M146,$E$23:$E$26,$A$23:$A$26)+LOOKUP(M146,$E$23:$E$26,$D$23:$D$26)*(M146-LOOKUP(M146,$E$23:$E$26))/LOOKUP(M146,$E$23:$E$26,$C$23:$C$26)</f>
        <v>5.05729845859594</v>
      </c>
      <c r="AD146" s="16" t="n">
        <f aca="false">LOOKUP(N146,$E$23:$E$26,$A$23:$A$26)+LOOKUP(N146,$E$23:$E$26,$D$23:$D$26)*(N146-LOOKUP(N146,$E$23:$E$26))/LOOKUP(N146,$E$23:$E$26,$C$23:$C$26)</f>
        <v>4.18330291477436</v>
      </c>
      <c r="AE146" s="16" t="n">
        <f aca="false">LOOKUP(O146,$E$23:$E$26,$A$23:$A$26)+LOOKUP(O146,$E$23:$E$26,$D$23:$D$26)*(O146-LOOKUP(O146,$E$23:$E$26))/LOOKUP(O146,$E$23:$E$26,$C$23:$C$26)</f>
        <v>4.87626588737722</v>
      </c>
      <c r="AF146" s="16" t="n">
        <f aca="false">LOOKUP(P146,$E$23:$E$26,$A$23:$A$26)+LOOKUP(P146,$E$23:$E$26,$D$23:$D$26)*(P146-LOOKUP(P146,$E$23:$E$26))/LOOKUP(P146,$E$23:$E$26,$C$23:$C$26)</f>
        <v>5.04925641078731</v>
      </c>
      <c r="AG146" s="16" t="n">
        <f aca="false">LOOKUP(Q146,$E$23:$E$26,$A$23:$A$26)+LOOKUP(Q146,$E$23:$E$26,$D$23:$D$26)*(Q146-LOOKUP(Q146,$E$23:$E$26))/LOOKUP(Q146,$E$23:$E$26,$C$23:$C$26)</f>
        <v>4.46337943978756</v>
      </c>
      <c r="AH146" s="16" t="n">
        <f aca="false">LOOKUP(R146,$E$23:$E$26,$A$23:$A$26)+LOOKUP(R146,$E$23:$E$26,$D$23:$D$26)*(R146-LOOKUP(R146,$E$23:$E$26))/LOOKUP(R146,$E$23:$E$26,$C$23:$C$26)</f>
        <v>4.92123584432094</v>
      </c>
      <c r="AI146" s="16" t="n">
        <f aca="false">LOOKUP(S146,$E$23:$E$26,$A$23:$A$26)+LOOKUP(S146,$E$23:$E$26,$D$23:$D$26)*(S146-LOOKUP(S146,$E$23:$E$26))/LOOKUP(S146,$E$23:$E$26,$C$23:$C$26)</f>
        <v>4.84750099249572</v>
      </c>
      <c r="AJ146" s="16" t="n">
        <f aca="false">SUM($T146:T146)</f>
        <v>5.45067714032414</v>
      </c>
      <c r="AK146" s="16" t="n">
        <f aca="false">SUM($T146:U146)</f>
        <v>10.3920432200541</v>
      </c>
      <c r="AL146" s="16" t="n">
        <f aca="false">SUM($T146:V146)</f>
        <v>16.1609966366849</v>
      </c>
      <c r="AM146" s="16" t="n">
        <f aca="false">SUM($T146:W146)</f>
        <v>21.0375927968643</v>
      </c>
      <c r="AN146" s="16" t="n">
        <f aca="false">SUM($T146:X146)</f>
        <v>25.763247494352</v>
      </c>
      <c r="AO146" s="16" t="n">
        <f aca="false">SUM($T146:Y146)</f>
        <v>30.3231956378924</v>
      </c>
      <c r="AP146" s="16" t="n">
        <f aca="false">SUM($T146:Z146)</f>
        <v>34.4802474509427</v>
      </c>
      <c r="AQ146" s="16" t="n">
        <f aca="false">SUM($T146:AA146)</f>
        <v>38.5786822308697</v>
      </c>
      <c r="AR146" s="16" t="n">
        <f aca="false">SUM($T146:AB146)</f>
        <v>44.1162412533897</v>
      </c>
      <c r="AS146" s="16" t="n">
        <f aca="false">SUM($T146:AC146)</f>
        <v>49.1735397119856</v>
      </c>
      <c r="AT146" s="16" t="n">
        <f aca="false">SUM($T146:AD146)</f>
        <v>53.35684262676</v>
      </c>
      <c r="AU146" s="16" t="n">
        <f aca="false">SUM($T146:AE146)</f>
        <v>58.2331085141372</v>
      </c>
      <c r="AV146" s="16" t="n">
        <f aca="false">SUM($T146:AF146)</f>
        <v>63.2823649249245</v>
      </c>
      <c r="AW146" s="16" t="n">
        <f aca="false">SUM($T146:AG146)</f>
        <v>67.745744364712</v>
      </c>
      <c r="AX146" s="16" t="n">
        <f aca="false">SUM($T146:AH146)</f>
        <v>72.666980209033</v>
      </c>
      <c r="AY146" s="16" t="n">
        <f aca="false">SUM($T146:AI146)</f>
        <v>77.5144812015287</v>
      </c>
      <c r="AZ146" s="16" t="n">
        <f aca="false">MAX(C146-AJ146,0)</f>
        <v>61.9255415678492</v>
      </c>
      <c r="BA146" s="16" t="n">
        <f aca="false">MAX(C146-AK146,0)</f>
        <v>56.9841754881193</v>
      </c>
      <c r="BB146" s="16" t="n">
        <f aca="false">MAX(C146-AL146,0)</f>
        <v>51.2152220714885</v>
      </c>
      <c r="BC146" s="16" t="n">
        <f aca="false">MAX(C146-AM146,0)</f>
        <v>46.3386259113091</v>
      </c>
      <c r="BD146" s="16" t="n">
        <f aca="false">MAX(C146-AN146,0)</f>
        <v>41.6129712138214</v>
      </c>
      <c r="BE146" s="16" t="n">
        <f aca="false">MAX(C146-AO146,0)</f>
        <v>37.053023070281</v>
      </c>
      <c r="BF146" s="16" t="n">
        <f aca="false">MAX(C146-AP146,0)</f>
        <v>32.8959712572307</v>
      </c>
      <c r="BG146" s="16" t="n">
        <f aca="false">MAX(C146-AQ146,0)</f>
        <v>28.7975364773037</v>
      </c>
      <c r="BH146" s="16" t="n">
        <f aca="false">MAX(C146-AR146,0)</f>
        <v>23.2599774547837</v>
      </c>
      <c r="BI146" s="16" t="n">
        <f aca="false">MAX(C146-AS146,0)</f>
        <v>18.2026789961878</v>
      </c>
      <c r="BJ146" s="16" t="n">
        <f aca="false">MAX(C146-AT146,0)</f>
        <v>14.0193760814134</v>
      </c>
      <c r="BK146" s="16" t="n">
        <f aca="false">MAX(C146-AU146,0)</f>
        <v>9.14311019403619</v>
      </c>
      <c r="BL146" s="16" t="n">
        <f aca="false">MAX(C146-AV146,0)</f>
        <v>4.09385378324889</v>
      </c>
      <c r="BM146" s="16" t="n">
        <f aca="false">MAX(C146-AW146,0)</f>
        <v>0</v>
      </c>
      <c r="BN146" s="16" t="n">
        <f aca="false">MAX(C146-AX146,0)</f>
        <v>0</v>
      </c>
      <c r="BO146" s="16" t="n">
        <f aca="false">MAX(C146-AY146,0)</f>
        <v>0</v>
      </c>
    </row>
    <row r="147" customFormat="false" ht="15" hidden="false" customHeight="false" outlineLevel="0" collapsed="false">
      <c r="A147" s="3" t="n">
        <v>117</v>
      </c>
      <c r="B147" s="15" t="n">
        <f aca="true">RAND()</f>
        <v>0.883758825137141</v>
      </c>
      <c r="C147" s="16" t="n">
        <f aca="false">LOOKUP(B147,$E$12:$E$17,$A$12:$A$17)+LOOKUP(B147,$E$12:$E$17,$D$12:$D$17)*(B147-LOOKUP(B147,$E$12:$E$17))/LOOKUP(B147,$E$12:$E$17,$C$12:$C$17)</f>
        <v>69.7679832162449</v>
      </c>
      <c r="D147" s="15" t="n">
        <f aca="true">RAND()</f>
        <v>0.672942214179598</v>
      </c>
      <c r="E147" s="15" t="n">
        <f aca="true">RAND()</f>
        <v>0.519291630868902</v>
      </c>
      <c r="F147" s="15" t="n">
        <f aca="true">RAND()</f>
        <v>0.350280028335286</v>
      </c>
      <c r="G147" s="15" t="n">
        <f aca="true">RAND()</f>
        <v>0.870901900242611</v>
      </c>
      <c r="H147" s="15" t="n">
        <f aca="true">RAND()</f>
        <v>0.296244831810015</v>
      </c>
      <c r="I147" s="15" t="n">
        <f aca="true">RAND()</f>
        <v>0.530896140903304</v>
      </c>
      <c r="J147" s="15" t="n">
        <f aca="true">RAND()</f>
        <v>0.964790785172173</v>
      </c>
      <c r="K147" s="15" t="n">
        <f aca="true">RAND()</f>
        <v>0.0395229589130748</v>
      </c>
      <c r="L147" s="15" t="n">
        <f aca="true">RAND()</f>
        <v>0.926637591959907</v>
      </c>
      <c r="M147" s="15" t="n">
        <f aca="true">RAND()</f>
        <v>0.637741030134802</v>
      </c>
      <c r="N147" s="15" t="n">
        <f aca="true">RAND()</f>
        <v>0.308027334989586</v>
      </c>
      <c r="O147" s="15" t="n">
        <f aca="true">RAND()</f>
        <v>0.0416246975705193</v>
      </c>
      <c r="P147" s="15" t="n">
        <f aca="true">RAND()</f>
        <v>0.678989532073498</v>
      </c>
      <c r="Q147" s="15" t="n">
        <f aca="true">RAND()</f>
        <v>0.750313806258939</v>
      </c>
      <c r="R147" s="15" t="n">
        <f aca="true">RAND()</f>
        <v>0.977903342823999</v>
      </c>
      <c r="S147" s="15" t="n">
        <f aca="true">RAND()</f>
        <v>0.465962758907848</v>
      </c>
      <c r="T147" s="16" t="n">
        <f aca="false">LOOKUP(D147,$E$23:$E$26,$A$23:$A$26)+LOOKUP(D147,$E$23:$E$26,$D$23:$D$26)*(D147-LOOKUP(D147,$E$23:$E$26))/LOOKUP(D147,$E$23:$E$26,$C$23:$C$26)</f>
        <v>4.9661777677245</v>
      </c>
      <c r="U147" s="16" t="n">
        <f aca="false">LOOKUP(E147,$E$23:$E$26,$A$23:$A$26)+LOOKUP(E147,$E$23:$E$26,$D$23:$D$26)*(E147-LOOKUP(E147,$E$23:$E$26))/LOOKUP(E147,$E$23:$E$26,$C$23:$C$26)</f>
        <v>4.77411453858613</v>
      </c>
      <c r="V147" s="16" t="n">
        <f aca="false">LOOKUP(F147,$E$23:$E$26,$A$23:$A$26)+LOOKUP(F147,$E$23:$E$26,$D$23:$D$26)*(F147-LOOKUP(F147,$E$23:$E$26))/LOOKUP(F147,$E$23:$E$26,$C$23:$C$26)</f>
        <v>4.56285003541911</v>
      </c>
      <c r="W147" s="16" t="n">
        <f aca="false">LOOKUP(G147,$E$23:$E$26,$A$23:$A$26)+LOOKUP(G147,$E$23:$E$26,$D$23:$D$26)*(G147-LOOKUP(G147,$E$23:$E$26))/LOOKUP(G147,$E$23:$E$26,$C$23:$C$26)</f>
        <v>5.42725475060653</v>
      </c>
      <c r="X147" s="16" t="n">
        <f aca="false">LOOKUP(H147,$E$23:$E$26,$A$23:$A$26)+LOOKUP(H147,$E$23:$E$26,$D$23:$D$26)*(H147-LOOKUP(H147,$E$23:$E$26))/LOOKUP(H147,$E$23:$E$26,$C$23:$C$26)</f>
        <v>4.49374138635003</v>
      </c>
      <c r="Y147" s="16" t="n">
        <f aca="false">LOOKUP(I147,$E$23:$E$26,$A$23:$A$26)+LOOKUP(I147,$E$23:$E$26,$D$23:$D$26)*(I147-LOOKUP(I147,$E$23:$E$26))/LOOKUP(I147,$E$23:$E$26,$C$23:$C$26)</f>
        <v>4.78862017612913</v>
      </c>
      <c r="Z147" s="16" t="n">
        <f aca="false">LOOKUP(J147,$E$23:$E$26,$A$23:$A$26)+LOOKUP(J147,$E$23:$E$26,$D$23:$D$26)*(J147-LOOKUP(J147,$E$23:$E$26))/LOOKUP(J147,$E$23:$E$26,$C$23:$C$26)</f>
        <v>5.82395392586087</v>
      </c>
      <c r="AA147" s="16" t="n">
        <f aca="false">LOOKUP(K147,$E$23:$E$26,$A$23:$A$26)+LOOKUP(K147,$E$23:$E$26,$D$23:$D$26)*(K147-LOOKUP(K147,$E$23:$E$26))/LOOKUP(K147,$E$23:$E$26,$C$23:$C$26)</f>
        <v>4.06587159818846</v>
      </c>
      <c r="AB147" s="16" t="n">
        <f aca="false">LOOKUP(L147,$E$23:$E$26,$A$23:$A$26)+LOOKUP(L147,$E$23:$E$26,$D$23:$D$26)*(L147-LOOKUP(L147,$E$23:$E$26))/LOOKUP(L147,$E$23:$E$26,$C$23:$C$26)</f>
        <v>5.63318795979953</v>
      </c>
      <c r="AC147" s="16" t="n">
        <f aca="false">LOOKUP(M147,$E$23:$E$26,$A$23:$A$26)+LOOKUP(M147,$E$23:$E$26,$D$23:$D$26)*(M147-LOOKUP(M147,$E$23:$E$26))/LOOKUP(M147,$E$23:$E$26,$C$23:$C$26)</f>
        <v>4.9221762876685</v>
      </c>
      <c r="AD147" s="16" t="n">
        <f aca="false">LOOKUP(N147,$E$23:$E$26,$A$23:$A$26)+LOOKUP(N147,$E$23:$E$26,$D$23:$D$26)*(N147-LOOKUP(N147,$E$23:$E$26))/LOOKUP(N147,$E$23:$E$26,$C$23:$C$26)</f>
        <v>4.51003416873698</v>
      </c>
      <c r="AE147" s="16" t="n">
        <f aca="false">LOOKUP(O147,$E$23:$E$26,$A$23:$A$26)+LOOKUP(O147,$E$23:$E$26,$D$23:$D$26)*(O147-LOOKUP(O147,$E$23:$E$26))/LOOKUP(O147,$E$23:$E$26,$C$23:$C$26)</f>
        <v>4.06937449595087</v>
      </c>
      <c r="AF147" s="16" t="n">
        <f aca="false">LOOKUP(P147,$E$23:$E$26,$A$23:$A$26)+LOOKUP(P147,$E$23:$E$26,$D$23:$D$26)*(P147-LOOKUP(P147,$E$23:$E$26))/LOOKUP(P147,$E$23:$E$26,$C$23:$C$26)</f>
        <v>4.97373691509187</v>
      </c>
      <c r="AG147" s="16" t="n">
        <f aca="false">LOOKUP(Q147,$E$23:$E$26,$A$23:$A$26)+LOOKUP(Q147,$E$23:$E$26,$D$23:$D$26)*(Q147-LOOKUP(Q147,$E$23:$E$26))/LOOKUP(Q147,$E$23:$E$26,$C$23:$C$26)</f>
        <v>5.12578451564735</v>
      </c>
      <c r="AH147" s="16" t="n">
        <f aca="false">LOOKUP(R147,$E$23:$E$26,$A$23:$A$26)+LOOKUP(R147,$E$23:$E$26,$D$23:$D$26)*(R147-LOOKUP(R147,$E$23:$E$26))/LOOKUP(R147,$E$23:$E$26,$C$23:$C$26)</f>
        <v>5.88951671412</v>
      </c>
      <c r="AI147" s="16" t="n">
        <f aca="false">LOOKUP(S147,$E$23:$E$26,$A$23:$A$26)+LOOKUP(S147,$E$23:$E$26,$D$23:$D$26)*(S147-LOOKUP(S147,$E$23:$E$26))/LOOKUP(S147,$E$23:$E$26,$C$23:$C$26)</f>
        <v>4.70745344863481</v>
      </c>
      <c r="AJ147" s="16" t="n">
        <f aca="false">SUM($T147:T147)</f>
        <v>4.9661777677245</v>
      </c>
      <c r="AK147" s="16" t="n">
        <f aca="false">SUM($T147:U147)</f>
        <v>9.74029230631063</v>
      </c>
      <c r="AL147" s="16" t="n">
        <f aca="false">SUM($T147:V147)</f>
        <v>14.3031423417297</v>
      </c>
      <c r="AM147" s="16" t="n">
        <f aca="false">SUM($T147:W147)</f>
        <v>19.7303970923363</v>
      </c>
      <c r="AN147" s="16" t="n">
        <f aca="false">SUM($T147:X147)</f>
        <v>24.2241384786863</v>
      </c>
      <c r="AO147" s="16" t="n">
        <f aca="false">SUM($T147:Y147)</f>
        <v>29.0127586548154</v>
      </c>
      <c r="AP147" s="16" t="n">
        <f aca="false">SUM($T147:Z147)</f>
        <v>34.8367125806763</v>
      </c>
      <c r="AQ147" s="16" t="n">
        <f aca="false">SUM($T147:AA147)</f>
        <v>38.9025841788647</v>
      </c>
      <c r="AR147" s="16" t="n">
        <f aca="false">SUM($T147:AB147)</f>
        <v>44.5357721386643</v>
      </c>
      <c r="AS147" s="16" t="n">
        <f aca="false">SUM($T147:AC147)</f>
        <v>49.4579484263328</v>
      </c>
      <c r="AT147" s="16" t="n">
        <f aca="false">SUM($T147:AD147)</f>
        <v>53.9679825950698</v>
      </c>
      <c r="AU147" s="16" t="n">
        <f aca="false">SUM($T147:AE147)</f>
        <v>58.0373570910206</v>
      </c>
      <c r="AV147" s="16" t="n">
        <f aca="false">SUM($T147:AF147)</f>
        <v>63.0110940061125</v>
      </c>
      <c r="AW147" s="16" t="n">
        <f aca="false">SUM($T147:AG147)</f>
        <v>68.1368785217599</v>
      </c>
      <c r="AX147" s="16" t="n">
        <f aca="false">SUM($T147:AH147)</f>
        <v>74.0263952358798</v>
      </c>
      <c r="AY147" s="16" t="n">
        <f aca="false">SUM($T147:AI147)</f>
        <v>78.7338486845147</v>
      </c>
      <c r="AZ147" s="16" t="n">
        <f aca="false">MAX(C147-AJ147,0)</f>
        <v>64.8018054485204</v>
      </c>
      <c r="BA147" s="16" t="n">
        <f aca="false">MAX(C147-AK147,0)</f>
        <v>60.0276909099343</v>
      </c>
      <c r="BB147" s="16" t="n">
        <f aca="false">MAX(C147-AL147,0)</f>
        <v>55.4648408745151</v>
      </c>
      <c r="BC147" s="16" t="n">
        <f aca="false">MAX(C147-AM147,0)</f>
        <v>50.0375861239086</v>
      </c>
      <c r="BD147" s="16" t="n">
        <f aca="false">MAX(C147-AN147,0)</f>
        <v>45.5438447375586</v>
      </c>
      <c r="BE147" s="16" t="n">
        <f aca="false">MAX(C147-AO147,0)</f>
        <v>40.7552245614295</v>
      </c>
      <c r="BF147" s="16" t="n">
        <f aca="false">MAX(C147-AP147,0)</f>
        <v>34.9312706355686</v>
      </c>
      <c r="BG147" s="16" t="n">
        <f aca="false">MAX(C147-AQ147,0)</f>
        <v>30.8653990373801</v>
      </c>
      <c r="BH147" s="16" t="n">
        <f aca="false">MAX(C147-AR147,0)</f>
        <v>25.2322110775806</v>
      </c>
      <c r="BI147" s="16" t="n">
        <f aca="false">MAX(C147-AS147,0)</f>
        <v>20.3100347899121</v>
      </c>
      <c r="BJ147" s="16" t="n">
        <f aca="false">MAX(C147-AT147,0)</f>
        <v>15.8000006211751</v>
      </c>
      <c r="BK147" s="16" t="n">
        <f aca="false">MAX(C147-AU147,0)</f>
        <v>11.7306261252242</v>
      </c>
      <c r="BL147" s="16" t="n">
        <f aca="false">MAX(C147-AV147,0)</f>
        <v>6.75688921013238</v>
      </c>
      <c r="BM147" s="16" t="n">
        <f aca="false">MAX(C147-AW147,0)</f>
        <v>1.63110469448502</v>
      </c>
      <c r="BN147" s="16" t="n">
        <f aca="false">MAX(C147-AX147,0)</f>
        <v>0</v>
      </c>
      <c r="BO147" s="16" t="n">
        <f aca="false">MAX(C147-AY147,0)</f>
        <v>0</v>
      </c>
    </row>
    <row r="148" customFormat="false" ht="15" hidden="false" customHeight="false" outlineLevel="0" collapsed="false">
      <c r="A148" s="3" t="n">
        <v>118</v>
      </c>
      <c r="B148" s="15" t="n">
        <f aca="true">RAND()</f>
        <v>0.146558178254171</v>
      </c>
      <c r="C148" s="16" t="n">
        <f aca="false">LOOKUP(B148,$E$12:$E$17,$A$12:$A$17)+LOOKUP(B148,$E$12:$E$17,$D$12:$D$17)*(B148-LOOKUP(B148,$E$12:$E$17))/LOOKUP(B148,$E$12:$E$17,$C$12:$C$17)</f>
        <v>56.551939275139</v>
      </c>
      <c r="D148" s="15" t="n">
        <f aca="true">RAND()</f>
        <v>0.290664621426682</v>
      </c>
      <c r="E148" s="15" t="n">
        <f aca="true">RAND()</f>
        <v>0.158318932537133</v>
      </c>
      <c r="F148" s="15" t="n">
        <f aca="true">RAND()</f>
        <v>0.59961392570928</v>
      </c>
      <c r="G148" s="15" t="n">
        <f aca="true">RAND()</f>
        <v>0.34259461679229</v>
      </c>
      <c r="H148" s="15" t="n">
        <f aca="true">RAND()</f>
        <v>0.68674345305216</v>
      </c>
      <c r="I148" s="15" t="n">
        <f aca="true">RAND()</f>
        <v>0.793071900751105</v>
      </c>
      <c r="J148" s="15" t="n">
        <f aca="true">RAND()</f>
        <v>0.0873705673600598</v>
      </c>
      <c r="K148" s="15" t="n">
        <f aca="true">RAND()</f>
        <v>0.0160286489751943</v>
      </c>
      <c r="L148" s="15" t="n">
        <f aca="true">RAND()</f>
        <v>0.597973021415297</v>
      </c>
      <c r="M148" s="15" t="n">
        <f aca="true">RAND()</f>
        <v>0.765827759572879</v>
      </c>
      <c r="N148" s="15" t="n">
        <f aca="true">RAND()</f>
        <v>0.369369792361485</v>
      </c>
      <c r="O148" s="15" t="n">
        <f aca="true">RAND()</f>
        <v>0.233681055541796</v>
      </c>
      <c r="P148" s="15" t="n">
        <f aca="true">RAND()</f>
        <v>0.150123698086914</v>
      </c>
      <c r="Q148" s="15" t="n">
        <f aca="true">RAND()</f>
        <v>0.970526026949197</v>
      </c>
      <c r="R148" s="15" t="n">
        <f aca="true">RAND()</f>
        <v>0.318559217388653</v>
      </c>
      <c r="S148" s="15" t="n">
        <f aca="true">RAND()</f>
        <v>0.157109207100962</v>
      </c>
      <c r="T148" s="16" t="n">
        <f aca="false">LOOKUP(D148,$E$23:$E$26,$A$23:$A$26)+LOOKUP(D148,$E$23:$E$26,$D$23:$D$26)*(D148-LOOKUP(D148,$E$23:$E$26))/LOOKUP(D148,$E$23:$E$26,$C$23:$C$26)</f>
        <v>4.48444103571114</v>
      </c>
      <c r="U148" s="16" t="n">
        <f aca="false">LOOKUP(E148,$E$23:$E$26,$A$23:$A$26)+LOOKUP(E148,$E$23:$E$26,$D$23:$D$26)*(E148-LOOKUP(E148,$E$23:$E$26))/LOOKUP(E148,$E$23:$E$26,$C$23:$C$26)</f>
        <v>4.26386488756189</v>
      </c>
      <c r="V148" s="16" t="n">
        <f aca="false">LOOKUP(F148,$E$23:$E$26,$A$23:$A$26)+LOOKUP(F148,$E$23:$E$26,$D$23:$D$26)*(F148-LOOKUP(F148,$E$23:$E$26))/LOOKUP(F148,$E$23:$E$26,$C$23:$C$26)</f>
        <v>4.8745174071366</v>
      </c>
      <c r="W148" s="16" t="n">
        <f aca="false">LOOKUP(G148,$E$23:$E$26,$A$23:$A$26)+LOOKUP(G148,$E$23:$E$26,$D$23:$D$26)*(G148-LOOKUP(G148,$E$23:$E$26))/LOOKUP(G148,$E$23:$E$26,$C$23:$C$26)</f>
        <v>4.55324327099036</v>
      </c>
      <c r="X148" s="16" t="n">
        <f aca="false">LOOKUP(H148,$E$23:$E$26,$A$23:$A$26)+LOOKUP(H148,$E$23:$E$26,$D$23:$D$26)*(H148-LOOKUP(H148,$E$23:$E$26))/LOOKUP(H148,$E$23:$E$26,$C$23:$C$26)</f>
        <v>4.9834293163152</v>
      </c>
      <c r="Y148" s="16" t="n">
        <f aca="false">LOOKUP(I148,$E$23:$E$26,$A$23:$A$26)+LOOKUP(I148,$E$23:$E$26,$D$23:$D$26)*(I148-LOOKUP(I148,$E$23:$E$26))/LOOKUP(I148,$E$23:$E$26,$C$23:$C$26)</f>
        <v>5.23267975187776</v>
      </c>
      <c r="Z148" s="16" t="n">
        <f aca="false">LOOKUP(J148,$E$23:$E$26,$A$23:$A$26)+LOOKUP(J148,$E$23:$E$26,$D$23:$D$26)*(J148-LOOKUP(J148,$E$23:$E$26))/LOOKUP(J148,$E$23:$E$26,$C$23:$C$26)</f>
        <v>4.14561761226677</v>
      </c>
      <c r="AA148" s="16" t="n">
        <f aca="false">LOOKUP(K148,$E$23:$E$26,$A$23:$A$26)+LOOKUP(K148,$E$23:$E$26,$D$23:$D$26)*(K148-LOOKUP(K148,$E$23:$E$26))/LOOKUP(K148,$E$23:$E$26,$C$23:$C$26)</f>
        <v>4.02671441495866</v>
      </c>
      <c r="AB148" s="16" t="n">
        <f aca="false">LOOKUP(L148,$E$23:$E$26,$A$23:$A$26)+LOOKUP(L148,$E$23:$E$26,$D$23:$D$26)*(L148-LOOKUP(L148,$E$23:$E$26))/LOOKUP(L148,$E$23:$E$26,$C$23:$C$26)</f>
        <v>4.87246627676912</v>
      </c>
      <c r="AC148" s="16" t="n">
        <f aca="false">LOOKUP(M148,$E$23:$E$26,$A$23:$A$26)+LOOKUP(M148,$E$23:$E$26,$D$23:$D$26)*(M148-LOOKUP(M148,$E$23:$E$26))/LOOKUP(M148,$E$23:$E$26,$C$23:$C$26)</f>
        <v>5.1645693989322</v>
      </c>
      <c r="AD148" s="16" t="n">
        <f aca="false">LOOKUP(N148,$E$23:$E$26,$A$23:$A$26)+LOOKUP(N148,$E$23:$E$26,$D$23:$D$26)*(N148-LOOKUP(N148,$E$23:$E$26))/LOOKUP(N148,$E$23:$E$26,$C$23:$C$26)</f>
        <v>4.58671224045186</v>
      </c>
      <c r="AE148" s="16" t="n">
        <f aca="false">LOOKUP(O148,$E$23:$E$26,$A$23:$A$26)+LOOKUP(O148,$E$23:$E$26,$D$23:$D$26)*(O148-LOOKUP(O148,$E$23:$E$26))/LOOKUP(O148,$E$23:$E$26,$C$23:$C$26)</f>
        <v>4.38946842590299</v>
      </c>
      <c r="AF148" s="16" t="n">
        <f aca="false">LOOKUP(P148,$E$23:$E$26,$A$23:$A$26)+LOOKUP(P148,$E$23:$E$26,$D$23:$D$26)*(P148-LOOKUP(P148,$E$23:$E$26))/LOOKUP(P148,$E$23:$E$26,$C$23:$C$26)</f>
        <v>4.25020616347819</v>
      </c>
      <c r="AG148" s="16" t="n">
        <f aca="false">LOOKUP(Q148,$E$23:$E$26,$A$23:$A$26)+LOOKUP(Q148,$E$23:$E$26,$D$23:$D$26)*(Q148-LOOKUP(Q148,$E$23:$E$26))/LOOKUP(Q148,$E$23:$E$26,$C$23:$C$26)</f>
        <v>5.85263013474599</v>
      </c>
      <c r="AH148" s="16" t="n">
        <f aca="false">LOOKUP(R148,$E$23:$E$26,$A$23:$A$26)+LOOKUP(R148,$E$23:$E$26,$D$23:$D$26)*(R148-LOOKUP(R148,$E$23:$E$26))/LOOKUP(R148,$E$23:$E$26,$C$23:$C$26)</f>
        <v>4.52319902173582</v>
      </c>
      <c r="AI148" s="16" t="n">
        <f aca="false">LOOKUP(S148,$E$23:$E$26,$A$23:$A$26)+LOOKUP(S148,$E$23:$E$26,$D$23:$D$26)*(S148-LOOKUP(S148,$E$23:$E$26))/LOOKUP(S148,$E$23:$E$26,$C$23:$C$26)</f>
        <v>4.2618486785016</v>
      </c>
      <c r="AJ148" s="16" t="n">
        <f aca="false">SUM($T148:T148)</f>
        <v>4.48444103571114</v>
      </c>
      <c r="AK148" s="16" t="n">
        <f aca="false">SUM($T148:U148)</f>
        <v>8.74830592327302</v>
      </c>
      <c r="AL148" s="16" t="n">
        <f aca="false">SUM($T148:V148)</f>
        <v>13.6228233304096</v>
      </c>
      <c r="AM148" s="16" t="n">
        <f aca="false">SUM($T148:W148)</f>
        <v>18.1760666014</v>
      </c>
      <c r="AN148" s="16" t="n">
        <f aca="false">SUM($T148:X148)</f>
        <v>23.1594959177152</v>
      </c>
      <c r="AO148" s="16" t="n">
        <f aca="false">SUM($T148:Y148)</f>
        <v>28.3921756695929</v>
      </c>
      <c r="AP148" s="16" t="n">
        <f aca="false">SUM($T148:Z148)</f>
        <v>32.5377932818597</v>
      </c>
      <c r="AQ148" s="16" t="n">
        <f aca="false">SUM($T148:AA148)</f>
        <v>36.5645076968184</v>
      </c>
      <c r="AR148" s="16" t="n">
        <f aca="false">SUM($T148:AB148)</f>
        <v>41.4369739735875</v>
      </c>
      <c r="AS148" s="16" t="n">
        <f aca="false">SUM($T148:AC148)</f>
        <v>46.6015433725197</v>
      </c>
      <c r="AT148" s="16" t="n">
        <f aca="false">SUM($T148:AD148)</f>
        <v>51.1882556129715</v>
      </c>
      <c r="AU148" s="16" t="n">
        <f aca="false">SUM($T148:AE148)</f>
        <v>55.5777240388745</v>
      </c>
      <c r="AV148" s="16" t="n">
        <f aca="false">SUM($T148:AF148)</f>
        <v>59.8279302023527</v>
      </c>
      <c r="AW148" s="16" t="n">
        <f aca="false">SUM($T148:AG148)</f>
        <v>65.6805603370987</v>
      </c>
      <c r="AX148" s="16" t="n">
        <f aca="false">SUM($T148:AH148)</f>
        <v>70.2037593588345</v>
      </c>
      <c r="AY148" s="16" t="n">
        <f aca="false">SUM($T148:AI148)</f>
        <v>74.4656080373361</v>
      </c>
      <c r="AZ148" s="16" t="n">
        <f aca="false">MAX(C148-AJ148,0)</f>
        <v>52.0674982394279</v>
      </c>
      <c r="BA148" s="16" t="n">
        <f aca="false">MAX(C148-AK148,0)</f>
        <v>47.803633351866</v>
      </c>
      <c r="BB148" s="16" t="n">
        <f aca="false">MAX(C148-AL148,0)</f>
        <v>42.9291159447294</v>
      </c>
      <c r="BC148" s="16" t="n">
        <f aca="false">MAX(C148-AM148,0)</f>
        <v>38.375872673739</v>
      </c>
      <c r="BD148" s="16" t="n">
        <f aca="false">MAX(C148-AN148,0)</f>
        <v>33.3924433574238</v>
      </c>
      <c r="BE148" s="16" t="n">
        <f aca="false">MAX(C148-AO148,0)</f>
        <v>28.1597636055461</v>
      </c>
      <c r="BF148" s="16" t="n">
        <f aca="false">MAX(C148-AP148,0)</f>
        <v>24.0141459932793</v>
      </c>
      <c r="BG148" s="16" t="n">
        <f aca="false">MAX(C148-AQ148,0)</f>
        <v>19.9874315783207</v>
      </c>
      <c r="BH148" s="16" t="n">
        <f aca="false">MAX(C148-AR148,0)</f>
        <v>15.1149653015515</v>
      </c>
      <c r="BI148" s="16" t="n">
        <f aca="false">MAX(C148-AS148,0)</f>
        <v>9.95039590261934</v>
      </c>
      <c r="BJ148" s="16" t="n">
        <f aca="false">MAX(C148-AT148,0)</f>
        <v>5.36368366216748</v>
      </c>
      <c r="BK148" s="16" t="n">
        <f aca="false">MAX(C148-AU148,0)</f>
        <v>0.974215236264492</v>
      </c>
      <c r="BL148" s="16" t="n">
        <f aca="false">MAX(C148-AV148,0)</f>
        <v>0</v>
      </c>
      <c r="BM148" s="16" t="n">
        <f aca="false">MAX(C148-AW148,0)</f>
        <v>0</v>
      </c>
      <c r="BN148" s="16" t="n">
        <f aca="false">MAX(C148-AX148,0)</f>
        <v>0</v>
      </c>
      <c r="BO148" s="16" t="n">
        <f aca="false">MAX(C148-AY148,0)</f>
        <v>0</v>
      </c>
    </row>
    <row r="149" customFormat="false" ht="15" hidden="false" customHeight="false" outlineLevel="0" collapsed="false">
      <c r="A149" s="3" t="n">
        <v>119</v>
      </c>
      <c r="B149" s="15" t="n">
        <f aca="true">RAND()</f>
        <v>0.516852612163256</v>
      </c>
      <c r="C149" s="16" t="n">
        <f aca="false">LOOKUP(B149,$E$12:$E$17,$A$12:$A$17)+LOOKUP(B149,$E$12:$E$17,$D$12:$D$17)*(B149-LOOKUP(B149,$E$12:$E$17))/LOOKUP(B149,$E$12:$E$17,$C$12:$C$17)</f>
        <v>64.4475435360543</v>
      </c>
      <c r="D149" s="15" t="n">
        <f aca="true">RAND()</f>
        <v>0.607079404055682</v>
      </c>
      <c r="E149" s="15" t="n">
        <f aca="true">RAND()</f>
        <v>0.708980234215471</v>
      </c>
      <c r="F149" s="15" t="n">
        <f aca="true">RAND()</f>
        <v>0.226208128246851</v>
      </c>
      <c r="G149" s="15" t="n">
        <f aca="true">RAND()</f>
        <v>0.671110944009018</v>
      </c>
      <c r="H149" s="15" t="n">
        <f aca="true">RAND()</f>
        <v>0.563184022326032</v>
      </c>
      <c r="I149" s="15" t="n">
        <f aca="true">RAND()</f>
        <v>0.276031483061967</v>
      </c>
      <c r="J149" s="15" t="n">
        <f aca="true">RAND()</f>
        <v>0.97517268127469</v>
      </c>
      <c r="K149" s="15" t="n">
        <f aca="true">RAND()</f>
        <v>0.16137192343964</v>
      </c>
      <c r="L149" s="15" t="n">
        <f aca="true">RAND()</f>
        <v>0.940493755812867</v>
      </c>
      <c r="M149" s="15" t="n">
        <f aca="true">RAND()</f>
        <v>0.82159530113044</v>
      </c>
      <c r="N149" s="15" t="n">
        <f aca="true">RAND()</f>
        <v>0.138895611124589</v>
      </c>
      <c r="O149" s="15" t="n">
        <f aca="true">RAND()</f>
        <v>0.84448628236983</v>
      </c>
      <c r="P149" s="15" t="n">
        <f aca="true">RAND()</f>
        <v>0.545697295021747</v>
      </c>
      <c r="Q149" s="15" t="n">
        <f aca="true">RAND()</f>
        <v>0.434527821702227</v>
      </c>
      <c r="R149" s="15" t="n">
        <f aca="true">RAND()</f>
        <v>0.292587893567278</v>
      </c>
      <c r="S149" s="15" t="n">
        <f aca="true">RAND()</f>
        <v>0.591426432706337</v>
      </c>
      <c r="T149" s="16" t="n">
        <f aca="false">LOOKUP(D149,$E$23:$E$26,$A$23:$A$26)+LOOKUP(D149,$E$23:$E$26,$D$23:$D$26)*(D149-LOOKUP(D149,$E$23:$E$26))/LOOKUP(D149,$E$23:$E$26,$C$23:$C$26)</f>
        <v>4.8838492550696</v>
      </c>
      <c r="U149" s="16" t="n">
        <f aca="false">LOOKUP(E149,$E$23:$E$26,$A$23:$A$26)+LOOKUP(E149,$E$23:$E$26,$D$23:$D$26)*(E149-LOOKUP(E149,$E$23:$E$26))/LOOKUP(E149,$E$23:$E$26,$C$23:$C$26)</f>
        <v>5.02245058553868</v>
      </c>
      <c r="V149" s="16" t="n">
        <f aca="false">LOOKUP(F149,$E$23:$E$26,$A$23:$A$26)+LOOKUP(F149,$E$23:$E$26,$D$23:$D$26)*(F149-LOOKUP(F149,$E$23:$E$26))/LOOKUP(F149,$E$23:$E$26,$C$23:$C$26)</f>
        <v>4.37701354707809</v>
      </c>
      <c r="W149" s="16" t="n">
        <f aca="false">LOOKUP(G149,$E$23:$E$26,$A$23:$A$26)+LOOKUP(G149,$E$23:$E$26,$D$23:$D$26)*(G149-LOOKUP(G149,$E$23:$E$26))/LOOKUP(G149,$E$23:$E$26,$C$23:$C$26)</f>
        <v>4.96388868001127</v>
      </c>
      <c r="X149" s="16" t="n">
        <f aca="false">LOOKUP(H149,$E$23:$E$26,$A$23:$A$26)+LOOKUP(H149,$E$23:$E$26,$D$23:$D$26)*(H149-LOOKUP(H149,$E$23:$E$26))/LOOKUP(H149,$E$23:$E$26,$C$23:$C$26)</f>
        <v>4.82898002790754</v>
      </c>
      <c r="Y149" s="16" t="n">
        <f aca="false">LOOKUP(I149,$E$23:$E$26,$A$23:$A$26)+LOOKUP(I149,$E$23:$E$26,$D$23:$D$26)*(I149-LOOKUP(I149,$E$23:$E$26))/LOOKUP(I149,$E$23:$E$26,$C$23:$C$26)</f>
        <v>4.46005247176995</v>
      </c>
      <c r="Z149" s="16" t="n">
        <f aca="false">LOOKUP(J149,$E$23:$E$26,$A$23:$A$26)+LOOKUP(J149,$E$23:$E$26,$D$23:$D$26)*(J149-LOOKUP(J149,$E$23:$E$26))/LOOKUP(J149,$E$23:$E$26,$C$23:$C$26)</f>
        <v>5.87586340637345</v>
      </c>
      <c r="AA149" s="16" t="n">
        <f aca="false">LOOKUP(K149,$E$23:$E$26,$A$23:$A$26)+LOOKUP(K149,$E$23:$E$26,$D$23:$D$26)*(K149-LOOKUP(K149,$E$23:$E$26))/LOOKUP(K149,$E$23:$E$26,$C$23:$C$26)</f>
        <v>4.26895320573273</v>
      </c>
      <c r="AB149" s="16" t="n">
        <f aca="false">LOOKUP(L149,$E$23:$E$26,$A$23:$A$26)+LOOKUP(L149,$E$23:$E$26,$D$23:$D$26)*(L149-LOOKUP(L149,$E$23:$E$26))/LOOKUP(L149,$E$23:$E$26,$C$23:$C$26)</f>
        <v>5.70246877906434</v>
      </c>
      <c r="AC149" s="16" t="n">
        <f aca="false">LOOKUP(M149,$E$23:$E$26,$A$23:$A$26)+LOOKUP(M149,$E$23:$E$26,$D$23:$D$26)*(M149-LOOKUP(M149,$E$23:$E$26))/LOOKUP(M149,$E$23:$E$26,$C$23:$C$26)</f>
        <v>5.3039882528261</v>
      </c>
      <c r="AD149" s="16" t="n">
        <f aca="false">LOOKUP(N149,$E$23:$E$26,$A$23:$A$26)+LOOKUP(N149,$E$23:$E$26,$D$23:$D$26)*(N149-LOOKUP(N149,$E$23:$E$26))/LOOKUP(N149,$E$23:$E$26,$C$23:$C$26)</f>
        <v>4.23149268520765</v>
      </c>
      <c r="AE149" s="16" t="n">
        <f aca="false">LOOKUP(O149,$E$23:$E$26,$A$23:$A$26)+LOOKUP(O149,$E$23:$E$26,$D$23:$D$26)*(O149-LOOKUP(O149,$E$23:$E$26))/LOOKUP(O149,$E$23:$E$26,$C$23:$C$26)</f>
        <v>5.36121570592458</v>
      </c>
      <c r="AF149" s="16" t="n">
        <f aca="false">LOOKUP(P149,$E$23:$E$26,$A$23:$A$26)+LOOKUP(P149,$E$23:$E$26,$D$23:$D$26)*(P149-LOOKUP(P149,$E$23:$E$26))/LOOKUP(P149,$E$23:$E$26,$C$23:$C$26)</f>
        <v>4.80712161877718</v>
      </c>
      <c r="AG149" s="16" t="n">
        <f aca="false">LOOKUP(Q149,$E$23:$E$26,$A$23:$A$26)+LOOKUP(Q149,$E$23:$E$26,$D$23:$D$26)*(Q149-LOOKUP(Q149,$E$23:$E$26))/LOOKUP(Q149,$E$23:$E$26,$C$23:$C$26)</f>
        <v>4.66815977712778</v>
      </c>
      <c r="AH149" s="16" t="n">
        <f aca="false">LOOKUP(R149,$E$23:$E$26,$A$23:$A$26)+LOOKUP(R149,$E$23:$E$26,$D$23:$D$26)*(R149-LOOKUP(R149,$E$23:$E$26))/LOOKUP(R149,$E$23:$E$26,$C$23:$C$26)</f>
        <v>4.4876464892788</v>
      </c>
      <c r="AI149" s="16" t="n">
        <f aca="false">LOOKUP(S149,$E$23:$E$26,$A$23:$A$26)+LOOKUP(S149,$E$23:$E$26,$D$23:$D$26)*(S149-LOOKUP(S149,$E$23:$E$26))/LOOKUP(S149,$E$23:$E$26,$C$23:$C$26)</f>
        <v>4.86428304088292</v>
      </c>
      <c r="AJ149" s="16" t="n">
        <f aca="false">SUM($T149:T149)</f>
        <v>4.8838492550696</v>
      </c>
      <c r="AK149" s="16" t="n">
        <f aca="false">SUM($T149:U149)</f>
        <v>9.90629984060828</v>
      </c>
      <c r="AL149" s="16" t="n">
        <f aca="false">SUM($T149:V149)</f>
        <v>14.2833133876864</v>
      </c>
      <c r="AM149" s="16" t="n">
        <f aca="false">SUM($T149:W149)</f>
        <v>19.2472020676976</v>
      </c>
      <c r="AN149" s="16" t="n">
        <f aca="false">SUM($T149:X149)</f>
        <v>24.0761820956052</v>
      </c>
      <c r="AO149" s="16" t="n">
        <f aca="false">SUM($T149:Y149)</f>
        <v>28.5362345673751</v>
      </c>
      <c r="AP149" s="16" t="n">
        <f aca="false">SUM($T149:Z149)</f>
        <v>34.4120979737486</v>
      </c>
      <c r="AQ149" s="16" t="n">
        <f aca="false">SUM($T149:AA149)</f>
        <v>38.6810511794813</v>
      </c>
      <c r="AR149" s="16" t="n">
        <f aca="false">SUM($T149:AB149)</f>
        <v>44.3835199585457</v>
      </c>
      <c r="AS149" s="16" t="n">
        <f aca="false">SUM($T149:AC149)</f>
        <v>49.6875082113718</v>
      </c>
      <c r="AT149" s="16" t="n">
        <f aca="false">SUM($T149:AD149)</f>
        <v>53.9190008965794</v>
      </c>
      <c r="AU149" s="16" t="n">
        <f aca="false">SUM($T149:AE149)</f>
        <v>59.280216602504</v>
      </c>
      <c r="AV149" s="16" t="n">
        <f aca="false">SUM($T149:AF149)</f>
        <v>64.0873382212812</v>
      </c>
      <c r="AW149" s="16" t="n">
        <f aca="false">SUM($T149:AG149)</f>
        <v>68.7554979984089</v>
      </c>
      <c r="AX149" s="16" t="n">
        <f aca="false">SUM($T149:AH149)</f>
        <v>73.2431444876877</v>
      </c>
      <c r="AY149" s="16" t="n">
        <f aca="false">SUM($T149:AI149)</f>
        <v>78.1074275285707</v>
      </c>
      <c r="AZ149" s="16" t="n">
        <f aca="false">MAX(C149-AJ149,0)</f>
        <v>59.5636942809847</v>
      </c>
      <c r="BA149" s="16" t="n">
        <f aca="false">MAX(C149-AK149,0)</f>
        <v>54.541243695446</v>
      </c>
      <c r="BB149" s="16" t="n">
        <f aca="false">MAX(C149-AL149,0)</f>
        <v>50.1642301483679</v>
      </c>
      <c r="BC149" s="16" t="n">
        <f aca="false">MAX(C149-AM149,0)</f>
        <v>45.2003414683566</v>
      </c>
      <c r="BD149" s="16" t="n">
        <f aca="false">MAX(C149-AN149,0)</f>
        <v>40.3713614404491</v>
      </c>
      <c r="BE149" s="16" t="n">
        <f aca="false">MAX(C149-AO149,0)</f>
        <v>35.9113089686792</v>
      </c>
      <c r="BF149" s="16" t="n">
        <f aca="false">MAX(C149-AP149,0)</f>
        <v>30.0354455623057</v>
      </c>
      <c r="BG149" s="16" t="n">
        <f aca="false">MAX(C149-AQ149,0)</f>
        <v>25.766492356573</v>
      </c>
      <c r="BH149" s="16" t="n">
        <f aca="false">MAX(C149-AR149,0)</f>
        <v>20.0640235775086</v>
      </c>
      <c r="BI149" s="16" t="n">
        <f aca="false">MAX(C149-AS149,0)</f>
        <v>14.7600353246825</v>
      </c>
      <c r="BJ149" s="16" t="n">
        <f aca="false">MAX(C149-AT149,0)</f>
        <v>10.5285426394749</v>
      </c>
      <c r="BK149" s="16" t="n">
        <f aca="false">MAX(C149-AU149,0)</f>
        <v>5.1673269335503</v>
      </c>
      <c r="BL149" s="16" t="n">
        <f aca="false">MAX(C149-AV149,0)</f>
        <v>0.360205314773111</v>
      </c>
      <c r="BM149" s="16" t="n">
        <f aca="false">MAX(C149-AW149,0)</f>
        <v>0</v>
      </c>
      <c r="BN149" s="16" t="n">
        <f aca="false">MAX(C149-AX149,0)</f>
        <v>0</v>
      </c>
      <c r="BO149" s="16" t="n">
        <f aca="false">MAX(C149-AY149,0)</f>
        <v>0</v>
      </c>
    </row>
    <row r="150" customFormat="false" ht="15" hidden="false" customHeight="false" outlineLevel="0" collapsed="false">
      <c r="A150" s="3" t="n">
        <v>120</v>
      </c>
      <c r="B150" s="15" t="n">
        <f aca="true">RAND()</f>
        <v>0.379952329512617</v>
      </c>
      <c r="C150" s="16" t="n">
        <f aca="false">LOOKUP(B150,$E$12:$E$17,$A$12:$A$17)+LOOKUP(B150,$E$12:$E$17,$D$12:$D$17)*(B150-LOOKUP(B150,$E$12:$E$17))/LOOKUP(B150,$E$12:$E$17,$C$12:$C$17)</f>
        <v>62.1658721585436</v>
      </c>
      <c r="D150" s="15" t="n">
        <f aca="true">RAND()</f>
        <v>0.351618507667494</v>
      </c>
      <c r="E150" s="15" t="n">
        <f aca="true">RAND()</f>
        <v>0.875650561509062</v>
      </c>
      <c r="F150" s="15" t="n">
        <f aca="true">RAND()</f>
        <v>0.21036487068778</v>
      </c>
      <c r="G150" s="15" t="n">
        <f aca="true">RAND()</f>
        <v>0.15143534073933</v>
      </c>
      <c r="H150" s="15" t="n">
        <f aca="true">RAND()</f>
        <v>0.349558610806269</v>
      </c>
      <c r="I150" s="15" t="n">
        <f aca="true">RAND()</f>
        <v>0.794443435420655</v>
      </c>
      <c r="J150" s="15" t="n">
        <f aca="true">RAND()</f>
        <v>0.724519974628025</v>
      </c>
      <c r="K150" s="15" t="n">
        <f aca="true">RAND()</f>
        <v>0.562558153639867</v>
      </c>
      <c r="L150" s="15" t="n">
        <f aca="true">RAND()</f>
        <v>0.0211206770430903</v>
      </c>
      <c r="M150" s="15" t="n">
        <f aca="true">RAND()</f>
        <v>0.0870647869161914</v>
      </c>
      <c r="N150" s="15" t="n">
        <f aca="true">RAND()</f>
        <v>0.902909816883473</v>
      </c>
      <c r="O150" s="15" t="n">
        <f aca="true">RAND()</f>
        <v>0.960241237856539</v>
      </c>
      <c r="P150" s="15" t="n">
        <f aca="true">RAND()</f>
        <v>0.504541198571811</v>
      </c>
      <c r="Q150" s="15" t="n">
        <f aca="true">RAND()</f>
        <v>0.270593637248408</v>
      </c>
      <c r="R150" s="15" t="n">
        <f aca="true">RAND()</f>
        <v>0.866469732921534</v>
      </c>
      <c r="S150" s="15" t="n">
        <f aca="true">RAND()</f>
        <v>0.57993012722912</v>
      </c>
      <c r="T150" s="16" t="n">
        <f aca="false">LOOKUP(D150,$E$23:$E$26,$A$23:$A$26)+LOOKUP(D150,$E$23:$E$26,$D$23:$D$26)*(D150-LOOKUP(D150,$E$23:$E$26))/LOOKUP(D150,$E$23:$E$26,$C$23:$C$26)</f>
        <v>4.56452313458437</v>
      </c>
      <c r="U150" s="16" t="n">
        <f aca="false">LOOKUP(E150,$E$23:$E$26,$A$23:$A$26)+LOOKUP(E150,$E$23:$E$26,$D$23:$D$26)*(E150-LOOKUP(E150,$E$23:$E$26))/LOOKUP(E150,$E$23:$E$26,$C$23:$C$26)</f>
        <v>5.43912640377266</v>
      </c>
      <c r="V150" s="16" t="n">
        <f aca="false">LOOKUP(F150,$E$23:$E$26,$A$23:$A$26)+LOOKUP(F150,$E$23:$E$26,$D$23:$D$26)*(F150-LOOKUP(F150,$E$23:$E$26))/LOOKUP(F150,$E$23:$E$26,$C$23:$C$26)</f>
        <v>4.35060811781297</v>
      </c>
      <c r="W150" s="16" t="n">
        <f aca="false">LOOKUP(G150,$E$23:$E$26,$A$23:$A$26)+LOOKUP(G150,$E$23:$E$26,$D$23:$D$26)*(G150-LOOKUP(G150,$E$23:$E$26))/LOOKUP(G150,$E$23:$E$26,$C$23:$C$26)</f>
        <v>4.25239223456555</v>
      </c>
      <c r="X150" s="16" t="n">
        <f aca="false">LOOKUP(H150,$E$23:$E$26,$A$23:$A$26)+LOOKUP(H150,$E$23:$E$26,$D$23:$D$26)*(H150-LOOKUP(H150,$E$23:$E$26))/LOOKUP(H150,$E$23:$E$26,$C$23:$C$26)</f>
        <v>4.56194826350784</v>
      </c>
      <c r="Y150" s="16" t="n">
        <f aca="false">LOOKUP(I150,$E$23:$E$26,$A$23:$A$26)+LOOKUP(I150,$E$23:$E$26,$D$23:$D$26)*(I150-LOOKUP(I150,$E$23:$E$26))/LOOKUP(I150,$E$23:$E$26,$C$23:$C$26)</f>
        <v>5.23610858855164</v>
      </c>
      <c r="Z150" s="16" t="n">
        <f aca="false">LOOKUP(J150,$E$23:$E$26,$A$23:$A$26)+LOOKUP(J150,$E$23:$E$26,$D$23:$D$26)*(J150-LOOKUP(J150,$E$23:$E$26))/LOOKUP(J150,$E$23:$E$26,$C$23:$C$26)</f>
        <v>5.06129993657006</v>
      </c>
      <c r="AA150" s="16" t="n">
        <f aca="false">LOOKUP(K150,$E$23:$E$26,$A$23:$A$26)+LOOKUP(K150,$E$23:$E$26,$D$23:$D$26)*(K150-LOOKUP(K150,$E$23:$E$26))/LOOKUP(K150,$E$23:$E$26,$C$23:$C$26)</f>
        <v>4.82819769204983</v>
      </c>
      <c r="AB150" s="16" t="n">
        <f aca="false">LOOKUP(L150,$E$23:$E$26,$A$23:$A$26)+LOOKUP(L150,$E$23:$E$26,$D$23:$D$26)*(L150-LOOKUP(L150,$E$23:$E$26))/LOOKUP(L150,$E$23:$E$26,$C$23:$C$26)</f>
        <v>4.03520112840515</v>
      </c>
      <c r="AC150" s="16" t="n">
        <f aca="false">LOOKUP(M150,$E$23:$E$26,$A$23:$A$26)+LOOKUP(M150,$E$23:$E$26,$D$23:$D$26)*(M150-LOOKUP(M150,$E$23:$E$26))/LOOKUP(M150,$E$23:$E$26,$C$23:$C$26)</f>
        <v>4.14510797819365</v>
      </c>
      <c r="AD150" s="16" t="n">
        <f aca="false">LOOKUP(N150,$E$23:$E$26,$A$23:$A$26)+LOOKUP(N150,$E$23:$E$26,$D$23:$D$26)*(N150-LOOKUP(N150,$E$23:$E$26))/LOOKUP(N150,$E$23:$E$26,$C$23:$C$26)</f>
        <v>5.51454908441736</v>
      </c>
      <c r="AE150" s="16" t="n">
        <f aca="false">LOOKUP(O150,$E$23:$E$26,$A$23:$A$26)+LOOKUP(O150,$E$23:$E$26,$D$23:$D$26)*(O150-LOOKUP(O150,$E$23:$E$26))/LOOKUP(O150,$E$23:$E$26,$C$23:$C$26)</f>
        <v>5.8012061892827</v>
      </c>
      <c r="AF150" s="16" t="n">
        <f aca="false">LOOKUP(P150,$E$23:$E$26,$A$23:$A$26)+LOOKUP(P150,$E$23:$E$26,$D$23:$D$26)*(P150-LOOKUP(P150,$E$23:$E$26))/LOOKUP(P150,$E$23:$E$26,$C$23:$C$26)</f>
        <v>4.75567649821476</v>
      </c>
      <c r="AG150" s="16" t="n">
        <f aca="false">LOOKUP(Q150,$E$23:$E$26,$A$23:$A$26)+LOOKUP(Q150,$E$23:$E$26,$D$23:$D$26)*(Q150-LOOKUP(Q150,$E$23:$E$26))/LOOKUP(Q150,$E$23:$E$26,$C$23:$C$26)</f>
        <v>4.45098939541401</v>
      </c>
      <c r="AH150" s="16" t="n">
        <f aca="false">LOOKUP(R150,$E$23:$E$26,$A$23:$A$26)+LOOKUP(R150,$E$23:$E$26,$D$23:$D$26)*(R150-LOOKUP(R150,$E$23:$E$26))/LOOKUP(R150,$E$23:$E$26,$C$23:$C$26)</f>
        <v>5.41617433230384</v>
      </c>
      <c r="AI150" s="16" t="n">
        <f aca="false">LOOKUP(S150,$E$23:$E$26,$A$23:$A$26)+LOOKUP(S150,$E$23:$E$26,$D$23:$D$26)*(S150-LOOKUP(S150,$E$23:$E$26))/LOOKUP(S150,$E$23:$E$26,$C$23:$C$26)</f>
        <v>4.8499126590364</v>
      </c>
      <c r="AJ150" s="16" t="n">
        <f aca="false">SUM($T150:T150)</f>
        <v>4.56452313458437</v>
      </c>
      <c r="AK150" s="16" t="n">
        <f aca="false">SUM($T150:U150)</f>
        <v>10.003649538357</v>
      </c>
      <c r="AL150" s="16" t="n">
        <f aca="false">SUM($T150:V150)</f>
        <v>14.35425765617</v>
      </c>
      <c r="AM150" s="16" t="n">
        <f aca="false">SUM($T150:W150)</f>
        <v>18.6066498907355</v>
      </c>
      <c r="AN150" s="16" t="n">
        <f aca="false">SUM($T150:X150)</f>
        <v>23.1685981542434</v>
      </c>
      <c r="AO150" s="16" t="n">
        <f aca="false">SUM($T150:Y150)</f>
        <v>28.404706742795</v>
      </c>
      <c r="AP150" s="16" t="n">
        <f aca="false">SUM($T150:Z150)</f>
        <v>33.4660066793651</v>
      </c>
      <c r="AQ150" s="16" t="n">
        <f aca="false">SUM($T150:AA150)</f>
        <v>38.2942043714149</v>
      </c>
      <c r="AR150" s="16" t="n">
        <f aca="false">SUM($T150:AB150)</f>
        <v>42.3294054998201</v>
      </c>
      <c r="AS150" s="16" t="n">
        <f aca="false">SUM($T150:AC150)</f>
        <v>46.4745134780137</v>
      </c>
      <c r="AT150" s="16" t="n">
        <f aca="false">SUM($T150:AD150)</f>
        <v>51.9890625624311</v>
      </c>
      <c r="AU150" s="16" t="n">
        <f aca="false">SUM($T150:AE150)</f>
        <v>57.7902687517138</v>
      </c>
      <c r="AV150" s="16" t="n">
        <f aca="false">SUM($T150:AF150)</f>
        <v>62.5459452499285</v>
      </c>
      <c r="AW150" s="16" t="n">
        <f aca="false">SUM($T150:AG150)</f>
        <v>66.9969346453426</v>
      </c>
      <c r="AX150" s="16" t="n">
        <f aca="false">SUM($T150:AH150)</f>
        <v>72.4131089776464</v>
      </c>
      <c r="AY150" s="16" t="n">
        <f aca="false">SUM($T150:AI150)</f>
        <v>77.2630216366828</v>
      </c>
      <c r="AZ150" s="16" t="n">
        <f aca="false">MAX(C150-AJ150,0)</f>
        <v>57.6013490239593</v>
      </c>
      <c r="BA150" s="16" t="n">
        <f aca="false">MAX(C150-AK150,0)</f>
        <v>52.1622226201866</v>
      </c>
      <c r="BB150" s="16" t="n">
        <f aca="false">MAX(C150-AL150,0)</f>
        <v>47.8116145023736</v>
      </c>
      <c r="BC150" s="16" t="n">
        <f aca="false">MAX(C150-AM150,0)</f>
        <v>43.5592222678081</v>
      </c>
      <c r="BD150" s="16" t="n">
        <f aca="false">MAX(C150-AN150,0)</f>
        <v>38.9972740043002</v>
      </c>
      <c r="BE150" s="16" t="n">
        <f aca="false">MAX(C150-AO150,0)</f>
        <v>33.7611654157486</v>
      </c>
      <c r="BF150" s="16" t="n">
        <f aca="false">MAX(C150-AP150,0)</f>
        <v>28.6998654791785</v>
      </c>
      <c r="BG150" s="16" t="n">
        <f aca="false">MAX(C150-AQ150,0)</f>
        <v>23.8716677871287</v>
      </c>
      <c r="BH150" s="16" t="n">
        <f aca="false">MAX(C150-AR150,0)</f>
        <v>19.8364666587236</v>
      </c>
      <c r="BI150" s="16" t="n">
        <f aca="false">MAX(C150-AS150,0)</f>
        <v>15.6913586805299</v>
      </c>
      <c r="BJ150" s="16" t="n">
        <f aca="false">MAX(C150-AT150,0)</f>
        <v>10.1768095961125</v>
      </c>
      <c r="BK150" s="16" t="n">
        <f aca="false">MAX(C150-AU150,0)</f>
        <v>4.37560340682985</v>
      </c>
      <c r="BL150" s="16" t="n">
        <f aca="false">MAX(C150-AV150,0)</f>
        <v>0</v>
      </c>
      <c r="BM150" s="16" t="n">
        <f aca="false">MAX(C150-AW150,0)</f>
        <v>0</v>
      </c>
      <c r="BN150" s="16" t="n">
        <f aca="false">MAX(C150-AX150,0)</f>
        <v>0</v>
      </c>
      <c r="BO150" s="16" t="n">
        <f aca="false">MAX(C150-AY150,0)</f>
        <v>0</v>
      </c>
    </row>
    <row r="151" customFormat="false" ht="15" hidden="false" customHeight="false" outlineLevel="0" collapsed="false">
      <c r="A151" s="3" t="n">
        <v>121</v>
      </c>
      <c r="B151" s="15" t="n">
        <f aca="true">RAND()</f>
        <v>0.6961140119393</v>
      </c>
      <c r="C151" s="16" t="n">
        <f aca="false">LOOKUP(B151,$E$12:$E$17,$A$12:$A$17)+LOOKUP(B151,$E$12:$E$17,$D$12:$D$17)*(B151-LOOKUP(B151,$E$12:$E$17))/LOOKUP(B151,$E$12:$E$17,$C$12:$C$17)</f>
        <v>67.0873430277043</v>
      </c>
      <c r="D151" s="15" t="n">
        <f aca="true">RAND()</f>
        <v>0.140876327347478</v>
      </c>
      <c r="E151" s="15" t="n">
        <f aca="true">RAND()</f>
        <v>0.381809930306217</v>
      </c>
      <c r="F151" s="15" t="n">
        <f aca="true">RAND()</f>
        <v>0.797030844031962</v>
      </c>
      <c r="G151" s="15" t="n">
        <f aca="true">RAND()</f>
        <v>0.00141107643026465</v>
      </c>
      <c r="H151" s="15" t="n">
        <f aca="true">RAND()</f>
        <v>0.398897425646464</v>
      </c>
      <c r="I151" s="15" t="n">
        <f aca="true">RAND()</f>
        <v>0.627327667806294</v>
      </c>
      <c r="J151" s="15" t="n">
        <f aca="true">RAND()</f>
        <v>0.672470138794339</v>
      </c>
      <c r="K151" s="15" t="n">
        <f aca="true">RAND()</f>
        <v>0.722183683574265</v>
      </c>
      <c r="L151" s="15" t="n">
        <f aca="true">RAND()</f>
        <v>0.455258955472547</v>
      </c>
      <c r="M151" s="15" t="n">
        <f aca="true">RAND()</f>
        <v>0.0512941898259595</v>
      </c>
      <c r="N151" s="15" t="n">
        <f aca="true">RAND()</f>
        <v>0.75348346750322</v>
      </c>
      <c r="O151" s="15" t="n">
        <f aca="true">RAND()</f>
        <v>0.0565770697144515</v>
      </c>
      <c r="P151" s="15" t="n">
        <f aca="true">RAND()</f>
        <v>0.817273305785793</v>
      </c>
      <c r="Q151" s="15" t="n">
        <f aca="true">RAND()</f>
        <v>0.553668618783682</v>
      </c>
      <c r="R151" s="15" t="n">
        <f aca="true">RAND()</f>
        <v>0.220385274113095</v>
      </c>
      <c r="S151" s="15" t="n">
        <f aca="true">RAND()</f>
        <v>0.538769236679226</v>
      </c>
      <c r="T151" s="16" t="n">
        <f aca="false">LOOKUP(D151,$E$23:$E$26,$A$23:$A$26)+LOOKUP(D151,$E$23:$E$26,$D$23:$D$26)*(D151-LOOKUP(D151,$E$23:$E$26))/LOOKUP(D151,$E$23:$E$26,$C$23:$C$26)</f>
        <v>4.23479387891246</v>
      </c>
      <c r="U151" s="16" t="n">
        <f aca="false">LOOKUP(E151,$E$23:$E$26,$A$23:$A$26)+LOOKUP(E151,$E$23:$E$26,$D$23:$D$26)*(E151-LOOKUP(E151,$E$23:$E$26))/LOOKUP(E151,$E$23:$E$26,$C$23:$C$26)</f>
        <v>4.60226241288277</v>
      </c>
      <c r="V151" s="16" t="n">
        <f aca="false">LOOKUP(F151,$E$23:$E$26,$A$23:$A$26)+LOOKUP(F151,$E$23:$E$26,$D$23:$D$26)*(F151-LOOKUP(F151,$E$23:$E$26))/LOOKUP(F151,$E$23:$E$26,$C$23:$C$26)</f>
        <v>5.24257711007991</v>
      </c>
      <c r="W151" s="16" t="n">
        <f aca="false">LOOKUP(G151,$E$23:$E$26,$A$23:$A$26)+LOOKUP(G151,$E$23:$E$26,$D$23:$D$26)*(G151-LOOKUP(G151,$E$23:$E$26))/LOOKUP(G151,$E$23:$E$26,$C$23:$C$26)</f>
        <v>4.00235179405044</v>
      </c>
      <c r="X151" s="16" t="n">
        <f aca="false">LOOKUP(H151,$E$23:$E$26,$A$23:$A$26)+LOOKUP(H151,$E$23:$E$26,$D$23:$D$26)*(H151-LOOKUP(H151,$E$23:$E$26))/LOOKUP(H151,$E$23:$E$26,$C$23:$C$26)</f>
        <v>4.62362178205808</v>
      </c>
      <c r="Y151" s="16" t="n">
        <f aca="false">LOOKUP(I151,$E$23:$E$26,$A$23:$A$26)+LOOKUP(I151,$E$23:$E$26,$D$23:$D$26)*(I151-LOOKUP(I151,$E$23:$E$26))/LOOKUP(I151,$E$23:$E$26,$C$23:$C$26)</f>
        <v>4.90915958475787</v>
      </c>
      <c r="Z151" s="16" t="n">
        <f aca="false">LOOKUP(J151,$E$23:$E$26,$A$23:$A$26)+LOOKUP(J151,$E$23:$E$26,$D$23:$D$26)*(J151-LOOKUP(J151,$E$23:$E$26))/LOOKUP(J151,$E$23:$E$26,$C$23:$C$26)</f>
        <v>4.96558767349292</v>
      </c>
      <c r="AA151" s="16" t="n">
        <f aca="false">LOOKUP(K151,$E$23:$E$26,$A$23:$A$26)+LOOKUP(K151,$E$23:$E$26,$D$23:$D$26)*(K151-LOOKUP(K151,$E$23:$E$26))/LOOKUP(K151,$E$23:$E$26,$C$23:$C$26)</f>
        <v>5.05545920893566</v>
      </c>
      <c r="AB151" s="16" t="n">
        <f aca="false">LOOKUP(L151,$E$23:$E$26,$A$23:$A$26)+LOOKUP(L151,$E$23:$E$26,$D$23:$D$26)*(L151-LOOKUP(L151,$E$23:$E$26))/LOOKUP(L151,$E$23:$E$26,$C$23:$C$26)</f>
        <v>4.69407369434068</v>
      </c>
      <c r="AC151" s="16" t="n">
        <f aca="false">LOOKUP(M151,$E$23:$E$26,$A$23:$A$26)+LOOKUP(M151,$E$23:$E$26,$D$23:$D$26)*(M151-LOOKUP(M151,$E$23:$E$26))/LOOKUP(M151,$E$23:$E$26,$C$23:$C$26)</f>
        <v>4.0854903163766</v>
      </c>
      <c r="AD151" s="16" t="n">
        <f aca="false">LOOKUP(N151,$E$23:$E$26,$A$23:$A$26)+LOOKUP(N151,$E$23:$E$26,$D$23:$D$26)*(N151-LOOKUP(N151,$E$23:$E$26))/LOOKUP(N151,$E$23:$E$26,$C$23:$C$26)</f>
        <v>5.13370866875805</v>
      </c>
      <c r="AE151" s="16" t="n">
        <f aca="false">LOOKUP(O151,$E$23:$E$26,$A$23:$A$26)+LOOKUP(O151,$E$23:$E$26,$D$23:$D$26)*(O151-LOOKUP(O151,$E$23:$E$26))/LOOKUP(O151,$E$23:$E$26,$C$23:$C$26)</f>
        <v>4.09429511619075</v>
      </c>
      <c r="AF151" s="16" t="n">
        <f aca="false">LOOKUP(P151,$E$23:$E$26,$A$23:$A$26)+LOOKUP(P151,$E$23:$E$26,$D$23:$D$26)*(P151-LOOKUP(P151,$E$23:$E$26))/LOOKUP(P151,$E$23:$E$26,$C$23:$C$26)</f>
        <v>5.29318326446448</v>
      </c>
      <c r="AG151" s="16" t="n">
        <f aca="false">LOOKUP(Q151,$E$23:$E$26,$A$23:$A$26)+LOOKUP(Q151,$E$23:$E$26,$D$23:$D$26)*(Q151-LOOKUP(Q151,$E$23:$E$26))/LOOKUP(Q151,$E$23:$E$26,$C$23:$C$26)</f>
        <v>4.8170857734796</v>
      </c>
      <c r="AH151" s="16" t="n">
        <f aca="false">LOOKUP(R151,$E$23:$E$26,$A$23:$A$26)+LOOKUP(R151,$E$23:$E$26,$D$23:$D$26)*(R151-LOOKUP(R151,$E$23:$E$26))/LOOKUP(R151,$E$23:$E$26,$C$23:$C$26)</f>
        <v>4.36730879018849</v>
      </c>
      <c r="AI151" s="16" t="n">
        <f aca="false">LOOKUP(S151,$E$23:$E$26,$A$23:$A$26)+LOOKUP(S151,$E$23:$E$26,$D$23:$D$26)*(S151-LOOKUP(S151,$E$23:$E$26))/LOOKUP(S151,$E$23:$E$26,$C$23:$C$26)</f>
        <v>4.79846154584903</v>
      </c>
      <c r="AJ151" s="16" t="n">
        <f aca="false">SUM($T151:T151)</f>
        <v>4.23479387891246</v>
      </c>
      <c r="AK151" s="16" t="n">
        <f aca="false">SUM($T151:U151)</f>
        <v>8.83705629179524</v>
      </c>
      <c r="AL151" s="16" t="n">
        <f aca="false">SUM($T151:V151)</f>
        <v>14.0796334018751</v>
      </c>
      <c r="AM151" s="16" t="n">
        <f aca="false">SUM($T151:W151)</f>
        <v>18.0819851959256</v>
      </c>
      <c r="AN151" s="16" t="n">
        <f aca="false">SUM($T151:X151)</f>
        <v>22.7056069779837</v>
      </c>
      <c r="AO151" s="16" t="n">
        <f aca="false">SUM($T151:Y151)</f>
        <v>27.6147665627415</v>
      </c>
      <c r="AP151" s="16" t="n">
        <f aca="false">SUM($T151:Z151)</f>
        <v>32.5803542362345</v>
      </c>
      <c r="AQ151" s="16" t="n">
        <f aca="false">SUM($T151:AA151)</f>
        <v>37.6358134451701</v>
      </c>
      <c r="AR151" s="16" t="n">
        <f aca="false">SUM($T151:AB151)</f>
        <v>42.3298871395108</v>
      </c>
      <c r="AS151" s="16" t="n">
        <f aca="false">SUM($T151:AC151)</f>
        <v>46.4153774558874</v>
      </c>
      <c r="AT151" s="16" t="n">
        <f aca="false">SUM($T151:AD151)</f>
        <v>51.5490861246455</v>
      </c>
      <c r="AU151" s="16" t="n">
        <f aca="false">SUM($T151:AE151)</f>
        <v>55.6433812408362</v>
      </c>
      <c r="AV151" s="16" t="n">
        <f aca="false">SUM($T151:AF151)</f>
        <v>60.9365645053007</v>
      </c>
      <c r="AW151" s="16" t="n">
        <f aca="false">SUM($T151:AG151)</f>
        <v>65.7536502787803</v>
      </c>
      <c r="AX151" s="16" t="n">
        <f aca="false">SUM($T151:AH151)</f>
        <v>70.1209590689688</v>
      </c>
      <c r="AY151" s="16" t="n">
        <f aca="false">SUM($T151:AI151)</f>
        <v>74.9194206148178</v>
      </c>
      <c r="AZ151" s="16" t="n">
        <f aca="false">MAX(C151-AJ151,0)</f>
        <v>62.8525491487918</v>
      </c>
      <c r="BA151" s="16" t="n">
        <f aca="false">MAX(C151-AK151,0)</f>
        <v>58.250286735909</v>
      </c>
      <c r="BB151" s="16" t="n">
        <f aca="false">MAX(C151-AL151,0)</f>
        <v>53.0077096258291</v>
      </c>
      <c r="BC151" s="16" t="n">
        <f aca="false">MAX(C151-AM151,0)</f>
        <v>49.0053578317787</v>
      </c>
      <c r="BD151" s="16" t="n">
        <f aca="false">MAX(C151-AN151,0)</f>
        <v>44.3817360497206</v>
      </c>
      <c r="BE151" s="16" t="n">
        <f aca="false">MAX(C151-AO151,0)</f>
        <v>39.4725764649628</v>
      </c>
      <c r="BF151" s="16" t="n">
        <f aca="false">MAX(C151-AP151,0)</f>
        <v>34.5069887914698</v>
      </c>
      <c r="BG151" s="16" t="n">
        <f aca="false">MAX(C151-AQ151,0)</f>
        <v>29.4515295825342</v>
      </c>
      <c r="BH151" s="16" t="n">
        <f aca="false">MAX(C151-AR151,0)</f>
        <v>24.7574558881935</v>
      </c>
      <c r="BI151" s="16" t="n">
        <f aca="false">MAX(C151-AS151,0)</f>
        <v>20.6719655718169</v>
      </c>
      <c r="BJ151" s="16" t="n">
        <f aca="false">MAX(C151-AT151,0)</f>
        <v>15.5382569030588</v>
      </c>
      <c r="BK151" s="16" t="n">
        <f aca="false">MAX(C151-AU151,0)</f>
        <v>11.4439617868681</v>
      </c>
      <c r="BL151" s="16" t="n">
        <f aca="false">MAX(C151-AV151,0)</f>
        <v>6.1507785224036</v>
      </c>
      <c r="BM151" s="16" t="n">
        <f aca="false">MAX(C151-AW151,0)</f>
        <v>1.33369274892399</v>
      </c>
      <c r="BN151" s="16" t="n">
        <f aca="false">MAX(C151-AX151,0)</f>
        <v>0</v>
      </c>
      <c r="BO151" s="16" t="n">
        <f aca="false">MAX(C151-AY151,0)</f>
        <v>0</v>
      </c>
    </row>
    <row r="152" customFormat="false" ht="15" hidden="false" customHeight="false" outlineLevel="0" collapsed="false">
      <c r="A152" s="3" t="n">
        <v>122</v>
      </c>
      <c r="B152" s="15" t="n">
        <f aca="true">RAND()</f>
        <v>0.47269468483876</v>
      </c>
      <c r="C152" s="16" t="n">
        <f aca="false">LOOKUP(B152,$E$12:$E$17,$A$12:$A$17)+LOOKUP(B152,$E$12:$E$17,$D$12:$D$17)*(B152-LOOKUP(B152,$E$12:$E$17))/LOOKUP(B152,$E$12:$E$17,$C$12:$C$17)</f>
        <v>63.711578080646</v>
      </c>
      <c r="D152" s="15" t="n">
        <f aca="true">RAND()</f>
        <v>0.0370441478308697</v>
      </c>
      <c r="E152" s="15" t="n">
        <f aca="true">RAND()</f>
        <v>0.972596492271474</v>
      </c>
      <c r="F152" s="15" t="n">
        <f aca="true">RAND()</f>
        <v>0.320746918087379</v>
      </c>
      <c r="G152" s="15" t="n">
        <f aca="true">RAND()</f>
        <v>0.0630050354186487</v>
      </c>
      <c r="H152" s="15" t="n">
        <f aca="true">RAND()</f>
        <v>0.0557720231610712</v>
      </c>
      <c r="I152" s="15" t="n">
        <f aca="true">RAND()</f>
        <v>0.0609359114333192</v>
      </c>
      <c r="J152" s="15" t="n">
        <f aca="true">RAND()</f>
        <v>0.33396257197725</v>
      </c>
      <c r="K152" s="15" t="n">
        <f aca="true">RAND()</f>
        <v>0.285797278749201</v>
      </c>
      <c r="L152" s="15" t="n">
        <f aca="true">RAND()</f>
        <v>0.721187152484157</v>
      </c>
      <c r="M152" s="15" t="n">
        <f aca="true">RAND()</f>
        <v>0.419759777553652</v>
      </c>
      <c r="N152" s="15" t="n">
        <f aca="true">RAND()</f>
        <v>0.0449029961198806</v>
      </c>
      <c r="O152" s="15" t="n">
        <f aca="true">RAND()</f>
        <v>0.271482318517717</v>
      </c>
      <c r="P152" s="15" t="n">
        <f aca="true">RAND()</f>
        <v>0.168014009734644</v>
      </c>
      <c r="Q152" s="15" t="n">
        <f aca="true">RAND()</f>
        <v>0.969785511982531</v>
      </c>
      <c r="R152" s="15" t="n">
        <f aca="true">RAND()</f>
        <v>0.456189530138342</v>
      </c>
      <c r="S152" s="15" t="n">
        <f aca="true">RAND()</f>
        <v>0.790708027470501</v>
      </c>
      <c r="T152" s="16" t="n">
        <f aca="false">LOOKUP(D152,$E$23:$E$26,$A$23:$A$26)+LOOKUP(D152,$E$23:$E$26,$D$23:$D$26)*(D152-LOOKUP(D152,$E$23:$E$26))/LOOKUP(D152,$E$23:$E$26,$C$23:$C$26)</f>
        <v>4.06174024638478</v>
      </c>
      <c r="U152" s="16" t="n">
        <f aca="false">LOOKUP(E152,$E$23:$E$26,$A$23:$A$26)+LOOKUP(E152,$E$23:$E$26,$D$23:$D$26)*(E152-LOOKUP(E152,$E$23:$E$26))/LOOKUP(E152,$E$23:$E$26,$C$23:$C$26)</f>
        <v>5.86298246135737</v>
      </c>
      <c r="V152" s="16" t="n">
        <f aca="false">LOOKUP(F152,$E$23:$E$26,$A$23:$A$26)+LOOKUP(F152,$E$23:$E$26,$D$23:$D$26)*(F152-LOOKUP(F152,$E$23:$E$26))/LOOKUP(F152,$E$23:$E$26,$C$23:$C$26)</f>
        <v>4.52593364760922</v>
      </c>
      <c r="W152" s="16" t="n">
        <f aca="false">LOOKUP(G152,$E$23:$E$26,$A$23:$A$26)+LOOKUP(G152,$E$23:$E$26,$D$23:$D$26)*(G152-LOOKUP(G152,$E$23:$E$26))/LOOKUP(G152,$E$23:$E$26,$C$23:$C$26)</f>
        <v>4.10500839236441</v>
      </c>
      <c r="X152" s="16" t="n">
        <f aca="false">LOOKUP(H152,$E$23:$E$26,$A$23:$A$26)+LOOKUP(H152,$E$23:$E$26,$D$23:$D$26)*(H152-LOOKUP(H152,$E$23:$E$26))/LOOKUP(H152,$E$23:$E$26,$C$23:$C$26)</f>
        <v>4.09295337193512</v>
      </c>
      <c r="Y152" s="16" t="n">
        <f aca="false">LOOKUP(I152,$E$23:$E$26,$A$23:$A$26)+LOOKUP(I152,$E$23:$E$26,$D$23:$D$26)*(I152-LOOKUP(I152,$E$23:$E$26))/LOOKUP(I152,$E$23:$E$26,$C$23:$C$26)</f>
        <v>4.10155985238887</v>
      </c>
      <c r="Z152" s="16" t="n">
        <f aca="false">LOOKUP(J152,$E$23:$E$26,$A$23:$A$26)+LOOKUP(J152,$E$23:$E$26,$D$23:$D$26)*(J152-LOOKUP(J152,$E$23:$E$26))/LOOKUP(J152,$E$23:$E$26,$C$23:$C$26)</f>
        <v>4.54245321497156</v>
      </c>
      <c r="AA152" s="16" t="n">
        <f aca="false">LOOKUP(K152,$E$23:$E$26,$A$23:$A$26)+LOOKUP(K152,$E$23:$E$26,$D$23:$D$26)*(K152-LOOKUP(K152,$E$23:$E$26))/LOOKUP(K152,$E$23:$E$26,$C$23:$C$26)</f>
        <v>4.47632879791533</v>
      </c>
      <c r="AB152" s="16" t="n">
        <f aca="false">LOOKUP(L152,$E$23:$E$26,$A$23:$A$26)+LOOKUP(L152,$E$23:$E$26,$D$23:$D$26)*(L152-LOOKUP(L152,$E$23:$E$26))/LOOKUP(L152,$E$23:$E$26,$C$23:$C$26)</f>
        <v>5.05296788121039</v>
      </c>
      <c r="AC152" s="16" t="n">
        <f aca="false">LOOKUP(M152,$E$23:$E$26,$A$23:$A$26)+LOOKUP(M152,$E$23:$E$26,$D$23:$D$26)*(M152-LOOKUP(M152,$E$23:$E$26))/LOOKUP(M152,$E$23:$E$26,$C$23:$C$26)</f>
        <v>4.64969972194206</v>
      </c>
      <c r="AD152" s="16" t="n">
        <f aca="false">LOOKUP(N152,$E$23:$E$26,$A$23:$A$26)+LOOKUP(N152,$E$23:$E$26,$D$23:$D$26)*(N152-LOOKUP(N152,$E$23:$E$26))/LOOKUP(N152,$E$23:$E$26,$C$23:$C$26)</f>
        <v>4.07483832686647</v>
      </c>
      <c r="AE152" s="16" t="n">
        <f aca="false">LOOKUP(O152,$E$23:$E$26,$A$23:$A$26)+LOOKUP(O152,$E$23:$E$26,$D$23:$D$26)*(O152-LOOKUP(O152,$E$23:$E$26))/LOOKUP(O152,$E$23:$E$26,$C$23:$C$26)</f>
        <v>4.45247053086286</v>
      </c>
      <c r="AF152" s="16" t="n">
        <f aca="false">LOOKUP(P152,$E$23:$E$26,$A$23:$A$26)+LOOKUP(P152,$E$23:$E$26,$D$23:$D$26)*(P152-LOOKUP(P152,$E$23:$E$26))/LOOKUP(P152,$E$23:$E$26,$C$23:$C$26)</f>
        <v>4.28002334955774</v>
      </c>
      <c r="AG152" s="16" t="n">
        <f aca="false">LOOKUP(Q152,$E$23:$E$26,$A$23:$A$26)+LOOKUP(Q152,$E$23:$E$26,$D$23:$D$26)*(Q152-LOOKUP(Q152,$E$23:$E$26))/LOOKUP(Q152,$E$23:$E$26,$C$23:$C$26)</f>
        <v>5.84892755991265</v>
      </c>
      <c r="AH152" s="16" t="n">
        <f aca="false">LOOKUP(R152,$E$23:$E$26,$A$23:$A$26)+LOOKUP(R152,$E$23:$E$26,$D$23:$D$26)*(R152-LOOKUP(R152,$E$23:$E$26))/LOOKUP(R152,$E$23:$E$26,$C$23:$C$26)</f>
        <v>4.69523691267293</v>
      </c>
      <c r="AI152" s="16" t="n">
        <f aca="false">LOOKUP(S152,$E$23:$E$26,$A$23:$A$26)+LOOKUP(S152,$E$23:$E$26,$D$23:$D$26)*(S152-LOOKUP(S152,$E$23:$E$26))/LOOKUP(S152,$E$23:$E$26,$C$23:$C$26)</f>
        <v>5.22677006867625</v>
      </c>
      <c r="AJ152" s="16" t="n">
        <f aca="false">SUM($T152:T152)</f>
        <v>4.06174024638478</v>
      </c>
      <c r="AK152" s="16" t="n">
        <f aca="false">SUM($T152:U152)</f>
        <v>9.92472270774215</v>
      </c>
      <c r="AL152" s="16" t="n">
        <f aca="false">SUM($T152:V152)</f>
        <v>14.4506563553514</v>
      </c>
      <c r="AM152" s="16" t="n">
        <f aca="false">SUM($T152:W152)</f>
        <v>18.5556647477158</v>
      </c>
      <c r="AN152" s="16" t="n">
        <f aca="false">SUM($T152:X152)</f>
        <v>22.6486181196509</v>
      </c>
      <c r="AO152" s="16" t="n">
        <f aca="false">SUM($T152:Y152)</f>
        <v>26.7501779720398</v>
      </c>
      <c r="AP152" s="16" t="n">
        <f aca="false">SUM($T152:Z152)</f>
        <v>31.2926311870113</v>
      </c>
      <c r="AQ152" s="16" t="n">
        <f aca="false">SUM($T152:AA152)</f>
        <v>35.7689599849267</v>
      </c>
      <c r="AR152" s="16" t="n">
        <f aca="false">SUM($T152:AB152)</f>
        <v>40.8219278661371</v>
      </c>
      <c r="AS152" s="16" t="n">
        <f aca="false">SUM($T152:AC152)</f>
        <v>45.4716275880791</v>
      </c>
      <c r="AT152" s="16" t="n">
        <f aca="false">SUM($T152:AD152)</f>
        <v>49.5464659149456</v>
      </c>
      <c r="AU152" s="16" t="n">
        <f aca="false">SUM($T152:AE152)</f>
        <v>53.9989364458085</v>
      </c>
      <c r="AV152" s="16" t="n">
        <f aca="false">SUM($T152:AF152)</f>
        <v>58.2789597953662</v>
      </c>
      <c r="AW152" s="16" t="n">
        <f aca="false">SUM($T152:AG152)</f>
        <v>64.1278873552789</v>
      </c>
      <c r="AX152" s="16" t="n">
        <f aca="false">SUM($T152:AH152)</f>
        <v>68.8231242679518</v>
      </c>
      <c r="AY152" s="16" t="n">
        <f aca="false">SUM($T152:AI152)</f>
        <v>74.049894336628</v>
      </c>
      <c r="AZ152" s="16" t="n">
        <f aca="false">MAX(C152-AJ152,0)</f>
        <v>59.6498378342612</v>
      </c>
      <c r="BA152" s="16" t="n">
        <f aca="false">MAX(C152-AK152,0)</f>
        <v>53.7868553729038</v>
      </c>
      <c r="BB152" s="16" t="n">
        <f aca="false">MAX(C152-AL152,0)</f>
        <v>49.2609217252946</v>
      </c>
      <c r="BC152" s="16" t="n">
        <f aca="false">MAX(C152-AM152,0)</f>
        <v>45.1559133329302</v>
      </c>
      <c r="BD152" s="16" t="n">
        <f aca="false">MAX(C152-AN152,0)</f>
        <v>41.0629599609951</v>
      </c>
      <c r="BE152" s="16" t="n">
        <f aca="false">MAX(C152-AO152,0)</f>
        <v>36.9614001086062</v>
      </c>
      <c r="BF152" s="16" t="n">
        <f aca="false">MAX(C152-AP152,0)</f>
        <v>32.4189468936347</v>
      </c>
      <c r="BG152" s="16" t="n">
        <f aca="false">MAX(C152-AQ152,0)</f>
        <v>27.9426180957193</v>
      </c>
      <c r="BH152" s="16" t="n">
        <f aca="false">MAX(C152-AR152,0)</f>
        <v>22.8896502145089</v>
      </c>
      <c r="BI152" s="16" t="n">
        <f aca="false">MAX(C152-AS152,0)</f>
        <v>18.2399504925669</v>
      </c>
      <c r="BJ152" s="16" t="n">
        <f aca="false">MAX(C152-AT152,0)</f>
        <v>14.1651121657004</v>
      </c>
      <c r="BK152" s="16" t="n">
        <f aca="false">MAX(C152-AU152,0)</f>
        <v>9.71264163483754</v>
      </c>
      <c r="BL152" s="16" t="n">
        <f aca="false">MAX(C152-AV152,0)</f>
        <v>5.4326182852798</v>
      </c>
      <c r="BM152" s="16" t="n">
        <f aca="false">MAX(C152-AW152,0)</f>
        <v>0</v>
      </c>
      <c r="BN152" s="16" t="n">
        <f aca="false">MAX(C152-AX152,0)</f>
        <v>0</v>
      </c>
      <c r="BO152" s="16" t="n">
        <f aca="false">MAX(C152-AY152,0)</f>
        <v>0</v>
      </c>
    </row>
    <row r="153" customFormat="false" ht="15" hidden="false" customHeight="false" outlineLevel="0" collapsed="false">
      <c r="A153" s="3" t="n">
        <v>123</v>
      </c>
      <c r="B153" s="15" t="n">
        <f aca="true">RAND()</f>
        <v>0.192399385729962</v>
      </c>
      <c r="C153" s="16" t="n">
        <f aca="false">LOOKUP(B153,$E$12:$E$17,$A$12:$A$17)+LOOKUP(B153,$E$12:$E$17,$D$12:$D$17)*(B153-LOOKUP(B153,$E$12:$E$17))/LOOKUP(B153,$E$12:$E$17,$C$12:$C$17)</f>
        <v>58.0799795243321</v>
      </c>
      <c r="D153" s="15" t="n">
        <f aca="true">RAND()</f>
        <v>0.265302836395883</v>
      </c>
      <c r="E153" s="15" t="n">
        <f aca="true">RAND()</f>
        <v>0.847994879089355</v>
      </c>
      <c r="F153" s="15" t="n">
        <f aca="true">RAND()</f>
        <v>0.391925871936038</v>
      </c>
      <c r="G153" s="15" t="n">
        <f aca="true">RAND()</f>
        <v>0.0135937451423811</v>
      </c>
      <c r="H153" s="15" t="n">
        <f aca="true">RAND()</f>
        <v>0.234671511532715</v>
      </c>
      <c r="I153" s="15" t="n">
        <f aca="true">RAND()</f>
        <v>0.109551556399413</v>
      </c>
      <c r="J153" s="15" t="n">
        <f aca="true">RAND()</f>
        <v>0.266004201262766</v>
      </c>
      <c r="K153" s="15" t="n">
        <f aca="true">RAND()</f>
        <v>0.386507296526225</v>
      </c>
      <c r="L153" s="15" t="n">
        <f aca="true">RAND()</f>
        <v>0.0520631580270303</v>
      </c>
      <c r="M153" s="15" t="n">
        <f aca="true">RAND()</f>
        <v>0.57185614888357</v>
      </c>
      <c r="N153" s="15" t="n">
        <f aca="true">RAND()</f>
        <v>0.35311654101265</v>
      </c>
      <c r="O153" s="15" t="n">
        <f aca="true">RAND()</f>
        <v>0.427758105010308</v>
      </c>
      <c r="P153" s="15" t="n">
        <f aca="true">RAND()</f>
        <v>0.816978620921068</v>
      </c>
      <c r="Q153" s="15" t="n">
        <f aca="true">RAND()</f>
        <v>0.40432325523516</v>
      </c>
      <c r="R153" s="15" t="n">
        <f aca="true">RAND()</f>
        <v>0.435388415347948</v>
      </c>
      <c r="S153" s="15" t="n">
        <f aca="true">RAND()</f>
        <v>0.160201726498909</v>
      </c>
      <c r="T153" s="16" t="n">
        <f aca="false">LOOKUP(D153,$E$23:$E$26,$A$23:$A$26)+LOOKUP(D153,$E$23:$E$26,$D$23:$D$26)*(D153-LOOKUP(D153,$E$23:$E$26))/LOOKUP(D153,$E$23:$E$26,$C$23:$C$26)</f>
        <v>4.44217139399314</v>
      </c>
      <c r="U153" s="16" t="n">
        <f aca="false">LOOKUP(E153,$E$23:$E$26,$A$23:$A$26)+LOOKUP(E153,$E$23:$E$26,$D$23:$D$26)*(E153-LOOKUP(E153,$E$23:$E$26))/LOOKUP(E153,$E$23:$E$26,$C$23:$C$26)</f>
        <v>5.36998719772339</v>
      </c>
      <c r="V153" s="16" t="n">
        <f aca="false">LOOKUP(F153,$E$23:$E$26,$A$23:$A$26)+LOOKUP(F153,$E$23:$E$26,$D$23:$D$26)*(F153-LOOKUP(F153,$E$23:$E$26))/LOOKUP(F153,$E$23:$E$26,$C$23:$C$26)</f>
        <v>4.61490733992005</v>
      </c>
      <c r="W153" s="16" t="n">
        <f aca="false">LOOKUP(G153,$E$23:$E$26,$A$23:$A$26)+LOOKUP(G153,$E$23:$E$26,$D$23:$D$26)*(G153-LOOKUP(G153,$E$23:$E$26))/LOOKUP(G153,$E$23:$E$26,$C$23:$C$26)</f>
        <v>4.02265624190397</v>
      </c>
      <c r="X153" s="16" t="n">
        <f aca="false">LOOKUP(H153,$E$23:$E$26,$A$23:$A$26)+LOOKUP(H153,$E$23:$E$26,$D$23:$D$26)*(H153-LOOKUP(H153,$E$23:$E$26))/LOOKUP(H153,$E$23:$E$26,$C$23:$C$26)</f>
        <v>4.39111918588786</v>
      </c>
      <c r="Y153" s="16" t="n">
        <f aca="false">LOOKUP(I153,$E$23:$E$26,$A$23:$A$26)+LOOKUP(I153,$E$23:$E$26,$D$23:$D$26)*(I153-LOOKUP(I153,$E$23:$E$26))/LOOKUP(I153,$E$23:$E$26,$C$23:$C$26)</f>
        <v>4.18258592733235</v>
      </c>
      <c r="Z153" s="16" t="n">
        <f aca="false">LOOKUP(J153,$E$23:$E$26,$A$23:$A$26)+LOOKUP(J153,$E$23:$E$26,$D$23:$D$26)*(J153-LOOKUP(J153,$E$23:$E$26))/LOOKUP(J153,$E$23:$E$26,$C$23:$C$26)</f>
        <v>4.44334033543794</v>
      </c>
      <c r="AA153" s="16" t="n">
        <f aca="false">LOOKUP(K153,$E$23:$E$26,$A$23:$A$26)+LOOKUP(K153,$E$23:$E$26,$D$23:$D$26)*(K153-LOOKUP(K153,$E$23:$E$26))/LOOKUP(K153,$E$23:$E$26,$C$23:$C$26)</f>
        <v>4.60813412065778</v>
      </c>
      <c r="AB153" s="16" t="n">
        <f aca="false">LOOKUP(L153,$E$23:$E$26,$A$23:$A$26)+LOOKUP(L153,$E$23:$E$26,$D$23:$D$26)*(L153-LOOKUP(L153,$E$23:$E$26))/LOOKUP(L153,$E$23:$E$26,$C$23:$C$26)</f>
        <v>4.08677193004505</v>
      </c>
      <c r="AC153" s="16" t="n">
        <f aca="false">LOOKUP(M153,$E$23:$E$26,$A$23:$A$26)+LOOKUP(M153,$E$23:$E$26,$D$23:$D$26)*(M153-LOOKUP(M153,$E$23:$E$26))/LOOKUP(M153,$E$23:$E$26,$C$23:$C$26)</f>
        <v>4.83982018610446</v>
      </c>
      <c r="AD153" s="16" t="n">
        <f aca="false">LOOKUP(N153,$E$23:$E$26,$A$23:$A$26)+LOOKUP(N153,$E$23:$E$26,$D$23:$D$26)*(N153-LOOKUP(N153,$E$23:$E$26))/LOOKUP(N153,$E$23:$E$26,$C$23:$C$26)</f>
        <v>4.56639567626581</v>
      </c>
      <c r="AE153" s="16" t="n">
        <f aca="false">LOOKUP(O153,$E$23:$E$26,$A$23:$A$26)+LOOKUP(O153,$E$23:$E$26,$D$23:$D$26)*(O153-LOOKUP(O153,$E$23:$E$26))/LOOKUP(O153,$E$23:$E$26,$C$23:$C$26)</f>
        <v>4.65969763126289</v>
      </c>
      <c r="AF153" s="16" t="n">
        <f aca="false">LOOKUP(P153,$E$23:$E$26,$A$23:$A$26)+LOOKUP(P153,$E$23:$E$26,$D$23:$D$26)*(P153-LOOKUP(P153,$E$23:$E$26))/LOOKUP(P153,$E$23:$E$26,$C$23:$C$26)</f>
        <v>5.29244655230267</v>
      </c>
      <c r="AG153" s="16" t="n">
        <f aca="false">LOOKUP(Q153,$E$23:$E$26,$A$23:$A$26)+LOOKUP(Q153,$E$23:$E$26,$D$23:$D$26)*(Q153-LOOKUP(Q153,$E$23:$E$26))/LOOKUP(Q153,$E$23:$E$26,$C$23:$C$26)</f>
        <v>4.63040406904395</v>
      </c>
      <c r="AH153" s="16" t="n">
        <f aca="false">LOOKUP(R153,$E$23:$E$26,$A$23:$A$26)+LOOKUP(R153,$E$23:$E$26,$D$23:$D$26)*(R153-LOOKUP(R153,$E$23:$E$26))/LOOKUP(R153,$E$23:$E$26,$C$23:$C$26)</f>
        <v>4.66923551918494</v>
      </c>
      <c r="AI153" s="16" t="n">
        <f aca="false">LOOKUP(S153,$E$23:$E$26,$A$23:$A$26)+LOOKUP(S153,$E$23:$E$26,$D$23:$D$26)*(S153-LOOKUP(S153,$E$23:$E$26))/LOOKUP(S153,$E$23:$E$26,$C$23:$C$26)</f>
        <v>4.26700287749818</v>
      </c>
      <c r="AJ153" s="16" t="n">
        <f aca="false">SUM($T153:T153)</f>
        <v>4.44217139399314</v>
      </c>
      <c r="AK153" s="16" t="n">
        <f aca="false">SUM($T153:U153)</f>
        <v>9.81215859171653</v>
      </c>
      <c r="AL153" s="16" t="n">
        <f aca="false">SUM($T153:V153)</f>
        <v>14.4270659316366</v>
      </c>
      <c r="AM153" s="16" t="n">
        <f aca="false">SUM($T153:W153)</f>
        <v>18.4497221735405</v>
      </c>
      <c r="AN153" s="16" t="n">
        <f aca="false">SUM($T153:X153)</f>
        <v>22.8408413594284</v>
      </c>
      <c r="AO153" s="16" t="n">
        <f aca="false">SUM($T153:Y153)</f>
        <v>27.0234272867608</v>
      </c>
      <c r="AP153" s="16" t="n">
        <f aca="false">SUM($T153:Z153)</f>
        <v>31.4667676221987</v>
      </c>
      <c r="AQ153" s="16" t="n">
        <f aca="false">SUM($T153:AA153)</f>
        <v>36.0749017428565</v>
      </c>
      <c r="AR153" s="16" t="n">
        <f aca="false">SUM($T153:AB153)</f>
        <v>40.1616736729015</v>
      </c>
      <c r="AS153" s="16" t="n">
        <f aca="false">SUM($T153:AC153)</f>
        <v>45.001493859006</v>
      </c>
      <c r="AT153" s="16" t="n">
        <f aca="false">SUM($T153:AD153)</f>
        <v>49.5678895352718</v>
      </c>
      <c r="AU153" s="16" t="n">
        <f aca="false">SUM($T153:AE153)</f>
        <v>54.2275871665347</v>
      </c>
      <c r="AV153" s="16" t="n">
        <f aca="false">SUM($T153:AF153)</f>
        <v>59.5200337188374</v>
      </c>
      <c r="AW153" s="16" t="n">
        <f aca="false">SUM($T153:AG153)</f>
        <v>64.1504377878813</v>
      </c>
      <c r="AX153" s="16" t="n">
        <f aca="false">SUM($T153:AH153)</f>
        <v>68.8196733070663</v>
      </c>
      <c r="AY153" s="16" t="n">
        <f aca="false">SUM($T153:AI153)</f>
        <v>73.0866761845644</v>
      </c>
      <c r="AZ153" s="16" t="n">
        <f aca="false">MAX(C153-AJ153,0)</f>
        <v>53.6378081303389</v>
      </c>
      <c r="BA153" s="16" t="n">
        <f aca="false">MAX(C153-AK153,0)</f>
        <v>48.2678209326156</v>
      </c>
      <c r="BB153" s="16" t="n">
        <f aca="false">MAX(C153-AL153,0)</f>
        <v>43.6529135926955</v>
      </c>
      <c r="BC153" s="16" t="n">
        <f aca="false">MAX(C153-AM153,0)</f>
        <v>39.6302573507915</v>
      </c>
      <c r="BD153" s="16" t="n">
        <f aca="false">MAX(C153-AN153,0)</f>
        <v>35.2391381649037</v>
      </c>
      <c r="BE153" s="16" t="n">
        <f aca="false">MAX(C153-AO153,0)</f>
        <v>31.0565522375713</v>
      </c>
      <c r="BF153" s="16" t="n">
        <f aca="false">MAX(C153-AP153,0)</f>
        <v>26.6132119021334</v>
      </c>
      <c r="BG153" s="16" t="n">
        <f aca="false">MAX(C153-AQ153,0)</f>
        <v>22.0050777814756</v>
      </c>
      <c r="BH153" s="16" t="n">
        <f aca="false">MAX(C153-AR153,0)</f>
        <v>17.9183058514305</v>
      </c>
      <c r="BI153" s="16" t="n">
        <f aca="false">MAX(C153-AS153,0)</f>
        <v>13.0784856653261</v>
      </c>
      <c r="BJ153" s="16" t="n">
        <f aca="false">MAX(C153-AT153,0)</f>
        <v>8.51208998906027</v>
      </c>
      <c r="BK153" s="16" t="n">
        <f aca="false">MAX(C153-AU153,0)</f>
        <v>3.85239235779738</v>
      </c>
      <c r="BL153" s="16" t="n">
        <f aca="false">MAX(C153-AV153,0)</f>
        <v>0</v>
      </c>
      <c r="BM153" s="16" t="n">
        <f aca="false">MAX(C153-AW153,0)</f>
        <v>0</v>
      </c>
      <c r="BN153" s="16" t="n">
        <f aca="false">MAX(C153-AX153,0)</f>
        <v>0</v>
      </c>
      <c r="BO153" s="16" t="n">
        <f aca="false">MAX(C153-AY153,0)</f>
        <v>0</v>
      </c>
    </row>
    <row r="154" customFormat="false" ht="15" hidden="false" customHeight="false" outlineLevel="0" collapsed="false">
      <c r="A154" s="3" t="n">
        <v>124</v>
      </c>
      <c r="B154" s="15" t="n">
        <f aca="true">RAND()</f>
        <v>0.732452899334903</v>
      </c>
      <c r="C154" s="16" t="n">
        <f aca="false">LOOKUP(B154,$E$12:$E$17,$A$12:$A$17)+LOOKUP(B154,$E$12:$E$17,$D$12:$D$17)*(B154-LOOKUP(B154,$E$12:$E$17))/LOOKUP(B154,$E$12:$E$17,$C$12:$C$17)</f>
        <v>67.6064699904986</v>
      </c>
      <c r="D154" s="15" t="n">
        <f aca="true">RAND()</f>
        <v>0.832473726176539</v>
      </c>
      <c r="E154" s="15" t="n">
        <f aca="true">RAND()</f>
        <v>0.911829534641335</v>
      </c>
      <c r="F154" s="15" t="n">
        <f aca="true">RAND()</f>
        <v>0.0142289410862723</v>
      </c>
      <c r="G154" s="15" t="n">
        <f aca="true">RAND()</f>
        <v>0.0821809520975299</v>
      </c>
      <c r="H154" s="15" t="n">
        <f aca="true">RAND()</f>
        <v>0.331454831326031</v>
      </c>
      <c r="I154" s="15" t="n">
        <f aca="true">RAND()</f>
        <v>0.939262413962027</v>
      </c>
      <c r="J154" s="15" t="n">
        <f aca="true">RAND()</f>
        <v>0.623886739914351</v>
      </c>
      <c r="K154" s="15" t="n">
        <f aca="true">RAND()</f>
        <v>0.797625804109396</v>
      </c>
      <c r="L154" s="15" t="n">
        <f aca="true">RAND()</f>
        <v>0.865994703907844</v>
      </c>
      <c r="M154" s="15" t="n">
        <f aca="true">RAND()</f>
        <v>0.0477793052557883</v>
      </c>
      <c r="N154" s="15" t="n">
        <f aca="true">RAND()</f>
        <v>0.816214551369451</v>
      </c>
      <c r="O154" s="15" t="n">
        <f aca="true">RAND()</f>
        <v>0.982843490556522</v>
      </c>
      <c r="P154" s="15" t="n">
        <f aca="true">RAND()</f>
        <v>0.94730945908174</v>
      </c>
      <c r="Q154" s="15" t="n">
        <f aca="true">RAND()</f>
        <v>0.121783001539043</v>
      </c>
      <c r="R154" s="15" t="n">
        <f aca="true">RAND()</f>
        <v>0.406679698246893</v>
      </c>
      <c r="S154" s="15" t="n">
        <f aca="true">RAND()</f>
        <v>0.115131290409992</v>
      </c>
      <c r="T154" s="16" t="n">
        <f aca="false">LOOKUP(D154,$E$23:$E$26,$A$23:$A$26)+LOOKUP(D154,$E$23:$E$26,$D$23:$D$26)*(D154-LOOKUP(D154,$E$23:$E$26))/LOOKUP(D154,$E$23:$E$26,$C$23:$C$26)</f>
        <v>5.33118431544135</v>
      </c>
      <c r="U154" s="16" t="n">
        <f aca="false">LOOKUP(E154,$E$23:$E$26,$A$23:$A$26)+LOOKUP(E154,$E$23:$E$26,$D$23:$D$26)*(E154-LOOKUP(E154,$E$23:$E$26))/LOOKUP(E154,$E$23:$E$26,$C$23:$C$26)</f>
        <v>5.55914767320668</v>
      </c>
      <c r="V154" s="16" t="n">
        <f aca="false">LOOKUP(F154,$E$23:$E$26,$A$23:$A$26)+LOOKUP(F154,$E$23:$E$26,$D$23:$D$26)*(F154-LOOKUP(F154,$E$23:$E$26))/LOOKUP(F154,$E$23:$E$26,$C$23:$C$26)</f>
        <v>4.02371490181045</v>
      </c>
      <c r="W154" s="16" t="n">
        <f aca="false">LOOKUP(G154,$E$23:$E$26,$A$23:$A$26)+LOOKUP(G154,$E$23:$E$26,$D$23:$D$26)*(G154-LOOKUP(G154,$E$23:$E$26))/LOOKUP(G154,$E$23:$E$26,$C$23:$C$26)</f>
        <v>4.13696825349588</v>
      </c>
      <c r="X154" s="16" t="n">
        <f aca="false">LOOKUP(H154,$E$23:$E$26,$A$23:$A$26)+LOOKUP(H154,$E$23:$E$26,$D$23:$D$26)*(H154-LOOKUP(H154,$E$23:$E$26))/LOOKUP(H154,$E$23:$E$26,$C$23:$C$26)</f>
        <v>4.53931853915754</v>
      </c>
      <c r="Y154" s="16" t="n">
        <f aca="false">LOOKUP(I154,$E$23:$E$26,$A$23:$A$26)+LOOKUP(I154,$E$23:$E$26,$D$23:$D$26)*(I154-LOOKUP(I154,$E$23:$E$26))/LOOKUP(I154,$E$23:$E$26,$C$23:$C$26)</f>
        <v>5.69631206981014</v>
      </c>
      <c r="Z154" s="16" t="n">
        <f aca="false">LOOKUP(J154,$E$23:$E$26,$A$23:$A$26)+LOOKUP(J154,$E$23:$E$26,$D$23:$D$26)*(J154-LOOKUP(J154,$E$23:$E$26))/LOOKUP(J154,$E$23:$E$26,$C$23:$C$26)</f>
        <v>4.90485842489294</v>
      </c>
      <c r="AA154" s="16" t="n">
        <f aca="false">LOOKUP(K154,$E$23:$E$26,$A$23:$A$26)+LOOKUP(K154,$E$23:$E$26,$D$23:$D$26)*(K154-LOOKUP(K154,$E$23:$E$26))/LOOKUP(K154,$E$23:$E$26,$C$23:$C$26)</f>
        <v>5.24406451027349</v>
      </c>
      <c r="AB154" s="16" t="n">
        <f aca="false">LOOKUP(L154,$E$23:$E$26,$A$23:$A$26)+LOOKUP(L154,$E$23:$E$26,$D$23:$D$26)*(L154-LOOKUP(L154,$E$23:$E$26))/LOOKUP(L154,$E$23:$E$26,$C$23:$C$26)</f>
        <v>5.41498675976961</v>
      </c>
      <c r="AC154" s="16" t="n">
        <f aca="false">LOOKUP(M154,$E$23:$E$26,$A$23:$A$26)+LOOKUP(M154,$E$23:$E$26,$D$23:$D$26)*(M154-LOOKUP(M154,$E$23:$E$26))/LOOKUP(M154,$E$23:$E$26,$C$23:$C$26)</f>
        <v>4.07963217542631</v>
      </c>
      <c r="AD154" s="16" t="n">
        <f aca="false">LOOKUP(N154,$E$23:$E$26,$A$23:$A$26)+LOOKUP(N154,$E$23:$E$26,$D$23:$D$26)*(N154-LOOKUP(N154,$E$23:$E$26))/LOOKUP(N154,$E$23:$E$26,$C$23:$C$26)</f>
        <v>5.29053637842363</v>
      </c>
      <c r="AE154" s="16" t="n">
        <f aca="false">LOOKUP(O154,$E$23:$E$26,$A$23:$A$26)+LOOKUP(O154,$E$23:$E$26,$D$23:$D$26)*(O154-LOOKUP(O154,$E$23:$E$26))/LOOKUP(O154,$E$23:$E$26,$C$23:$C$26)</f>
        <v>5.91421745278261</v>
      </c>
      <c r="AF154" s="16" t="n">
        <f aca="false">LOOKUP(P154,$E$23:$E$26,$A$23:$A$26)+LOOKUP(P154,$E$23:$E$26,$D$23:$D$26)*(P154-LOOKUP(P154,$E$23:$E$26))/LOOKUP(P154,$E$23:$E$26,$C$23:$C$26)</f>
        <v>5.7365472954087</v>
      </c>
      <c r="AG154" s="16" t="n">
        <f aca="false">LOOKUP(Q154,$E$23:$E$26,$A$23:$A$26)+LOOKUP(Q154,$E$23:$E$26,$D$23:$D$26)*(Q154-LOOKUP(Q154,$E$23:$E$26))/LOOKUP(Q154,$E$23:$E$26,$C$23:$C$26)</f>
        <v>4.20297166923174</v>
      </c>
      <c r="AH154" s="16" t="n">
        <f aca="false">LOOKUP(R154,$E$23:$E$26,$A$23:$A$26)+LOOKUP(R154,$E$23:$E$26,$D$23:$D$26)*(R154-LOOKUP(R154,$E$23:$E$26))/LOOKUP(R154,$E$23:$E$26,$C$23:$C$26)</f>
        <v>4.63334962280862</v>
      </c>
      <c r="AI154" s="16" t="n">
        <f aca="false">LOOKUP(S154,$E$23:$E$26,$A$23:$A$26)+LOOKUP(S154,$E$23:$E$26,$D$23:$D$26)*(S154-LOOKUP(S154,$E$23:$E$26))/LOOKUP(S154,$E$23:$E$26,$C$23:$C$26)</f>
        <v>4.19188548401665</v>
      </c>
      <c r="AJ154" s="16" t="n">
        <f aca="false">SUM($T154:T154)</f>
        <v>5.33118431544135</v>
      </c>
      <c r="AK154" s="16" t="n">
        <f aca="false">SUM($T154:U154)</f>
        <v>10.890331988648</v>
      </c>
      <c r="AL154" s="16" t="n">
        <f aca="false">SUM($T154:V154)</f>
        <v>14.9140468904585</v>
      </c>
      <c r="AM154" s="16" t="n">
        <f aca="false">SUM($T154:W154)</f>
        <v>19.0510151439544</v>
      </c>
      <c r="AN154" s="16" t="n">
        <f aca="false">SUM($T154:X154)</f>
        <v>23.5903336831119</v>
      </c>
      <c r="AO154" s="16" t="n">
        <f aca="false">SUM($T154:Y154)</f>
        <v>29.286645752922</v>
      </c>
      <c r="AP154" s="16" t="n">
        <f aca="false">SUM($T154:Z154)</f>
        <v>34.191504177815</v>
      </c>
      <c r="AQ154" s="16" t="n">
        <f aca="false">SUM($T154:AA154)</f>
        <v>39.4355686880885</v>
      </c>
      <c r="AR154" s="16" t="n">
        <f aca="false">SUM($T154:AB154)</f>
        <v>44.8505554478581</v>
      </c>
      <c r="AS154" s="16" t="n">
        <f aca="false">SUM($T154:AC154)</f>
        <v>48.9301876232844</v>
      </c>
      <c r="AT154" s="16" t="n">
        <f aca="false">SUM($T154:AD154)</f>
        <v>54.220724001708</v>
      </c>
      <c r="AU154" s="16" t="n">
        <f aca="false">SUM($T154:AE154)</f>
        <v>60.1349414544906</v>
      </c>
      <c r="AV154" s="16" t="n">
        <f aca="false">SUM($T154:AF154)</f>
        <v>65.8714887498993</v>
      </c>
      <c r="AW154" s="16" t="n">
        <f aca="false">SUM($T154:AG154)</f>
        <v>70.0744604191311</v>
      </c>
      <c r="AX154" s="16" t="n">
        <f aca="false">SUM($T154:AH154)</f>
        <v>74.7078100419397</v>
      </c>
      <c r="AY154" s="16" t="n">
        <f aca="false">SUM($T154:AI154)</f>
        <v>78.8996955259563</v>
      </c>
      <c r="AZ154" s="16" t="n">
        <f aca="false">MAX(C154-AJ154,0)</f>
        <v>62.2752856750573</v>
      </c>
      <c r="BA154" s="16" t="n">
        <f aca="false">MAX(C154-AK154,0)</f>
        <v>56.7161380018506</v>
      </c>
      <c r="BB154" s="16" t="n">
        <f aca="false">MAX(C154-AL154,0)</f>
        <v>52.6924231000401</v>
      </c>
      <c r="BC154" s="16" t="n">
        <f aca="false">MAX(C154-AM154,0)</f>
        <v>48.5554548465443</v>
      </c>
      <c r="BD154" s="16" t="n">
        <f aca="false">MAX(C154-AN154,0)</f>
        <v>44.0161363073867</v>
      </c>
      <c r="BE154" s="16" t="n">
        <f aca="false">MAX(C154-AO154,0)</f>
        <v>38.3198242375766</v>
      </c>
      <c r="BF154" s="16" t="n">
        <f aca="false">MAX(C154-AP154,0)</f>
        <v>33.4149658126836</v>
      </c>
      <c r="BG154" s="16" t="n">
        <f aca="false">MAX(C154-AQ154,0)</f>
        <v>28.1709013024101</v>
      </c>
      <c r="BH154" s="16" t="n">
        <f aca="false">MAX(C154-AR154,0)</f>
        <v>22.7559145426405</v>
      </c>
      <c r="BI154" s="16" t="n">
        <f aca="false">MAX(C154-AS154,0)</f>
        <v>18.6762823672142</v>
      </c>
      <c r="BJ154" s="16" t="n">
        <f aca="false">MAX(C154-AT154,0)</f>
        <v>13.3857459887906</v>
      </c>
      <c r="BK154" s="16" t="n">
        <f aca="false">MAX(C154-AU154,0)</f>
        <v>7.47152853600799</v>
      </c>
      <c r="BL154" s="16" t="n">
        <f aca="false">MAX(C154-AV154,0)</f>
        <v>1.73498124059928</v>
      </c>
      <c r="BM154" s="16" t="n">
        <f aca="false">MAX(C154-AW154,0)</f>
        <v>0</v>
      </c>
      <c r="BN154" s="16" t="n">
        <f aca="false">MAX(C154-AX154,0)</f>
        <v>0</v>
      </c>
      <c r="BO154" s="16" t="n">
        <f aca="false">MAX(C154-AY154,0)</f>
        <v>0</v>
      </c>
    </row>
    <row r="155" customFormat="false" ht="15" hidden="false" customHeight="false" outlineLevel="0" collapsed="false">
      <c r="A155" s="3" t="n">
        <v>125</v>
      </c>
      <c r="B155" s="15" t="n">
        <f aca="true">RAND()</f>
        <v>0.801680263792838</v>
      </c>
      <c r="C155" s="16" t="n">
        <f aca="false">LOOKUP(B155,$E$12:$E$17,$A$12:$A$17)+LOOKUP(B155,$E$12:$E$17,$D$12:$D$17)*(B155-LOOKUP(B155,$E$12:$E$17))/LOOKUP(B155,$E$12:$E$17,$C$12:$C$17)</f>
        <v>68.5954323398977</v>
      </c>
      <c r="D155" s="15" t="n">
        <f aca="true">RAND()</f>
        <v>0.0806136780050324</v>
      </c>
      <c r="E155" s="15" t="n">
        <f aca="true">RAND()</f>
        <v>0.925239346171197</v>
      </c>
      <c r="F155" s="15" t="n">
        <f aca="true">RAND()</f>
        <v>0.471452351939494</v>
      </c>
      <c r="G155" s="15" t="n">
        <f aca="true">RAND()</f>
        <v>0.391399341530902</v>
      </c>
      <c r="H155" s="15" t="n">
        <f aca="true">RAND()</f>
        <v>0.673474130890975</v>
      </c>
      <c r="I155" s="15" t="n">
        <f aca="true">RAND()</f>
        <v>0.80760175076163</v>
      </c>
      <c r="J155" s="15" t="n">
        <f aca="true">RAND()</f>
        <v>0.184574467055154</v>
      </c>
      <c r="K155" s="15" t="n">
        <f aca="true">RAND()</f>
        <v>0.131096879989106</v>
      </c>
      <c r="L155" s="15" t="n">
        <f aca="true">RAND()</f>
        <v>0.263243726628933</v>
      </c>
      <c r="M155" s="15" t="n">
        <f aca="true">RAND()</f>
        <v>0.311154196088927</v>
      </c>
      <c r="N155" s="15" t="n">
        <f aca="true">RAND()</f>
        <v>0.55630014700521</v>
      </c>
      <c r="O155" s="15" t="n">
        <f aca="true">RAND()</f>
        <v>0.374459721339497</v>
      </c>
      <c r="P155" s="15" t="n">
        <f aca="true">RAND()</f>
        <v>0.646785323638245</v>
      </c>
      <c r="Q155" s="15" t="n">
        <f aca="true">RAND()</f>
        <v>0.608433873462734</v>
      </c>
      <c r="R155" s="15" t="n">
        <f aca="true">RAND()</f>
        <v>0.955401211374318</v>
      </c>
      <c r="S155" s="15" t="n">
        <f aca="true">RAND()</f>
        <v>0.342922989935779</v>
      </c>
      <c r="T155" s="16" t="n">
        <f aca="false">LOOKUP(D155,$E$23:$E$26,$A$23:$A$26)+LOOKUP(D155,$E$23:$E$26,$D$23:$D$26)*(D155-LOOKUP(D155,$E$23:$E$26))/LOOKUP(D155,$E$23:$E$26,$C$23:$C$26)</f>
        <v>4.13435613000839</v>
      </c>
      <c r="U155" s="16" t="n">
        <f aca="false">LOOKUP(E155,$E$23:$E$26,$A$23:$A$26)+LOOKUP(E155,$E$23:$E$26,$D$23:$D$26)*(E155-LOOKUP(E155,$E$23:$E$26))/LOOKUP(E155,$E$23:$E$26,$C$23:$C$26)</f>
        <v>5.62619673085598</v>
      </c>
      <c r="V155" s="16" t="n">
        <f aca="false">LOOKUP(F155,$E$23:$E$26,$A$23:$A$26)+LOOKUP(F155,$E$23:$E$26,$D$23:$D$26)*(F155-LOOKUP(F155,$E$23:$E$26))/LOOKUP(F155,$E$23:$E$26,$C$23:$C$26)</f>
        <v>4.71431543992437</v>
      </c>
      <c r="W155" s="16" t="n">
        <f aca="false">LOOKUP(G155,$E$23:$E$26,$A$23:$A$26)+LOOKUP(G155,$E$23:$E$26,$D$23:$D$26)*(G155-LOOKUP(G155,$E$23:$E$26))/LOOKUP(G155,$E$23:$E$26,$C$23:$C$26)</f>
        <v>4.61424917691363</v>
      </c>
      <c r="X155" s="16" t="n">
        <f aca="false">LOOKUP(H155,$E$23:$E$26,$A$23:$A$26)+LOOKUP(H155,$E$23:$E$26,$D$23:$D$26)*(H155-LOOKUP(H155,$E$23:$E$26))/LOOKUP(H155,$E$23:$E$26,$C$23:$C$26)</f>
        <v>4.96684266361372</v>
      </c>
      <c r="Y155" s="16" t="n">
        <f aca="false">LOOKUP(I155,$E$23:$E$26,$A$23:$A$26)+LOOKUP(I155,$E$23:$E$26,$D$23:$D$26)*(I155-LOOKUP(I155,$E$23:$E$26))/LOOKUP(I155,$E$23:$E$26,$C$23:$C$26)</f>
        <v>5.26900437690407</v>
      </c>
      <c r="Z155" s="16" t="n">
        <f aca="false">LOOKUP(J155,$E$23:$E$26,$A$23:$A$26)+LOOKUP(J155,$E$23:$E$26,$D$23:$D$26)*(J155-LOOKUP(J155,$E$23:$E$26))/LOOKUP(J155,$E$23:$E$26,$C$23:$C$26)</f>
        <v>4.30762411175859</v>
      </c>
      <c r="AA155" s="16" t="n">
        <f aca="false">LOOKUP(K155,$E$23:$E$26,$A$23:$A$26)+LOOKUP(K155,$E$23:$E$26,$D$23:$D$26)*(K155-LOOKUP(K155,$E$23:$E$26))/LOOKUP(K155,$E$23:$E$26,$C$23:$C$26)</f>
        <v>4.21849479998184</v>
      </c>
      <c r="AB155" s="16" t="n">
        <f aca="false">LOOKUP(L155,$E$23:$E$26,$A$23:$A$26)+LOOKUP(L155,$E$23:$E$26,$D$23:$D$26)*(L155-LOOKUP(L155,$E$23:$E$26))/LOOKUP(L155,$E$23:$E$26,$C$23:$C$26)</f>
        <v>4.43873954438156</v>
      </c>
      <c r="AC155" s="16" t="n">
        <f aca="false">LOOKUP(M155,$E$23:$E$26,$A$23:$A$26)+LOOKUP(M155,$E$23:$E$26,$D$23:$D$26)*(M155-LOOKUP(M155,$E$23:$E$26))/LOOKUP(M155,$E$23:$E$26,$C$23:$C$26)</f>
        <v>4.51394274511116</v>
      </c>
      <c r="AD155" s="16" t="n">
        <f aca="false">LOOKUP(N155,$E$23:$E$26,$A$23:$A$26)+LOOKUP(N155,$E$23:$E$26,$D$23:$D$26)*(N155-LOOKUP(N155,$E$23:$E$26))/LOOKUP(N155,$E$23:$E$26,$C$23:$C$26)</f>
        <v>4.82037518375651</v>
      </c>
      <c r="AE155" s="16" t="n">
        <f aca="false">LOOKUP(O155,$E$23:$E$26,$A$23:$A$26)+LOOKUP(O155,$E$23:$E$26,$D$23:$D$26)*(O155-LOOKUP(O155,$E$23:$E$26))/LOOKUP(O155,$E$23:$E$26,$C$23:$C$26)</f>
        <v>4.59307465167437</v>
      </c>
      <c r="AF155" s="16" t="n">
        <f aca="false">LOOKUP(P155,$E$23:$E$26,$A$23:$A$26)+LOOKUP(P155,$E$23:$E$26,$D$23:$D$26)*(P155-LOOKUP(P155,$E$23:$E$26))/LOOKUP(P155,$E$23:$E$26,$C$23:$C$26)</f>
        <v>4.93348165454781</v>
      </c>
      <c r="AG155" s="16" t="n">
        <f aca="false">LOOKUP(Q155,$E$23:$E$26,$A$23:$A$26)+LOOKUP(Q155,$E$23:$E$26,$D$23:$D$26)*(Q155-LOOKUP(Q155,$E$23:$E$26))/LOOKUP(Q155,$E$23:$E$26,$C$23:$C$26)</f>
        <v>4.88554234182842</v>
      </c>
      <c r="AH155" s="16" t="n">
        <f aca="false">LOOKUP(R155,$E$23:$E$26,$A$23:$A$26)+LOOKUP(R155,$E$23:$E$26,$D$23:$D$26)*(R155-LOOKUP(R155,$E$23:$E$26))/LOOKUP(R155,$E$23:$E$26,$C$23:$C$26)</f>
        <v>5.77700605687159</v>
      </c>
      <c r="AI155" s="16" t="n">
        <f aca="false">LOOKUP(S155,$E$23:$E$26,$A$23:$A$26)+LOOKUP(S155,$E$23:$E$26,$D$23:$D$26)*(S155-LOOKUP(S155,$E$23:$E$26))/LOOKUP(S155,$E$23:$E$26,$C$23:$C$26)</f>
        <v>4.55365373741972</v>
      </c>
      <c r="AJ155" s="16" t="n">
        <f aca="false">SUM($T155:T155)</f>
        <v>4.13435613000839</v>
      </c>
      <c r="AK155" s="16" t="n">
        <f aca="false">SUM($T155:U155)</f>
        <v>9.76055286086437</v>
      </c>
      <c r="AL155" s="16" t="n">
        <f aca="false">SUM($T155:V155)</f>
        <v>14.4748683007887</v>
      </c>
      <c r="AM155" s="16" t="n">
        <f aca="false">SUM($T155:W155)</f>
        <v>19.0891174777024</v>
      </c>
      <c r="AN155" s="16" t="n">
        <f aca="false">SUM($T155:X155)</f>
        <v>24.0559601413161</v>
      </c>
      <c r="AO155" s="16" t="n">
        <f aca="false">SUM($T155:Y155)</f>
        <v>29.3249645182202</v>
      </c>
      <c r="AP155" s="16" t="n">
        <f aca="false">SUM($T155:Z155)</f>
        <v>33.6325886299788</v>
      </c>
      <c r="AQ155" s="16" t="n">
        <f aca="false">SUM($T155:AA155)</f>
        <v>37.8510834299606</v>
      </c>
      <c r="AR155" s="16" t="n">
        <f aca="false">SUM($T155:AB155)</f>
        <v>42.2898229743422</v>
      </c>
      <c r="AS155" s="16" t="n">
        <f aca="false">SUM($T155:AC155)</f>
        <v>46.8037657194533</v>
      </c>
      <c r="AT155" s="16" t="n">
        <f aca="false">SUM($T155:AD155)</f>
        <v>51.6241409032098</v>
      </c>
      <c r="AU155" s="16" t="n">
        <f aca="false">SUM($T155:AE155)</f>
        <v>56.2172155548842</v>
      </c>
      <c r="AV155" s="16" t="n">
        <f aca="false">SUM($T155:AF155)</f>
        <v>61.150697209432</v>
      </c>
      <c r="AW155" s="16" t="n">
        <f aca="false">SUM($T155:AG155)</f>
        <v>66.0362395512604</v>
      </c>
      <c r="AX155" s="16" t="n">
        <f aca="false">SUM($T155:AH155)</f>
        <v>71.813245608132</v>
      </c>
      <c r="AY155" s="16" t="n">
        <f aca="false">SUM($T155:AI155)</f>
        <v>76.3668993455517</v>
      </c>
      <c r="AZ155" s="16" t="n">
        <f aca="false">MAX(C155-AJ155,0)</f>
        <v>64.4610762098893</v>
      </c>
      <c r="BA155" s="16" t="n">
        <f aca="false">MAX(C155-AK155,0)</f>
        <v>58.8348794790333</v>
      </c>
      <c r="BB155" s="16" t="n">
        <f aca="false">MAX(C155-AL155,0)</f>
        <v>54.1205640391089</v>
      </c>
      <c r="BC155" s="16" t="n">
        <f aca="false">MAX(C155-AM155,0)</f>
        <v>49.5063148621953</v>
      </c>
      <c r="BD155" s="16" t="n">
        <f aca="false">MAX(C155-AN155,0)</f>
        <v>44.5394721985816</v>
      </c>
      <c r="BE155" s="16" t="n">
        <f aca="false">MAX(C155-AO155,0)</f>
        <v>39.2704678216775</v>
      </c>
      <c r="BF155" s="16" t="n">
        <f aca="false">MAX(C155-AP155,0)</f>
        <v>34.9628437099189</v>
      </c>
      <c r="BG155" s="16" t="n">
        <f aca="false">MAX(C155-AQ155,0)</f>
        <v>30.7443489099371</v>
      </c>
      <c r="BH155" s="16" t="n">
        <f aca="false">MAX(C155-AR155,0)</f>
        <v>26.3056093655555</v>
      </c>
      <c r="BI155" s="16" t="n">
        <f aca="false">MAX(C155-AS155,0)</f>
        <v>21.7916666204444</v>
      </c>
      <c r="BJ155" s="16" t="n">
        <f aca="false">MAX(C155-AT155,0)</f>
        <v>16.9712914366879</v>
      </c>
      <c r="BK155" s="16" t="n">
        <f aca="false">MAX(C155-AU155,0)</f>
        <v>12.3782167850135</v>
      </c>
      <c r="BL155" s="16" t="n">
        <f aca="false">MAX(C155-AV155,0)</f>
        <v>7.44473513046569</v>
      </c>
      <c r="BM155" s="16" t="n">
        <f aca="false">MAX(C155-AW155,0)</f>
        <v>2.55919278863728</v>
      </c>
      <c r="BN155" s="16" t="n">
        <f aca="false">MAX(C155-AX155,0)</f>
        <v>0</v>
      </c>
      <c r="BO155" s="16" t="n">
        <f aca="false">MAX(C155-AY155,0)</f>
        <v>0</v>
      </c>
    </row>
    <row r="156" customFormat="false" ht="15" hidden="false" customHeight="false" outlineLevel="0" collapsed="false">
      <c r="A156" s="3" t="n">
        <v>126</v>
      </c>
      <c r="B156" s="15" t="n">
        <f aca="true">RAND()</f>
        <v>0.27399472345886</v>
      </c>
      <c r="C156" s="16" t="n">
        <f aca="false">LOOKUP(B156,$E$12:$E$17,$A$12:$A$17)+LOOKUP(B156,$E$12:$E$17,$D$12:$D$17)*(B156-LOOKUP(B156,$E$12:$E$17))/LOOKUP(B156,$E$12:$E$17,$C$12:$C$17)</f>
        <v>60.3999120576477</v>
      </c>
      <c r="D156" s="15" t="n">
        <f aca="true">RAND()</f>
        <v>0.534425900264033</v>
      </c>
      <c r="E156" s="15" t="n">
        <f aca="true">RAND()</f>
        <v>0.622489642761787</v>
      </c>
      <c r="F156" s="15" t="n">
        <f aca="true">RAND()</f>
        <v>0.0223341900206657</v>
      </c>
      <c r="G156" s="15" t="n">
        <f aca="true">RAND()</f>
        <v>0.707567106310929</v>
      </c>
      <c r="H156" s="15" t="n">
        <f aca="true">RAND()</f>
        <v>0.832027992646051</v>
      </c>
      <c r="I156" s="15" t="n">
        <f aca="true">RAND()</f>
        <v>0.68007531447057</v>
      </c>
      <c r="J156" s="15" t="n">
        <f aca="true">RAND()</f>
        <v>0.178041736146426</v>
      </c>
      <c r="K156" s="15" t="n">
        <f aca="true">RAND()</f>
        <v>0.791892961348349</v>
      </c>
      <c r="L156" s="15" t="n">
        <f aca="true">RAND()</f>
        <v>0.696691198446375</v>
      </c>
      <c r="M156" s="15" t="n">
        <f aca="true">RAND()</f>
        <v>0.868346339350925</v>
      </c>
      <c r="N156" s="15" t="n">
        <f aca="true">RAND()</f>
        <v>0.470374531813854</v>
      </c>
      <c r="O156" s="15" t="n">
        <f aca="true">RAND()</f>
        <v>0.937799560685417</v>
      </c>
      <c r="P156" s="15" t="n">
        <f aca="true">RAND()</f>
        <v>0.263148471670503</v>
      </c>
      <c r="Q156" s="15" t="n">
        <f aca="true">RAND()</f>
        <v>0.731432726623397</v>
      </c>
      <c r="R156" s="15" t="n">
        <f aca="true">RAND()</f>
        <v>0.159159156151585</v>
      </c>
      <c r="S156" s="15" t="n">
        <f aca="true">RAND()</f>
        <v>0.354192861721707</v>
      </c>
      <c r="T156" s="16" t="n">
        <f aca="false">LOOKUP(D156,$E$23:$E$26,$A$23:$A$26)+LOOKUP(D156,$E$23:$E$26,$D$23:$D$26)*(D156-LOOKUP(D156,$E$23:$E$26))/LOOKUP(D156,$E$23:$E$26,$C$23:$C$26)</f>
        <v>4.79303237533004</v>
      </c>
      <c r="U156" s="16" t="n">
        <f aca="false">LOOKUP(E156,$E$23:$E$26,$A$23:$A$26)+LOOKUP(E156,$E$23:$E$26,$D$23:$D$26)*(E156-LOOKUP(E156,$E$23:$E$26))/LOOKUP(E156,$E$23:$E$26,$C$23:$C$26)</f>
        <v>4.90311205345223</v>
      </c>
      <c r="V156" s="16" t="n">
        <f aca="false">LOOKUP(F156,$E$23:$E$26,$A$23:$A$26)+LOOKUP(F156,$E$23:$E$26,$D$23:$D$26)*(F156-LOOKUP(F156,$E$23:$E$26))/LOOKUP(F156,$E$23:$E$26,$C$23:$C$26)</f>
        <v>4.03722365003444</v>
      </c>
      <c r="W156" s="16" t="n">
        <f aca="false">LOOKUP(G156,$E$23:$E$26,$A$23:$A$26)+LOOKUP(G156,$E$23:$E$26,$D$23:$D$26)*(G156-LOOKUP(G156,$E$23:$E$26))/LOOKUP(G156,$E$23:$E$26,$C$23:$C$26)</f>
        <v>5.01891776577732</v>
      </c>
      <c r="X156" s="16" t="n">
        <f aca="false">LOOKUP(H156,$E$23:$E$26,$A$23:$A$26)+LOOKUP(H156,$E$23:$E$26,$D$23:$D$26)*(H156-LOOKUP(H156,$E$23:$E$26))/LOOKUP(H156,$E$23:$E$26,$C$23:$C$26)</f>
        <v>5.33006998161513</v>
      </c>
      <c r="Y156" s="16" t="n">
        <f aca="false">LOOKUP(I156,$E$23:$E$26,$A$23:$A$26)+LOOKUP(I156,$E$23:$E$26,$D$23:$D$26)*(I156-LOOKUP(I156,$E$23:$E$26))/LOOKUP(I156,$E$23:$E$26,$C$23:$C$26)</f>
        <v>4.97509414308821</v>
      </c>
      <c r="Z156" s="16" t="n">
        <f aca="false">LOOKUP(J156,$E$23:$E$26,$A$23:$A$26)+LOOKUP(J156,$E$23:$E$26,$D$23:$D$26)*(J156-LOOKUP(J156,$E$23:$E$26))/LOOKUP(J156,$E$23:$E$26,$C$23:$C$26)</f>
        <v>4.29673622691071</v>
      </c>
      <c r="AA156" s="16" t="n">
        <f aca="false">LOOKUP(K156,$E$23:$E$26,$A$23:$A$26)+LOOKUP(K156,$E$23:$E$26,$D$23:$D$26)*(K156-LOOKUP(K156,$E$23:$E$26))/LOOKUP(K156,$E$23:$E$26,$C$23:$C$26)</f>
        <v>5.22973240337087</v>
      </c>
      <c r="AB156" s="16" t="n">
        <f aca="false">LOOKUP(L156,$E$23:$E$26,$A$23:$A$26)+LOOKUP(L156,$E$23:$E$26,$D$23:$D$26)*(L156-LOOKUP(L156,$E$23:$E$26))/LOOKUP(L156,$E$23:$E$26,$C$23:$C$26)</f>
        <v>4.99586399805797</v>
      </c>
      <c r="AC156" s="16" t="n">
        <f aca="false">LOOKUP(M156,$E$23:$E$26,$A$23:$A$26)+LOOKUP(M156,$E$23:$E$26,$D$23:$D$26)*(M156-LOOKUP(M156,$E$23:$E$26))/LOOKUP(M156,$E$23:$E$26,$C$23:$C$26)</f>
        <v>5.42086584837731</v>
      </c>
      <c r="AD156" s="16" t="n">
        <f aca="false">LOOKUP(N156,$E$23:$E$26,$A$23:$A$26)+LOOKUP(N156,$E$23:$E$26,$D$23:$D$26)*(N156-LOOKUP(N156,$E$23:$E$26))/LOOKUP(N156,$E$23:$E$26,$C$23:$C$26)</f>
        <v>4.71296816476732</v>
      </c>
      <c r="AE156" s="16" t="n">
        <f aca="false">LOOKUP(O156,$E$23:$E$26,$A$23:$A$26)+LOOKUP(O156,$E$23:$E$26,$D$23:$D$26)*(O156-LOOKUP(O156,$E$23:$E$26))/LOOKUP(O156,$E$23:$E$26,$C$23:$C$26)</f>
        <v>5.68899780342709</v>
      </c>
      <c r="AF156" s="16" t="n">
        <f aca="false">LOOKUP(P156,$E$23:$E$26,$A$23:$A$26)+LOOKUP(P156,$E$23:$E$26,$D$23:$D$26)*(P156-LOOKUP(P156,$E$23:$E$26))/LOOKUP(P156,$E$23:$E$26,$C$23:$C$26)</f>
        <v>4.4385807861175</v>
      </c>
      <c r="AG156" s="16" t="n">
        <f aca="false">LOOKUP(Q156,$E$23:$E$26,$A$23:$A$26)+LOOKUP(Q156,$E$23:$E$26,$D$23:$D$26)*(Q156-LOOKUP(Q156,$E$23:$E$26))/LOOKUP(Q156,$E$23:$E$26,$C$23:$C$26)</f>
        <v>5.07858181655849</v>
      </c>
      <c r="AH156" s="16" t="n">
        <f aca="false">LOOKUP(R156,$E$23:$E$26,$A$23:$A$26)+LOOKUP(R156,$E$23:$E$26,$D$23:$D$26)*(R156-LOOKUP(R156,$E$23:$E$26))/LOOKUP(R156,$E$23:$E$26,$C$23:$C$26)</f>
        <v>4.26526526025264</v>
      </c>
      <c r="AI156" s="16" t="n">
        <f aca="false">LOOKUP(S156,$E$23:$E$26,$A$23:$A$26)+LOOKUP(S156,$E$23:$E$26,$D$23:$D$26)*(S156-LOOKUP(S156,$E$23:$E$26))/LOOKUP(S156,$E$23:$E$26,$C$23:$C$26)</f>
        <v>4.56774107715213</v>
      </c>
      <c r="AJ156" s="16" t="n">
        <f aca="false">SUM($T156:T156)</f>
        <v>4.79303237533004</v>
      </c>
      <c r="AK156" s="16" t="n">
        <f aca="false">SUM($T156:U156)</f>
        <v>9.69614442878228</v>
      </c>
      <c r="AL156" s="16" t="n">
        <f aca="false">SUM($T156:V156)</f>
        <v>13.7333680788167</v>
      </c>
      <c r="AM156" s="16" t="n">
        <f aca="false">SUM($T156:W156)</f>
        <v>18.752285844594</v>
      </c>
      <c r="AN156" s="16" t="n">
        <f aca="false">SUM($T156:X156)</f>
        <v>24.0823558262092</v>
      </c>
      <c r="AO156" s="16" t="n">
        <f aca="false">SUM($T156:Y156)</f>
        <v>29.0574499692974</v>
      </c>
      <c r="AP156" s="16" t="n">
        <f aca="false">SUM($T156:Z156)</f>
        <v>33.3541861962081</v>
      </c>
      <c r="AQ156" s="16" t="n">
        <f aca="false">SUM($T156:AA156)</f>
        <v>38.583918599579</v>
      </c>
      <c r="AR156" s="16" t="n">
        <f aca="false">SUM($T156:AB156)</f>
        <v>43.5797825976369</v>
      </c>
      <c r="AS156" s="16" t="n">
        <f aca="false">SUM($T156:AC156)</f>
        <v>49.0006484460142</v>
      </c>
      <c r="AT156" s="16" t="n">
        <f aca="false">SUM($T156:AD156)</f>
        <v>53.7136166107816</v>
      </c>
      <c r="AU156" s="16" t="n">
        <f aca="false">SUM($T156:AE156)</f>
        <v>59.4026144142086</v>
      </c>
      <c r="AV156" s="16" t="n">
        <f aca="false">SUM($T156:AF156)</f>
        <v>63.8411952003262</v>
      </c>
      <c r="AW156" s="16" t="n">
        <f aca="false">SUM($T156:AG156)</f>
        <v>68.9197770168847</v>
      </c>
      <c r="AX156" s="16" t="n">
        <f aca="false">SUM($T156:AH156)</f>
        <v>73.1850422771373</v>
      </c>
      <c r="AY156" s="16" t="n">
        <f aca="false">SUM($T156:AI156)</f>
        <v>77.7527833542894</v>
      </c>
      <c r="AZ156" s="16" t="n">
        <f aca="false">MAX(C156-AJ156,0)</f>
        <v>55.6068796823176</v>
      </c>
      <c r="BA156" s="16" t="n">
        <f aca="false">MAX(C156-AK156,0)</f>
        <v>50.7037676288654</v>
      </c>
      <c r="BB156" s="16" t="n">
        <f aca="false">MAX(C156-AL156,0)</f>
        <v>46.666543978831</v>
      </c>
      <c r="BC156" s="16" t="n">
        <f aca="false">MAX(C156-AM156,0)</f>
        <v>41.6476262130536</v>
      </c>
      <c r="BD156" s="16" t="n">
        <f aca="false">MAX(C156-AN156,0)</f>
        <v>36.3175562314385</v>
      </c>
      <c r="BE156" s="16" t="n">
        <f aca="false">MAX(C156-AO156,0)</f>
        <v>31.3424620883503</v>
      </c>
      <c r="BF156" s="16" t="n">
        <f aca="false">MAX(C156-AP156,0)</f>
        <v>27.0457258614396</v>
      </c>
      <c r="BG156" s="16" t="n">
        <f aca="false">MAX(C156-AQ156,0)</f>
        <v>21.8159934580687</v>
      </c>
      <c r="BH156" s="16" t="n">
        <f aca="false">MAX(C156-AR156,0)</f>
        <v>16.8201294600107</v>
      </c>
      <c r="BI156" s="16" t="n">
        <f aca="false">MAX(C156-AS156,0)</f>
        <v>11.3992636116334</v>
      </c>
      <c r="BJ156" s="16" t="n">
        <f aca="false">MAX(C156-AT156,0)</f>
        <v>6.68629544686612</v>
      </c>
      <c r="BK156" s="16" t="n">
        <f aca="false">MAX(C156-AU156,0)</f>
        <v>0.997297643439033</v>
      </c>
      <c r="BL156" s="16" t="n">
        <f aca="false">MAX(C156-AV156,0)</f>
        <v>0</v>
      </c>
      <c r="BM156" s="16" t="n">
        <f aca="false">MAX(C156-AW156,0)</f>
        <v>0</v>
      </c>
      <c r="BN156" s="16" t="n">
        <f aca="false">MAX(C156-AX156,0)</f>
        <v>0</v>
      </c>
      <c r="BO156" s="16" t="n">
        <f aca="false">MAX(C156-AY156,0)</f>
        <v>0</v>
      </c>
    </row>
    <row r="157" customFormat="false" ht="15" hidden="false" customHeight="false" outlineLevel="0" collapsed="false">
      <c r="A157" s="3" t="n">
        <v>127</v>
      </c>
      <c r="B157" s="15" t="n">
        <f aca="true">RAND()</f>
        <v>0.166871094611919</v>
      </c>
      <c r="C157" s="16" t="n">
        <f aca="false">LOOKUP(B157,$E$12:$E$17,$A$12:$A$17)+LOOKUP(B157,$E$12:$E$17,$D$12:$D$17)*(B157-LOOKUP(B157,$E$12:$E$17))/LOOKUP(B157,$E$12:$E$17,$C$12:$C$17)</f>
        <v>57.229036487064</v>
      </c>
      <c r="D157" s="15" t="n">
        <f aca="true">RAND()</f>
        <v>0.123075562408962</v>
      </c>
      <c r="E157" s="15" t="n">
        <f aca="true">RAND()</f>
        <v>0.525945572938749</v>
      </c>
      <c r="F157" s="15" t="n">
        <f aca="true">RAND()</f>
        <v>0.623147120706235</v>
      </c>
      <c r="G157" s="15" t="n">
        <f aca="true">RAND()</f>
        <v>0.525424513590905</v>
      </c>
      <c r="H157" s="15" t="n">
        <f aca="true">RAND()</f>
        <v>0.0707084183479227</v>
      </c>
      <c r="I157" s="15" t="n">
        <f aca="true">RAND()</f>
        <v>0.124081568434015</v>
      </c>
      <c r="J157" s="15" t="n">
        <f aca="true">RAND()</f>
        <v>0.744978896538658</v>
      </c>
      <c r="K157" s="15" t="n">
        <f aca="true">RAND()</f>
        <v>0.735062893012495</v>
      </c>
      <c r="L157" s="15" t="n">
        <f aca="true">RAND()</f>
        <v>0.150248936585752</v>
      </c>
      <c r="M157" s="15" t="n">
        <f aca="true">RAND()</f>
        <v>0.887736435283937</v>
      </c>
      <c r="N157" s="15" t="n">
        <f aca="true">RAND()</f>
        <v>0.2938856563386</v>
      </c>
      <c r="O157" s="15" t="n">
        <f aca="true">RAND()</f>
        <v>0.851592362911477</v>
      </c>
      <c r="P157" s="15" t="n">
        <f aca="true">RAND()</f>
        <v>0.743214511261335</v>
      </c>
      <c r="Q157" s="15" t="n">
        <f aca="true">RAND()</f>
        <v>0.744421964464148</v>
      </c>
      <c r="R157" s="15" t="n">
        <f aca="true">RAND()</f>
        <v>0.796836020874223</v>
      </c>
      <c r="S157" s="15" t="n">
        <f aca="true">RAND()</f>
        <v>0.148453708466194</v>
      </c>
      <c r="T157" s="16" t="n">
        <f aca="false">LOOKUP(D157,$E$23:$E$26,$A$23:$A$26)+LOOKUP(D157,$E$23:$E$26,$D$23:$D$26)*(D157-LOOKUP(D157,$E$23:$E$26))/LOOKUP(D157,$E$23:$E$26,$C$23:$C$26)</f>
        <v>4.20512593734827</v>
      </c>
      <c r="U157" s="16" t="n">
        <f aca="false">LOOKUP(E157,$E$23:$E$26,$A$23:$A$26)+LOOKUP(E157,$E$23:$E$26,$D$23:$D$26)*(E157-LOOKUP(E157,$E$23:$E$26))/LOOKUP(E157,$E$23:$E$26,$C$23:$C$26)</f>
        <v>4.78243196617344</v>
      </c>
      <c r="V157" s="16" t="n">
        <f aca="false">LOOKUP(F157,$E$23:$E$26,$A$23:$A$26)+LOOKUP(F157,$E$23:$E$26,$D$23:$D$26)*(F157-LOOKUP(F157,$E$23:$E$26))/LOOKUP(F157,$E$23:$E$26,$C$23:$C$26)</f>
        <v>4.90393390088279</v>
      </c>
      <c r="W157" s="16" t="n">
        <f aca="false">LOOKUP(G157,$E$23:$E$26,$A$23:$A$26)+LOOKUP(G157,$E$23:$E$26,$D$23:$D$26)*(G157-LOOKUP(G157,$E$23:$E$26))/LOOKUP(G157,$E$23:$E$26,$C$23:$C$26)</f>
        <v>4.78178064198863</v>
      </c>
      <c r="X157" s="16" t="n">
        <f aca="false">LOOKUP(H157,$E$23:$E$26,$A$23:$A$26)+LOOKUP(H157,$E$23:$E$26,$D$23:$D$26)*(H157-LOOKUP(H157,$E$23:$E$26))/LOOKUP(H157,$E$23:$E$26,$C$23:$C$26)</f>
        <v>4.11784736391321</v>
      </c>
      <c r="Y157" s="16" t="n">
        <f aca="false">LOOKUP(I157,$E$23:$E$26,$A$23:$A$26)+LOOKUP(I157,$E$23:$E$26,$D$23:$D$26)*(I157-LOOKUP(I157,$E$23:$E$26))/LOOKUP(I157,$E$23:$E$26,$C$23:$C$26)</f>
        <v>4.20680261405669</v>
      </c>
      <c r="Z157" s="16" t="n">
        <f aca="false">LOOKUP(J157,$E$23:$E$26,$A$23:$A$26)+LOOKUP(J157,$E$23:$E$26,$D$23:$D$26)*(J157-LOOKUP(J157,$E$23:$E$26))/LOOKUP(J157,$E$23:$E$26,$C$23:$C$26)</f>
        <v>5.11244724134664</v>
      </c>
      <c r="AA157" s="16" t="n">
        <f aca="false">LOOKUP(K157,$E$23:$E$26,$A$23:$A$26)+LOOKUP(K157,$E$23:$E$26,$D$23:$D$26)*(K157-LOOKUP(K157,$E$23:$E$26))/LOOKUP(K157,$E$23:$E$26,$C$23:$C$26)</f>
        <v>5.08765723253124</v>
      </c>
      <c r="AB157" s="16" t="n">
        <f aca="false">LOOKUP(L157,$E$23:$E$26,$A$23:$A$26)+LOOKUP(L157,$E$23:$E$26,$D$23:$D$26)*(L157-LOOKUP(L157,$E$23:$E$26))/LOOKUP(L157,$E$23:$E$26,$C$23:$C$26)</f>
        <v>4.25041489430959</v>
      </c>
      <c r="AC157" s="16" t="n">
        <f aca="false">LOOKUP(M157,$E$23:$E$26,$A$23:$A$26)+LOOKUP(M157,$E$23:$E$26,$D$23:$D$26)*(M157-LOOKUP(M157,$E$23:$E$26))/LOOKUP(M157,$E$23:$E$26,$C$23:$C$26)</f>
        <v>5.46934108820984</v>
      </c>
      <c r="AD157" s="16" t="n">
        <f aca="false">LOOKUP(N157,$E$23:$E$26,$A$23:$A$26)+LOOKUP(N157,$E$23:$E$26,$D$23:$D$26)*(N157-LOOKUP(N157,$E$23:$E$26))/LOOKUP(N157,$E$23:$E$26,$C$23:$C$26)</f>
        <v>4.489809427231</v>
      </c>
      <c r="AE157" s="16" t="n">
        <f aca="false">LOOKUP(O157,$E$23:$E$26,$A$23:$A$26)+LOOKUP(O157,$E$23:$E$26,$D$23:$D$26)*(O157-LOOKUP(O157,$E$23:$E$26))/LOOKUP(O157,$E$23:$E$26,$C$23:$C$26)</f>
        <v>5.37898090727869</v>
      </c>
      <c r="AF157" s="16" t="n">
        <f aca="false">LOOKUP(P157,$E$23:$E$26,$A$23:$A$26)+LOOKUP(P157,$E$23:$E$26,$D$23:$D$26)*(P157-LOOKUP(P157,$E$23:$E$26))/LOOKUP(P157,$E$23:$E$26,$C$23:$C$26)</f>
        <v>5.10803627815334</v>
      </c>
      <c r="AG157" s="16" t="n">
        <f aca="false">LOOKUP(Q157,$E$23:$E$26,$A$23:$A$26)+LOOKUP(Q157,$E$23:$E$26,$D$23:$D$26)*(Q157-LOOKUP(Q157,$E$23:$E$26))/LOOKUP(Q157,$E$23:$E$26,$C$23:$C$26)</f>
        <v>5.11105491116037</v>
      </c>
      <c r="AH157" s="16" t="n">
        <f aca="false">LOOKUP(R157,$E$23:$E$26,$A$23:$A$26)+LOOKUP(R157,$E$23:$E$26,$D$23:$D$26)*(R157-LOOKUP(R157,$E$23:$E$26))/LOOKUP(R157,$E$23:$E$26,$C$23:$C$26)</f>
        <v>5.24209005218556</v>
      </c>
      <c r="AI157" s="16" t="n">
        <f aca="false">LOOKUP(S157,$E$23:$E$26,$A$23:$A$26)+LOOKUP(S157,$E$23:$E$26,$D$23:$D$26)*(S157-LOOKUP(S157,$E$23:$E$26))/LOOKUP(S157,$E$23:$E$26,$C$23:$C$26)</f>
        <v>4.24742284744366</v>
      </c>
      <c r="AJ157" s="16" t="n">
        <f aca="false">SUM($T157:T157)</f>
        <v>4.20512593734827</v>
      </c>
      <c r="AK157" s="16" t="n">
        <f aca="false">SUM($T157:U157)</f>
        <v>8.98755790352171</v>
      </c>
      <c r="AL157" s="16" t="n">
        <f aca="false">SUM($T157:V157)</f>
        <v>13.8914918044045</v>
      </c>
      <c r="AM157" s="16" t="n">
        <f aca="false">SUM($T157:W157)</f>
        <v>18.6732724463931</v>
      </c>
      <c r="AN157" s="16" t="n">
        <f aca="false">SUM($T157:X157)</f>
        <v>22.7911198103063</v>
      </c>
      <c r="AO157" s="16" t="n">
        <f aca="false">SUM($T157:Y157)</f>
        <v>26.997922424363</v>
      </c>
      <c r="AP157" s="16" t="n">
        <f aca="false">SUM($T157:Z157)</f>
        <v>32.1103696657097</v>
      </c>
      <c r="AQ157" s="16" t="n">
        <f aca="false">SUM($T157:AA157)</f>
        <v>37.1980268982409</v>
      </c>
      <c r="AR157" s="16" t="n">
        <f aca="false">SUM($T157:AB157)</f>
        <v>41.4484417925505</v>
      </c>
      <c r="AS157" s="16" t="n">
        <f aca="false">SUM($T157:AC157)</f>
        <v>46.9177828807603</v>
      </c>
      <c r="AT157" s="16" t="n">
        <f aca="false">SUM($T157:AD157)</f>
        <v>51.4075923079913</v>
      </c>
      <c r="AU157" s="16" t="n">
        <f aca="false">SUM($T157:AE157)</f>
        <v>56.78657321527</v>
      </c>
      <c r="AV157" s="16" t="n">
        <f aca="false">SUM($T157:AF157)</f>
        <v>61.8946094934234</v>
      </c>
      <c r="AW157" s="16" t="n">
        <f aca="false">SUM($T157:AG157)</f>
        <v>67.0056644045837</v>
      </c>
      <c r="AX157" s="16" t="n">
        <f aca="false">SUM($T157:AH157)</f>
        <v>72.2477544567693</v>
      </c>
      <c r="AY157" s="16" t="n">
        <f aca="false">SUM($T157:AI157)</f>
        <v>76.495177304213</v>
      </c>
      <c r="AZ157" s="16" t="n">
        <f aca="false">MAX(C157-AJ157,0)</f>
        <v>53.0239105497157</v>
      </c>
      <c r="BA157" s="16" t="n">
        <f aca="false">MAX(C157-AK157,0)</f>
        <v>48.2414785835423</v>
      </c>
      <c r="BB157" s="16" t="n">
        <f aca="false">MAX(C157-AL157,0)</f>
        <v>43.3375446826595</v>
      </c>
      <c r="BC157" s="16" t="n">
        <f aca="false">MAX(C157-AM157,0)</f>
        <v>38.5557640406708</v>
      </c>
      <c r="BD157" s="16" t="n">
        <f aca="false">MAX(C157-AN157,0)</f>
        <v>34.4379166767576</v>
      </c>
      <c r="BE157" s="16" t="n">
        <f aca="false">MAX(C157-AO157,0)</f>
        <v>30.2311140627009</v>
      </c>
      <c r="BF157" s="16" t="n">
        <f aca="false">MAX(C157-AP157,0)</f>
        <v>25.1186668213543</v>
      </c>
      <c r="BG157" s="16" t="n">
        <f aca="false">MAX(C157-AQ157,0)</f>
        <v>20.0310095888231</v>
      </c>
      <c r="BH157" s="16" t="n">
        <f aca="false">MAX(C157-AR157,0)</f>
        <v>15.7805946945135</v>
      </c>
      <c r="BI157" s="16" t="n">
        <f aca="false">MAX(C157-AS157,0)</f>
        <v>10.3112536063036</v>
      </c>
      <c r="BJ157" s="16" t="n">
        <f aca="false">MAX(C157-AT157,0)</f>
        <v>5.82144417907263</v>
      </c>
      <c r="BK157" s="16" t="n">
        <f aca="false">MAX(C157-AU157,0)</f>
        <v>0.44246327179394</v>
      </c>
      <c r="BL157" s="16" t="n">
        <f aca="false">MAX(C157-AV157,0)</f>
        <v>0</v>
      </c>
      <c r="BM157" s="16" t="n">
        <f aca="false">MAX(C157-AW157,0)</f>
        <v>0</v>
      </c>
      <c r="BN157" s="16" t="n">
        <f aca="false">MAX(C157-AX157,0)</f>
        <v>0</v>
      </c>
      <c r="BO157" s="16" t="n">
        <f aca="false">MAX(C157-AY157,0)</f>
        <v>0</v>
      </c>
    </row>
    <row r="158" customFormat="false" ht="15" hidden="false" customHeight="false" outlineLevel="0" collapsed="false">
      <c r="A158" s="3" t="n">
        <v>128</v>
      </c>
      <c r="B158" s="15" t="n">
        <f aca="true">RAND()</f>
        <v>0.315343983722983</v>
      </c>
      <c r="C158" s="16" t="n">
        <f aca="false">LOOKUP(B158,$E$12:$E$17,$A$12:$A$17)+LOOKUP(B158,$E$12:$E$17,$D$12:$D$17)*(B158-LOOKUP(B158,$E$12:$E$17))/LOOKUP(B158,$E$12:$E$17,$C$12:$C$17)</f>
        <v>61.0890663953831</v>
      </c>
      <c r="D158" s="15" t="n">
        <f aca="true">RAND()</f>
        <v>0.734531085969569</v>
      </c>
      <c r="E158" s="15" t="n">
        <f aca="true">RAND()</f>
        <v>0.154710934229404</v>
      </c>
      <c r="F158" s="15" t="n">
        <f aca="true">RAND()</f>
        <v>0.89553164173227</v>
      </c>
      <c r="G158" s="15" t="n">
        <f aca="true">RAND()</f>
        <v>0.235032425328335</v>
      </c>
      <c r="H158" s="15" t="n">
        <f aca="true">RAND()</f>
        <v>0.0852320181449358</v>
      </c>
      <c r="I158" s="15" t="n">
        <f aca="true">RAND()</f>
        <v>0.235602043191655</v>
      </c>
      <c r="J158" s="15" t="n">
        <f aca="true">RAND()</f>
        <v>0.6078651199709</v>
      </c>
      <c r="K158" s="15" t="n">
        <f aca="true">RAND()</f>
        <v>0.517519878499197</v>
      </c>
      <c r="L158" s="15" t="n">
        <f aca="true">RAND()</f>
        <v>0.607173162510553</v>
      </c>
      <c r="M158" s="15" t="n">
        <f aca="true">RAND()</f>
        <v>0.280896581265005</v>
      </c>
      <c r="N158" s="15" t="n">
        <f aca="true">RAND()</f>
        <v>0.675595649218493</v>
      </c>
      <c r="O158" s="15" t="n">
        <f aca="true">RAND()</f>
        <v>0.894107737692045</v>
      </c>
      <c r="P158" s="15" t="n">
        <f aca="true">RAND()</f>
        <v>0.683671235881291</v>
      </c>
      <c r="Q158" s="15" t="n">
        <f aca="true">RAND()</f>
        <v>0.711498903629915</v>
      </c>
      <c r="R158" s="15" t="n">
        <f aca="true">RAND()</f>
        <v>0.967952922173099</v>
      </c>
      <c r="S158" s="15" t="n">
        <f aca="true">RAND()</f>
        <v>0.0957531060950343</v>
      </c>
      <c r="T158" s="16" t="n">
        <f aca="false">LOOKUP(D158,$E$23:$E$26,$A$23:$A$26)+LOOKUP(D158,$E$23:$E$26,$D$23:$D$26)*(D158-LOOKUP(D158,$E$23:$E$26))/LOOKUP(D158,$E$23:$E$26,$C$23:$C$26)</f>
        <v>5.08632771492392</v>
      </c>
      <c r="U158" s="16" t="n">
        <f aca="false">LOOKUP(E158,$E$23:$E$26,$A$23:$A$26)+LOOKUP(E158,$E$23:$E$26,$D$23:$D$26)*(E158-LOOKUP(E158,$E$23:$E$26))/LOOKUP(E158,$E$23:$E$26,$C$23:$C$26)</f>
        <v>4.25785155704901</v>
      </c>
      <c r="V158" s="16" t="n">
        <f aca="false">LOOKUP(F158,$E$23:$E$26,$A$23:$A$26)+LOOKUP(F158,$E$23:$E$26,$D$23:$D$26)*(F158-LOOKUP(F158,$E$23:$E$26))/LOOKUP(F158,$E$23:$E$26,$C$23:$C$26)</f>
        <v>5.48882910433068</v>
      </c>
      <c r="W158" s="16" t="n">
        <f aca="false">LOOKUP(G158,$E$23:$E$26,$A$23:$A$26)+LOOKUP(G158,$E$23:$E$26,$D$23:$D$26)*(G158-LOOKUP(G158,$E$23:$E$26))/LOOKUP(G158,$E$23:$E$26,$C$23:$C$26)</f>
        <v>4.39172070888056</v>
      </c>
      <c r="X158" s="16" t="n">
        <f aca="false">LOOKUP(H158,$E$23:$E$26,$A$23:$A$26)+LOOKUP(H158,$E$23:$E$26,$D$23:$D$26)*(H158-LOOKUP(H158,$E$23:$E$26))/LOOKUP(H158,$E$23:$E$26,$C$23:$C$26)</f>
        <v>4.14205336357489</v>
      </c>
      <c r="Y158" s="16" t="n">
        <f aca="false">LOOKUP(I158,$E$23:$E$26,$A$23:$A$26)+LOOKUP(I158,$E$23:$E$26,$D$23:$D$26)*(I158-LOOKUP(I158,$E$23:$E$26))/LOOKUP(I158,$E$23:$E$26,$C$23:$C$26)</f>
        <v>4.39267007198609</v>
      </c>
      <c r="Z158" s="16" t="n">
        <f aca="false">LOOKUP(J158,$E$23:$E$26,$A$23:$A$26)+LOOKUP(J158,$E$23:$E$26,$D$23:$D$26)*(J158-LOOKUP(J158,$E$23:$E$26))/LOOKUP(J158,$E$23:$E$26,$C$23:$C$26)</f>
        <v>4.88483139996363</v>
      </c>
      <c r="AA158" s="16" t="n">
        <f aca="false">LOOKUP(K158,$E$23:$E$26,$A$23:$A$26)+LOOKUP(K158,$E$23:$E$26,$D$23:$D$26)*(K158-LOOKUP(K158,$E$23:$E$26))/LOOKUP(K158,$E$23:$E$26,$C$23:$C$26)</f>
        <v>4.771899848124</v>
      </c>
      <c r="AB158" s="16" t="n">
        <f aca="false">LOOKUP(L158,$E$23:$E$26,$A$23:$A$26)+LOOKUP(L158,$E$23:$E$26,$D$23:$D$26)*(L158-LOOKUP(L158,$E$23:$E$26))/LOOKUP(L158,$E$23:$E$26,$C$23:$C$26)</f>
        <v>4.88396645313819</v>
      </c>
      <c r="AC158" s="16" t="n">
        <f aca="false">LOOKUP(M158,$E$23:$E$26,$A$23:$A$26)+LOOKUP(M158,$E$23:$E$26,$D$23:$D$26)*(M158-LOOKUP(M158,$E$23:$E$26))/LOOKUP(M158,$E$23:$E$26,$C$23:$C$26)</f>
        <v>4.46816096877501</v>
      </c>
      <c r="AD158" s="16" t="n">
        <f aca="false">LOOKUP(N158,$E$23:$E$26,$A$23:$A$26)+LOOKUP(N158,$E$23:$E$26,$D$23:$D$26)*(N158-LOOKUP(N158,$E$23:$E$26))/LOOKUP(N158,$E$23:$E$26,$C$23:$C$26)</f>
        <v>4.96949456152312</v>
      </c>
      <c r="AE158" s="16" t="n">
        <f aca="false">LOOKUP(O158,$E$23:$E$26,$A$23:$A$26)+LOOKUP(O158,$E$23:$E$26,$D$23:$D$26)*(O158-LOOKUP(O158,$E$23:$E$26))/LOOKUP(O158,$E$23:$E$26,$C$23:$C$26)</f>
        <v>5.48526934423011</v>
      </c>
      <c r="AF158" s="16" t="n">
        <f aca="false">LOOKUP(P158,$E$23:$E$26,$A$23:$A$26)+LOOKUP(P158,$E$23:$E$26,$D$23:$D$26)*(P158-LOOKUP(P158,$E$23:$E$26))/LOOKUP(P158,$E$23:$E$26,$C$23:$C$26)</f>
        <v>4.97958904485161</v>
      </c>
      <c r="AG158" s="16" t="n">
        <f aca="false">LOOKUP(Q158,$E$23:$E$26,$A$23:$A$26)+LOOKUP(Q158,$E$23:$E$26,$D$23:$D$26)*(Q158-LOOKUP(Q158,$E$23:$E$26))/LOOKUP(Q158,$E$23:$E$26,$C$23:$C$26)</f>
        <v>5.02874725907479</v>
      </c>
      <c r="AH158" s="16" t="n">
        <f aca="false">LOOKUP(R158,$E$23:$E$26,$A$23:$A$26)+LOOKUP(R158,$E$23:$E$26,$D$23:$D$26)*(R158-LOOKUP(R158,$E$23:$E$26))/LOOKUP(R158,$E$23:$E$26,$C$23:$C$26)</f>
        <v>5.83976461086549</v>
      </c>
      <c r="AI158" s="16" t="n">
        <f aca="false">LOOKUP(S158,$E$23:$E$26,$A$23:$A$26)+LOOKUP(S158,$E$23:$E$26,$D$23:$D$26)*(S158-LOOKUP(S158,$E$23:$E$26))/LOOKUP(S158,$E$23:$E$26,$C$23:$C$26)</f>
        <v>4.15958851015839</v>
      </c>
      <c r="AJ158" s="16" t="n">
        <f aca="false">SUM($T158:T158)</f>
        <v>5.08632771492392</v>
      </c>
      <c r="AK158" s="16" t="n">
        <f aca="false">SUM($T158:U158)</f>
        <v>9.34417927197293</v>
      </c>
      <c r="AL158" s="16" t="n">
        <f aca="false">SUM($T158:V158)</f>
        <v>14.8330083763036</v>
      </c>
      <c r="AM158" s="16" t="n">
        <f aca="false">SUM($T158:W158)</f>
        <v>19.2247290851842</v>
      </c>
      <c r="AN158" s="16" t="n">
        <f aca="false">SUM($T158:X158)</f>
        <v>23.3667824487591</v>
      </c>
      <c r="AO158" s="16" t="n">
        <f aca="false">SUM($T158:Y158)</f>
        <v>27.7594525207451</v>
      </c>
      <c r="AP158" s="16" t="n">
        <f aca="false">SUM($T158:Z158)</f>
        <v>32.6442839207088</v>
      </c>
      <c r="AQ158" s="16" t="n">
        <f aca="false">SUM($T158:AA158)</f>
        <v>37.4161837688328</v>
      </c>
      <c r="AR158" s="16" t="n">
        <f aca="false">SUM($T158:AB158)</f>
        <v>42.300150221971</v>
      </c>
      <c r="AS158" s="16" t="n">
        <f aca="false">SUM($T158:AC158)</f>
        <v>46.768311190746</v>
      </c>
      <c r="AT158" s="16" t="n">
        <f aca="false">SUM($T158:AD158)</f>
        <v>51.7378057522691</v>
      </c>
      <c r="AU158" s="16" t="n">
        <f aca="false">SUM($T158:AE158)</f>
        <v>57.2230750964992</v>
      </c>
      <c r="AV158" s="16" t="n">
        <f aca="false">SUM($T158:AF158)</f>
        <v>62.2026641413508</v>
      </c>
      <c r="AW158" s="16" t="n">
        <f aca="false">SUM($T158:AG158)</f>
        <v>67.2314114004256</v>
      </c>
      <c r="AX158" s="16" t="n">
        <f aca="false">SUM($T158:AH158)</f>
        <v>73.0711760112911</v>
      </c>
      <c r="AY158" s="16" t="n">
        <f aca="false">SUM($T158:AI158)</f>
        <v>77.2307645214495</v>
      </c>
      <c r="AZ158" s="16" t="n">
        <f aca="false">MAX(C158-AJ158,0)</f>
        <v>56.0027386804591</v>
      </c>
      <c r="BA158" s="16" t="n">
        <f aca="false">MAX(C158-AK158,0)</f>
        <v>51.7448871234101</v>
      </c>
      <c r="BB158" s="16" t="n">
        <f aca="false">MAX(C158-AL158,0)</f>
        <v>46.2560580190795</v>
      </c>
      <c r="BC158" s="16" t="n">
        <f aca="false">MAX(C158-AM158,0)</f>
        <v>41.8643373101989</v>
      </c>
      <c r="BD158" s="16" t="n">
        <f aca="false">MAX(C158-AN158,0)</f>
        <v>37.722283946624</v>
      </c>
      <c r="BE158" s="16" t="n">
        <f aca="false">MAX(C158-AO158,0)</f>
        <v>33.3296138746379</v>
      </c>
      <c r="BF158" s="16" t="n">
        <f aca="false">MAX(C158-AP158,0)</f>
        <v>28.4447824746743</v>
      </c>
      <c r="BG158" s="16" t="n">
        <f aca="false">MAX(C158-AQ158,0)</f>
        <v>23.6728826265503</v>
      </c>
      <c r="BH158" s="16" t="n">
        <f aca="false">MAX(C158-AR158,0)</f>
        <v>18.7889161734121</v>
      </c>
      <c r="BI158" s="16" t="n">
        <f aca="false">MAX(C158-AS158,0)</f>
        <v>14.3207552046371</v>
      </c>
      <c r="BJ158" s="16" t="n">
        <f aca="false">MAX(C158-AT158,0)</f>
        <v>9.35126064311397</v>
      </c>
      <c r="BK158" s="16" t="n">
        <f aca="false">MAX(C158-AU158,0)</f>
        <v>3.86599129888386</v>
      </c>
      <c r="BL158" s="16" t="n">
        <f aca="false">MAX(C158-AV158,0)</f>
        <v>0</v>
      </c>
      <c r="BM158" s="16" t="n">
        <f aca="false">MAX(C158-AW158,0)</f>
        <v>0</v>
      </c>
      <c r="BN158" s="16" t="n">
        <f aca="false">MAX(C158-AX158,0)</f>
        <v>0</v>
      </c>
      <c r="BO158" s="16" t="n">
        <f aca="false">MAX(C158-AY158,0)</f>
        <v>0</v>
      </c>
    </row>
    <row r="159" customFormat="false" ht="15" hidden="false" customHeight="false" outlineLevel="0" collapsed="false">
      <c r="A159" s="3" t="n">
        <v>129</v>
      </c>
      <c r="B159" s="15" t="n">
        <f aca="true">RAND()</f>
        <v>0.933044482430833</v>
      </c>
      <c r="C159" s="16" t="n">
        <f aca="false">LOOKUP(B159,$E$12:$E$17,$A$12:$A$17)+LOOKUP(B159,$E$12:$E$17,$D$12:$D$17)*(B159-LOOKUP(B159,$E$12:$E$17))/LOOKUP(B159,$E$12:$E$17,$C$12:$C$17)</f>
        <v>77.0652801519271</v>
      </c>
      <c r="D159" s="15" t="n">
        <f aca="true">RAND()</f>
        <v>0.31339709957511</v>
      </c>
      <c r="E159" s="15" t="n">
        <f aca="true">RAND()</f>
        <v>0.167079506811437</v>
      </c>
      <c r="F159" s="15" t="n">
        <f aca="true">RAND()</f>
        <v>0.0410892523852143</v>
      </c>
      <c r="G159" s="15" t="n">
        <f aca="true">RAND()</f>
        <v>0.0326004710873612</v>
      </c>
      <c r="H159" s="15" t="n">
        <f aca="true">RAND()</f>
        <v>0.112195589788352</v>
      </c>
      <c r="I159" s="15" t="n">
        <f aca="true">RAND()</f>
        <v>0.914503070660377</v>
      </c>
      <c r="J159" s="15" t="n">
        <f aca="true">RAND()</f>
        <v>0.972622221407806</v>
      </c>
      <c r="K159" s="15" t="n">
        <f aca="true">RAND()</f>
        <v>0.564083807956085</v>
      </c>
      <c r="L159" s="15" t="n">
        <f aca="true">RAND()</f>
        <v>0.19193463490794</v>
      </c>
      <c r="M159" s="15" t="n">
        <f aca="true">RAND()</f>
        <v>0.653950637067011</v>
      </c>
      <c r="N159" s="15" t="n">
        <f aca="true">RAND()</f>
        <v>0.230703852360931</v>
      </c>
      <c r="O159" s="15" t="n">
        <f aca="true">RAND()</f>
        <v>0.342479421553404</v>
      </c>
      <c r="P159" s="15" t="n">
        <f aca="true">RAND()</f>
        <v>0.438323749844259</v>
      </c>
      <c r="Q159" s="15" t="n">
        <f aca="true">RAND()</f>
        <v>0.938463244613245</v>
      </c>
      <c r="R159" s="15" t="n">
        <f aca="true">RAND()</f>
        <v>0.146892554150876</v>
      </c>
      <c r="S159" s="15" t="n">
        <f aca="true">RAND()</f>
        <v>0.695835468722155</v>
      </c>
      <c r="T159" s="16" t="n">
        <f aca="false">LOOKUP(D159,$E$23:$E$26,$A$23:$A$26)+LOOKUP(D159,$E$23:$E$26,$D$23:$D$26)*(D159-LOOKUP(D159,$E$23:$E$26))/LOOKUP(D159,$E$23:$E$26,$C$23:$C$26)</f>
        <v>4.51674637446889</v>
      </c>
      <c r="U159" s="16" t="n">
        <f aca="false">LOOKUP(E159,$E$23:$E$26,$A$23:$A$26)+LOOKUP(E159,$E$23:$E$26,$D$23:$D$26)*(E159-LOOKUP(E159,$E$23:$E$26))/LOOKUP(E159,$E$23:$E$26,$C$23:$C$26)</f>
        <v>4.27846584468573</v>
      </c>
      <c r="V159" s="16" t="n">
        <f aca="false">LOOKUP(F159,$E$23:$E$26,$A$23:$A$26)+LOOKUP(F159,$E$23:$E$26,$D$23:$D$26)*(F159-LOOKUP(F159,$E$23:$E$26))/LOOKUP(F159,$E$23:$E$26,$C$23:$C$26)</f>
        <v>4.06848208730869</v>
      </c>
      <c r="W159" s="16" t="n">
        <f aca="false">LOOKUP(G159,$E$23:$E$26,$A$23:$A$26)+LOOKUP(G159,$E$23:$E$26,$D$23:$D$26)*(G159-LOOKUP(G159,$E$23:$E$26))/LOOKUP(G159,$E$23:$E$26,$C$23:$C$26)</f>
        <v>4.05433411847894</v>
      </c>
      <c r="X159" s="16" t="n">
        <f aca="false">LOOKUP(H159,$E$23:$E$26,$A$23:$A$26)+LOOKUP(H159,$E$23:$E$26,$D$23:$D$26)*(H159-LOOKUP(H159,$E$23:$E$26))/LOOKUP(H159,$E$23:$E$26,$C$23:$C$26)</f>
        <v>4.18699264964725</v>
      </c>
      <c r="Y159" s="16" t="n">
        <f aca="false">LOOKUP(I159,$E$23:$E$26,$A$23:$A$26)+LOOKUP(I159,$E$23:$E$26,$D$23:$D$26)*(I159-LOOKUP(I159,$E$23:$E$26))/LOOKUP(I159,$E$23:$E$26,$C$23:$C$26)</f>
        <v>5.57251535330189</v>
      </c>
      <c r="Z159" s="16" t="n">
        <f aca="false">LOOKUP(J159,$E$23:$E$26,$A$23:$A$26)+LOOKUP(J159,$E$23:$E$26,$D$23:$D$26)*(J159-LOOKUP(J159,$E$23:$E$26))/LOOKUP(J159,$E$23:$E$26,$C$23:$C$26)</f>
        <v>5.86311110703903</v>
      </c>
      <c r="AA159" s="16" t="n">
        <f aca="false">LOOKUP(K159,$E$23:$E$26,$A$23:$A$26)+LOOKUP(K159,$E$23:$E$26,$D$23:$D$26)*(K159-LOOKUP(K159,$E$23:$E$26))/LOOKUP(K159,$E$23:$E$26,$C$23:$C$26)</f>
        <v>4.83010475994511</v>
      </c>
      <c r="AB159" s="16" t="n">
        <f aca="false">LOOKUP(L159,$E$23:$E$26,$A$23:$A$26)+LOOKUP(L159,$E$23:$E$26,$D$23:$D$26)*(L159-LOOKUP(L159,$E$23:$E$26))/LOOKUP(L159,$E$23:$E$26,$C$23:$C$26)</f>
        <v>4.3198910581799</v>
      </c>
      <c r="AC159" s="16" t="n">
        <f aca="false">LOOKUP(M159,$E$23:$E$26,$A$23:$A$26)+LOOKUP(M159,$E$23:$E$26,$D$23:$D$26)*(M159-LOOKUP(M159,$E$23:$E$26))/LOOKUP(M159,$E$23:$E$26,$C$23:$C$26)</f>
        <v>4.94243829633376</v>
      </c>
      <c r="AD159" s="16" t="n">
        <f aca="false">LOOKUP(N159,$E$23:$E$26,$A$23:$A$26)+LOOKUP(N159,$E$23:$E$26,$D$23:$D$26)*(N159-LOOKUP(N159,$E$23:$E$26))/LOOKUP(N159,$E$23:$E$26,$C$23:$C$26)</f>
        <v>4.38450642060155</v>
      </c>
      <c r="AE159" s="16" t="n">
        <f aca="false">LOOKUP(O159,$E$23:$E$26,$A$23:$A$26)+LOOKUP(O159,$E$23:$E$26,$D$23:$D$26)*(O159-LOOKUP(O159,$E$23:$E$26))/LOOKUP(O159,$E$23:$E$26,$C$23:$C$26)</f>
        <v>4.55309927694176</v>
      </c>
      <c r="AF159" s="16" t="n">
        <f aca="false">LOOKUP(P159,$E$23:$E$26,$A$23:$A$26)+LOOKUP(P159,$E$23:$E$26,$D$23:$D$26)*(P159-LOOKUP(P159,$E$23:$E$26))/LOOKUP(P159,$E$23:$E$26,$C$23:$C$26)</f>
        <v>4.67290468730532</v>
      </c>
      <c r="AG159" s="16" t="n">
        <f aca="false">LOOKUP(Q159,$E$23:$E$26,$A$23:$A$26)+LOOKUP(Q159,$E$23:$E$26,$D$23:$D$26)*(Q159-LOOKUP(Q159,$E$23:$E$26))/LOOKUP(Q159,$E$23:$E$26,$C$23:$C$26)</f>
        <v>5.69231622306623</v>
      </c>
      <c r="AH159" s="16" t="n">
        <f aca="false">LOOKUP(R159,$E$23:$E$26,$A$23:$A$26)+LOOKUP(R159,$E$23:$E$26,$D$23:$D$26)*(R159-LOOKUP(R159,$E$23:$E$26))/LOOKUP(R159,$E$23:$E$26,$C$23:$C$26)</f>
        <v>4.24482092358479</v>
      </c>
      <c r="AI159" s="16" t="n">
        <f aca="false">LOOKUP(S159,$E$23:$E$26,$A$23:$A$26)+LOOKUP(S159,$E$23:$E$26,$D$23:$D$26)*(S159-LOOKUP(S159,$E$23:$E$26))/LOOKUP(S159,$E$23:$E$26,$C$23:$C$26)</f>
        <v>4.99479433590269</v>
      </c>
      <c r="AJ159" s="16" t="n">
        <f aca="false">SUM($T159:T159)</f>
        <v>4.51674637446889</v>
      </c>
      <c r="AK159" s="16" t="n">
        <f aca="false">SUM($T159:U159)</f>
        <v>8.79521221915462</v>
      </c>
      <c r="AL159" s="16" t="n">
        <f aca="false">SUM($T159:V159)</f>
        <v>12.8636943064633</v>
      </c>
      <c r="AM159" s="16" t="n">
        <f aca="false">SUM($T159:W159)</f>
        <v>16.9180284249422</v>
      </c>
      <c r="AN159" s="16" t="n">
        <f aca="false">SUM($T159:X159)</f>
        <v>21.1050210745895</v>
      </c>
      <c r="AO159" s="16" t="n">
        <f aca="false">SUM($T159:Y159)</f>
        <v>26.6775364278914</v>
      </c>
      <c r="AP159" s="16" t="n">
        <f aca="false">SUM($T159:Z159)</f>
        <v>32.5406475349304</v>
      </c>
      <c r="AQ159" s="16" t="n">
        <f aca="false">SUM($T159:AA159)</f>
        <v>37.3707522948755</v>
      </c>
      <c r="AR159" s="16" t="n">
        <f aca="false">SUM($T159:AB159)</f>
        <v>41.6906433530554</v>
      </c>
      <c r="AS159" s="16" t="n">
        <f aca="false">SUM($T159:AC159)</f>
        <v>46.6330816493892</v>
      </c>
      <c r="AT159" s="16" t="n">
        <f aca="false">SUM($T159:AD159)</f>
        <v>51.0175880699907</v>
      </c>
      <c r="AU159" s="16" t="n">
        <f aca="false">SUM($T159:AE159)</f>
        <v>55.5706873469325</v>
      </c>
      <c r="AV159" s="16" t="n">
        <f aca="false">SUM($T159:AF159)</f>
        <v>60.2435920342378</v>
      </c>
      <c r="AW159" s="16" t="n">
        <f aca="false">SUM($T159:AG159)</f>
        <v>65.935908257304</v>
      </c>
      <c r="AX159" s="16" t="n">
        <f aca="false">SUM($T159:AH159)</f>
        <v>70.1807291808888</v>
      </c>
      <c r="AY159" s="16" t="n">
        <f aca="false">SUM($T159:AI159)</f>
        <v>75.1755235167915</v>
      </c>
      <c r="AZ159" s="16" t="n">
        <f aca="false">MAX(C159-AJ159,0)</f>
        <v>72.5485337774582</v>
      </c>
      <c r="BA159" s="16" t="n">
        <f aca="false">MAX(C159-AK159,0)</f>
        <v>68.2700679327725</v>
      </c>
      <c r="BB159" s="16" t="n">
        <f aca="false">MAX(C159-AL159,0)</f>
        <v>64.2015858454638</v>
      </c>
      <c r="BC159" s="16" t="n">
        <f aca="false">MAX(C159-AM159,0)</f>
        <v>60.1472517269848</v>
      </c>
      <c r="BD159" s="16" t="n">
        <f aca="false">MAX(C159-AN159,0)</f>
        <v>55.9602590773376</v>
      </c>
      <c r="BE159" s="16" t="n">
        <f aca="false">MAX(C159-AO159,0)</f>
        <v>50.3877437240357</v>
      </c>
      <c r="BF159" s="16" t="n">
        <f aca="false">MAX(C159-AP159,0)</f>
        <v>44.5246326169967</v>
      </c>
      <c r="BG159" s="16" t="n">
        <f aca="false">MAX(C159-AQ159,0)</f>
        <v>39.6945278570516</v>
      </c>
      <c r="BH159" s="16" t="n">
        <f aca="false">MAX(C159-AR159,0)</f>
        <v>35.3746367988717</v>
      </c>
      <c r="BI159" s="16" t="n">
        <f aca="false">MAX(C159-AS159,0)</f>
        <v>30.4321985025379</v>
      </c>
      <c r="BJ159" s="16" t="n">
        <f aca="false">MAX(C159-AT159,0)</f>
        <v>26.0476920819363</v>
      </c>
      <c r="BK159" s="16" t="n">
        <f aca="false">MAX(C159-AU159,0)</f>
        <v>21.4945928049946</v>
      </c>
      <c r="BL159" s="16" t="n">
        <f aca="false">MAX(C159-AV159,0)</f>
        <v>16.8216881176893</v>
      </c>
      <c r="BM159" s="16" t="n">
        <f aca="false">MAX(C159-AW159,0)</f>
        <v>11.129371894623</v>
      </c>
      <c r="BN159" s="16" t="n">
        <f aca="false">MAX(C159-AX159,0)</f>
        <v>6.88455097103825</v>
      </c>
      <c r="BO159" s="16" t="n">
        <f aca="false">MAX(C159-AY159,0)</f>
        <v>1.88975663513556</v>
      </c>
    </row>
    <row r="160" customFormat="false" ht="15" hidden="false" customHeight="false" outlineLevel="0" collapsed="false">
      <c r="A160" s="3" t="n">
        <v>130</v>
      </c>
      <c r="B160" s="15" t="n">
        <f aca="true">RAND()</f>
        <v>0.633375051106208</v>
      </c>
      <c r="C160" s="16" t="n">
        <f aca="false">LOOKUP(B160,$E$12:$E$17,$A$12:$A$17)+LOOKUP(B160,$E$12:$E$17,$D$12:$D$17)*(B160-LOOKUP(B160,$E$12:$E$17))/LOOKUP(B160,$E$12:$E$17,$C$12:$C$17)</f>
        <v>66.1910721586601</v>
      </c>
      <c r="D160" s="15" t="n">
        <f aca="true">RAND()</f>
        <v>0.284299052107421</v>
      </c>
      <c r="E160" s="15" t="n">
        <f aca="true">RAND()</f>
        <v>0.857419511468579</v>
      </c>
      <c r="F160" s="15" t="n">
        <f aca="true">RAND()</f>
        <v>0.131234180943574</v>
      </c>
      <c r="G160" s="15" t="n">
        <f aca="true">RAND()</f>
        <v>0.808880972957144</v>
      </c>
      <c r="H160" s="15" t="n">
        <f aca="true">RAND()</f>
        <v>0.854244216082961</v>
      </c>
      <c r="I160" s="15" t="n">
        <f aca="true">RAND()</f>
        <v>0.899096407646969</v>
      </c>
      <c r="J160" s="15" t="n">
        <f aca="true">RAND()</f>
        <v>0.572007952061861</v>
      </c>
      <c r="K160" s="15" t="n">
        <f aca="true">RAND()</f>
        <v>0.553104692060669</v>
      </c>
      <c r="L160" s="15" t="n">
        <f aca="true">RAND()</f>
        <v>0.248232458189712</v>
      </c>
      <c r="M160" s="15" t="n">
        <f aca="true">RAND()</f>
        <v>0.555178868358909</v>
      </c>
      <c r="N160" s="15" t="n">
        <f aca="true">RAND()</f>
        <v>0.622953066401903</v>
      </c>
      <c r="O160" s="15" t="n">
        <f aca="true">RAND()</f>
        <v>0.623064897854231</v>
      </c>
      <c r="P160" s="15" t="n">
        <f aca="true">RAND()</f>
        <v>0.61553072103963</v>
      </c>
      <c r="Q160" s="15" t="n">
        <f aca="true">RAND()</f>
        <v>0.0345810124069397</v>
      </c>
      <c r="R160" s="15" t="n">
        <f aca="true">RAND()</f>
        <v>0.184699821320531</v>
      </c>
      <c r="S160" s="15" t="n">
        <f aca="true">RAND()</f>
        <v>0.549286703259887</v>
      </c>
      <c r="T160" s="16" t="n">
        <f aca="false">LOOKUP(D160,$E$23:$E$26,$A$23:$A$26)+LOOKUP(D160,$E$23:$E$26,$D$23:$D$26)*(D160-LOOKUP(D160,$E$23:$E$26))/LOOKUP(D160,$E$23:$E$26,$C$23:$C$26)</f>
        <v>4.47383175351237</v>
      </c>
      <c r="U160" s="16" t="n">
        <f aca="false">LOOKUP(E160,$E$23:$E$26,$A$23:$A$26)+LOOKUP(E160,$E$23:$E$26,$D$23:$D$26)*(E160-LOOKUP(E160,$E$23:$E$26))/LOOKUP(E160,$E$23:$E$26,$C$23:$C$26)</f>
        <v>5.39354877867145</v>
      </c>
      <c r="V160" s="16" t="n">
        <f aca="false">LOOKUP(F160,$E$23:$E$26,$A$23:$A$26)+LOOKUP(F160,$E$23:$E$26,$D$23:$D$26)*(F160-LOOKUP(F160,$E$23:$E$26))/LOOKUP(F160,$E$23:$E$26,$C$23:$C$26)</f>
        <v>4.21872363490596</v>
      </c>
      <c r="W160" s="16" t="n">
        <f aca="false">LOOKUP(G160,$E$23:$E$26,$A$23:$A$26)+LOOKUP(G160,$E$23:$E$26,$D$23:$D$26)*(G160-LOOKUP(G160,$E$23:$E$26))/LOOKUP(G160,$E$23:$E$26,$C$23:$C$26)</f>
        <v>5.27220243239286</v>
      </c>
      <c r="X160" s="16" t="n">
        <f aca="false">LOOKUP(H160,$E$23:$E$26,$A$23:$A$26)+LOOKUP(H160,$E$23:$E$26,$D$23:$D$26)*(H160-LOOKUP(H160,$E$23:$E$26))/LOOKUP(H160,$E$23:$E$26,$C$23:$C$26)</f>
        <v>5.3856105402074</v>
      </c>
      <c r="Y160" s="16" t="n">
        <f aca="false">LOOKUP(I160,$E$23:$E$26,$A$23:$A$26)+LOOKUP(I160,$E$23:$E$26,$D$23:$D$26)*(I160-LOOKUP(I160,$E$23:$E$26))/LOOKUP(I160,$E$23:$E$26,$C$23:$C$26)</f>
        <v>5.49774101911742</v>
      </c>
      <c r="Z160" s="16" t="n">
        <f aca="false">LOOKUP(J160,$E$23:$E$26,$A$23:$A$26)+LOOKUP(J160,$E$23:$E$26,$D$23:$D$26)*(J160-LOOKUP(J160,$E$23:$E$26))/LOOKUP(J160,$E$23:$E$26,$C$23:$C$26)</f>
        <v>4.84000994007733</v>
      </c>
      <c r="AA160" s="16" t="n">
        <f aca="false">LOOKUP(K160,$E$23:$E$26,$A$23:$A$26)+LOOKUP(K160,$E$23:$E$26,$D$23:$D$26)*(K160-LOOKUP(K160,$E$23:$E$26))/LOOKUP(K160,$E$23:$E$26,$C$23:$C$26)</f>
        <v>4.81638086507584</v>
      </c>
      <c r="AB160" s="16" t="n">
        <f aca="false">LOOKUP(L160,$E$23:$E$26,$A$23:$A$26)+LOOKUP(L160,$E$23:$E$26,$D$23:$D$26)*(L160-LOOKUP(L160,$E$23:$E$26))/LOOKUP(L160,$E$23:$E$26,$C$23:$C$26)</f>
        <v>4.41372076364952</v>
      </c>
      <c r="AC160" s="16" t="n">
        <f aca="false">LOOKUP(M160,$E$23:$E$26,$A$23:$A$26)+LOOKUP(M160,$E$23:$E$26,$D$23:$D$26)*(M160-LOOKUP(M160,$E$23:$E$26))/LOOKUP(M160,$E$23:$E$26,$C$23:$C$26)</f>
        <v>4.81897358544864</v>
      </c>
      <c r="AD160" s="16" t="n">
        <f aca="false">LOOKUP(N160,$E$23:$E$26,$A$23:$A$26)+LOOKUP(N160,$E$23:$E$26,$D$23:$D$26)*(N160-LOOKUP(N160,$E$23:$E$26))/LOOKUP(N160,$E$23:$E$26,$C$23:$C$26)</f>
        <v>4.90369133300238</v>
      </c>
      <c r="AE160" s="16" t="n">
        <f aca="false">LOOKUP(O160,$E$23:$E$26,$A$23:$A$26)+LOOKUP(O160,$E$23:$E$26,$D$23:$D$26)*(O160-LOOKUP(O160,$E$23:$E$26))/LOOKUP(O160,$E$23:$E$26,$C$23:$C$26)</f>
        <v>4.90383112231779</v>
      </c>
      <c r="AF160" s="16" t="n">
        <f aca="false">LOOKUP(P160,$E$23:$E$26,$A$23:$A$26)+LOOKUP(P160,$E$23:$E$26,$D$23:$D$26)*(P160-LOOKUP(P160,$E$23:$E$26))/LOOKUP(P160,$E$23:$E$26,$C$23:$C$26)</f>
        <v>4.89441340129954</v>
      </c>
      <c r="AG160" s="16" t="n">
        <f aca="false">LOOKUP(Q160,$E$23:$E$26,$A$23:$A$26)+LOOKUP(Q160,$E$23:$E$26,$D$23:$D$26)*(Q160-LOOKUP(Q160,$E$23:$E$26))/LOOKUP(Q160,$E$23:$E$26,$C$23:$C$26)</f>
        <v>4.05763502067823</v>
      </c>
      <c r="AH160" s="16" t="n">
        <f aca="false">LOOKUP(R160,$E$23:$E$26,$A$23:$A$26)+LOOKUP(R160,$E$23:$E$26,$D$23:$D$26)*(R160-LOOKUP(R160,$E$23:$E$26))/LOOKUP(R160,$E$23:$E$26,$C$23:$C$26)</f>
        <v>4.30783303553422</v>
      </c>
      <c r="AI160" s="16" t="n">
        <f aca="false">LOOKUP(S160,$E$23:$E$26,$A$23:$A$26)+LOOKUP(S160,$E$23:$E$26,$D$23:$D$26)*(S160-LOOKUP(S160,$E$23:$E$26))/LOOKUP(S160,$E$23:$E$26,$C$23:$C$26)</f>
        <v>4.81160837907486</v>
      </c>
      <c r="AJ160" s="16" t="n">
        <f aca="false">SUM($T160:T160)</f>
        <v>4.47383175351237</v>
      </c>
      <c r="AK160" s="16" t="n">
        <f aca="false">SUM($T160:U160)</f>
        <v>9.86738053218381</v>
      </c>
      <c r="AL160" s="16" t="n">
        <f aca="false">SUM($T160:V160)</f>
        <v>14.0861041670898</v>
      </c>
      <c r="AM160" s="16" t="n">
        <f aca="false">SUM($T160:W160)</f>
        <v>19.3583065994826</v>
      </c>
      <c r="AN160" s="16" t="n">
        <f aca="false">SUM($T160:X160)</f>
        <v>24.74391713969</v>
      </c>
      <c r="AO160" s="16" t="n">
        <f aca="false">SUM($T160:Y160)</f>
        <v>30.2416581588075</v>
      </c>
      <c r="AP160" s="16" t="n">
        <f aca="false">SUM($T160:Z160)</f>
        <v>35.0816680988848</v>
      </c>
      <c r="AQ160" s="16" t="n">
        <f aca="false">SUM($T160:AA160)</f>
        <v>39.8980489639606</v>
      </c>
      <c r="AR160" s="16" t="n">
        <f aca="false">SUM($T160:AB160)</f>
        <v>44.3117697276101</v>
      </c>
      <c r="AS160" s="16" t="n">
        <f aca="false">SUM($T160:AC160)</f>
        <v>49.1307433130588</v>
      </c>
      <c r="AT160" s="16" t="n">
        <f aca="false">SUM($T160:AD160)</f>
        <v>54.0344346460612</v>
      </c>
      <c r="AU160" s="16" t="n">
        <f aca="false">SUM($T160:AE160)</f>
        <v>58.9382657683789</v>
      </c>
      <c r="AV160" s="16" t="n">
        <f aca="false">SUM($T160:AF160)</f>
        <v>63.8326791696785</v>
      </c>
      <c r="AW160" s="16" t="n">
        <f aca="false">SUM($T160:AG160)</f>
        <v>67.8903141903567</v>
      </c>
      <c r="AX160" s="16" t="n">
        <f aca="false">SUM($T160:AH160)</f>
        <v>72.1981472258909</v>
      </c>
      <c r="AY160" s="16" t="n">
        <f aca="false">SUM($T160:AI160)</f>
        <v>77.0097556049658</v>
      </c>
      <c r="AZ160" s="16" t="n">
        <f aca="false">MAX(C160-AJ160,0)</f>
        <v>61.7172404051477</v>
      </c>
      <c r="BA160" s="16" t="n">
        <f aca="false">MAX(C160-AK160,0)</f>
        <v>56.3236916264763</v>
      </c>
      <c r="BB160" s="16" t="n">
        <f aca="false">MAX(C160-AL160,0)</f>
        <v>52.1049679915703</v>
      </c>
      <c r="BC160" s="16" t="n">
        <f aca="false">MAX(C160-AM160,0)</f>
        <v>46.8327655591775</v>
      </c>
      <c r="BD160" s="16" t="n">
        <f aca="false">MAX(C160-AN160,0)</f>
        <v>41.4471550189701</v>
      </c>
      <c r="BE160" s="16" t="n">
        <f aca="false">MAX(C160-AO160,0)</f>
        <v>35.9494139998527</v>
      </c>
      <c r="BF160" s="16" t="n">
        <f aca="false">MAX(C160-AP160,0)</f>
        <v>31.1094040597753</v>
      </c>
      <c r="BG160" s="16" t="n">
        <f aca="false">MAX(C160-AQ160,0)</f>
        <v>26.2930231946995</v>
      </c>
      <c r="BH160" s="16" t="n">
        <f aca="false">MAX(C160-AR160,0)</f>
        <v>21.87930243105</v>
      </c>
      <c r="BI160" s="16" t="n">
        <f aca="false">MAX(C160-AS160,0)</f>
        <v>17.0603288456013</v>
      </c>
      <c r="BJ160" s="16" t="n">
        <f aca="false">MAX(C160-AT160,0)</f>
        <v>12.156637512599</v>
      </c>
      <c r="BK160" s="16" t="n">
        <f aca="false">MAX(C160-AU160,0)</f>
        <v>7.25280639028117</v>
      </c>
      <c r="BL160" s="16" t="n">
        <f aca="false">MAX(C160-AV160,0)</f>
        <v>2.35839298898163</v>
      </c>
      <c r="BM160" s="16" t="n">
        <f aca="false">MAX(C160-AW160,0)</f>
        <v>0</v>
      </c>
      <c r="BN160" s="16" t="n">
        <f aca="false">MAX(C160-AX160,0)</f>
        <v>0</v>
      </c>
      <c r="BO160" s="16" t="n">
        <f aca="false">MAX(C160-AY160,0)</f>
        <v>0</v>
      </c>
    </row>
    <row r="161" customFormat="false" ht="15" hidden="false" customHeight="false" outlineLevel="0" collapsed="false">
      <c r="A161" s="3" t="n">
        <v>131</v>
      </c>
      <c r="B161" s="15" t="n">
        <f aca="true">RAND()</f>
        <v>0.161683911909381</v>
      </c>
      <c r="C161" s="16" t="n">
        <f aca="false">LOOKUP(B161,$E$12:$E$17,$A$12:$A$17)+LOOKUP(B161,$E$12:$E$17,$D$12:$D$17)*(B161-LOOKUP(B161,$E$12:$E$17))/LOOKUP(B161,$E$12:$E$17,$C$12:$C$17)</f>
        <v>57.0561303969794</v>
      </c>
      <c r="D161" s="15" t="n">
        <f aca="true">RAND()</f>
        <v>0.499838946565314</v>
      </c>
      <c r="E161" s="15" t="n">
        <f aca="true">RAND()</f>
        <v>0.560898240637441</v>
      </c>
      <c r="F161" s="15" t="n">
        <f aca="true">RAND()</f>
        <v>0.758339963450534</v>
      </c>
      <c r="G161" s="15" t="n">
        <f aca="true">RAND()</f>
        <v>0.982136404420217</v>
      </c>
      <c r="H161" s="15" t="n">
        <f aca="true">RAND()</f>
        <v>0.410910084284971</v>
      </c>
      <c r="I161" s="15" t="n">
        <f aca="true">RAND()</f>
        <v>0.604367420132777</v>
      </c>
      <c r="J161" s="15" t="n">
        <f aca="true">RAND()</f>
        <v>0.335022802426427</v>
      </c>
      <c r="K161" s="15" t="n">
        <f aca="true">RAND()</f>
        <v>0.532219509766459</v>
      </c>
      <c r="L161" s="15" t="n">
        <f aca="true">RAND()</f>
        <v>0.840603733758663</v>
      </c>
      <c r="M161" s="15" t="n">
        <f aca="true">RAND()</f>
        <v>0.926818777765176</v>
      </c>
      <c r="N161" s="15" t="n">
        <f aca="true">RAND()</f>
        <v>0.0992855958413011</v>
      </c>
      <c r="O161" s="15" t="n">
        <f aca="true">RAND()</f>
        <v>0.573166876468444</v>
      </c>
      <c r="P161" s="15" t="n">
        <f aca="true">RAND()</f>
        <v>0.26046159105916</v>
      </c>
      <c r="Q161" s="15" t="n">
        <f aca="true">RAND()</f>
        <v>0.563008724208975</v>
      </c>
      <c r="R161" s="15" t="n">
        <f aca="true">RAND()</f>
        <v>0.1409523743221</v>
      </c>
      <c r="S161" s="15" t="n">
        <f aca="true">RAND()</f>
        <v>0.271140709457833</v>
      </c>
      <c r="T161" s="16" t="n">
        <f aca="false">LOOKUP(D161,$E$23:$E$26,$A$23:$A$26)+LOOKUP(D161,$E$23:$E$26,$D$23:$D$26)*(D161-LOOKUP(D161,$E$23:$E$26))/LOOKUP(D161,$E$23:$E$26,$C$23:$C$26)</f>
        <v>4.74979868320664</v>
      </c>
      <c r="U161" s="16" t="n">
        <f aca="false">LOOKUP(E161,$E$23:$E$26,$A$23:$A$26)+LOOKUP(E161,$E$23:$E$26,$D$23:$D$26)*(E161-LOOKUP(E161,$E$23:$E$26))/LOOKUP(E161,$E$23:$E$26,$C$23:$C$26)</f>
        <v>4.8261228007968</v>
      </c>
      <c r="V161" s="16" t="n">
        <f aca="false">LOOKUP(F161,$E$23:$E$26,$A$23:$A$26)+LOOKUP(F161,$E$23:$E$26,$D$23:$D$26)*(F161-LOOKUP(F161,$E$23:$E$26))/LOOKUP(F161,$E$23:$E$26,$C$23:$C$26)</f>
        <v>5.14584990862633</v>
      </c>
      <c r="W161" s="16" t="n">
        <f aca="false">LOOKUP(G161,$E$23:$E$26,$A$23:$A$26)+LOOKUP(G161,$E$23:$E$26,$D$23:$D$26)*(G161-LOOKUP(G161,$E$23:$E$26))/LOOKUP(G161,$E$23:$E$26,$C$23:$C$26)</f>
        <v>5.91068202210109</v>
      </c>
      <c r="X161" s="16" t="n">
        <f aca="false">LOOKUP(H161,$E$23:$E$26,$A$23:$A$26)+LOOKUP(H161,$E$23:$E$26,$D$23:$D$26)*(H161-LOOKUP(H161,$E$23:$E$26))/LOOKUP(H161,$E$23:$E$26,$C$23:$C$26)</f>
        <v>4.63863760535621</v>
      </c>
      <c r="Y161" s="16" t="n">
        <f aca="false">LOOKUP(I161,$E$23:$E$26,$A$23:$A$26)+LOOKUP(I161,$E$23:$E$26,$D$23:$D$26)*(I161-LOOKUP(I161,$E$23:$E$26))/LOOKUP(I161,$E$23:$E$26,$C$23:$C$26)</f>
        <v>4.88045927516597</v>
      </c>
      <c r="Z161" s="16" t="n">
        <f aca="false">LOOKUP(J161,$E$23:$E$26,$A$23:$A$26)+LOOKUP(J161,$E$23:$E$26,$D$23:$D$26)*(J161-LOOKUP(J161,$E$23:$E$26))/LOOKUP(J161,$E$23:$E$26,$C$23:$C$26)</f>
        <v>4.54377850303303</v>
      </c>
      <c r="AA161" s="16" t="n">
        <f aca="false">LOOKUP(K161,$E$23:$E$26,$A$23:$A$26)+LOOKUP(K161,$E$23:$E$26,$D$23:$D$26)*(K161-LOOKUP(K161,$E$23:$E$26))/LOOKUP(K161,$E$23:$E$26,$C$23:$C$26)</f>
        <v>4.79027438720807</v>
      </c>
      <c r="AB161" s="16" t="n">
        <f aca="false">LOOKUP(L161,$E$23:$E$26,$A$23:$A$26)+LOOKUP(L161,$E$23:$E$26,$D$23:$D$26)*(L161-LOOKUP(L161,$E$23:$E$26))/LOOKUP(L161,$E$23:$E$26,$C$23:$C$26)</f>
        <v>5.35150933439666</v>
      </c>
      <c r="AC161" s="16" t="n">
        <f aca="false">LOOKUP(M161,$E$23:$E$26,$A$23:$A$26)+LOOKUP(M161,$E$23:$E$26,$D$23:$D$26)*(M161-LOOKUP(M161,$E$23:$E$26))/LOOKUP(M161,$E$23:$E$26,$C$23:$C$26)</f>
        <v>5.63409388882588</v>
      </c>
      <c r="AD161" s="16" t="n">
        <f aca="false">LOOKUP(N161,$E$23:$E$26,$A$23:$A$26)+LOOKUP(N161,$E$23:$E$26,$D$23:$D$26)*(N161-LOOKUP(N161,$E$23:$E$26))/LOOKUP(N161,$E$23:$E$26,$C$23:$C$26)</f>
        <v>4.16547599306884</v>
      </c>
      <c r="AE161" s="16" t="n">
        <f aca="false">LOOKUP(O161,$E$23:$E$26,$A$23:$A$26)+LOOKUP(O161,$E$23:$E$26,$D$23:$D$26)*(O161-LOOKUP(O161,$E$23:$E$26))/LOOKUP(O161,$E$23:$E$26,$C$23:$C$26)</f>
        <v>4.84145859558556</v>
      </c>
      <c r="AF161" s="16" t="n">
        <f aca="false">LOOKUP(P161,$E$23:$E$26,$A$23:$A$26)+LOOKUP(P161,$E$23:$E$26,$D$23:$D$26)*(P161-LOOKUP(P161,$E$23:$E$26))/LOOKUP(P161,$E$23:$E$26,$C$23:$C$26)</f>
        <v>4.43410265176527</v>
      </c>
      <c r="AG161" s="16" t="n">
        <f aca="false">LOOKUP(Q161,$E$23:$E$26,$A$23:$A$26)+LOOKUP(Q161,$E$23:$E$26,$D$23:$D$26)*(Q161-LOOKUP(Q161,$E$23:$E$26))/LOOKUP(Q161,$E$23:$E$26,$C$23:$C$26)</f>
        <v>4.82876090526122</v>
      </c>
      <c r="AH161" s="16" t="n">
        <f aca="false">LOOKUP(R161,$E$23:$E$26,$A$23:$A$26)+LOOKUP(R161,$E$23:$E$26,$D$23:$D$26)*(R161-LOOKUP(R161,$E$23:$E$26))/LOOKUP(R161,$E$23:$E$26,$C$23:$C$26)</f>
        <v>4.23492062387017</v>
      </c>
      <c r="AI161" s="16" t="n">
        <f aca="false">LOOKUP(S161,$E$23:$E$26,$A$23:$A$26)+LOOKUP(S161,$E$23:$E$26,$D$23:$D$26)*(S161-LOOKUP(S161,$E$23:$E$26))/LOOKUP(S161,$E$23:$E$26,$C$23:$C$26)</f>
        <v>4.45190118242972</v>
      </c>
      <c r="AJ161" s="16" t="n">
        <f aca="false">SUM($T161:T161)</f>
        <v>4.74979868320664</v>
      </c>
      <c r="AK161" s="16" t="n">
        <f aca="false">SUM($T161:U161)</f>
        <v>9.57592148400345</v>
      </c>
      <c r="AL161" s="16" t="n">
        <f aca="false">SUM($T161:V161)</f>
        <v>14.7217713926298</v>
      </c>
      <c r="AM161" s="16" t="n">
        <f aca="false">SUM($T161:W161)</f>
        <v>20.6324534147309</v>
      </c>
      <c r="AN161" s="16" t="n">
        <f aca="false">SUM($T161:X161)</f>
        <v>25.2710910200871</v>
      </c>
      <c r="AO161" s="16" t="n">
        <f aca="false">SUM($T161:Y161)</f>
        <v>30.1515502952531</v>
      </c>
      <c r="AP161" s="16" t="n">
        <f aca="false">SUM($T161:Z161)</f>
        <v>34.6953287982861</v>
      </c>
      <c r="AQ161" s="16" t="n">
        <f aca="false">SUM($T161:AA161)</f>
        <v>39.4856031854942</v>
      </c>
      <c r="AR161" s="16" t="n">
        <f aca="false">SUM($T161:AB161)</f>
        <v>44.8371125198908</v>
      </c>
      <c r="AS161" s="16" t="n">
        <f aca="false">SUM($T161:AC161)</f>
        <v>50.4712064087167</v>
      </c>
      <c r="AT161" s="16" t="n">
        <f aca="false">SUM($T161:AD161)</f>
        <v>54.6366824017855</v>
      </c>
      <c r="AU161" s="16" t="n">
        <f aca="false">SUM($T161:AE161)</f>
        <v>59.4781409973711</v>
      </c>
      <c r="AV161" s="16" t="n">
        <f aca="false">SUM($T161:AF161)</f>
        <v>63.9122436491364</v>
      </c>
      <c r="AW161" s="16" t="n">
        <f aca="false">SUM($T161:AG161)</f>
        <v>68.7410045543976</v>
      </c>
      <c r="AX161" s="16" t="n">
        <f aca="false">SUM($T161:AH161)</f>
        <v>72.9759251782677</v>
      </c>
      <c r="AY161" s="16" t="n">
        <f aca="false">SUM($T161:AI161)</f>
        <v>77.4278263606975</v>
      </c>
      <c r="AZ161" s="16" t="n">
        <f aca="false">MAX(C161-AJ161,0)</f>
        <v>52.3063317137727</v>
      </c>
      <c r="BA161" s="16" t="n">
        <f aca="false">MAX(C161-AK161,0)</f>
        <v>47.4802089129759</v>
      </c>
      <c r="BB161" s="16" t="n">
        <f aca="false">MAX(C161-AL161,0)</f>
        <v>42.3343590043496</v>
      </c>
      <c r="BC161" s="16" t="n">
        <f aca="false">MAX(C161-AM161,0)</f>
        <v>36.4236769822485</v>
      </c>
      <c r="BD161" s="16" t="n">
        <f aca="false">MAX(C161-AN161,0)</f>
        <v>31.7850393768923</v>
      </c>
      <c r="BE161" s="16" t="n">
        <f aca="false">MAX(C161-AO161,0)</f>
        <v>26.9045801017263</v>
      </c>
      <c r="BF161" s="16" t="n">
        <f aca="false">MAX(C161-AP161,0)</f>
        <v>22.3608015986933</v>
      </c>
      <c r="BG161" s="16" t="n">
        <f aca="false">MAX(C161-AQ161,0)</f>
        <v>17.5705272114852</v>
      </c>
      <c r="BH161" s="16" t="n">
        <f aca="false">MAX(C161-AR161,0)</f>
        <v>12.2190178770885</v>
      </c>
      <c r="BI161" s="16" t="n">
        <f aca="false">MAX(C161-AS161,0)</f>
        <v>6.58492398826267</v>
      </c>
      <c r="BJ161" s="16" t="n">
        <f aca="false">MAX(C161-AT161,0)</f>
        <v>2.41944799519383</v>
      </c>
      <c r="BK161" s="16" t="n">
        <f aca="false">MAX(C161-AU161,0)</f>
        <v>0</v>
      </c>
      <c r="BL161" s="16" t="n">
        <f aca="false">MAX(C161-AV161,0)</f>
        <v>0</v>
      </c>
      <c r="BM161" s="16" t="n">
        <f aca="false">MAX(C161-AW161,0)</f>
        <v>0</v>
      </c>
      <c r="BN161" s="16" t="n">
        <f aca="false">MAX(C161-AX161,0)</f>
        <v>0</v>
      </c>
      <c r="BO161" s="16" t="n">
        <f aca="false">MAX(C161-AY161,0)</f>
        <v>0</v>
      </c>
    </row>
    <row r="162" customFormat="false" ht="15" hidden="false" customHeight="false" outlineLevel="0" collapsed="false">
      <c r="A162" s="3" t="n">
        <v>132</v>
      </c>
      <c r="B162" s="15" t="n">
        <f aca="true">RAND()</f>
        <v>0.794396443070846</v>
      </c>
      <c r="C162" s="16" t="n">
        <f aca="false">LOOKUP(B162,$E$12:$E$17,$A$12:$A$17)+LOOKUP(B162,$E$12:$E$17,$D$12:$D$17)*(B162-LOOKUP(B162,$E$12:$E$17))/LOOKUP(B162,$E$12:$E$17,$C$12:$C$17)</f>
        <v>68.4913777581549</v>
      </c>
      <c r="D162" s="15" t="n">
        <f aca="true">RAND()</f>
        <v>0.803255981520648</v>
      </c>
      <c r="E162" s="15" t="n">
        <f aca="true">RAND()</f>
        <v>0.505597828313156</v>
      </c>
      <c r="F162" s="15" t="n">
        <f aca="true">RAND()</f>
        <v>0.552950222851987</v>
      </c>
      <c r="G162" s="15" t="n">
        <f aca="true">RAND()</f>
        <v>0.951112876208123</v>
      </c>
      <c r="H162" s="15" t="n">
        <f aca="true">RAND()</f>
        <v>0.126032494607861</v>
      </c>
      <c r="I162" s="15" t="n">
        <f aca="true">RAND()</f>
        <v>0.564290622842839</v>
      </c>
      <c r="J162" s="15" t="n">
        <f aca="true">RAND()</f>
        <v>0.284257467769115</v>
      </c>
      <c r="K162" s="15" t="n">
        <f aca="true">RAND()</f>
        <v>0.0138880858785354</v>
      </c>
      <c r="L162" s="15" t="n">
        <f aca="true">RAND()</f>
        <v>0.359402271808584</v>
      </c>
      <c r="M162" s="15" t="n">
        <f aca="true">RAND()</f>
        <v>0.0164442178193052</v>
      </c>
      <c r="N162" s="15" t="n">
        <f aca="true">RAND()</f>
        <v>0.635106409139355</v>
      </c>
      <c r="O162" s="15" t="n">
        <f aca="true">RAND()</f>
        <v>0.81190048643731</v>
      </c>
      <c r="P162" s="15" t="n">
        <f aca="true">RAND()</f>
        <v>0.377373966445259</v>
      </c>
      <c r="Q162" s="15" t="n">
        <f aca="true">RAND()</f>
        <v>0.267571792547569</v>
      </c>
      <c r="R162" s="15" t="n">
        <f aca="true">RAND()</f>
        <v>0.588657908549611</v>
      </c>
      <c r="S162" s="15" t="n">
        <f aca="true">RAND()</f>
        <v>0.711563610656718</v>
      </c>
      <c r="T162" s="16" t="n">
        <f aca="false">LOOKUP(D162,$E$23:$E$26,$A$23:$A$26)+LOOKUP(D162,$E$23:$E$26,$D$23:$D$26)*(D162-LOOKUP(D162,$E$23:$E$26))/LOOKUP(D162,$E$23:$E$26,$C$23:$C$26)</f>
        <v>5.25813995380162</v>
      </c>
      <c r="U162" s="16" t="n">
        <f aca="false">LOOKUP(E162,$E$23:$E$26,$A$23:$A$26)+LOOKUP(E162,$E$23:$E$26,$D$23:$D$26)*(E162-LOOKUP(E162,$E$23:$E$26))/LOOKUP(E162,$E$23:$E$26,$C$23:$C$26)</f>
        <v>4.75699728539145</v>
      </c>
      <c r="V162" s="16" t="n">
        <f aca="false">LOOKUP(F162,$E$23:$E$26,$A$23:$A$26)+LOOKUP(F162,$E$23:$E$26,$D$23:$D$26)*(F162-LOOKUP(F162,$E$23:$E$26))/LOOKUP(F162,$E$23:$E$26,$C$23:$C$26)</f>
        <v>4.81618777856498</v>
      </c>
      <c r="W162" s="16" t="n">
        <f aca="false">LOOKUP(G162,$E$23:$E$26,$A$23:$A$26)+LOOKUP(G162,$E$23:$E$26,$D$23:$D$26)*(G162-LOOKUP(G162,$E$23:$E$26))/LOOKUP(G162,$E$23:$E$26,$C$23:$C$26)</f>
        <v>5.75556438104062</v>
      </c>
      <c r="X162" s="16" t="n">
        <f aca="false">LOOKUP(H162,$E$23:$E$26,$A$23:$A$26)+LOOKUP(H162,$E$23:$E$26,$D$23:$D$26)*(H162-LOOKUP(H162,$E$23:$E$26))/LOOKUP(H162,$E$23:$E$26,$C$23:$C$26)</f>
        <v>4.21005415767977</v>
      </c>
      <c r="Y162" s="16" t="n">
        <f aca="false">LOOKUP(I162,$E$23:$E$26,$A$23:$A$26)+LOOKUP(I162,$E$23:$E$26,$D$23:$D$26)*(I162-LOOKUP(I162,$E$23:$E$26))/LOOKUP(I162,$E$23:$E$26,$C$23:$C$26)</f>
        <v>4.83036327855355</v>
      </c>
      <c r="Z162" s="16" t="n">
        <f aca="false">LOOKUP(J162,$E$23:$E$26,$A$23:$A$26)+LOOKUP(J162,$E$23:$E$26,$D$23:$D$26)*(J162-LOOKUP(J162,$E$23:$E$26))/LOOKUP(J162,$E$23:$E$26,$C$23:$C$26)</f>
        <v>4.47376244628186</v>
      </c>
      <c r="AA162" s="16" t="n">
        <f aca="false">LOOKUP(K162,$E$23:$E$26,$A$23:$A$26)+LOOKUP(K162,$E$23:$E$26,$D$23:$D$26)*(K162-LOOKUP(K162,$E$23:$E$26))/LOOKUP(K162,$E$23:$E$26,$C$23:$C$26)</f>
        <v>4.02314680979756</v>
      </c>
      <c r="AB162" s="16" t="n">
        <f aca="false">LOOKUP(L162,$E$23:$E$26,$A$23:$A$26)+LOOKUP(L162,$E$23:$E$26,$D$23:$D$26)*(L162-LOOKUP(L162,$E$23:$E$26))/LOOKUP(L162,$E$23:$E$26,$C$23:$C$26)</f>
        <v>4.57425283976073</v>
      </c>
      <c r="AC162" s="16" t="n">
        <f aca="false">LOOKUP(M162,$E$23:$E$26,$A$23:$A$26)+LOOKUP(M162,$E$23:$E$26,$D$23:$D$26)*(M162-LOOKUP(M162,$E$23:$E$26))/LOOKUP(M162,$E$23:$E$26,$C$23:$C$26)</f>
        <v>4.02740702969884</v>
      </c>
      <c r="AD162" s="16" t="n">
        <f aca="false">LOOKUP(N162,$E$23:$E$26,$A$23:$A$26)+LOOKUP(N162,$E$23:$E$26,$D$23:$D$26)*(N162-LOOKUP(N162,$E$23:$E$26))/LOOKUP(N162,$E$23:$E$26,$C$23:$C$26)</f>
        <v>4.91888301142419</v>
      </c>
      <c r="AE162" s="16" t="n">
        <f aca="false">LOOKUP(O162,$E$23:$E$26,$A$23:$A$26)+LOOKUP(O162,$E$23:$E$26,$D$23:$D$26)*(O162-LOOKUP(O162,$E$23:$E$26))/LOOKUP(O162,$E$23:$E$26,$C$23:$C$26)</f>
        <v>5.27975121609328</v>
      </c>
      <c r="AF162" s="16" t="n">
        <f aca="false">LOOKUP(P162,$E$23:$E$26,$A$23:$A$26)+LOOKUP(P162,$E$23:$E$26,$D$23:$D$26)*(P162-LOOKUP(P162,$E$23:$E$26))/LOOKUP(P162,$E$23:$E$26,$C$23:$C$26)</f>
        <v>4.59671745805657</v>
      </c>
      <c r="AG162" s="16" t="n">
        <f aca="false">LOOKUP(Q162,$E$23:$E$26,$A$23:$A$26)+LOOKUP(Q162,$E$23:$E$26,$D$23:$D$26)*(Q162-LOOKUP(Q162,$E$23:$E$26))/LOOKUP(Q162,$E$23:$E$26,$C$23:$C$26)</f>
        <v>4.44595298757928</v>
      </c>
      <c r="AH162" s="16" t="n">
        <f aca="false">LOOKUP(R162,$E$23:$E$26,$A$23:$A$26)+LOOKUP(R162,$E$23:$E$26,$D$23:$D$26)*(R162-LOOKUP(R162,$E$23:$E$26))/LOOKUP(R162,$E$23:$E$26,$C$23:$C$26)</f>
        <v>4.86082238568701</v>
      </c>
      <c r="AI162" s="16" t="n">
        <f aca="false">LOOKUP(S162,$E$23:$E$26,$A$23:$A$26)+LOOKUP(S162,$E$23:$E$26,$D$23:$D$26)*(S162-LOOKUP(S162,$E$23:$E$26))/LOOKUP(S162,$E$23:$E$26,$C$23:$C$26)</f>
        <v>5.02890902664179</v>
      </c>
      <c r="AJ162" s="16" t="n">
        <f aca="false">SUM($T162:T162)</f>
        <v>5.25813995380162</v>
      </c>
      <c r="AK162" s="16" t="n">
        <f aca="false">SUM($T162:U162)</f>
        <v>10.0151372391931</v>
      </c>
      <c r="AL162" s="16" t="n">
        <f aca="false">SUM($T162:V162)</f>
        <v>14.8313250177581</v>
      </c>
      <c r="AM162" s="16" t="n">
        <f aca="false">SUM($T162:W162)</f>
        <v>20.5868893987987</v>
      </c>
      <c r="AN162" s="16" t="n">
        <f aca="false">SUM($T162:X162)</f>
        <v>24.7969435564784</v>
      </c>
      <c r="AO162" s="16" t="n">
        <f aca="false">SUM($T162:Y162)</f>
        <v>29.627306835032</v>
      </c>
      <c r="AP162" s="16" t="n">
        <f aca="false">SUM($T162:Z162)</f>
        <v>34.1010692813138</v>
      </c>
      <c r="AQ162" s="16" t="n">
        <f aca="false">SUM($T162:AA162)</f>
        <v>38.1242160911114</v>
      </c>
      <c r="AR162" s="16" t="n">
        <f aca="false">SUM($T162:AB162)</f>
        <v>42.6984689308721</v>
      </c>
      <c r="AS162" s="16" t="n">
        <f aca="false">SUM($T162:AC162)</f>
        <v>46.725875960571</v>
      </c>
      <c r="AT162" s="16" t="n">
        <f aca="false">SUM($T162:AD162)</f>
        <v>51.6447589719952</v>
      </c>
      <c r="AU162" s="16" t="n">
        <f aca="false">SUM($T162:AE162)</f>
        <v>56.9245101880884</v>
      </c>
      <c r="AV162" s="16" t="n">
        <f aca="false">SUM($T162:AF162)</f>
        <v>61.521227646145</v>
      </c>
      <c r="AW162" s="16" t="n">
        <f aca="false">SUM($T162:AG162)</f>
        <v>65.9671806337243</v>
      </c>
      <c r="AX162" s="16" t="n">
        <f aca="false">SUM($T162:AH162)</f>
        <v>70.8280030194113</v>
      </c>
      <c r="AY162" s="16" t="n">
        <f aca="false">SUM($T162:AI162)</f>
        <v>75.8569120460531</v>
      </c>
      <c r="AZ162" s="16" t="n">
        <f aca="false">MAX(C162-AJ162,0)</f>
        <v>63.2332378043533</v>
      </c>
      <c r="BA162" s="16" t="n">
        <f aca="false">MAX(C162-AK162,0)</f>
        <v>58.4762405189619</v>
      </c>
      <c r="BB162" s="16" t="n">
        <f aca="false">MAX(C162-AL162,0)</f>
        <v>53.6600527403969</v>
      </c>
      <c r="BC162" s="16" t="n">
        <f aca="false">MAX(C162-AM162,0)</f>
        <v>47.9044883593563</v>
      </c>
      <c r="BD162" s="16" t="n">
        <f aca="false">MAX(C162-AN162,0)</f>
        <v>43.6944342016765</v>
      </c>
      <c r="BE162" s="16" t="n">
        <f aca="false">MAX(C162-AO162,0)</f>
        <v>38.864070923123</v>
      </c>
      <c r="BF162" s="16" t="n">
        <f aca="false">MAX(C162-AP162,0)</f>
        <v>34.3903084768411</v>
      </c>
      <c r="BG162" s="16" t="n">
        <f aca="false">MAX(C162-AQ162,0)</f>
        <v>30.3671616670435</v>
      </c>
      <c r="BH162" s="16" t="n">
        <f aca="false">MAX(C162-AR162,0)</f>
        <v>25.7929088272828</v>
      </c>
      <c r="BI162" s="16" t="n">
        <f aca="false">MAX(C162-AS162,0)</f>
        <v>21.765501797584</v>
      </c>
      <c r="BJ162" s="16" t="n">
        <f aca="false">MAX(C162-AT162,0)</f>
        <v>16.8466187861598</v>
      </c>
      <c r="BK162" s="16" t="n">
        <f aca="false">MAX(C162-AU162,0)</f>
        <v>11.5668675700665</v>
      </c>
      <c r="BL162" s="16" t="n">
        <f aca="false">MAX(C162-AV162,0)</f>
        <v>6.97015011200993</v>
      </c>
      <c r="BM162" s="16" t="n">
        <f aca="false">MAX(C162-AW162,0)</f>
        <v>2.52419712443064</v>
      </c>
      <c r="BN162" s="16" t="n">
        <f aca="false">MAX(C162-AX162,0)</f>
        <v>0</v>
      </c>
      <c r="BO162" s="16" t="n">
        <f aca="false">MAX(C162-AY162,0)</f>
        <v>0</v>
      </c>
    </row>
    <row r="163" customFormat="false" ht="15" hidden="false" customHeight="false" outlineLevel="0" collapsed="false">
      <c r="A163" s="3" t="n">
        <v>133</v>
      </c>
      <c r="B163" s="15" t="n">
        <f aca="true">RAND()</f>
        <v>0.859308189567133</v>
      </c>
      <c r="C163" s="16" t="n">
        <f aca="false">LOOKUP(B163,$E$12:$E$17,$A$12:$A$17)+LOOKUP(B163,$E$12:$E$17,$D$12:$D$17)*(B163-LOOKUP(B163,$E$12:$E$17))/LOOKUP(B163,$E$12:$E$17,$C$12:$C$17)</f>
        <v>69.4186884223876</v>
      </c>
      <c r="D163" s="15" t="n">
        <f aca="true">RAND()</f>
        <v>0.160219925148518</v>
      </c>
      <c r="E163" s="15" t="n">
        <f aca="true">RAND()</f>
        <v>0.532280966615578</v>
      </c>
      <c r="F163" s="15" t="n">
        <f aca="true">RAND()</f>
        <v>0.763373232725467</v>
      </c>
      <c r="G163" s="15" t="n">
        <f aca="true">RAND()</f>
        <v>0.269447595772742</v>
      </c>
      <c r="H163" s="15" t="n">
        <f aca="true">RAND()</f>
        <v>0.624070920129335</v>
      </c>
      <c r="I163" s="15" t="n">
        <f aca="true">RAND()</f>
        <v>0.0430926227839215</v>
      </c>
      <c r="J163" s="15" t="n">
        <f aca="true">RAND()</f>
        <v>0.794627274801244</v>
      </c>
      <c r="K163" s="15" t="n">
        <f aca="true">RAND()</f>
        <v>0.377229006924178</v>
      </c>
      <c r="L163" s="15" t="n">
        <f aca="true">RAND()</f>
        <v>0.79780405710397</v>
      </c>
      <c r="M163" s="15" t="n">
        <f aca="true">RAND()</f>
        <v>0.0811997331258561</v>
      </c>
      <c r="N163" s="15" t="n">
        <f aca="true">RAND()</f>
        <v>0.515282282609492</v>
      </c>
      <c r="O163" s="15" t="n">
        <f aca="true">RAND()</f>
        <v>0.407236599956213</v>
      </c>
      <c r="P163" s="15" t="n">
        <f aca="true">RAND()</f>
        <v>0.0731548528629349</v>
      </c>
      <c r="Q163" s="15" t="n">
        <f aca="true">RAND()</f>
        <v>0.589711332516542</v>
      </c>
      <c r="R163" s="15" t="n">
        <f aca="true">RAND()</f>
        <v>0.1826270766792</v>
      </c>
      <c r="S163" s="15" t="n">
        <f aca="true">RAND()</f>
        <v>0.85271653297695</v>
      </c>
      <c r="T163" s="16" t="n">
        <f aca="false">LOOKUP(D163,$E$23:$E$26,$A$23:$A$26)+LOOKUP(D163,$E$23:$E$26,$D$23:$D$26)*(D163-LOOKUP(D163,$E$23:$E$26))/LOOKUP(D163,$E$23:$E$26,$C$23:$C$26)</f>
        <v>4.26703320858086</v>
      </c>
      <c r="U163" s="16" t="n">
        <f aca="false">LOOKUP(E163,$E$23:$E$26,$A$23:$A$26)+LOOKUP(E163,$E$23:$E$26,$D$23:$D$26)*(E163-LOOKUP(E163,$E$23:$E$26))/LOOKUP(E163,$E$23:$E$26,$C$23:$C$26)</f>
        <v>4.79035120826947</v>
      </c>
      <c r="V163" s="16" t="n">
        <f aca="false">LOOKUP(F163,$E$23:$E$26,$A$23:$A$26)+LOOKUP(F163,$E$23:$E$26,$D$23:$D$26)*(F163-LOOKUP(F163,$E$23:$E$26))/LOOKUP(F163,$E$23:$E$26,$C$23:$C$26)</f>
        <v>5.15843308181367</v>
      </c>
      <c r="W163" s="16" t="n">
        <f aca="false">LOOKUP(G163,$E$23:$E$26,$A$23:$A$26)+LOOKUP(G163,$E$23:$E$26,$D$23:$D$26)*(G163-LOOKUP(G163,$E$23:$E$26))/LOOKUP(G163,$E$23:$E$26,$C$23:$C$26)</f>
        <v>4.4490793262879</v>
      </c>
      <c r="X163" s="16" t="n">
        <f aca="false">LOOKUP(H163,$E$23:$E$26,$A$23:$A$26)+LOOKUP(H163,$E$23:$E$26,$D$23:$D$26)*(H163-LOOKUP(H163,$E$23:$E$26))/LOOKUP(H163,$E$23:$E$26,$C$23:$C$26)</f>
        <v>4.90508865016167</v>
      </c>
      <c r="Y163" s="16" t="n">
        <f aca="false">LOOKUP(I163,$E$23:$E$26,$A$23:$A$26)+LOOKUP(I163,$E$23:$E$26,$D$23:$D$26)*(I163-LOOKUP(I163,$E$23:$E$26))/LOOKUP(I163,$E$23:$E$26,$C$23:$C$26)</f>
        <v>4.0718210379732</v>
      </c>
      <c r="Z163" s="16" t="n">
        <f aca="false">LOOKUP(J163,$E$23:$E$26,$A$23:$A$26)+LOOKUP(J163,$E$23:$E$26,$D$23:$D$26)*(J163-LOOKUP(J163,$E$23:$E$26))/LOOKUP(J163,$E$23:$E$26,$C$23:$C$26)</f>
        <v>5.23656818700311</v>
      </c>
      <c r="AA163" s="16" t="n">
        <f aca="false">LOOKUP(K163,$E$23:$E$26,$A$23:$A$26)+LOOKUP(K163,$E$23:$E$26,$D$23:$D$26)*(K163-LOOKUP(K163,$E$23:$E$26))/LOOKUP(K163,$E$23:$E$26,$C$23:$C$26)</f>
        <v>4.59653625865522</v>
      </c>
      <c r="AB163" s="16" t="n">
        <f aca="false">LOOKUP(L163,$E$23:$E$26,$A$23:$A$26)+LOOKUP(L163,$E$23:$E$26,$D$23:$D$26)*(L163-LOOKUP(L163,$E$23:$E$26))/LOOKUP(L163,$E$23:$E$26,$C$23:$C$26)</f>
        <v>5.24451014275992</v>
      </c>
      <c r="AC163" s="16" t="n">
        <f aca="false">LOOKUP(M163,$E$23:$E$26,$A$23:$A$26)+LOOKUP(M163,$E$23:$E$26,$D$23:$D$26)*(M163-LOOKUP(M163,$E$23:$E$26))/LOOKUP(M163,$E$23:$E$26,$C$23:$C$26)</f>
        <v>4.13533288854309</v>
      </c>
      <c r="AD163" s="16" t="n">
        <f aca="false">LOOKUP(N163,$E$23:$E$26,$A$23:$A$26)+LOOKUP(N163,$E$23:$E$26,$D$23:$D$26)*(N163-LOOKUP(N163,$E$23:$E$26))/LOOKUP(N163,$E$23:$E$26,$C$23:$C$26)</f>
        <v>4.76910285326186</v>
      </c>
      <c r="AE163" s="16" t="n">
        <f aca="false">LOOKUP(O163,$E$23:$E$26,$A$23:$A$26)+LOOKUP(O163,$E$23:$E$26,$D$23:$D$26)*(O163-LOOKUP(O163,$E$23:$E$26))/LOOKUP(O163,$E$23:$E$26,$C$23:$C$26)</f>
        <v>4.63404574994527</v>
      </c>
      <c r="AF163" s="16" t="n">
        <f aca="false">LOOKUP(P163,$E$23:$E$26,$A$23:$A$26)+LOOKUP(P163,$E$23:$E$26,$D$23:$D$26)*(P163-LOOKUP(P163,$E$23:$E$26))/LOOKUP(P163,$E$23:$E$26,$C$23:$C$26)</f>
        <v>4.12192475477156</v>
      </c>
      <c r="AG163" s="16" t="n">
        <f aca="false">LOOKUP(Q163,$E$23:$E$26,$A$23:$A$26)+LOOKUP(Q163,$E$23:$E$26,$D$23:$D$26)*(Q163-LOOKUP(Q163,$E$23:$E$26))/LOOKUP(Q163,$E$23:$E$26,$C$23:$C$26)</f>
        <v>4.86213916564568</v>
      </c>
      <c r="AH163" s="16" t="n">
        <f aca="false">LOOKUP(R163,$E$23:$E$26,$A$23:$A$26)+LOOKUP(R163,$E$23:$E$26,$D$23:$D$26)*(R163-LOOKUP(R163,$E$23:$E$26))/LOOKUP(R163,$E$23:$E$26,$C$23:$C$26)</f>
        <v>4.304378461132</v>
      </c>
      <c r="AI163" s="16" t="n">
        <f aca="false">LOOKUP(S163,$E$23:$E$26,$A$23:$A$26)+LOOKUP(S163,$E$23:$E$26,$D$23:$D$26)*(S163-LOOKUP(S163,$E$23:$E$26))/LOOKUP(S163,$E$23:$E$26,$C$23:$C$26)</f>
        <v>5.38179133244238</v>
      </c>
      <c r="AJ163" s="16" t="n">
        <f aca="false">SUM($T163:T163)</f>
        <v>4.26703320858086</v>
      </c>
      <c r="AK163" s="16" t="n">
        <f aca="false">SUM($T163:U163)</f>
        <v>9.05738441685034</v>
      </c>
      <c r="AL163" s="16" t="n">
        <f aca="false">SUM($T163:V163)</f>
        <v>14.215817498664</v>
      </c>
      <c r="AM163" s="16" t="n">
        <f aca="false">SUM($T163:W163)</f>
        <v>18.6648968249519</v>
      </c>
      <c r="AN163" s="16" t="n">
        <f aca="false">SUM($T163:X163)</f>
        <v>23.5699854751136</v>
      </c>
      <c r="AO163" s="16" t="n">
        <f aca="false">SUM($T163:Y163)</f>
        <v>27.6418065130868</v>
      </c>
      <c r="AP163" s="16" t="n">
        <f aca="false">SUM($T163:Z163)</f>
        <v>32.8783747000899</v>
      </c>
      <c r="AQ163" s="16" t="n">
        <f aca="false">SUM($T163:AA163)</f>
        <v>37.4749109587451</v>
      </c>
      <c r="AR163" s="16" t="n">
        <f aca="false">SUM($T163:AB163)</f>
        <v>42.719421101505</v>
      </c>
      <c r="AS163" s="16" t="n">
        <f aca="false">SUM($T163:AC163)</f>
        <v>46.8547539900481</v>
      </c>
      <c r="AT163" s="16" t="n">
        <f aca="false">SUM($T163:AD163)</f>
        <v>51.62385684331</v>
      </c>
      <c r="AU163" s="16" t="n">
        <f aca="false">SUM($T163:AE163)</f>
        <v>56.2579025932553</v>
      </c>
      <c r="AV163" s="16" t="n">
        <f aca="false">SUM($T163:AF163)</f>
        <v>60.3798273480268</v>
      </c>
      <c r="AW163" s="16" t="n">
        <f aca="false">SUM($T163:AG163)</f>
        <v>65.2419665136725</v>
      </c>
      <c r="AX163" s="16" t="n">
        <f aca="false">SUM($T163:AH163)</f>
        <v>69.5463449748045</v>
      </c>
      <c r="AY163" s="16" t="n">
        <f aca="false">SUM($T163:AI163)</f>
        <v>74.9281363072469</v>
      </c>
      <c r="AZ163" s="16" t="n">
        <f aca="false">MAX(C163-AJ163,0)</f>
        <v>65.1516552138068</v>
      </c>
      <c r="BA163" s="16" t="n">
        <f aca="false">MAX(C163-AK163,0)</f>
        <v>60.3613040055373</v>
      </c>
      <c r="BB163" s="16" t="n">
        <f aca="false">MAX(C163-AL163,0)</f>
        <v>55.2028709237236</v>
      </c>
      <c r="BC163" s="16" t="n">
        <f aca="false">MAX(C163-AM163,0)</f>
        <v>50.7537915974357</v>
      </c>
      <c r="BD163" s="16" t="n">
        <f aca="false">MAX(C163-AN163,0)</f>
        <v>45.848702947274</v>
      </c>
      <c r="BE163" s="16" t="n">
        <f aca="false">MAX(C163-AO163,0)</f>
        <v>41.7768819093008</v>
      </c>
      <c r="BF163" s="16" t="n">
        <f aca="false">MAX(C163-AP163,0)</f>
        <v>36.5403137222977</v>
      </c>
      <c r="BG163" s="16" t="n">
        <f aca="false">MAX(C163-AQ163,0)</f>
        <v>31.9437774636425</v>
      </c>
      <c r="BH163" s="16" t="n">
        <f aca="false">MAX(C163-AR163,0)</f>
        <v>26.6992673208826</v>
      </c>
      <c r="BI163" s="16" t="n">
        <f aca="false">MAX(C163-AS163,0)</f>
        <v>22.5639344323395</v>
      </c>
      <c r="BJ163" s="16" t="n">
        <f aca="false">MAX(C163-AT163,0)</f>
        <v>17.7948315790776</v>
      </c>
      <c r="BK163" s="16" t="n">
        <f aca="false">MAX(C163-AU163,0)</f>
        <v>13.1607858291324</v>
      </c>
      <c r="BL163" s="16" t="n">
        <f aca="false">MAX(C163-AV163,0)</f>
        <v>9.0388610743608</v>
      </c>
      <c r="BM163" s="16" t="n">
        <f aca="false">MAX(C163-AW163,0)</f>
        <v>4.17672190871512</v>
      </c>
      <c r="BN163" s="16" t="n">
        <f aca="false">MAX(C163-AX163,0)</f>
        <v>0</v>
      </c>
      <c r="BO163" s="16" t="n">
        <f aca="false">MAX(C163-AY163,0)</f>
        <v>0</v>
      </c>
    </row>
    <row r="164" customFormat="false" ht="15" hidden="false" customHeight="false" outlineLevel="0" collapsed="false">
      <c r="A164" s="3" t="n">
        <v>134</v>
      </c>
      <c r="B164" s="15" t="n">
        <f aca="true">RAND()</f>
        <v>0.770936253199603</v>
      </c>
      <c r="C164" s="16" t="n">
        <f aca="false">LOOKUP(B164,$E$12:$E$17,$A$12:$A$17)+LOOKUP(B164,$E$12:$E$17,$D$12:$D$17)*(B164-LOOKUP(B164,$E$12:$E$17))/LOOKUP(B164,$E$12:$E$17,$C$12:$C$17)</f>
        <v>68.1562321885658</v>
      </c>
      <c r="D164" s="15" t="n">
        <f aca="true">RAND()</f>
        <v>0.636316067311545</v>
      </c>
      <c r="E164" s="15" t="n">
        <f aca="true">RAND()</f>
        <v>0.928422243344445</v>
      </c>
      <c r="F164" s="15" t="n">
        <f aca="true">RAND()</f>
        <v>0.855486703721142</v>
      </c>
      <c r="G164" s="15" t="n">
        <f aca="true">RAND()</f>
        <v>0.113558402259786</v>
      </c>
      <c r="H164" s="15" t="n">
        <f aca="true">RAND()</f>
        <v>0.569024888904518</v>
      </c>
      <c r="I164" s="15" t="n">
        <f aca="true">RAND()</f>
        <v>0.0625113131864772</v>
      </c>
      <c r="J164" s="15" t="n">
        <f aca="true">RAND()</f>
        <v>0.0569365540450086</v>
      </c>
      <c r="K164" s="15" t="n">
        <f aca="true">RAND()</f>
        <v>0.716488915263152</v>
      </c>
      <c r="L164" s="15" t="n">
        <f aca="true">RAND()</f>
        <v>0.975573981831097</v>
      </c>
      <c r="M164" s="15" t="n">
        <f aca="true">RAND()</f>
        <v>0.937911394054057</v>
      </c>
      <c r="N164" s="15" t="n">
        <f aca="true">RAND()</f>
        <v>0.359566651691323</v>
      </c>
      <c r="O164" s="15" t="n">
        <f aca="true">RAND()</f>
        <v>0.248021267900171</v>
      </c>
      <c r="P164" s="15" t="n">
        <f aca="true">RAND()</f>
        <v>0.961739057167875</v>
      </c>
      <c r="Q164" s="15" t="n">
        <f aca="true">RAND()</f>
        <v>0.76297903209021</v>
      </c>
      <c r="R164" s="15" t="n">
        <f aca="true">RAND()</f>
        <v>0.295828424982642</v>
      </c>
      <c r="S164" s="15" t="n">
        <f aca="true">RAND()</f>
        <v>0.484982320651192</v>
      </c>
      <c r="T164" s="16" t="n">
        <f aca="false">LOOKUP(D164,$E$23:$E$26,$A$23:$A$26)+LOOKUP(D164,$E$23:$E$26,$D$23:$D$26)*(D164-LOOKUP(D164,$E$23:$E$26))/LOOKUP(D164,$E$23:$E$26,$C$23:$C$26)</f>
        <v>4.92039508413943</v>
      </c>
      <c r="U164" s="16" t="n">
        <f aca="false">LOOKUP(E164,$E$23:$E$26,$A$23:$A$26)+LOOKUP(E164,$E$23:$E$26,$D$23:$D$26)*(E164-LOOKUP(E164,$E$23:$E$26))/LOOKUP(E164,$E$23:$E$26,$C$23:$C$26)</f>
        <v>5.64211121672222</v>
      </c>
      <c r="V164" s="16" t="n">
        <f aca="false">LOOKUP(F164,$E$23:$E$26,$A$23:$A$26)+LOOKUP(F164,$E$23:$E$26,$D$23:$D$26)*(F164-LOOKUP(F164,$E$23:$E$26))/LOOKUP(F164,$E$23:$E$26,$C$23:$C$26)</f>
        <v>5.38871675930285</v>
      </c>
      <c r="W164" s="16" t="n">
        <f aca="false">LOOKUP(G164,$E$23:$E$26,$A$23:$A$26)+LOOKUP(G164,$E$23:$E$26,$D$23:$D$26)*(G164-LOOKUP(G164,$E$23:$E$26))/LOOKUP(G164,$E$23:$E$26,$C$23:$C$26)</f>
        <v>4.18926400376631</v>
      </c>
      <c r="X164" s="16" t="n">
        <f aca="false">LOOKUP(H164,$E$23:$E$26,$A$23:$A$26)+LOOKUP(H164,$E$23:$E$26,$D$23:$D$26)*(H164-LOOKUP(H164,$E$23:$E$26))/LOOKUP(H164,$E$23:$E$26,$C$23:$C$26)</f>
        <v>4.83628111113065</v>
      </c>
      <c r="Y164" s="16" t="n">
        <f aca="false">LOOKUP(I164,$E$23:$E$26,$A$23:$A$26)+LOOKUP(I164,$E$23:$E$26,$D$23:$D$26)*(I164-LOOKUP(I164,$E$23:$E$26))/LOOKUP(I164,$E$23:$E$26,$C$23:$C$26)</f>
        <v>4.10418552197746</v>
      </c>
      <c r="Z164" s="16" t="n">
        <f aca="false">LOOKUP(J164,$E$23:$E$26,$A$23:$A$26)+LOOKUP(J164,$E$23:$E$26,$D$23:$D$26)*(J164-LOOKUP(J164,$E$23:$E$26))/LOOKUP(J164,$E$23:$E$26,$C$23:$C$26)</f>
        <v>4.09489425674168</v>
      </c>
      <c r="AA164" s="16" t="n">
        <f aca="false">LOOKUP(K164,$E$23:$E$26,$A$23:$A$26)+LOOKUP(K164,$E$23:$E$26,$D$23:$D$26)*(K164-LOOKUP(K164,$E$23:$E$26))/LOOKUP(K164,$E$23:$E$26,$C$23:$C$26)</f>
        <v>5.04122228815788</v>
      </c>
      <c r="AB164" s="16" t="n">
        <f aca="false">LOOKUP(L164,$E$23:$E$26,$A$23:$A$26)+LOOKUP(L164,$E$23:$E$26,$D$23:$D$26)*(L164-LOOKUP(L164,$E$23:$E$26))/LOOKUP(L164,$E$23:$E$26,$C$23:$C$26)</f>
        <v>5.87786990915549</v>
      </c>
      <c r="AC164" s="16" t="n">
        <f aca="false">LOOKUP(M164,$E$23:$E$26,$A$23:$A$26)+LOOKUP(M164,$E$23:$E$26,$D$23:$D$26)*(M164-LOOKUP(M164,$E$23:$E$26))/LOOKUP(M164,$E$23:$E$26,$C$23:$C$26)</f>
        <v>5.68955697027029</v>
      </c>
      <c r="AD164" s="16" t="n">
        <f aca="false">LOOKUP(N164,$E$23:$E$26,$A$23:$A$26)+LOOKUP(N164,$E$23:$E$26,$D$23:$D$26)*(N164-LOOKUP(N164,$E$23:$E$26))/LOOKUP(N164,$E$23:$E$26,$C$23:$C$26)</f>
        <v>4.57445831461415</v>
      </c>
      <c r="AE164" s="16" t="n">
        <f aca="false">LOOKUP(O164,$E$23:$E$26,$A$23:$A$26)+LOOKUP(O164,$E$23:$E$26,$D$23:$D$26)*(O164-LOOKUP(O164,$E$23:$E$26))/LOOKUP(O164,$E$23:$E$26,$C$23:$C$26)</f>
        <v>4.41336877983362</v>
      </c>
      <c r="AF164" s="16" t="n">
        <f aca="false">LOOKUP(P164,$E$23:$E$26,$A$23:$A$26)+LOOKUP(P164,$E$23:$E$26,$D$23:$D$26)*(P164-LOOKUP(P164,$E$23:$E$26))/LOOKUP(P164,$E$23:$E$26,$C$23:$C$26)</f>
        <v>5.80869528583938</v>
      </c>
      <c r="AG164" s="16" t="n">
        <f aca="false">LOOKUP(Q164,$E$23:$E$26,$A$23:$A$26)+LOOKUP(Q164,$E$23:$E$26,$D$23:$D$26)*(Q164-LOOKUP(Q164,$E$23:$E$26))/LOOKUP(Q164,$E$23:$E$26,$C$23:$C$26)</f>
        <v>5.15744758022552</v>
      </c>
      <c r="AH164" s="16" t="n">
        <f aca="false">LOOKUP(R164,$E$23:$E$26,$A$23:$A$26)+LOOKUP(R164,$E$23:$E$26,$D$23:$D$26)*(R164-LOOKUP(R164,$E$23:$E$26))/LOOKUP(R164,$E$23:$E$26,$C$23:$C$26)</f>
        <v>4.49304737497107</v>
      </c>
      <c r="AI164" s="16" t="n">
        <f aca="false">LOOKUP(S164,$E$23:$E$26,$A$23:$A$26)+LOOKUP(S164,$E$23:$E$26,$D$23:$D$26)*(S164-LOOKUP(S164,$E$23:$E$26))/LOOKUP(S164,$E$23:$E$26,$C$23:$C$26)</f>
        <v>4.73122790081399</v>
      </c>
      <c r="AJ164" s="16" t="n">
        <f aca="false">SUM($T164:T164)</f>
        <v>4.92039508413943</v>
      </c>
      <c r="AK164" s="16" t="n">
        <f aca="false">SUM($T164:U164)</f>
        <v>10.5625063008617</v>
      </c>
      <c r="AL164" s="16" t="n">
        <f aca="false">SUM($T164:V164)</f>
        <v>15.9512230601645</v>
      </c>
      <c r="AM164" s="16" t="n">
        <f aca="false">SUM($T164:W164)</f>
        <v>20.1404870639308</v>
      </c>
      <c r="AN164" s="16" t="n">
        <f aca="false">SUM($T164:X164)</f>
        <v>24.9767681750615</v>
      </c>
      <c r="AO164" s="16" t="n">
        <f aca="false">SUM($T164:Y164)</f>
        <v>29.0809536970389</v>
      </c>
      <c r="AP164" s="16" t="n">
        <f aca="false">SUM($T164:Z164)</f>
        <v>33.1758479537806</v>
      </c>
      <c r="AQ164" s="16" t="n">
        <f aca="false">SUM($T164:AA164)</f>
        <v>38.2170702419385</v>
      </c>
      <c r="AR164" s="16" t="n">
        <f aca="false">SUM($T164:AB164)</f>
        <v>44.094940151094</v>
      </c>
      <c r="AS164" s="16" t="n">
        <f aca="false">SUM($T164:AC164)</f>
        <v>49.7844971213643</v>
      </c>
      <c r="AT164" s="16" t="n">
        <f aca="false">SUM($T164:AD164)</f>
        <v>54.3589554359784</v>
      </c>
      <c r="AU164" s="16" t="n">
        <f aca="false">SUM($T164:AE164)</f>
        <v>58.772324215812</v>
      </c>
      <c r="AV164" s="16" t="n">
        <f aca="false">SUM($T164:AF164)</f>
        <v>64.5810195016514</v>
      </c>
      <c r="AW164" s="16" t="n">
        <f aca="false">SUM($T164:AG164)</f>
        <v>69.7384670818769</v>
      </c>
      <c r="AX164" s="16" t="n">
        <f aca="false">SUM($T164:AH164)</f>
        <v>74.231514456848</v>
      </c>
      <c r="AY164" s="16" t="n">
        <f aca="false">SUM($T164:AI164)</f>
        <v>78.962742357662</v>
      </c>
      <c r="AZ164" s="16" t="n">
        <f aca="false">MAX(C164-AJ164,0)</f>
        <v>63.2358371044263</v>
      </c>
      <c r="BA164" s="16" t="n">
        <f aca="false">MAX(C164-AK164,0)</f>
        <v>57.5937258877041</v>
      </c>
      <c r="BB164" s="16" t="n">
        <f aca="false">MAX(C164-AL164,0)</f>
        <v>52.2050091284012</v>
      </c>
      <c r="BC164" s="16" t="n">
        <f aca="false">MAX(C164-AM164,0)</f>
        <v>48.0157451246349</v>
      </c>
      <c r="BD164" s="16" t="n">
        <f aca="false">MAX(C164-AN164,0)</f>
        <v>43.1794640135043</v>
      </c>
      <c r="BE164" s="16" t="n">
        <f aca="false">MAX(C164-AO164,0)</f>
        <v>39.0752784915268</v>
      </c>
      <c r="BF164" s="16" t="n">
        <f aca="false">MAX(C164-AP164,0)</f>
        <v>34.9803842347851</v>
      </c>
      <c r="BG164" s="16" t="n">
        <f aca="false">MAX(C164-AQ164,0)</f>
        <v>29.9391619466273</v>
      </c>
      <c r="BH164" s="16" t="n">
        <f aca="false">MAX(C164-AR164,0)</f>
        <v>24.0612920374718</v>
      </c>
      <c r="BI164" s="16" t="n">
        <f aca="false">MAX(C164-AS164,0)</f>
        <v>18.3717350672015</v>
      </c>
      <c r="BJ164" s="16" t="n">
        <f aca="false">MAX(C164-AT164,0)</f>
        <v>13.7972767525873</v>
      </c>
      <c r="BK164" s="16" t="n">
        <f aca="false">MAX(C164-AU164,0)</f>
        <v>9.38390797275372</v>
      </c>
      <c r="BL164" s="16" t="n">
        <f aca="false">MAX(C164-AV164,0)</f>
        <v>3.57521268691434</v>
      </c>
      <c r="BM164" s="16" t="n">
        <f aca="false">MAX(C164-AW164,0)</f>
        <v>0</v>
      </c>
      <c r="BN164" s="16" t="n">
        <f aca="false">MAX(C164-AX164,0)</f>
        <v>0</v>
      </c>
      <c r="BO164" s="16" t="n">
        <f aca="false">MAX(C164-AY164,0)</f>
        <v>0</v>
      </c>
    </row>
    <row r="165" customFormat="false" ht="15" hidden="false" customHeight="false" outlineLevel="0" collapsed="false">
      <c r="A165" s="3" t="n">
        <v>135</v>
      </c>
      <c r="B165" s="15" t="n">
        <f aca="true">RAND()</f>
        <v>0.904282400876997</v>
      </c>
      <c r="C165" s="16" t="n">
        <f aca="false">LOOKUP(B165,$E$12:$E$17,$A$12:$A$17)+LOOKUP(B165,$E$12:$E$17,$D$12:$D$17)*(B165-LOOKUP(B165,$E$12:$E$17))/LOOKUP(B165,$E$12:$E$17,$C$12:$C$17)</f>
        <v>75.2676500548123</v>
      </c>
      <c r="D165" s="15" t="n">
        <f aca="true">RAND()</f>
        <v>0.829978630635092</v>
      </c>
      <c r="E165" s="15" t="n">
        <f aca="true">RAND()</f>
        <v>0.794867576790615</v>
      </c>
      <c r="F165" s="15" t="n">
        <f aca="true">RAND()</f>
        <v>0.337104942060729</v>
      </c>
      <c r="G165" s="15" t="n">
        <f aca="true">RAND()</f>
        <v>0.113977344656567</v>
      </c>
      <c r="H165" s="15" t="n">
        <f aca="true">RAND()</f>
        <v>0.139761689723828</v>
      </c>
      <c r="I165" s="15" t="n">
        <f aca="true">RAND()</f>
        <v>0.135539203620114</v>
      </c>
      <c r="J165" s="15" t="n">
        <f aca="true">RAND()</f>
        <v>0.231293672561218</v>
      </c>
      <c r="K165" s="15" t="n">
        <f aca="true">RAND()</f>
        <v>0.746815774194057</v>
      </c>
      <c r="L165" s="15" t="n">
        <f aca="true">RAND()</f>
        <v>0.843409806982163</v>
      </c>
      <c r="M165" s="15" t="n">
        <f aca="true">RAND()</f>
        <v>0.667652927539726</v>
      </c>
      <c r="N165" s="15" t="n">
        <f aca="true">RAND()</f>
        <v>0.298752442061248</v>
      </c>
      <c r="O165" s="15" t="n">
        <f aca="true">RAND()</f>
        <v>0.745764459541827</v>
      </c>
      <c r="P165" s="15" t="n">
        <f aca="true">RAND()</f>
        <v>0.826347889348921</v>
      </c>
      <c r="Q165" s="15" t="n">
        <f aca="true">RAND()</f>
        <v>0.974205594307661</v>
      </c>
      <c r="R165" s="15" t="n">
        <f aca="true">RAND()</f>
        <v>0.528375620512442</v>
      </c>
      <c r="S165" s="15" t="n">
        <f aca="true">RAND()</f>
        <v>0.830277271441124</v>
      </c>
      <c r="T165" s="16" t="n">
        <f aca="false">LOOKUP(D165,$E$23:$E$26,$A$23:$A$26)+LOOKUP(D165,$E$23:$E$26,$D$23:$D$26)*(D165-LOOKUP(D165,$E$23:$E$26))/LOOKUP(D165,$E$23:$E$26,$C$23:$C$26)</f>
        <v>5.32494657658773</v>
      </c>
      <c r="U165" s="16" t="n">
        <f aca="false">LOOKUP(E165,$E$23:$E$26,$A$23:$A$26)+LOOKUP(E165,$E$23:$E$26,$D$23:$D$26)*(E165-LOOKUP(E165,$E$23:$E$26))/LOOKUP(E165,$E$23:$E$26,$C$23:$C$26)</f>
        <v>5.23716894197654</v>
      </c>
      <c r="V165" s="16" t="n">
        <f aca="false">LOOKUP(F165,$E$23:$E$26,$A$23:$A$26)+LOOKUP(F165,$E$23:$E$26,$D$23:$D$26)*(F165-LOOKUP(F165,$E$23:$E$26))/LOOKUP(F165,$E$23:$E$26,$C$23:$C$26)</f>
        <v>4.54638117757591</v>
      </c>
      <c r="W165" s="16" t="n">
        <f aca="false">LOOKUP(G165,$E$23:$E$26,$A$23:$A$26)+LOOKUP(G165,$E$23:$E$26,$D$23:$D$26)*(G165-LOOKUP(G165,$E$23:$E$26))/LOOKUP(G165,$E$23:$E$26,$C$23:$C$26)</f>
        <v>4.18996224109428</v>
      </c>
      <c r="X165" s="16" t="n">
        <f aca="false">LOOKUP(H165,$E$23:$E$26,$A$23:$A$26)+LOOKUP(H165,$E$23:$E$26,$D$23:$D$26)*(H165-LOOKUP(H165,$E$23:$E$26))/LOOKUP(H165,$E$23:$E$26,$C$23:$C$26)</f>
        <v>4.23293614953971</v>
      </c>
      <c r="Y165" s="16" t="n">
        <f aca="false">LOOKUP(I165,$E$23:$E$26,$A$23:$A$26)+LOOKUP(I165,$E$23:$E$26,$D$23:$D$26)*(I165-LOOKUP(I165,$E$23:$E$26))/LOOKUP(I165,$E$23:$E$26,$C$23:$C$26)</f>
        <v>4.22589867270019</v>
      </c>
      <c r="Z165" s="16" t="n">
        <f aca="false">LOOKUP(J165,$E$23:$E$26,$A$23:$A$26)+LOOKUP(J165,$E$23:$E$26,$D$23:$D$26)*(J165-LOOKUP(J165,$E$23:$E$26))/LOOKUP(J165,$E$23:$E$26,$C$23:$C$26)</f>
        <v>4.3854894542687</v>
      </c>
      <c r="AA165" s="16" t="n">
        <f aca="false">LOOKUP(K165,$E$23:$E$26,$A$23:$A$26)+LOOKUP(K165,$E$23:$E$26,$D$23:$D$26)*(K165-LOOKUP(K165,$E$23:$E$26))/LOOKUP(K165,$E$23:$E$26,$C$23:$C$26)</f>
        <v>5.11703943548514</v>
      </c>
      <c r="AB165" s="16" t="n">
        <f aca="false">LOOKUP(L165,$E$23:$E$26,$A$23:$A$26)+LOOKUP(L165,$E$23:$E$26,$D$23:$D$26)*(L165-LOOKUP(L165,$E$23:$E$26))/LOOKUP(L165,$E$23:$E$26,$C$23:$C$26)</f>
        <v>5.35852451745541</v>
      </c>
      <c r="AC165" s="16" t="n">
        <f aca="false">LOOKUP(M165,$E$23:$E$26,$A$23:$A$26)+LOOKUP(M165,$E$23:$E$26,$D$23:$D$26)*(M165-LOOKUP(M165,$E$23:$E$26))/LOOKUP(M165,$E$23:$E$26,$C$23:$C$26)</f>
        <v>4.95956615942466</v>
      </c>
      <c r="AD165" s="16" t="n">
        <f aca="false">LOOKUP(N165,$E$23:$E$26,$A$23:$A$26)+LOOKUP(N165,$E$23:$E$26,$D$23:$D$26)*(N165-LOOKUP(N165,$E$23:$E$26))/LOOKUP(N165,$E$23:$E$26,$C$23:$C$26)</f>
        <v>4.49792073676875</v>
      </c>
      <c r="AE165" s="16" t="n">
        <f aca="false">LOOKUP(O165,$E$23:$E$26,$A$23:$A$26)+LOOKUP(O165,$E$23:$E$26,$D$23:$D$26)*(O165-LOOKUP(O165,$E$23:$E$26))/LOOKUP(O165,$E$23:$E$26,$C$23:$C$26)</f>
        <v>5.11441114885457</v>
      </c>
      <c r="AF165" s="16" t="n">
        <f aca="false">LOOKUP(P165,$E$23:$E$26,$A$23:$A$26)+LOOKUP(P165,$E$23:$E$26,$D$23:$D$26)*(P165-LOOKUP(P165,$E$23:$E$26))/LOOKUP(P165,$E$23:$E$26,$C$23:$C$26)</f>
        <v>5.3158697233723</v>
      </c>
      <c r="AG165" s="16" t="n">
        <f aca="false">LOOKUP(Q165,$E$23:$E$26,$A$23:$A$26)+LOOKUP(Q165,$E$23:$E$26,$D$23:$D$26)*(Q165-LOOKUP(Q165,$E$23:$E$26))/LOOKUP(Q165,$E$23:$E$26,$C$23:$C$26)</f>
        <v>5.87102797153831</v>
      </c>
      <c r="AH165" s="16" t="n">
        <f aca="false">LOOKUP(R165,$E$23:$E$26,$A$23:$A$26)+LOOKUP(R165,$E$23:$E$26,$D$23:$D$26)*(R165-LOOKUP(R165,$E$23:$E$26))/LOOKUP(R165,$E$23:$E$26,$C$23:$C$26)</f>
        <v>4.78546952564055</v>
      </c>
      <c r="AI165" s="16" t="n">
        <f aca="false">LOOKUP(S165,$E$23:$E$26,$A$23:$A$26)+LOOKUP(S165,$E$23:$E$26,$D$23:$D$26)*(S165-LOOKUP(S165,$E$23:$E$26))/LOOKUP(S165,$E$23:$E$26,$C$23:$C$26)</f>
        <v>5.32569317860281</v>
      </c>
      <c r="AJ165" s="16" t="n">
        <f aca="false">SUM($T165:T165)</f>
        <v>5.32494657658773</v>
      </c>
      <c r="AK165" s="16" t="n">
        <f aca="false">SUM($T165:U165)</f>
        <v>10.5621155185643</v>
      </c>
      <c r="AL165" s="16" t="n">
        <f aca="false">SUM($T165:V165)</f>
        <v>15.1084966961402</v>
      </c>
      <c r="AM165" s="16" t="n">
        <f aca="false">SUM($T165:W165)</f>
        <v>19.2984589372345</v>
      </c>
      <c r="AN165" s="16" t="n">
        <f aca="false">SUM($T165:X165)</f>
        <v>23.5313950867742</v>
      </c>
      <c r="AO165" s="16" t="n">
        <f aca="false">SUM($T165:Y165)</f>
        <v>27.7572937594744</v>
      </c>
      <c r="AP165" s="16" t="n">
        <f aca="false">SUM($T165:Z165)</f>
        <v>32.1427832137431</v>
      </c>
      <c r="AQ165" s="16" t="n">
        <f aca="false">SUM($T165:AA165)</f>
        <v>37.2598226492282</v>
      </c>
      <c r="AR165" s="16" t="n">
        <f aca="false">SUM($T165:AB165)</f>
        <v>42.6183471666836</v>
      </c>
      <c r="AS165" s="16" t="n">
        <f aca="false">SUM($T165:AC165)</f>
        <v>47.5779133261083</v>
      </c>
      <c r="AT165" s="16" t="n">
        <f aca="false">SUM($T165:AD165)</f>
        <v>52.075834062877</v>
      </c>
      <c r="AU165" s="16" t="n">
        <f aca="false">SUM($T165:AE165)</f>
        <v>57.1902452117316</v>
      </c>
      <c r="AV165" s="16" t="n">
        <f aca="false">SUM($T165:AF165)</f>
        <v>62.5061149351039</v>
      </c>
      <c r="AW165" s="16" t="n">
        <f aca="false">SUM($T165:AG165)</f>
        <v>68.3771429066422</v>
      </c>
      <c r="AX165" s="16" t="n">
        <f aca="false">SUM($T165:AH165)</f>
        <v>73.1626124322827</v>
      </c>
      <c r="AY165" s="16" t="n">
        <f aca="false">SUM($T165:AI165)</f>
        <v>78.4883056108855</v>
      </c>
      <c r="AZ165" s="16" t="n">
        <f aca="false">MAX(C165-AJ165,0)</f>
        <v>69.9427034782246</v>
      </c>
      <c r="BA165" s="16" t="n">
        <f aca="false">MAX(C165-AK165,0)</f>
        <v>64.705534536248</v>
      </c>
      <c r="BB165" s="16" t="n">
        <f aca="false">MAX(C165-AL165,0)</f>
        <v>60.1591533586721</v>
      </c>
      <c r="BC165" s="16" t="n">
        <f aca="false">MAX(C165-AM165,0)</f>
        <v>55.9691911175779</v>
      </c>
      <c r="BD165" s="16" t="n">
        <f aca="false">MAX(C165-AN165,0)</f>
        <v>51.7362549680381</v>
      </c>
      <c r="BE165" s="16" t="n">
        <f aca="false">MAX(C165-AO165,0)</f>
        <v>47.510356295338</v>
      </c>
      <c r="BF165" s="16" t="n">
        <f aca="false">MAX(C165-AP165,0)</f>
        <v>43.1248668410693</v>
      </c>
      <c r="BG165" s="16" t="n">
        <f aca="false">MAX(C165-AQ165,0)</f>
        <v>38.0078274055841</v>
      </c>
      <c r="BH165" s="16" t="n">
        <f aca="false">MAX(C165-AR165,0)</f>
        <v>32.6493028881287</v>
      </c>
      <c r="BI165" s="16" t="n">
        <f aca="false">MAX(C165-AS165,0)</f>
        <v>27.689736728704</v>
      </c>
      <c r="BJ165" s="16" t="n">
        <f aca="false">MAX(C165-AT165,0)</f>
        <v>23.1918159919353</v>
      </c>
      <c r="BK165" s="16" t="n">
        <f aca="false">MAX(C165-AU165,0)</f>
        <v>18.0774048430807</v>
      </c>
      <c r="BL165" s="16" t="n">
        <f aca="false">MAX(C165-AV165,0)</f>
        <v>12.7615351197084</v>
      </c>
      <c r="BM165" s="16" t="n">
        <f aca="false">MAX(C165-AW165,0)</f>
        <v>6.89050714817012</v>
      </c>
      <c r="BN165" s="16" t="n">
        <f aca="false">MAX(C165-AX165,0)</f>
        <v>2.10503762252958</v>
      </c>
      <c r="BO165" s="16" t="n">
        <f aca="false">MAX(C165-AY165,0)</f>
        <v>0</v>
      </c>
    </row>
    <row r="166" customFormat="false" ht="15" hidden="false" customHeight="false" outlineLevel="0" collapsed="false">
      <c r="A166" s="3" t="n">
        <v>136</v>
      </c>
      <c r="B166" s="15" t="n">
        <f aca="true">RAND()</f>
        <v>0.891217209445873</v>
      </c>
      <c r="C166" s="16" t="n">
        <f aca="false">LOOKUP(B166,$E$12:$E$17,$A$12:$A$17)+LOOKUP(B166,$E$12:$E$17,$D$12:$D$17)*(B166-LOOKUP(B166,$E$12:$E$17))/LOOKUP(B166,$E$12:$E$17,$C$12:$C$17)</f>
        <v>69.8745315635125</v>
      </c>
      <c r="D166" s="15" t="n">
        <f aca="true">RAND()</f>
        <v>0.994294076010876</v>
      </c>
      <c r="E166" s="15" t="n">
        <f aca="true">RAND()</f>
        <v>0.391685212699974</v>
      </c>
      <c r="F166" s="15" t="n">
        <f aca="true">RAND()</f>
        <v>0.172564693485012</v>
      </c>
      <c r="G166" s="15" t="n">
        <f aca="true">RAND()</f>
        <v>0.475946246266569</v>
      </c>
      <c r="H166" s="15" t="n">
        <f aca="true">RAND()</f>
        <v>0.000339518313352653</v>
      </c>
      <c r="I166" s="15" t="n">
        <f aca="true">RAND()</f>
        <v>0.295165135708447</v>
      </c>
      <c r="J166" s="15" t="n">
        <f aca="true">RAND()</f>
        <v>0.107619253137077</v>
      </c>
      <c r="K166" s="15" t="n">
        <f aca="true">RAND()</f>
        <v>0.323164524887305</v>
      </c>
      <c r="L166" s="15" t="n">
        <f aca="true">RAND()</f>
        <v>0.706967472971445</v>
      </c>
      <c r="M166" s="15" t="n">
        <f aca="true">RAND()</f>
        <v>0.358743795838703</v>
      </c>
      <c r="N166" s="15" t="n">
        <f aca="true">RAND()</f>
        <v>0.171506929862011</v>
      </c>
      <c r="O166" s="15" t="n">
        <f aca="true">RAND()</f>
        <v>0.252802808020386</v>
      </c>
      <c r="P166" s="15" t="n">
        <f aca="true">RAND()</f>
        <v>0.0465063056765575</v>
      </c>
      <c r="Q166" s="15" t="n">
        <f aca="true">RAND()</f>
        <v>0.829824067129104</v>
      </c>
      <c r="R166" s="15" t="n">
        <f aca="true">RAND()</f>
        <v>0.345886038362245</v>
      </c>
      <c r="S166" s="15" t="n">
        <f aca="true">RAND()</f>
        <v>0.454600507139502</v>
      </c>
      <c r="T166" s="16" t="n">
        <f aca="false">LOOKUP(D166,$E$23:$E$26,$A$23:$A$26)+LOOKUP(D166,$E$23:$E$26,$D$23:$D$26)*(D166-LOOKUP(D166,$E$23:$E$26))/LOOKUP(D166,$E$23:$E$26,$C$23:$C$26)</f>
        <v>5.97147038005438</v>
      </c>
      <c r="U166" s="16" t="n">
        <f aca="false">LOOKUP(E166,$E$23:$E$26,$A$23:$A$26)+LOOKUP(E166,$E$23:$E$26,$D$23:$D$26)*(E166-LOOKUP(E166,$E$23:$E$26))/LOOKUP(E166,$E$23:$E$26,$C$23:$C$26)</f>
        <v>4.61460651587497</v>
      </c>
      <c r="V166" s="16" t="n">
        <f aca="false">LOOKUP(F166,$E$23:$E$26,$A$23:$A$26)+LOOKUP(F166,$E$23:$E$26,$D$23:$D$26)*(F166-LOOKUP(F166,$E$23:$E$26))/LOOKUP(F166,$E$23:$E$26,$C$23:$C$26)</f>
        <v>4.28760782247502</v>
      </c>
      <c r="W166" s="16" t="n">
        <f aca="false">LOOKUP(G166,$E$23:$E$26,$A$23:$A$26)+LOOKUP(G166,$E$23:$E$26,$D$23:$D$26)*(G166-LOOKUP(G166,$E$23:$E$26))/LOOKUP(G166,$E$23:$E$26,$C$23:$C$26)</f>
        <v>4.71993280783321</v>
      </c>
      <c r="X166" s="16" t="n">
        <f aca="false">LOOKUP(H166,$E$23:$E$26,$A$23:$A$26)+LOOKUP(H166,$E$23:$E$26,$D$23:$D$26)*(H166-LOOKUP(H166,$E$23:$E$26))/LOOKUP(H166,$E$23:$E$26,$C$23:$C$26)</f>
        <v>4.00056586385559</v>
      </c>
      <c r="Y166" s="16" t="n">
        <f aca="false">LOOKUP(I166,$E$23:$E$26,$A$23:$A$26)+LOOKUP(I166,$E$23:$E$26,$D$23:$D$26)*(I166-LOOKUP(I166,$E$23:$E$26))/LOOKUP(I166,$E$23:$E$26,$C$23:$C$26)</f>
        <v>4.49194189284741</v>
      </c>
      <c r="Z166" s="16" t="n">
        <f aca="false">LOOKUP(J166,$E$23:$E$26,$A$23:$A$26)+LOOKUP(J166,$E$23:$E$26,$D$23:$D$26)*(J166-LOOKUP(J166,$E$23:$E$26))/LOOKUP(J166,$E$23:$E$26,$C$23:$C$26)</f>
        <v>4.17936542189513</v>
      </c>
      <c r="AA166" s="16" t="n">
        <f aca="false">LOOKUP(K166,$E$23:$E$26,$A$23:$A$26)+LOOKUP(K166,$E$23:$E$26,$D$23:$D$26)*(K166-LOOKUP(K166,$E$23:$E$26))/LOOKUP(K166,$E$23:$E$26,$C$23:$C$26)</f>
        <v>4.52895565610913</v>
      </c>
      <c r="AB166" s="16" t="n">
        <f aca="false">LOOKUP(L166,$E$23:$E$26,$A$23:$A$26)+LOOKUP(L166,$E$23:$E$26,$D$23:$D$26)*(L166-LOOKUP(L166,$E$23:$E$26))/LOOKUP(L166,$E$23:$E$26,$C$23:$C$26)</f>
        <v>5.01741868242861</v>
      </c>
      <c r="AC166" s="16" t="n">
        <f aca="false">LOOKUP(M166,$E$23:$E$26,$A$23:$A$26)+LOOKUP(M166,$E$23:$E$26,$D$23:$D$26)*(M166-LOOKUP(M166,$E$23:$E$26))/LOOKUP(M166,$E$23:$E$26,$C$23:$C$26)</f>
        <v>4.57342974479838</v>
      </c>
      <c r="AD166" s="16" t="n">
        <f aca="false">LOOKUP(N166,$E$23:$E$26,$A$23:$A$26)+LOOKUP(N166,$E$23:$E$26,$D$23:$D$26)*(N166-LOOKUP(N166,$E$23:$E$26))/LOOKUP(N166,$E$23:$E$26,$C$23:$C$26)</f>
        <v>4.28584488310335</v>
      </c>
      <c r="AE166" s="16" t="n">
        <f aca="false">LOOKUP(O166,$E$23:$E$26,$A$23:$A$26)+LOOKUP(O166,$E$23:$E$26,$D$23:$D$26)*(O166-LOOKUP(O166,$E$23:$E$26))/LOOKUP(O166,$E$23:$E$26,$C$23:$C$26)</f>
        <v>4.42133801336731</v>
      </c>
      <c r="AF166" s="16" t="n">
        <f aca="false">LOOKUP(P166,$E$23:$E$26,$A$23:$A$26)+LOOKUP(P166,$E$23:$E$26,$D$23:$D$26)*(P166-LOOKUP(P166,$E$23:$E$26))/LOOKUP(P166,$E$23:$E$26,$C$23:$C$26)</f>
        <v>4.07751050946093</v>
      </c>
      <c r="AG166" s="16" t="n">
        <f aca="false">LOOKUP(Q166,$E$23:$E$26,$A$23:$A$26)+LOOKUP(Q166,$E$23:$E$26,$D$23:$D$26)*(Q166-LOOKUP(Q166,$E$23:$E$26))/LOOKUP(Q166,$E$23:$E$26,$C$23:$C$26)</f>
        <v>5.32456016782276</v>
      </c>
      <c r="AH166" s="16" t="n">
        <f aca="false">LOOKUP(R166,$E$23:$E$26,$A$23:$A$26)+LOOKUP(R166,$E$23:$E$26,$D$23:$D$26)*(R166-LOOKUP(R166,$E$23:$E$26))/LOOKUP(R166,$E$23:$E$26,$C$23:$C$26)</f>
        <v>4.55735754795281</v>
      </c>
      <c r="AI166" s="16" t="n">
        <f aca="false">LOOKUP(S166,$E$23:$E$26,$A$23:$A$26)+LOOKUP(S166,$E$23:$E$26,$D$23:$D$26)*(S166-LOOKUP(S166,$E$23:$E$26))/LOOKUP(S166,$E$23:$E$26,$C$23:$C$26)</f>
        <v>4.69325063392438</v>
      </c>
      <c r="AJ166" s="16" t="n">
        <f aca="false">SUM($T166:T166)</f>
        <v>5.97147038005438</v>
      </c>
      <c r="AK166" s="16" t="n">
        <f aca="false">SUM($T166:U166)</f>
        <v>10.5860768959293</v>
      </c>
      <c r="AL166" s="16" t="n">
        <f aca="false">SUM($T166:V166)</f>
        <v>14.8736847184044</v>
      </c>
      <c r="AM166" s="16" t="n">
        <f aca="false">SUM($T166:W166)</f>
        <v>19.5936175262376</v>
      </c>
      <c r="AN166" s="16" t="n">
        <f aca="false">SUM($T166:X166)</f>
        <v>23.5941833900932</v>
      </c>
      <c r="AO166" s="16" t="n">
        <f aca="false">SUM($T166:Y166)</f>
        <v>28.0861252829406</v>
      </c>
      <c r="AP166" s="16" t="n">
        <f aca="false">SUM($T166:Z166)</f>
        <v>32.2654907048357</v>
      </c>
      <c r="AQ166" s="16" t="n">
        <f aca="false">SUM($T166:AA166)</f>
        <v>36.7944463609448</v>
      </c>
      <c r="AR166" s="16" t="n">
        <f aca="false">SUM($T166:AB166)</f>
        <v>41.8118650433734</v>
      </c>
      <c r="AS166" s="16" t="n">
        <f aca="false">SUM($T166:AC166)</f>
        <v>46.3852947881718</v>
      </c>
      <c r="AT166" s="16" t="n">
        <f aca="false">SUM($T166:AD166)</f>
        <v>50.6711396712752</v>
      </c>
      <c r="AU166" s="16" t="n">
        <f aca="false">SUM($T166:AE166)</f>
        <v>55.0924776846425</v>
      </c>
      <c r="AV166" s="16" t="n">
        <f aca="false">SUM($T166:AF166)</f>
        <v>59.1699881941034</v>
      </c>
      <c r="AW166" s="16" t="n">
        <f aca="false">SUM($T166:AG166)</f>
        <v>64.4945483619262</v>
      </c>
      <c r="AX166" s="16" t="n">
        <f aca="false">SUM($T166:AH166)</f>
        <v>69.051905909879</v>
      </c>
      <c r="AY166" s="16" t="n">
        <f aca="false">SUM($T166:AI166)</f>
        <v>73.7451565438034</v>
      </c>
      <c r="AZ166" s="16" t="n">
        <f aca="false">MAX(C166-AJ166,0)</f>
        <v>63.9030611834581</v>
      </c>
      <c r="BA166" s="16" t="n">
        <f aca="false">MAX(C166-AK166,0)</f>
        <v>59.2884546675831</v>
      </c>
      <c r="BB166" s="16" t="n">
        <f aca="false">MAX(C166-AL166,0)</f>
        <v>55.0008468451081</v>
      </c>
      <c r="BC166" s="16" t="n">
        <f aca="false">MAX(C166-AM166,0)</f>
        <v>50.2809140372749</v>
      </c>
      <c r="BD166" s="16" t="n">
        <f aca="false">MAX(C166-AN166,0)</f>
        <v>46.2803481734193</v>
      </c>
      <c r="BE166" s="16" t="n">
        <f aca="false">MAX(C166-AO166,0)</f>
        <v>41.7884062805719</v>
      </c>
      <c r="BF166" s="16" t="n">
        <f aca="false">MAX(C166-AP166,0)</f>
        <v>37.6090408586768</v>
      </c>
      <c r="BG166" s="16" t="n">
        <f aca="false">MAX(C166-AQ166,0)</f>
        <v>33.0800852025676</v>
      </c>
      <c r="BH166" s="16" t="n">
        <f aca="false">MAX(C166-AR166,0)</f>
        <v>28.062666520139</v>
      </c>
      <c r="BI166" s="16" t="n">
        <f aca="false">MAX(C166-AS166,0)</f>
        <v>23.4892367753406</v>
      </c>
      <c r="BJ166" s="16" t="n">
        <f aca="false">MAX(C166-AT166,0)</f>
        <v>19.2033918922373</v>
      </c>
      <c r="BK166" s="16" t="n">
        <f aca="false">MAX(C166-AU166,0)</f>
        <v>14.78205387887</v>
      </c>
      <c r="BL166" s="16" t="n">
        <f aca="false">MAX(C166-AV166,0)</f>
        <v>10.704543369409</v>
      </c>
      <c r="BM166" s="16" t="n">
        <f aca="false">MAX(C166-AW166,0)</f>
        <v>5.37998320158629</v>
      </c>
      <c r="BN166" s="16" t="n">
        <f aca="false">MAX(C166-AX166,0)</f>
        <v>0.82262565363348</v>
      </c>
      <c r="BO166" s="16" t="n">
        <f aca="false">MAX(C166-AY166,0)</f>
        <v>0</v>
      </c>
    </row>
    <row r="167" customFormat="false" ht="15" hidden="false" customHeight="false" outlineLevel="0" collapsed="false">
      <c r="A167" s="3" t="n">
        <v>137</v>
      </c>
      <c r="B167" s="15" t="n">
        <f aca="true">RAND()</f>
        <v>0.341212390535436</v>
      </c>
      <c r="C167" s="16" t="n">
        <f aca="false">LOOKUP(B167,$E$12:$E$17,$A$12:$A$17)+LOOKUP(B167,$E$12:$E$17,$D$12:$D$17)*(B167-LOOKUP(B167,$E$12:$E$17))/LOOKUP(B167,$E$12:$E$17,$C$12:$C$17)</f>
        <v>61.5202065089239</v>
      </c>
      <c r="D167" s="15" t="n">
        <f aca="true">RAND()</f>
        <v>0.918083992243957</v>
      </c>
      <c r="E167" s="15" t="n">
        <f aca="true">RAND()</f>
        <v>0.0314682873380452</v>
      </c>
      <c r="F167" s="15" t="n">
        <f aca="true">RAND()</f>
        <v>0.433293790689886</v>
      </c>
      <c r="G167" s="15" t="n">
        <f aca="true">RAND()</f>
        <v>0.641189863993858</v>
      </c>
      <c r="H167" s="15" t="n">
        <f aca="true">RAND()</f>
        <v>0.0843061761545604</v>
      </c>
      <c r="I167" s="15" t="n">
        <f aca="true">RAND()</f>
        <v>0.40234432512492</v>
      </c>
      <c r="J167" s="15" t="n">
        <f aca="true">RAND()</f>
        <v>0.37963123284572</v>
      </c>
      <c r="K167" s="15" t="n">
        <f aca="true">RAND()</f>
        <v>0.416982858777821</v>
      </c>
      <c r="L167" s="15" t="n">
        <f aca="true">RAND()</f>
        <v>0.554944354203445</v>
      </c>
      <c r="M167" s="15" t="n">
        <f aca="true">RAND()</f>
        <v>0.711791953725694</v>
      </c>
      <c r="N167" s="15" t="n">
        <f aca="true">RAND()</f>
        <v>0.236679301868407</v>
      </c>
      <c r="O167" s="15" t="n">
        <f aca="true">RAND()</f>
        <v>0.786033663948798</v>
      </c>
      <c r="P167" s="15" t="n">
        <f aca="true">RAND()</f>
        <v>0.192142366504782</v>
      </c>
      <c r="Q167" s="15" t="n">
        <f aca="true">RAND()</f>
        <v>0.401152044501479</v>
      </c>
      <c r="R167" s="15" t="n">
        <f aca="true">RAND()</f>
        <v>0.583268419727467</v>
      </c>
      <c r="S167" s="15" t="n">
        <f aca="true">RAND()</f>
        <v>0.381289393313401</v>
      </c>
      <c r="T167" s="16" t="n">
        <f aca="false">LOOKUP(D167,$E$23:$E$26,$A$23:$A$26)+LOOKUP(D167,$E$23:$E$26,$D$23:$D$26)*(D167-LOOKUP(D167,$E$23:$E$26))/LOOKUP(D167,$E$23:$E$26,$C$23:$C$26)</f>
        <v>5.59041996121979</v>
      </c>
      <c r="U167" s="16" t="n">
        <f aca="false">LOOKUP(E167,$E$23:$E$26,$A$23:$A$26)+LOOKUP(E167,$E$23:$E$26,$D$23:$D$26)*(E167-LOOKUP(E167,$E$23:$E$26))/LOOKUP(E167,$E$23:$E$26,$C$23:$C$26)</f>
        <v>4.05244714556341</v>
      </c>
      <c r="V167" s="16" t="n">
        <f aca="false">LOOKUP(F167,$E$23:$E$26,$A$23:$A$26)+LOOKUP(F167,$E$23:$E$26,$D$23:$D$26)*(F167-LOOKUP(F167,$E$23:$E$26))/LOOKUP(F167,$E$23:$E$26,$C$23:$C$26)</f>
        <v>4.66661723836236</v>
      </c>
      <c r="W167" s="16" t="n">
        <f aca="false">LOOKUP(G167,$E$23:$E$26,$A$23:$A$26)+LOOKUP(G167,$E$23:$E$26,$D$23:$D$26)*(G167-LOOKUP(G167,$E$23:$E$26))/LOOKUP(G167,$E$23:$E$26,$C$23:$C$26)</f>
        <v>4.92648732999232</v>
      </c>
      <c r="X167" s="16" t="n">
        <f aca="false">LOOKUP(H167,$E$23:$E$26,$A$23:$A$26)+LOOKUP(H167,$E$23:$E$26,$D$23:$D$26)*(H167-LOOKUP(H167,$E$23:$E$26))/LOOKUP(H167,$E$23:$E$26,$C$23:$C$26)</f>
        <v>4.14051029359093</v>
      </c>
      <c r="Y167" s="16" t="n">
        <f aca="false">LOOKUP(I167,$E$23:$E$26,$A$23:$A$26)+LOOKUP(I167,$E$23:$E$26,$D$23:$D$26)*(I167-LOOKUP(I167,$E$23:$E$26))/LOOKUP(I167,$E$23:$E$26,$C$23:$C$26)</f>
        <v>4.62793040640615</v>
      </c>
      <c r="Z167" s="16" t="n">
        <f aca="false">LOOKUP(J167,$E$23:$E$26,$A$23:$A$26)+LOOKUP(J167,$E$23:$E$26,$D$23:$D$26)*(J167-LOOKUP(J167,$E$23:$E$26))/LOOKUP(J167,$E$23:$E$26,$C$23:$C$26)</f>
        <v>4.59953904105715</v>
      </c>
      <c r="AA167" s="16" t="n">
        <f aca="false">LOOKUP(K167,$E$23:$E$26,$A$23:$A$26)+LOOKUP(K167,$E$23:$E$26,$D$23:$D$26)*(K167-LOOKUP(K167,$E$23:$E$26))/LOOKUP(K167,$E$23:$E$26,$C$23:$C$26)</f>
        <v>4.64622857347228</v>
      </c>
      <c r="AB167" s="16" t="n">
        <f aca="false">LOOKUP(L167,$E$23:$E$26,$A$23:$A$26)+LOOKUP(L167,$E$23:$E$26,$D$23:$D$26)*(L167-LOOKUP(L167,$E$23:$E$26))/LOOKUP(L167,$E$23:$E$26,$C$23:$C$26)</f>
        <v>4.81868044275431</v>
      </c>
      <c r="AC167" s="16" t="n">
        <f aca="false">LOOKUP(M167,$E$23:$E$26,$A$23:$A$26)+LOOKUP(M167,$E$23:$E$26,$D$23:$D$26)*(M167-LOOKUP(M167,$E$23:$E$26))/LOOKUP(M167,$E$23:$E$26,$C$23:$C$26)</f>
        <v>5.02947988431424</v>
      </c>
      <c r="AD167" s="16" t="n">
        <f aca="false">LOOKUP(N167,$E$23:$E$26,$A$23:$A$26)+LOOKUP(N167,$E$23:$E$26,$D$23:$D$26)*(N167-LOOKUP(N167,$E$23:$E$26))/LOOKUP(N167,$E$23:$E$26,$C$23:$C$26)</f>
        <v>4.39446550311401</v>
      </c>
      <c r="AE167" s="16" t="n">
        <f aca="false">LOOKUP(O167,$E$23:$E$26,$A$23:$A$26)+LOOKUP(O167,$E$23:$E$26,$D$23:$D$26)*(O167-LOOKUP(O167,$E$23:$E$26))/LOOKUP(O167,$E$23:$E$26,$C$23:$C$26)</f>
        <v>5.215084159872</v>
      </c>
      <c r="AF167" s="16" t="n">
        <f aca="false">LOOKUP(P167,$E$23:$E$26,$A$23:$A$26)+LOOKUP(P167,$E$23:$E$26,$D$23:$D$26)*(P167-LOOKUP(P167,$E$23:$E$26))/LOOKUP(P167,$E$23:$E$26,$C$23:$C$26)</f>
        <v>4.32023727750797</v>
      </c>
      <c r="AG167" s="16" t="n">
        <f aca="false">LOOKUP(Q167,$E$23:$E$26,$A$23:$A$26)+LOOKUP(Q167,$E$23:$E$26,$D$23:$D$26)*(Q167-LOOKUP(Q167,$E$23:$E$26))/LOOKUP(Q167,$E$23:$E$26,$C$23:$C$26)</f>
        <v>4.62644005562685</v>
      </c>
      <c r="AH167" s="16" t="n">
        <f aca="false">LOOKUP(R167,$E$23:$E$26,$A$23:$A$26)+LOOKUP(R167,$E$23:$E$26,$D$23:$D$26)*(R167-LOOKUP(R167,$E$23:$E$26))/LOOKUP(R167,$E$23:$E$26,$C$23:$C$26)</f>
        <v>4.85408552465933</v>
      </c>
      <c r="AI167" s="16" t="n">
        <f aca="false">LOOKUP(S167,$E$23:$E$26,$A$23:$A$26)+LOOKUP(S167,$E$23:$E$26,$D$23:$D$26)*(S167-LOOKUP(S167,$E$23:$E$26))/LOOKUP(S167,$E$23:$E$26,$C$23:$C$26)</f>
        <v>4.60161174164175</v>
      </c>
      <c r="AJ167" s="16" t="n">
        <f aca="false">SUM($T167:T167)</f>
        <v>5.59041996121979</v>
      </c>
      <c r="AK167" s="16" t="n">
        <f aca="false">SUM($T167:U167)</f>
        <v>9.6428671067832</v>
      </c>
      <c r="AL167" s="16" t="n">
        <f aca="false">SUM($T167:V167)</f>
        <v>14.3094843451456</v>
      </c>
      <c r="AM167" s="16" t="n">
        <f aca="false">SUM($T167:W167)</f>
        <v>19.2359716751379</v>
      </c>
      <c r="AN167" s="16" t="n">
        <f aca="false">SUM($T167:X167)</f>
        <v>23.3764819687288</v>
      </c>
      <c r="AO167" s="16" t="n">
        <f aca="false">SUM($T167:Y167)</f>
        <v>28.004412375135</v>
      </c>
      <c r="AP167" s="16" t="n">
        <f aca="false">SUM($T167:Z167)</f>
        <v>32.6039514161921</v>
      </c>
      <c r="AQ167" s="16" t="n">
        <f aca="false">SUM($T167:AA167)</f>
        <v>37.2501799896644</v>
      </c>
      <c r="AR167" s="16" t="n">
        <f aca="false">SUM($T167:AB167)</f>
        <v>42.0688604324187</v>
      </c>
      <c r="AS167" s="16" t="n">
        <f aca="false">SUM($T167:AC167)</f>
        <v>47.0983403167329</v>
      </c>
      <c r="AT167" s="16" t="n">
        <f aca="false">SUM($T167:AD167)</f>
        <v>51.4928058198469</v>
      </c>
      <c r="AU167" s="16" t="n">
        <f aca="false">SUM($T167:AE167)</f>
        <v>56.7078899797189</v>
      </c>
      <c r="AV167" s="16" t="n">
        <f aca="false">SUM($T167:AF167)</f>
        <v>61.0281272572269</v>
      </c>
      <c r="AW167" s="16" t="n">
        <f aca="false">SUM($T167:AG167)</f>
        <v>65.6545673128537</v>
      </c>
      <c r="AX167" s="16" t="n">
        <f aca="false">SUM($T167:AH167)</f>
        <v>70.5086528375131</v>
      </c>
      <c r="AY167" s="16" t="n">
        <f aca="false">SUM($T167:AI167)</f>
        <v>75.1102645791548</v>
      </c>
      <c r="AZ167" s="16" t="n">
        <f aca="false">MAX(C167-AJ167,0)</f>
        <v>55.9297865477042</v>
      </c>
      <c r="BA167" s="16" t="n">
        <f aca="false">MAX(C167-AK167,0)</f>
        <v>51.8773394021408</v>
      </c>
      <c r="BB167" s="16" t="n">
        <f aca="false">MAX(C167-AL167,0)</f>
        <v>47.2107221637784</v>
      </c>
      <c r="BC167" s="16" t="n">
        <f aca="false">MAX(C167-AM167,0)</f>
        <v>42.2842348337861</v>
      </c>
      <c r="BD167" s="16" t="n">
        <f aca="false">MAX(C167-AN167,0)</f>
        <v>38.1437245401951</v>
      </c>
      <c r="BE167" s="16" t="n">
        <f aca="false">MAX(C167-AO167,0)</f>
        <v>33.515794133789</v>
      </c>
      <c r="BF167" s="16" t="n">
        <f aca="false">MAX(C167-AP167,0)</f>
        <v>28.9162550927318</v>
      </c>
      <c r="BG167" s="16" t="n">
        <f aca="false">MAX(C167-AQ167,0)</f>
        <v>24.2700265192596</v>
      </c>
      <c r="BH167" s="16" t="n">
        <f aca="false">MAX(C167-AR167,0)</f>
        <v>19.4513460765053</v>
      </c>
      <c r="BI167" s="16" t="n">
        <f aca="false">MAX(C167-AS167,0)</f>
        <v>14.421866192191</v>
      </c>
      <c r="BJ167" s="16" t="n">
        <f aca="false">MAX(C167-AT167,0)</f>
        <v>10.027400689077</v>
      </c>
      <c r="BK167" s="16" t="n">
        <f aca="false">MAX(C167-AU167,0)</f>
        <v>4.81231652920501</v>
      </c>
      <c r="BL167" s="16" t="n">
        <f aca="false">MAX(C167-AV167,0)</f>
        <v>0.492079251697035</v>
      </c>
      <c r="BM167" s="16" t="n">
        <f aca="false">MAX(C167-AW167,0)</f>
        <v>0</v>
      </c>
      <c r="BN167" s="16" t="n">
        <f aca="false">MAX(C167-AX167,0)</f>
        <v>0</v>
      </c>
      <c r="BO167" s="16" t="n">
        <f aca="false">MAX(C167-AY167,0)</f>
        <v>0</v>
      </c>
    </row>
    <row r="168" customFormat="false" ht="15" hidden="false" customHeight="false" outlineLevel="0" collapsed="false">
      <c r="A168" s="3" t="n">
        <v>138</v>
      </c>
      <c r="B168" s="15" t="n">
        <f aca="true">RAND()</f>
        <v>0.157466046920699</v>
      </c>
      <c r="C168" s="16" t="n">
        <f aca="false">LOOKUP(B168,$E$12:$E$17,$A$12:$A$17)+LOOKUP(B168,$E$12:$E$17,$D$12:$D$17)*(B168-LOOKUP(B168,$E$12:$E$17))/LOOKUP(B168,$E$12:$E$17,$C$12:$C$17)</f>
        <v>56.9155348973566</v>
      </c>
      <c r="D168" s="15" t="n">
        <f aca="true">RAND()</f>
        <v>0.0850081141406812</v>
      </c>
      <c r="E168" s="15" t="n">
        <f aca="true">RAND()</f>
        <v>0.403569932139644</v>
      </c>
      <c r="F168" s="15" t="n">
        <f aca="true">RAND()</f>
        <v>0.0231854892139875</v>
      </c>
      <c r="G168" s="15" t="n">
        <f aca="true">RAND()</f>
        <v>0.371176694598292</v>
      </c>
      <c r="H168" s="15" t="n">
        <f aca="true">RAND()</f>
        <v>0.290628411759184</v>
      </c>
      <c r="I168" s="15" t="n">
        <f aca="true">RAND()</f>
        <v>0.976579002721368</v>
      </c>
      <c r="J168" s="15" t="n">
        <f aca="true">RAND()</f>
        <v>0.653570125846423</v>
      </c>
      <c r="K168" s="15" t="n">
        <f aca="true">RAND()</f>
        <v>0.900176903710591</v>
      </c>
      <c r="L168" s="15" t="n">
        <f aca="true">RAND()</f>
        <v>0.980998983036526</v>
      </c>
      <c r="M168" s="15" t="n">
        <f aca="true">RAND()</f>
        <v>0.953793809215406</v>
      </c>
      <c r="N168" s="15" t="n">
        <f aca="true">RAND()</f>
        <v>0.350455382260292</v>
      </c>
      <c r="O168" s="15" t="n">
        <f aca="true">RAND()</f>
        <v>0.479735554806187</v>
      </c>
      <c r="P168" s="15" t="n">
        <f aca="true">RAND()</f>
        <v>0.65516640305775</v>
      </c>
      <c r="Q168" s="15" t="n">
        <f aca="true">RAND()</f>
        <v>0.62927835071078</v>
      </c>
      <c r="R168" s="15" t="n">
        <f aca="true">RAND()</f>
        <v>0.898357819006164</v>
      </c>
      <c r="S168" s="15" t="n">
        <f aca="true">RAND()</f>
        <v>0.441051400905271</v>
      </c>
      <c r="T168" s="16" t="n">
        <f aca="false">LOOKUP(D168,$E$23:$E$26,$A$23:$A$26)+LOOKUP(D168,$E$23:$E$26,$D$23:$D$26)*(D168-LOOKUP(D168,$E$23:$E$26))/LOOKUP(D168,$E$23:$E$26,$C$23:$C$26)</f>
        <v>4.14168019023447</v>
      </c>
      <c r="U168" s="16" t="n">
        <f aca="false">LOOKUP(E168,$E$23:$E$26,$A$23:$A$26)+LOOKUP(E168,$E$23:$E$26,$D$23:$D$26)*(E168-LOOKUP(E168,$E$23:$E$26))/LOOKUP(E168,$E$23:$E$26,$C$23:$C$26)</f>
        <v>4.62946241517456</v>
      </c>
      <c r="V168" s="16" t="n">
        <f aca="false">LOOKUP(F168,$E$23:$E$26,$A$23:$A$26)+LOOKUP(F168,$E$23:$E$26,$D$23:$D$26)*(F168-LOOKUP(F168,$E$23:$E$26))/LOOKUP(F168,$E$23:$E$26,$C$23:$C$26)</f>
        <v>4.03864248202331</v>
      </c>
      <c r="W168" s="16" t="n">
        <f aca="false">LOOKUP(G168,$E$23:$E$26,$A$23:$A$26)+LOOKUP(G168,$E$23:$E$26,$D$23:$D$26)*(G168-LOOKUP(G168,$E$23:$E$26))/LOOKUP(G168,$E$23:$E$26,$C$23:$C$26)</f>
        <v>4.58897086824786</v>
      </c>
      <c r="X168" s="16" t="n">
        <f aca="false">LOOKUP(H168,$E$23:$E$26,$A$23:$A$26)+LOOKUP(H168,$E$23:$E$26,$D$23:$D$26)*(H168-LOOKUP(H168,$E$23:$E$26))/LOOKUP(H168,$E$23:$E$26,$C$23:$C$26)</f>
        <v>4.48438068626531</v>
      </c>
      <c r="Y168" s="16" t="n">
        <f aca="false">LOOKUP(I168,$E$23:$E$26,$A$23:$A$26)+LOOKUP(I168,$E$23:$E$26,$D$23:$D$26)*(I168-LOOKUP(I168,$E$23:$E$26))/LOOKUP(I168,$E$23:$E$26,$C$23:$C$26)</f>
        <v>5.88289501360684</v>
      </c>
      <c r="Z168" s="16" t="n">
        <f aca="false">LOOKUP(J168,$E$23:$E$26,$A$23:$A$26)+LOOKUP(J168,$E$23:$E$26,$D$23:$D$26)*(J168-LOOKUP(J168,$E$23:$E$26))/LOOKUP(J168,$E$23:$E$26,$C$23:$C$26)</f>
        <v>4.94196265730803</v>
      </c>
      <c r="AA168" s="16" t="n">
        <f aca="false">LOOKUP(K168,$E$23:$E$26,$A$23:$A$26)+LOOKUP(K168,$E$23:$E$26,$D$23:$D$26)*(K168-LOOKUP(K168,$E$23:$E$26))/LOOKUP(K168,$E$23:$E$26,$C$23:$C$26)</f>
        <v>5.50088451855296</v>
      </c>
      <c r="AB168" s="16" t="n">
        <f aca="false">LOOKUP(L168,$E$23:$E$26,$A$23:$A$26)+LOOKUP(L168,$E$23:$E$26,$D$23:$D$26)*(L168-LOOKUP(L168,$E$23:$E$26))/LOOKUP(L168,$E$23:$E$26,$C$23:$C$26)</f>
        <v>5.90499491518263</v>
      </c>
      <c r="AC168" s="16" t="n">
        <f aca="false">LOOKUP(M168,$E$23:$E$26,$A$23:$A$26)+LOOKUP(M168,$E$23:$E$26,$D$23:$D$26)*(M168-LOOKUP(M168,$E$23:$E$26))/LOOKUP(M168,$E$23:$E$26,$C$23:$C$26)</f>
        <v>5.76896904607703</v>
      </c>
      <c r="AD168" s="16" t="n">
        <f aca="false">LOOKUP(N168,$E$23:$E$26,$A$23:$A$26)+LOOKUP(N168,$E$23:$E$26,$D$23:$D$26)*(N168-LOOKUP(N168,$E$23:$E$26))/LOOKUP(N168,$E$23:$E$26,$C$23:$C$26)</f>
        <v>4.56306922782536</v>
      </c>
      <c r="AE168" s="16" t="n">
        <f aca="false">LOOKUP(O168,$E$23:$E$26,$A$23:$A$26)+LOOKUP(O168,$E$23:$E$26,$D$23:$D$26)*(O168-LOOKUP(O168,$E$23:$E$26))/LOOKUP(O168,$E$23:$E$26,$C$23:$C$26)</f>
        <v>4.72466944350773</v>
      </c>
      <c r="AF168" s="16" t="n">
        <f aca="false">LOOKUP(P168,$E$23:$E$26,$A$23:$A$26)+LOOKUP(P168,$E$23:$E$26,$D$23:$D$26)*(P168-LOOKUP(P168,$E$23:$E$26))/LOOKUP(P168,$E$23:$E$26,$C$23:$C$26)</f>
        <v>4.94395800382219</v>
      </c>
      <c r="AG168" s="16" t="n">
        <f aca="false">LOOKUP(Q168,$E$23:$E$26,$A$23:$A$26)+LOOKUP(Q168,$E$23:$E$26,$D$23:$D$26)*(Q168-LOOKUP(Q168,$E$23:$E$26))/LOOKUP(Q168,$E$23:$E$26,$C$23:$C$26)</f>
        <v>4.91159793838848</v>
      </c>
      <c r="AH168" s="16" t="n">
        <f aca="false">LOOKUP(R168,$E$23:$E$26,$A$23:$A$26)+LOOKUP(R168,$E$23:$E$26,$D$23:$D$26)*(R168-LOOKUP(R168,$E$23:$E$26))/LOOKUP(R168,$E$23:$E$26,$C$23:$C$26)</f>
        <v>5.49589454751541</v>
      </c>
      <c r="AI168" s="16" t="n">
        <f aca="false">LOOKUP(S168,$E$23:$E$26,$A$23:$A$26)+LOOKUP(S168,$E$23:$E$26,$D$23:$D$26)*(S168-LOOKUP(S168,$E$23:$E$26))/LOOKUP(S168,$E$23:$E$26,$C$23:$C$26)</f>
        <v>4.67631425113159</v>
      </c>
      <c r="AJ168" s="16" t="n">
        <f aca="false">SUM($T168:T168)</f>
        <v>4.14168019023447</v>
      </c>
      <c r="AK168" s="16" t="n">
        <f aca="false">SUM($T168:U168)</f>
        <v>8.77114260540903</v>
      </c>
      <c r="AL168" s="16" t="n">
        <f aca="false">SUM($T168:V168)</f>
        <v>12.8097850874323</v>
      </c>
      <c r="AM168" s="16" t="n">
        <f aca="false">SUM($T168:W168)</f>
        <v>17.3987559556802</v>
      </c>
      <c r="AN168" s="16" t="n">
        <f aca="false">SUM($T168:X168)</f>
        <v>21.8831366419455</v>
      </c>
      <c r="AO168" s="16" t="n">
        <f aca="false">SUM($T168:Y168)</f>
        <v>27.7660316555523</v>
      </c>
      <c r="AP168" s="16" t="n">
        <f aca="false">SUM($T168:Z168)</f>
        <v>32.7079943128604</v>
      </c>
      <c r="AQ168" s="16" t="n">
        <f aca="false">SUM($T168:AA168)</f>
        <v>38.2088788314133</v>
      </c>
      <c r="AR168" s="16" t="n">
        <f aca="false">SUM($T168:AB168)</f>
        <v>44.113873746596</v>
      </c>
      <c r="AS168" s="16" t="n">
        <f aca="false">SUM($T168:AC168)</f>
        <v>49.882842792673</v>
      </c>
      <c r="AT168" s="16" t="n">
        <f aca="false">SUM($T168:AD168)</f>
        <v>54.4459120204984</v>
      </c>
      <c r="AU168" s="16" t="n">
        <f aca="false">SUM($T168:AE168)</f>
        <v>59.1705814640061</v>
      </c>
      <c r="AV168" s="16" t="n">
        <f aca="false">SUM($T168:AF168)</f>
        <v>64.1145394678283</v>
      </c>
      <c r="AW168" s="16" t="n">
        <f aca="false">SUM($T168:AG168)</f>
        <v>69.0261374062168</v>
      </c>
      <c r="AX168" s="16" t="n">
        <f aca="false">SUM($T168:AH168)</f>
        <v>74.5220319537322</v>
      </c>
      <c r="AY168" s="16" t="n">
        <f aca="false">SUM($T168:AI168)</f>
        <v>79.1983462048638</v>
      </c>
      <c r="AZ168" s="16" t="n">
        <f aca="false">MAX(C168-AJ168,0)</f>
        <v>52.7738547071222</v>
      </c>
      <c r="BA168" s="16" t="n">
        <f aca="false">MAX(C168-AK168,0)</f>
        <v>48.1443922919476</v>
      </c>
      <c r="BB168" s="16" t="n">
        <f aca="false">MAX(C168-AL168,0)</f>
        <v>44.1057498099243</v>
      </c>
      <c r="BC168" s="16" t="n">
        <f aca="false">MAX(C168-AM168,0)</f>
        <v>39.5167789416764</v>
      </c>
      <c r="BD168" s="16" t="n">
        <f aca="false">MAX(C168-AN168,0)</f>
        <v>35.0323982554111</v>
      </c>
      <c r="BE168" s="16" t="n">
        <f aca="false">MAX(C168-AO168,0)</f>
        <v>29.1495032418043</v>
      </c>
      <c r="BF168" s="16" t="n">
        <f aca="false">MAX(C168-AP168,0)</f>
        <v>24.2075405844963</v>
      </c>
      <c r="BG168" s="16" t="n">
        <f aca="false">MAX(C168-AQ168,0)</f>
        <v>18.7066560659433</v>
      </c>
      <c r="BH168" s="16" t="n">
        <f aca="false">MAX(C168-AR168,0)</f>
        <v>12.8016611507607</v>
      </c>
      <c r="BI168" s="16" t="n">
        <f aca="false">MAX(C168-AS168,0)</f>
        <v>7.03269210468364</v>
      </c>
      <c r="BJ168" s="16" t="n">
        <f aca="false">MAX(C168-AT168,0)</f>
        <v>2.46962287685827</v>
      </c>
      <c r="BK168" s="16" t="n">
        <f aca="false">MAX(C168-AU168,0)</f>
        <v>0</v>
      </c>
      <c r="BL168" s="16" t="n">
        <f aca="false">MAX(C168-AV168,0)</f>
        <v>0</v>
      </c>
      <c r="BM168" s="16" t="n">
        <f aca="false">MAX(C168-AW168,0)</f>
        <v>0</v>
      </c>
      <c r="BN168" s="16" t="n">
        <f aca="false">MAX(C168-AX168,0)</f>
        <v>0</v>
      </c>
      <c r="BO168" s="16" t="n">
        <f aca="false">MAX(C168-AY168,0)</f>
        <v>0</v>
      </c>
    </row>
    <row r="169" customFormat="false" ht="15" hidden="false" customHeight="false" outlineLevel="0" collapsed="false">
      <c r="A169" s="3" t="n">
        <v>139</v>
      </c>
      <c r="B169" s="15" t="n">
        <f aca="true">RAND()</f>
        <v>0.805599082039</v>
      </c>
      <c r="C169" s="16" t="n">
        <f aca="false">LOOKUP(B169,$E$12:$E$17,$A$12:$A$17)+LOOKUP(B169,$E$12:$E$17,$D$12:$D$17)*(B169-LOOKUP(B169,$E$12:$E$17))/LOOKUP(B169,$E$12:$E$17,$C$12:$C$17)</f>
        <v>68.6514154577</v>
      </c>
      <c r="D169" s="15" t="n">
        <f aca="true">RAND()</f>
        <v>0.957769162097493</v>
      </c>
      <c r="E169" s="15" t="n">
        <f aca="true">RAND()</f>
        <v>0.234923127417951</v>
      </c>
      <c r="F169" s="15" t="n">
        <f aca="true">RAND()</f>
        <v>0.429202049348008</v>
      </c>
      <c r="G169" s="15" t="n">
        <f aca="true">RAND()</f>
        <v>0.45739005064506</v>
      </c>
      <c r="H169" s="15" t="n">
        <f aca="true">RAND()</f>
        <v>0.724608642539573</v>
      </c>
      <c r="I169" s="15" t="n">
        <f aca="true">RAND()</f>
        <v>0.804760400962833</v>
      </c>
      <c r="J169" s="15" t="n">
        <f aca="true">RAND()</f>
        <v>0.747173458292865</v>
      </c>
      <c r="K169" s="15" t="n">
        <f aca="true">RAND()</f>
        <v>0.192618549107723</v>
      </c>
      <c r="L169" s="15" t="n">
        <f aca="true">RAND()</f>
        <v>0.422113754783358</v>
      </c>
      <c r="M169" s="15" t="n">
        <f aca="true">RAND()</f>
        <v>0.102639912967295</v>
      </c>
      <c r="N169" s="15" t="n">
        <f aca="true">RAND()</f>
        <v>0.525907954593974</v>
      </c>
      <c r="O169" s="15" t="n">
        <f aca="true">RAND()</f>
        <v>0.384684244865279</v>
      </c>
      <c r="P169" s="15" t="n">
        <f aca="true">RAND()</f>
        <v>0.295195973632885</v>
      </c>
      <c r="Q169" s="15" t="n">
        <f aca="true">RAND()</f>
        <v>0.506777858608077</v>
      </c>
      <c r="R169" s="15" t="n">
        <f aca="true">RAND()</f>
        <v>0.29266338854981</v>
      </c>
      <c r="S169" s="15" t="n">
        <f aca="true">RAND()</f>
        <v>0.984637149625273</v>
      </c>
      <c r="T169" s="16" t="n">
        <f aca="false">LOOKUP(D169,$E$23:$E$26,$A$23:$A$26)+LOOKUP(D169,$E$23:$E$26,$D$23:$D$26)*(D169-LOOKUP(D169,$E$23:$E$26))/LOOKUP(D169,$E$23:$E$26,$C$23:$C$26)</f>
        <v>5.78884581048746</v>
      </c>
      <c r="U169" s="16" t="n">
        <f aca="false">LOOKUP(E169,$E$23:$E$26,$A$23:$A$26)+LOOKUP(E169,$E$23:$E$26,$D$23:$D$26)*(E169-LOOKUP(E169,$E$23:$E$26))/LOOKUP(E169,$E$23:$E$26,$C$23:$C$26)</f>
        <v>4.39153854569658</v>
      </c>
      <c r="V169" s="16" t="n">
        <f aca="false">LOOKUP(F169,$E$23:$E$26,$A$23:$A$26)+LOOKUP(F169,$E$23:$E$26,$D$23:$D$26)*(F169-LOOKUP(F169,$E$23:$E$26))/LOOKUP(F169,$E$23:$E$26,$C$23:$C$26)</f>
        <v>4.66150256168501</v>
      </c>
      <c r="W169" s="16" t="n">
        <f aca="false">LOOKUP(G169,$E$23:$E$26,$A$23:$A$26)+LOOKUP(G169,$E$23:$E$26,$D$23:$D$26)*(G169-LOOKUP(G169,$E$23:$E$26))/LOOKUP(G169,$E$23:$E$26,$C$23:$C$26)</f>
        <v>4.69673756330633</v>
      </c>
      <c r="X169" s="16" t="n">
        <f aca="false">LOOKUP(H169,$E$23:$E$26,$A$23:$A$26)+LOOKUP(H169,$E$23:$E$26,$D$23:$D$26)*(H169-LOOKUP(H169,$E$23:$E$26))/LOOKUP(H169,$E$23:$E$26,$C$23:$C$26)</f>
        <v>5.06152160634893</v>
      </c>
      <c r="Y169" s="16" t="n">
        <f aca="false">LOOKUP(I169,$E$23:$E$26,$A$23:$A$26)+LOOKUP(I169,$E$23:$E$26,$D$23:$D$26)*(I169-LOOKUP(I169,$E$23:$E$26))/LOOKUP(I169,$E$23:$E$26,$C$23:$C$26)</f>
        <v>5.26190100240708</v>
      </c>
      <c r="Z169" s="16" t="n">
        <f aca="false">LOOKUP(J169,$E$23:$E$26,$A$23:$A$26)+LOOKUP(J169,$E$23:$E$26,$D$23:$D$26)*(J169-LOOKUP(J169,$E$23:$E$26))/LOOKUP(J169,$E$23:$E$26,$C$23:$C$26)</f>
        <v>5.11793364573216</v>
      </c>
      <c r="AA169" s="16" t="n">
        <f aca="false">LOOKUP(K169,$E$23:$E$26,$A$23:$A$26)+LOOKUP(K169,$E$23:$E$26,$D$23:$D$26)*(K169-LOOKUP(K169,$E$23:$E$26))/LOOKUP(K169,$E$23:$E$26,$C$23:$C$26)</f>
        <v>4.32103091517954</v>
      </c>
      <c r="AB169" s="16" t="n">
        <f aca="false">LOOKUP(L169,$E$23:$E$26,$A$23:$A$26)+LOOKUP(L169,$E$23:$E$26,$D$23:$D$26)*(L169-LOOKUP(L169,$E$23:$E$26))/LOOKUP(L169,$E$23:$E$26,$C$23:$C$26)</f>
        <v>4.6526421934792</v>
      </c>
      <c r="AC169" s="16" t="n">
        <f aca="false">LOOKUP(M169,$E$23:$E$26,$A$23:$A$26)+LOOKUP(M169,$E$23:$E$26,$D$23:$D$26)*(M169-LOOKUP(M169,$E$23:$E$26))/LOOKUP(M169,$E$23:$E$26,$C$23:$C$26)</f>
        <v>4.17106652161216</v>
      </c>
      <c r="AD169" s="16" t="n">
        <f aca="false">LOOKUP(N169,$E$23:$E$26,$A$23:$A$26)+LOOKUP(N169,$E$23:$E$26,$D$23:$D$26)*(N169-LOOKUP(N169,$E$23:$E$26))/LOOKUP(N169,$E$23:$E$26,$C$23:$C$26)</f>
        <v>4.78238494324247</v>
      </c>
      <c r="AE169" s="16" t="n">
        <f aca="false">LOOKUP(O169,$E$23:$E$26,$A$23:$A$26)+LOOKUP(O169,$E$23:$E$26,$D$23:$D$26)*(O169-LOOKUP(O169,$E$23:$E$26))/LOOKUP(O169,$E$23:$E$26,$C$23:$C$26)</f>
        <v>4.6058553060816</v>
      </c>
      <c r="AF169" s="16" t="n">
        <f aca="false">LOOKUP(P169,$E$23:$E$26,$A$23:$A$26)+LOOKUP(P169,$E$23:$E$26,$D$23:$D$26)*(P169-LOOKUP(P169,$E$23:$E$26))/LOOKUP(P169,$E$23:$E$26,$C$23:$C$26)</f>
        <v>4.49199328938814</v>
      </c>
      <c r="AG169" s="16" t="n">
        <f aca="false">LOOKUP(Q169,$E$23:$E$26,$A$23:$A$26)+LOOKUP(Q169,$E$23:$E$26,$D$23:$D$26)*(Q169-LOOKUP(Q169,$E$23:$E$26))/LOOKUP(Q169,$E$23:$E$26,$C$23:$C$26)</f>
        <v>4.7584723232601</v>
      </c>
      <c r="AH169" s="16" t="n">
        <f aca="false">LOOKUP(R169,$E$23:$E$26,$A$23:$A$26)+LOOKUP(R169,$E$23:$E$26,$D$23:$D$26)*(R169-LOOKUP(R169,$E$23:$E$26))/LOOKUP(R169,$E$23:$E$26,$C$23:$C$26)</f>
        <v>4.48777231424968</v>
      </c>
      <c r="AI169" s="16" t="n">
        <f aca="false">LOOKUP(S169,$E$23:$E$26,$A$23:$A$26)+LOOKUP(S169,$E$23:$E$26,$D$23:$D$26)*(S169-LOOKUP(S169,$E$23:$E$26))/LOOKUP(S169,$E$23:$E$26,$C$23:$C$26)</f>
        <v>5.92318574812637</v>
      </c>
      <c r="AJ169" s="16" t="n">
        <f aca="false">SUM($T169:T169)</f>
        <v>5.78884581048746</v>
      </c>
      <c r="AK169" s="16" t="n">
        <f aca="false">SUM($T169:U169)</f>
        <v>10.1803843561841</v>
      </c>
      <c r="AL169" s="16" t="n">
        <f aca="false">SUM($T169:V169)</f>
        <v>14.8418869178691</v>
      </c>
      <c r="AM169" s="16" t="n">
        <f aca="false">SUM($T169:W169)</f>
        <v>19.5386244811754</v>
      </c>
      <c r="AN169" s="16" t="n">
        <f aca="false">SUM($T169:X169)</f>
        <v>24.6001460875243</v>
      </c>
      <c r="AO169" s="16" t="n">
        <f aca="false">SUM($T169:Y169)</f>
        <v>29.8620470899314</v>
      </c>
      <c r="AP169" s="16" t="n">
        <f aca="false">SUM($T169:Z169)</f>
        <v>34.9799807356636</v>
      </c>
      <c r="AQ169" s="16" t="n">
        <f aca="false">SUM($T169:AA169)</f>
        <v>39.3010116508431</v>
      </c>
      <c r="AR169" s="16" t="n">
        <f aca="false">SUM($T169:AB169)</f>
        <v>43.9536538443223</v>
      </c>
      <c r="AS169" s="16" t="n">
        <f aca="false">SUM($T169:AC169)</f>
        <v>48.1247203659345</v>
      </c>
      <c r="AT169" s="16" t="n">
        <f aca="false">SUM($T169:AD169)</f>
        <v>52.9071053091769</v>
      </c>
      <c r="AU169" s="16" t="n">
        <f aca="false">SUM($T169:AE169)</f>
        <v>57.5129606152585</v>
      </c>
      <c r="AV169" s="16" t="n">
        <f aca="false">SUM($T169:AF169)</f>
        <v>62.0049539046467</v>
      </c>
      <c r="AW169" s="16" t="n">
        <f aca="false">SUM($T169:AG169)</f>
        <v>66.7634262279068</v>
      </c>
      <c r="AX169" s="16" t="n">
        <f aca="false">SUM($T169:AH169)</f>
        <v>71.2511985421564</v>
      </c>
      <c r="AY169" s="16" t="n">
        <f aca="false">SUM($T169:AI169)</f>
        <v>77.1743842902828</v>
      </c>
      <c r="AZ169" s="16" t="n">
        <f aca="false">MAX(C169-AJ169,0)</f>
        <v>62.8625696472125</v>
      </c>
      <c r="BA169" s="16" t="n">
        <f aca="false">MAX(C169-AK169,0)</f>
        <v>58.471031101516</v>
      </c>
      <c r="BB169" s="16" t="n">
        <f aca="false">MAX(C169-AL169,0)</f>
        <v>53.8095285398309</v>
      </c>
      <c r="BC169" s="16" t="n">
        <f aca="false">MAX(C169-AM169,0)</f>
        <v>49.1127909765246</v>
      </c>
      <c r="BD169" s="16" t="n">
        <f aca="false">MAX(C169-AN169,0)</f>
        <v>44.0512693701757</v>
      </c>
      <c r="BE169" s="16" t="n">
        <f aca="false">MAX(C169-AO169,0)</f>
        <v>38.7893683677686</v>
      </c>
      <c r="BF169" s="16" t="n">
        <f aca="false">MAX(C169-AP169,0)</f>
        <v>33.6714347220364</v>
      </c>
      <c r="BG169" s="16" t="n">
        <f aca="false">MAX(C169-AQ169,0)</f>
        <v>29.3504038068569</v>
      </c>
      <c r="BH169" s="16" t="n">
        <f aca="false">MAX(C169-AR169,0)</f>
        <v>24.6977616133777</v>
      </c>
      <c r="BI169" s="16" t="n">
        <f aca="false">MAX(C169-AS169,0)</f>
        <v>20.5266950917655</v>
      </c>
      <c r="BJ169" s="16" t="n">
        <f aca="false">MAX(C169-AT169,0)</f>
        <v>15.7443101485231</v>
      </c>
      <c r="BK169" s="16" t="n">
        <f aca="false">MAX(C169-AU169,0)</f>
        <v>11.1384548424415</v>
      </c>
      <c r="BL169" s="16" t="n">
        <f aca="false">MAX(C169-AV169,0)</f>
        <v>6.64646155305334</v>
      </c>
      <c r="BM169" s="16" t="n">
        <f aca="false">MAX(C169-AW169,0)</f>
        <v>1.88798922979323</v>
      </c>
      <c r="BN169" s="16" t="n">
        <f aca="false">MAX(C169-AX169,0)</f>
        <v>0</v>
      </c>
      <c r="BO169" s="16" t="n">
        <f aca="false">MAX(C169-AY169,0)</f>
        <v>0</v>
      </c>
    </row>
    <row r="170" customFormat="false" ht="15" hidden="false" customHeight="false" outlineLevel="0" collapsed="false">
      <c r="A170" s="3" t="n">
        <v>140</v>
      </c>
      <c r="B170" s="15" t="n">
        <f aca="true">RAND()</f>
        <v>0.251845642378942</v>
      </c>
      <c r="C170" s="16" t="n">
        <f aca="false">LOOKUP(B170,$E$12:$E$17,$A$12:$A$17)+LOOKUP(B170,$E$12:$E$17,$D$12:$D$17)*(B170-LOOKUP(B170,$E$12:$E$17))/LOOKUP(B170,$E$12:$E$17,$C$12:$C$17)</f>
        <v>60.0307607063157</v>
      </c>
      <c r="D170" s="15" t="n">
        <f aca="true">RAND()</f>
        <v>0.855326138337916</v>
      </c>
      <c r="E170" s="15" t="n">
        <f aca="true">RAND()</f>
        <v>0.214491811139048</v>
      </c>
      <c r="F170" s="15" t="n">
        <f aca="true">RAND()</f>
        <v>0.36688586534994</v>
      </c>
      <c r="G170" s="15" t="n">
        <f aca="true">RAND()</f>
        <v>0.0748083360742378</v>
      </c>
      <c r="H170" s="15" t="n">
        <f aca="true">RAND()</f>
        <v>0.215029844684856</v>
      </c>
      <c r="I170" s="15" t="n">
        <f aca="true">RAND()</f>
        <v>0.401565362178709</v>
      </c>
      <c r="J170" s="15" t="n">
        <f aca="true">RAND()</f>
        <v>0.747412322773154</v>
      </c>
      <c r="K170" s="15" t="n">
        <f aca="true">RAND()</f>
        <v>0.355193560574003</v>
      </c>
      <c r="L170" s="15" t="n">
        <f aca="true">RAND()</f>
        <v>0.898192428727157</v>
      </c>
      <c r="M170" s="15" t="n">
        <f aca="true">RAND()</f>
        <v>0.308984349709818</v>
      </c>
      <c r="N170" s="15" t="n">
        <f aca="true">RAND()</f>
        <v>0.395305461827914</v>
      </c>
      <c r="O170" s="15" t="n">
        <f aca="true">RAND()</f>
        <v>0.728486063119797</v>
      </c>
      <c r="P170" s="15" t="n">
        <f aca="true">RAND()</f>
        <v>0.502742133145299</v>
      </c>
      <c r="Q170" s="15" t="n">
        <f aca="true">RAND()</f>
        <v>0.624787487548896</v>
      </c>
      <c r="R170" s="15" t="n">
        <f aca="true">RAND()</f>
        <v>0.428882194763467</v>
      </c>
      <c r="S170" s="15" t="n">
        <f aca="true">RAND()</f>
        <v>0.86553789799044</v>
      </c>
      <c r="T170" s="16" t="n">
        <f aca="false">LOOKUP(D170,$E$23:$E$26,$A$23:$A$26)+LOOKUP(D170,$E$23:$E$26,$D$23:$D$26)*(D170-LOOKUP(D170,$E$23:$E$26))/LOOKUP(D170,$E$23:$E$26,$C$23:$C$26)</f>
        <v>5.38831534584479</v>
      </c>
      <c r="U170" s="16" t="n">
        <f aca="false">LOOKUP(E170,$E$23:$E$26,$A$23:$A$26)+LOOKUP(E170,$E$23:$E$26,$D$23:$D$26)*(E170-LOOKUP(E170,$E$23:$E$26))/LOOKUP(E170,$E$23:$E$26,$C$23:$C$26)</f>
        <v>4.35748635189841</v>
      </c>
      <c r="V170" s="16" t="n">
        <f aca="false">LOOKUP(F170,$E$23:$E$26,$A$23:$A$26)+LOOKUP(F170,$E$23:$E$26,$D$23:$D$26)*(F170-LOOKUP(F170,$E$23:$E$26))/LOOKUP(F170,$E$23:$E$26,$C$23:$C$26)</f>
        <v>4.58360733168743</v>
      </c>
      <c r="W170" s="16" t="n">
        <f aca="false">LOOKUP(G170,$E$23:$E$26,$A$23:$A$26)+LOOKUP(G170,$E$23:$E$26,$D$23:$D$26)*(G170-LOOKUP(G170,$E$23:$E$26))/LOOKUP(G170,$E$23:$E$26,$C$23:$C$26)</f>
        <v>4.12468056012373</v>
      </c>
      <c r="X170" s="16" t="n">
        <f aca="false">LOOKUP(H170,$E$23:$E$26,$A$23:$A$26)+LOOKUP(H170,$E$23:$E$26,$D$23:$D$26)*(H170-LOOKUP(H170,$E$23:$E$26))/LOOKUP(H170,$E$23:$E$26,$C$23:$C$26)</f>
        <v>4.35838307447476</v>
      </c>
      <c r="Y170" s="16" t="n">
        <f aca="false">LOOKUP(I170,$E$23:$E$26,$A$23:$A$26)+LOOKUP(I170,$E$23:$E$26,$D$23:$D$26)*(I170-LOOKUP(I170,$E$23:$E$26))/LOOKUP(I170,$E$23:$E$26,$C$23:$C$26)</f>
        <v>4.62695670272339</v>
      </c>
      <c r="Z170" s="16" t="n">
        <f aca="false">LOOKUP(J170,$E$23:$E$26,$A$23:$A$26)+LOOKUP(J170,$E$23:$E$26,$D$23:$D$26)*(J170-LOOKUP(J170,$E$23:$E$26))/LOOKUP(J170,$E$23:$E$26,$C$23:$C$26)</f>
        <v>5.11853080693289</v>
      </c>
      <c r="AA170" s="16" t="n">
        <f aca="false">LOOKUP(K170,$E$23:$E$26,$A$23:$A$26)+LOOKUP(K170,$E$23:$E$26,$D$23:$D$26)*(K170-LOOKUP(K170,$E$23:$E$26))/LOOKUP(K170,$E$23:$E$26,$C$23:$C$26)</f>
        <v>4.5689919507175</v>
      </c>
      <c r="AB170" s="16" t="n">
        <f aca="false">LOOKUP(L170,$E$23:$E$26,$A$23:$A$26)+LOOKUP(L170,$E$23:$E$26,$D$23:$D$26)*(L170-LOOKUP(L170,$E$23:$E$26))/LOOKUP(L170,$E$23:$E$26,$C$23:$C$26)</f>
        <v>5.49548107181789</v>
      </c>
      <c r="AC170" s="16" t="n">
        <f aca="false">LOOKUP(M170,$E$23:$E$26,$A$23:$A$26)+LOOKUP(M170,$E$23:$E$26,$D$23:$D$26)*(M170-LOOKUP(M170,$E$23:$E$26))/LOOKUP(M170,$E$23:$E$26,$C$23:$C$26)</f>
        <v>4.51123043713727</v>
      </c>
      <c r="AD170" s="16" t="n">
        <f aca="false">LOOKUP(N170,$E$23:$E$26,$A$23:$A$26)+LOOKUP(N170,$E$23:$E$26,$D$23:$D$26)*(N170-LOOKUP(N170,$E$23:$E$26))/LOOKUP(N170,$E$23:$E$26,$C$23:$C$26)</f>
        <v>4.61913182728489</v>
      </c>
      <c r="AE170" s="16" t="n">
        <f aca="false">LOOKUP(O170,$E$23:$E$26,$A$23:$A$26)+LOOKUP(O170,$E$23:$E$26,$D$23:$D$26)*(O170-LOOKUP(O170,$E$23:$E$26))/LOOKUP(O170,$E$23:$E$26,$C$23:$C$26)</f>
        <v>5.07121515779949</v>
      </c>
      <c r="AF170" s="16" t="n">
        <f aca="false">LOOKUP(P170,$E$23:$E$26,$A$23:$A$26)+LOOKUP(P170,$E$23:$E$26,$D$23:$D$26)*(P170-LOOKUP(P170,$E$23:$E$26))/LOOKUP(P170,$E$23:$E$26,$C$23:$C$26)</f>
        <v>4.75342766643162</v>
      </c>
      <c r="AG170" s="16" t="n">
        <f aca="false">LOOKUP(Q170,$E$23:$E$26,$A$23:$A$26)+LOOKUP(Q170,$E$23:$E$26,$D$23:$D$26)*(Q170-LOOKUP(Q170,$E$23:$E$26))/LOOKUP(Q170,$E$23:$E$26,$C$23:$C$26)</f>
        <v>4.90598435943612</v>
      </c>
      <c r="AH170" s="16" t="n">
        <f aca="false">LOOKUP(R170,$E$23:$E$26,$A$23:$A$26)+LOOKUP(R170,$E$23:$E$26,$D$23:$D$26)*(R170-LOOKUP(R170,$E$23:$E$26))/LOOKUP(R170,$E$23:$E$26,$C$23:$C$26)</f>
        <v>4.66110274345433</v>
      </c>
      <c r="AI170" s="16" t="n">
        <f aca="false">LOOKUP(S170,$E$23:$E$26,$A$23:$A$26)+LOOKUP(S170,$E$23:$E$26,$D$23:$D$26)*(S170-LOOKUP(S170,$E$23:$E$26))/LOOKUP(S170,$E$23:$E$26,$C$23:$C$26)</f>
        <v>5.4138447449761</v>
      </c>
      <c r="AJ170" s="16" t="n">
        <f aca="false">SUM($T170:T170)</f>
        <v>5.38831534584479</v>
      </c>
      <c r="AK170" s="16" t="n">
        <f aca="false">SUM($T170:U170)</f>
        <v>9.7458016977432</v>
      </c>
      <c r="AL170" s="16" t="n">
        <f aca="false">SUM($T170:V170)</f>
        <v>14.3294090294306</v>
      </c>
      <c r="AM170" s="16" t="n">
        <f aca="false">SUM($T170:W170)</f>
        <v>18.4540895895544</v>
      </c>
      <c r="AN170" s="16" t="n">
        <f aca="false">SUM($T170:X170)</f>
        <v>22.8124726640291</v>
      </c>
      <c r="AO170" s="16" t="n">
        <f aca="false">SUM($T170:Y170)</f>
        <v>27.4394293667525</v>
      </c>
      <c r="AP170" s="16" t="n">
        <f aca="false">SUM($T170:Z170)</f>
        <v>32.5579601736854</v>
      </c>
      <c r="AQ170" s="16" t="n">
        <f aca="false">SUM($T170:AA170)</f>
        <v>37.1269521244029</v>
      </c>
      <c r="AR170" s="16" t="n">
        <f aca="false">SUM($T170:AB170)</f>
        <v>42.6224331962208</v>
      </c>
      <c r="AS170" s="16" t="n">
        <f aca="false">SUM($T170:AC170)</f>
        <v>47.1336636333581</v>
      </c>
      <c r="AT170" s="16" t="n">
        <f aca="false">SUM($T170:AD170)</f>
        <v>51.7527954606429</v>
      </c>
      <c r="AU170" s="16" t="n">
        <f aca="false">SUM($T170:AE170)</f>
        <v>56.8240106184424</v>
      </c>
      <c r="AV170" s="16" t="n">
        <f aca="false">SUM($T170:AF170)</f>
        <v>61.5774382848741</v>
      </c>
      <c r="AW170" s="16" t="n">
        <f aca="false">SUM($T170:AG170)</f>
        <v>66.4834226443102</v>
      </c>
      <c r="AX170" s="16" t="n">
        <f aca="false">SUM($T170:AH170)</f>
        <v>71.1445253877645</v>
      </c>
      <c r="AY170" s="16" t="n">
        <f aca="false">SUM($T170:AI170)</f>
        <v>76.5583701327406</v>
      </c>
      <c r="AZ170" s="16" t="n">
        <f aca="false">MAX(C170-AJ170,0)</f>
        <v>54.6424453604709</v>
      </c>
      <c r="BA170" s="16" t="n">
        <f aca="false">MAX(C170-AK170,0)</f>
        <v>50.2849590085725</v>
      </c>
      <c r="BB170" s="16" t="n">
        <f aca="false">MAX(C170-AL170,0)</f>
        <v>45.7013516768851</v>
      </c>
      <c r="BC170" s="16" t="n">
        <f aca="false">MAX(C170-AM170,0)</f>
        <v>41.5766711167613</v>
      </c>
      <c r="BD170" s="16" t="n">
        <f aca="false">MAX(C170-AN170,0)</f>
        <v>37.2182880422866</v>
      </c>
      <c r="BE170" s="16" t="n">
        <f aca="false">MAX(C170-AO170,0)</f>
        <v>32.5913313395632</v>
      </c>
      <c r="BF170" s="16" t="n">
        <f aca="false">MAX(C170-AP170,0)</f>
        <v>27.4728005326303</v>
      </c>
      <c r="BG170" s="16" t="n">
        <f aca="false">MAX(C170-AQ170,0)</f>
        <v>22.9038085819128</v>
      </c>
      <c r="BH170" s="16" t="n">
        <f aca="false">MAX(C170-AR170,0)</f>
        <v>17.4083275100949</v>
      </c>
      <c r="BI170" s="16" t="n">
        <f aca="false">MAX(C170-AS170,0)</f>
        <v>12.8970970729576</v>
      </c>
      <c r="BJ170" s="16" t="n">
        <f aca="false">MAX(C170-AT170,0)</f>
        <v>8.27796524567275</v>
      </c>
      <c r="BK170" s="16" t="n">
        <f aca="false">MAX(C170-AU170,0)</f>
        <v>3.20675008787325</v>
      </c>
      <c r="BL170" s="16" t="n">
        <f aca="false">MAX(C170-AV170,0)</f>
        <v>0</v>
      </c>
      <c r="BM170" s="16" t="n">
        <f aca="false">MAX(C170-AW170,0)</f>
        <v>0</v>
      </c>
      <c r="BN170" s="16" t="n">
        <f aca="false">MAX(C170-AX170,0)</f>
        <v>0</v>
      </c>
      <c r="BO170" s="16" t="n">
        <f aca="false">MAX(C170-AY170,0)</f>
        <v>0</v>
      </c>
    </row>
    <row r="171" customFormat="false" ht="15" hidden="false" customHeight="false" outlineLevel="0" collapsed="false">
      <c r="A171" s="3" t="n">
        <v>141</v>
      </c>
      <c r="B171" s="15" t="n">
        <f aca="true">RAND()</f>
        <v>0.511658217495481</v>
      </c>
      <c r="C171" s="16" t="n">
        <f aca="false">LOOKUP(B171,$E$12:$E$17,$A$12:$A$17)+LOOKUP(B171,$E$12:$E$17,$D$12:$D$17)*(B171-LOOKUP(B171,$E$12:$E$17))/LOOKUP(B171,$E$12:$E$17,$C$12:$C$17)</f>
        <v>64.3609702915913</v>
      </c>
      <c r="D171" s="15" t="n">
        <f aca="true">RAND()</f>
        <v>0.669894429268248</v>
      </c>
      <c r="E171" s="15" t="n">
        <f aca="true">RAND()</f>
        <v>0.52885539142132</v>
      </c>
      <c r="F171" s="15" t="n">
        <f aca="true">RAND()</f>
        <v>0.510194619302975</v>
      </c>
      <c r="G171" s="15" t="n">
        <f aca="true">RAND()</f>
        <v>0.890398779477715</v>
      </c>
      <c r="H171" s="15" t="n">
        <f aca="true">RAND()</f>
        <v>0.35602642860669</v>
      </c>
      <c r="I171" s="15" t="n">
        <f aca="true">RAND()</f>
        <v>0.207898932242681</v>
      </c>
      <c r="J171" s="15" t="n">
        <f aca="true">RAND()</f>
        <v>0.49467664231368</v>
      </c>
      <c r="K171" s="15" t="n">
        <f aca="true">RAND()</f>
        <v>0.643785690341891</v>
      </c>
      <c r="L171" s="15" t="n">
        <f aca="true">RAND()</f>
        <v>0.748459566679976</v>
      </c>
      <c r="M171" s="15" t="n">
        <f aca="true">RAND()</f>
        <v>0.203091830985521</v>
      </c>
      <c r="N171" s="15" t="n">
        <f aca="true">RAND()</f>
        <v>0.812887181054577</v>
      </c>
      <c r="O171" s="15" t="n">
        <f aca="true">RAND()</f>
        <v>0.900921724156634</v>
      </c>
      <c r="P171" s="15" t="n">
        <f aca="true">RAND()</f>
        <v>0.311405311350255</v>
      </c>
      <c r="Q171" s="15" t="n">
        <f aca="true">RAND()</f>
        <v>0.0121299957616698</v>
      </c>
      <c r="R171" s="15" t="n">
        <f aca="true">RAND()</f>
        <v>0.196850932957776</v>
      </c>
      <c r="S171" s="15" t="n">
        <f aca="true">RAND()</f>
        <v>0.538185085231465</v>
      </c>
      <c r="T171" s="16" t="n">
        <f aca="false">LOOKUP(D171,$E$23:$E$26,$A$23:$A$26)+LOOKUP(D171,$E$23:$E$26,$D$23:$D$26)*(D171-LOOKUP(D171,$E$23:$E$26))/LOOKUP(D171,$E$23:$E$26,$C$23:$C$26)</f>
        <v>4.96236803658531</v>
      </c>
      <c r="U171" s="16" t="n">
        <f aca="false">LOOKUP(E171,$E$23:$E$26,$A$23:$A$26)+LOOKUP(E171,$E$23:$E$26,$D$23:$D$26)*(E171-LOOKUP(E171,$E$23:$E$26))/LOOKUP(E171,$E$23:$E$26,$C$23:$C$26)</f>
        <v>4.78606923927665</v>
      </c>
      <c r="V171" s="16" t="n">
        <f aca="false">LOOKUP(F171,$E$23:$E$26,$A$23:$A$26)+LOOKUP(F171,$E$23:$E$26,$D$23:$D$26)*(F171-LOOKUP(F171,$E$23:$E$26))/LOOKUP(F171,$E$23:$E$26,$C$23:$C$26)</f>
        <v>4.76274327412872</v>
      </c>
      <c r="W171" s="16" t="n">
        <f aca="false">LOOKUP(G171,$E$23:$E$26,$A$23:$A$26)+LOOKUP(G171,$E$23:$E$26,$D$23:$D$26)*(G171-LOOKUP(G171,$E$23:$E$26))/LOOKUP(G171,$E$23:$E$26,$C$23:$C$26)</f>
        <v>5.47599694869429</v>
      </c>
      <c r="X171" s="16" t="n">
        <f aca="false">LOOKUP(H171,$E$23:$E$26,$A$23:$A$26)+LOOKUP(H171,$E$23:$E$26,$D$23:$D$26)*(H171-LOOKUP(H171,$E$23:$E$26))/LOOKUP(H171,$E$23:$E$26,$C$23:$C$26)</f>
        <v>4.57003303575836</v>
      </c>
      <c r="Y171" s="16" t="n">
        <f aca="false">LOOKUP(I171,$E$23:$E$26,$A$23:$A$26)+LOOKUP(I171,$E$23:$E$26,$D$23:$D$26)*(I171-LOOKUP(I171,$E$23:$E$26))/LOOKUP(I171,$E$23:$E$26,$C$23:$C$26)</f>
        <v>4.34649822040447</v>
      </c>
      <c r="Z171" s="16" t="n">
        <f aca="false">LOOKUP(J171,$E$23:$E$26,$A$23:$A$26)+LOOKUP(J171,$E$23:$E$26,$D$23:$D$26)*(J171-LOOKUP(J171,$E$23:$E$26))/LOOKUP(J171,$E$23:$E$26,$C$23:$C$26)</f>
        <v>4.7433458028921</v>
      </c>
      <c r="AA171" s="16" t="n">
        <f aca="false">LOOKUP(K171,$E$23:$E$26,$A$23:$A$26)+LOOKUP(K171,$E$23:$E$26,$D$23:$D$26)*(K171-LOOKUP(K171,$E$23:$E$26))/LOOKUP(K171,$E$23:$E$26,$C$23:$C$26)</f>
        <v>4.92973211292736</v>
      </c>
      <c r="AB171" s="16" t="n">
        <f aca="false">LOOKUP(L171,$E$23:$E$26,$A$23:$A$26)+LOOKUP(L171,$E$23:$E$26,$D$23:$D$26)*(L171-LOOKUP(L171,$E$23:$E$26))/LOOKUP(L171,$E$23:$E$26,$C$23:$C$26)</f>
        <v>5.12114891669994</v>
      </c>
      <c r="AC171" s="16" t="n">
        <f aca="false">LOOKUP(M171,$E$23:$E$26,$A$23:$A$26)+LOOKUP(M171,$E$23:$E$26,$D$23:$D$26)*(M171-LOOKUP(M171,$E$23:$E$26))/LOOKUP(M171,$E$23:$E$26,$C$23:$C$26)</f>
        <v>4.33848638497587</v>
      </c>
      <c r="AD171" s="16" t="n">
        <f aca="false">LOOKUP(N171,$E$23:$E$26,$A$23:$A$26)+LOOKUP(N171,$E$23:$E$26,$D$23:$D$26)*(N171-LOOKUP(N171,$E$23:$E$26))/LOOKUP(N171,$E$23:$E$26,$C$23:$C$26)</f>
        <v>5.28221795263644</v>
      </c>
      <c r="AE171" s="16" t="n">
        <f aca="false">LOOKUP(O171,$E$23:$E$26,$A$23:$A$26)+LOOKUP(O171,$E$23:$E$26,$D$23:$D$26)*(O171-LOOKUP(O171,$E$23:$E$26))/LOOKUP(O171,$E$23:$E$26,$C$23:$C$26)</f>
        <v>5.50460862078317</v>
      </c>
      <c r="AF171" s="16" t="n">
        <f aca="false">LOOKUP(P171,$E$23:$E$26,$A$23:$A$26)+LOOKUP(P171,$E$23:$E$26,$D$23:$D$26)*(P171-LOOKUP(P171,$E$23:$E$26))/LOOKUP(P171,$E$23:$E$26,$C$23:$C$26)</f>
        <v>4.51425663918782</v>
      </c>
      <c r="AG171" s="16" t="n">
        <f aca="false">LOOKUP(Q171,$E$23:$E$26,$A$23:$A$26)+LOOKUP(Q171,$E$23:$E$26,$D$23:$D$26)*(Q171-LOOKUP(Q171,$E$23:$E$26))/LOOKUP(Q171,$E$23:$E$26,$C$23:$C$26)</f>
        <v>4.02021665960278</v>
      </c>
      <c r="AH171" s="16" t="n">
        <f aca="false">LOOKUP(R171,$E$23:$E$26,$A$23:$A$26)+LOOKUP(R171,$E$23:$E$26,$D$23:$D$26)*(R171-LOOKUP(R171,$E$23:$E$26))/LOOKUP(R171,$E$23:$E$26,$C$23:$C$26)</f>
        <v>4.32808488826296</v>
      </c>
      <c r="AI171" s="16" t="n">
        <f aca="false">LOOKUP(S171,$E$23:$E$26,$A$23:$A$26)+LOOKUP(S171,$E$23:$E$26,$D$23:$D$26)*(S171-LOOKUP(S171,$E$23:$E$26))/LOOKUP(S171,$E$23:$E$26,$C$23:$C$26)</f>
        <v>4.79773135653933</v>
      </c>
      <c r="AJ171" s="16" t="n">
        <f aca="false">SUM($T171:T171)</f>
        <v>4.96236803658531</v>
      </c>
      <c r="AK171" s="16" t="n">
        <f aca="false">SUM($T171:U171)</f>
        <v>9.74843727586196</v>
      </c>
      <c r="AL171" s="16" t="n">
        <f aca="false">SUM($T171:V171)</f>
        <v>14.5111805499907</v>
      </c>
      <c r="AM171" s="16" t="n">
        <f aca="false">SUM($T171:W171)</f>
        <v>19.987177498685</v>
      </c>
      <c r="AN171" s="16" t="n">
        <f aca="false">SUM($T171:X171)</f>
        <v>24.5572105344433</v>
      </c>
      <c r="AO171" s="16" t="n">
        <f aca="false">SUM($T171:Y171)</f>
        <v>28.9037087548478</v>
      </c>
      <c r="AP171" s="16" t="n">
        <f aca="false">SUM($T171:Z171)</f>
        <v>33.6470545577399</v>
      </c>
      <c r="AQ171" s="16" t="n">
        <f aca="false">SUM($T171:AA171)</f>
        <v>38.5767866706673</v>
      </c>
      <c r="AR171" s="16" t="n">
        <f aca="false">SUM($T171:AB171)</f>
        <v>43.6979355873672</v>
      </c>
      <c r="AS171" s="16" t="n">
        <f aca="false">SUM($T171:AC171)</f>
        <v>48.0364219723431</v>
      </c>
      <c r="AT171" s="16" t="n">
        <f aca="false">SUM($T171:AD171)</f>
        <v>53.3186399249795</v>
      </c>
      <c r="AU171" s="16" t="n">
        <f aca="false">SUM($T171:AE171)</f>
        <v>58.8232485457627</v>
      </c>
      <c r="AV171" s="16" t="n">
        <f aca="false">SUM($T171:AF171)</f>
        <v>63.3375051849505</v>
      </c>
      <c r="AW171" s="16" t="n">
        <f aca="false">SUM($T171:AG171)</f>
        <v>67.3577218445533</v>
      </c>
      <c r="AX171" s="16" t="n">
        <f aca="false">SUM($T171:AH171)</f>
        <v>71.6858067328163</v>
      </c>
      <c r="AY171" s="16" t="n">
        <f aca="false">SUM($T171:AI171)</f>
        <v>76.4835380893556</v>
      </c>
      <c r="AZ171" s="16" t="n">
        <f aca="false">MAX(C171-AJ171,0)</f>
        <v>59.398602255006</v>
      </c>
      <c r="BA171" s="16" t="n">
        <f aca="false">MAX(C171-AK171,0)</f>
        <v>54.6125330157294</v>
      </c>
      <c r="BB171" s="16" t="n">
        <f aca="false">MAX(C171-AL171,0)</f>
        <v>49.8497897416007</v>
      </c>
      <c r="BC171" s="16" t="n">
        <f aca="false">MAX(C171-AM171,0)</f>
        <v>44.3737927929064</v>
      </c>
      <c r="BD171" s="16" t="n">
        <f aca="false">MAX(C171-AN171,0)</f>
        <v>39.803759757148</v>
      </c>
      <c r="BE171" s="16" t="n">
        <f aca="false">MAX(C171-AO171,0)</f>
        <v>35.4572615367435</v>
      </c>
      <c r="BF171" s="16" t="n">
        <f aca="false">MAX(C171-AP171,0)</f>
        <v>30.7139157338514</v>
      </c>
      <c r="BG171" s="16" t="n">
        <f aca="false">MAX(C171-AQ171,0)</f>
        <v>25.7841836209241</v>
      </c>
      <c r="BH171" s="16" t="n">
        <f aca="false">MAX(C171-AR171,0)</f>
        <v>20.6630347042241</v>
      </c>
      <c r="BI171" s="16" t="n">
        <f aca="false">MAX(C171-AS171,0)</f>
        <v>16.3245483192483</v>
      </c>
      <c r="BJ171" s="16" t="n">
        <f aca="false">MAX(C171-AT171,0)</f>
        <v>11.0423303666118</v>
      </c>
      <c r="BK171" s="16" t="n">
        <f aca="false">MAX(C171-AU171,0)</f>
        <v>5.53772174582866</v>
      </c>
      <c r="BL171" s="16" t="n">
        <f aca="false">MAX(C171-AV171,0)</f>
        <v>1.02346510664084</v>
      </c>
      <c r="BM171" s="16" t="n">
        <f aca="false">MAX(C171-AW171,0)</f>
        <v>0</v>
      </c>
      <c r="BN171" s="16" t="n">
        <f aca="false">MAX(C171-AX171,0)</f>
        <v>0</v>
      </c>
      <c r="BO171" s="16" t="n">
        <f aca="false">MAX(C171-AY171,0)</f>
        <v>0</v>
      </c>
    </row>
    <row r="172" customFormat="false" ht="15" hidden="false" customHeight="false" outlineLevel="0" collapsed="false">
      <c r="A172" s="3" t="n">
        <v>142</v>
      </c>
      <c r="B172" s="15" t="n">
        <f aca="true">RAND()</f>
        <v>0.351404538467982</v>
      </c>
      <c r="C172" s="16" t="n">
        <f aca="false">LOOKUP(B172,$E$12:$E$17,$A$12:$A$17)+LOOKUP(B172,$E$12:$E$17,$D$12:$D$17)*(B172-LOOKUP(B172,$E$12:$E$17))/LOOKUP(B172,$E$12:$E$17,$C$12:$C$17)</f>
        <v>61.690075641133</v>
      </c>
      <c r="D172" s="15" t="n">
        <f aca="true">RAND()</f>
        <v>0.304176301233746</v>
      </c>
      <c r="E172" s="15" t="n">
        <f aca="true">RAND()</f>
        <v>0.204576690873178</v>
      </c>
      <c r="F172" s="15" t="n">
        <f aca="true">RAND()</f>
        <v>0.0897193451300947</v>
      </c>
      <c r="G172" s="15" t="n">
        <f aca="true">RAND()</f>
        <v>0.854905097376666</v>
      </c>
      <c r="H172" s="15" t="n">
        <f aca="true">RAND()</f>
        <v>0.951743101273835</v>
      </c>
      <c r="I172" s="15" t="n">
        <f aca="true">RAND()</f>
        <v>0.85620528649596</v>
      </c>
      <c r="J172" s="15" t="n">
        <f aca="true">RAND()</f>
        <v>0.0395993712903165</v>
      </c>
      <c r="K172" s="15" t="n">
        <f aca="true">RAND()</f>
        <v>0.67505124392384</v>
      </c>
      <c r="L172" s="15" t="n">
        <f aca="true">RAND()</f>
        <v>0.00786707354536308</v>
      </c>
      <c r="M172" s="15" t="n">
        <f aca="true">RAND()</f>
        <v>0.0387404975266758</v>
      </c>
      <c r="N172" s="15" t="n">
        <f aca="true">RAND()</f>
        <v>0.316900851407054</v>
      </c>
      <c r="O172" s="15" t="n">
        <f aca="true">RAND()</f>
        <v>0.399930546719281</v>
      </c>
      <c r="P172" s="15" t="n">
        <f aca="true">RAND()</f>
        <v>0.197289370736943</v>
      </c>
      <c r="Q172" s="15" t="n">
        <f aca="true">RAND()</f>
        <v>0.190806037610092</v>
      </c>
      <c r="R172" s="15" t="n">
        <f aca="true">RAND()</f>
        <v>0.0943418860938703</v>
      </c>
      <c r="S172" s="15" t="n">
        <f aca="true">RAND()</f>
        <v>0.109595632987084</v>
      </c>
      <c r="T172" s="16" t="n">
        <f aca="false">LOOKUP(D172,$E$23:$E$26,$A$23:$A$26)+LOOKUP(D172,$E$23:$E$26,$D$23:$D$26)*(D172-LOOKUP(D172,$E$23:$E$26))/LOOKUP(D172,$E$23:$E$26,$C$23:$C$26)</f>
        <v>4.50522037654218</v>
      </c>
      <c r="U172" s="16" t="n">
        <f aca="false">LOOKUP(E172,$E$23:$E$26,$A$23:$A$26)+LOOKUP(E172,$E$23:$E$26,$D$23:$D$26)*(E172-LOOKUP(E172,$E$23:$E$26))/LOOKUP(E172,$E$23:$E$26,$C$23:$C$26)</f>
        <v>4.3409611514553</v>
      </c>
      <c r="V172" s="16" t="n">
        <f aca="false">LOOKUP(F172,$E$23:$E$26,$A$23:$A$26)+LOOKUP(F172,$E$23:$E$26,$D$23:$D$26)*(F172-LOOKUP(F172,$E$23:$E$26))/LOOKUP(F172,$E$23:$E$26,$C$23:$C$26)</f>
        <v>4.14953224188349</v>
      </c>
      <c r="W172" s="16" t="n">
        <f aca="false">LOOKUP(G172,$E$23:$E$26,$A$23:$A$26)+LOOKUP(G172,$E$23:$E$26,$D$23:$D$26)*(G172-LOOKUP(G172,$E$23:$E$26))/LOOKUP(G172,$E$23:$E$26,$C$23:$C$26)</f>
        <v>5.38726274344166</v>
      </c>
      <c r="X172" s="16" t="n">
        <f aca="false">LOOKUP(H172,$E$23:$E$26,$A$23:$A$26)+LOOKUP(H172,$E$23:$E$26,$D$23:$D$26)*(H172-LOOKUP(H172,$E$23:$E$26))/LOOKUP(H172,$E$23:$E$26,$C$23:$C$26)</f>
        <v>5.75871550636918</v>
      </c>
      <c r="Y172" s="16" t="n">
        <f aca="false">LOOKUP(I172,$E$23:$E$26,$A$23:$A$26)+LOOKUP(I172,$E$23:$E$26,$D$23:$D$26)*(I172-LOOKUP(I172,$E$23:$E$26))/LOOKUP(I172,$E$23:$E$26,$C$23:$C$26)</f>
        <v>5.3905132162399</v>
      </c>
      <c r="Z172" s="16" t="n">
        <f aca="false">LOOKUP(J172,$E$23:$E$26,$A$23:$A$26)+LOOKUP(J172,$E$23:$E$26,$D$23:$D$26)*(J172-LOOKUP(J172,$E$23:$E$26))/LOOKUP(J172,$E$23:$E$26,$C$23:$C$26)</f>
        <v>4.06599895215053</v>
      </c>
      <c r="AA172" s="16" t="n">
        <f aca="false">LOOKUP(K172,$E$23:$E$26,$A$23:$A$26)+LOOKUP(K172,$E$23:$E$26,$D$23:$D$26)*(K172-LOOKUP(K172,$E$23:$E$26))/LOOKUP(K172,$E$23:$E$26,$C$23:$C$26)</f>
        <v>4.9688140549048</v>
      </c>
      <c r="AB172" s="16" t="n">
        <f aca="false">LOOKUP(L172,$E$23:$E$26,$A$23:$A$26)+LOOKUP(L172,$E$23:$E$26,$D$23:$D$26)*(L172-LOOKUP(L172,$E$23:$E$26))/LOOKUP(L172,$E$23:$E$26,$C$23:$C$26)</f>
        <v>4.01311178924227</v>
      </c>
      <c r="AC172" s="16" t="n">
        <f aca="false">LOOKUP(M172,$E$23:$E$26,$A$23:$A$26)+LOOKUP(M172,$E$23:$E$26,$D$23:$D$26)*(M172-LOOKUP(M172,$E$23:$E$26))/LOOKUP(M172,$E$23:$E$26,$C$23:$C$26)</f>
        <v>4.06456749587779</v>
      </c>
      <c r="AD172" s="16" t="n">
        <f aca="false">LOOKUP(N172,$E$23:$E$26,$A$23:$A$26)+LOOKUP(N172,$E$23:$E$26,$D$23:$D$26)*(N172-LOOKUP(N172,$E$23:$E$26))/LOOKUP(N172,$E$23:$E$26,$C$23:$C$26)</f>
        <v>4.52112606425882</v>
      </c>
      <c r="AE172" s="16" t="n">
        <f aca="false">LOOKUP(O172,$E$23:$E$26,$A$23:$A$26)+LOOKUP(O172,$E$23:$E$26,$D$23:$D$26)*(O172-LOOKUP(O172,$E$23:$E$26))/LOOKUP(O172,$E$23:$E$26,$C$23:$C$26)</f>
        <v>4.6249131833991</v>
      </c>
      <c r="AF172" s="16" t="n">
        <f aca="false">LOOKUP(P172,$E$23:$E$26,$A$23:$A$26)+LOOKUP(P172,$E$23:$E$26,$D$23:$D$26)*(P172-LOOKUP(P172,$E$23:$E$26))/LOOKUP(P172,$E$23:$E$26,$C$23:$C$26)</f>
        <v>4.32881561789491</v>
      </c>
      <c r="AG172" s="16" t="n">
        <f aca="false">LOOKUP(Q172,$E$23:$E$26,$A$23:$A$26)+LOOKUP(Q172,$E$23:$E$26,$D$23:$D$26)*(Q172-LOOKUP(Q172,$E$23:$E$26))/LOOKUP(Q172,$E$23:$E$26,$C$23:$C$26)</f>
        <v>4.31801006268349</v>
      </c>
      <c r="AH172" s="16" t="n">
        <f aca="false">LOOKUP(R172,$E$23:$E$26,$A$23:$A$26)+LOOKUP(R172,$E$23:$E$26,$D$23:$D$26)*(R172-LOOKUP(R172,$E$23:$E$26))/LOOKUP(R172,$E$23:$E$26,$C$23:$C$26)</f>
        <v>4.15723647682312</v>
      </c>
      <c r="AI172" s="16" t="n">
        <f aca="false">LOOKUP(S172,$E$23:$E$26,$A$23:$A$26)+LOOKUP(S172,$E$23:$E$26,$D$23:$D$26)*(S172-LOOKUP(S172,$E$23:$E$26))/LOOKUP(S172,$E$23:$E$26,$C$23:$C$26)</f>
        <v>4.18265938831181</v>
      </c>
      <c r="AJ172" s="16" t="n">
        <f aca="false">SUM($T172:T172)</f>
        <v>4.50522037654218</v>
      </c>
      <c r="AK172" s="16" t="n">
        <f aca="false">SUM($T172:U172)</f>
        <v>8.84618152799748</v>
      </c>
      <c r="AL172" s="16" t="n">
        <f aca="false">SUM($T172:V172)</f>
        <v>12.995713769881</v>
      </c>
      <c r="AM172" s="16" t="n">
        <f aca="false">SUM($T172:W172)</f>
        <v>18.3829765133226</v>
      </c>
      <c r="AN172" s="16" t="n">
        <f aca="false">SUM($T172:X172)</f>
        <v>24.1416920196918</v>
      </c>
      <c r="AO172" s="16" t="n">
        <f aca="false">SUM($T172:Y172)</f>
        <v>29.5322052359317</v>
      </c>
      <c r="AP172" s="16" t="n">
        <f aca="false">SUM($T172:Z172)</f>
        <v>33.5982041880822</v>
      </c>
      <c r="AQ172" s="16" t="n">
        <f aca="false">SUM($T172:AA172)</f>
        <v>38.567018242987</v>
      </c>
      <c r="AR172" s="16" t="n">
        <f aca="false">SUM($T172:AB172)</f>
        <v>42.5801300322293</v>
      </c>
      <c r="AS172" s="16" t="n">
        <f aca="false">SUM($T172:AC172)</f>
        <v>46.6446975281071</v>
      </c>
      <c r="AT172" s="16" t="n">
        <f aca="false">SUM($T172:AD172)</f>
        <v>51.1658235923659</v>
      </c>
      <c r="AU172" s="16" t="n">
        <f aca="false">SUM($T172:AE172)</f>
        <v>55.790736775765</v>
      </c>
      <c r="AV172" s="16" t="n">
        <f aca="false">SUM($T172:AF172)</f>
        <v>60.1195523936599</v>
      </c>
      <c r="AW172" s="16" t="n">
        <f aca="false">SUM($T172:AG172)</f>
        <v>64.4375624563434</v>
      </c>
      <c r="AX172" s="16" t="n">
        <f aca="false">SUM($T172:AH172)</f>
        <v>68.5947989331665</v>
      </c>
      <c r="AY172" s="16" t="n">
        <f aca="false">SUM($T172:AI172)</f>
        <v>72.7774583214783</v>
      </c>
      <c r="AZ172" s="16" t="n">
        <f aca="false">MAX(C172-AJ172,0)</f>
        <v>57.1848552645908</v>
      </c>
      <c r="BA172" s="16" t="n">
        <f aca="false">MAX(C172-AK172,0)</f>
        <v>52.8438941131356</v>
      </c>
      <c r="BB172" s="16" t="n">
        <f aca="false">MAX(C172-AL172,0)</f>
        <v>48.6943618712521</v>
      </c>
      <c r="BC172" s="16" t="n">
        <f aca="false">MAX(C172-AM172,0)</f>
        <v>43.3070991278104</v>
      </c>
      <c r="BD172" s="16" t="n">
        <f aca="false">MAX(C172-AN172,0)</f>
        <v>37.5483836214412</v>
      </c>
      <c r="BE172" s="16" t="n">
        <f aca="false">MAX(C172-AO172,0)</f>
        <v>32.1578704052013</v>
      </c>
      <c r="BF172" s="16" t="n">
        <f aca="false">MAX(C172-AP172,0)</f>
        <v>28.0918714530508</v>
      </c>
      <c r="BG172" s="16" t="n">
        <f aca="false">MAX(C172-AQ172,0)</f>
        <v>23.123057398146</v>
      </c>
      <c r="BH172" s="16" t="n">
        <f aca="false">MAX(C172-AR172,0)</f>
        <v>19.1099456089037</v>
      </c>
      <c r="BI172" s="16" t="n">
        <f aca="false">MAX(C172-AS172,0)</f>
        <v>15.0453781130259</v>
      </c>
      <c r="BJ172" s="16" t="n">
        <f aca="false">MAX(C172-AT172,0)</f>
        <v>10.5242520487671</v>
      </c>
      <c r="BK172" s="16" t="n">
        <f aca="false">MAX(C172-AU172,0)</f>
        <v>5.899338865368</v>
      </c>
      <c r="BL172" s="16" t="n">
        <f aca="false">MAX(C172-AV172,0)</f>
        <v>1.5705232474731</v>
      </c>
      <c r="BM172" s="16" t="n">
        <f aca="false">MAX(C172-AW172,0)</f>
        <v>0</v>
      </c>
      <c r="BN172" s="16" t="n">
        <f aca="false">MAX(C172-AX172,0)</f>
        <v>0</v>
      </c>
      <c r="BO172" s="16" t="n">
        <f aca="false">MAX(C172-AY172,0)</f>
        <v>0</v>
      </c>
    </row>
    <row r="173" customFormat="false" ht="15" hidden="false" customHeight="false" outlineLevel="0" collapsed="false">
      <c r="A173" s="3" t="n">
        <v>143</v>
      </c>
      <c r="B173" s="15" t="n">
        <f aca="true">RAND()</f>
        <v>0.8346694203664</v>
      </c>
      <c r="C173" s="16" t="n">
        <f aca="false">LOOKUP(B173,$E$12:$E$17,$A$12:$A$17)+LOOKUP(B173,$E$12:$E$17,$D$12:$D$17)*(B173-LOOKUP(B173,$E$12:$E$17))/LOOKUP(B173,$E$12:$E$17,$C$12:$C$17)</f>
        <v>69.0667060052343</v>
      </c>
      <c r="D173" s="15" t="n">
        <f aca="true">RAND()</f>
        <v>0.751654696281411</v>
      </c>
      <c r="E173" s="15" t="n">
        <f aca="true">RAND()</f>
        <v>0.0326115974816485</v>
      </c>
      <c r="F173" s="15" t="n">
        <f aca="true">RAND()</f>
        <v>0.972042134945861</v>
      </c>
      <c r="G173" s="15" t="n">
        <f aca="true">RAND()</f>
        <v>0.662913239700747</v>
      </c>
      <c r="H173" s="15" t="n">
        <f aca="true">RAND()</f>
        <v>0.956103309072003</v>
      </c>
      <c r="I173" s="15" t="n">
        <f aca="true">RAND()</f>
        <v>0.539881156661072</v>
      </c>
      <c r="J173" s="15" t="n">
        <f aca="true">RAND()</f>
        <v>0.945908657832013</v>
      </c>
      <c r="K173" s="15" t="n">
        <f aca="true">RAND()</f>
        <v>0.355895276139998</v>
      </c>
      <c r="L173" s="15" t="n">
        <f aca="true">RAND()</f>
        <v>0.102675487375132</v>
      </c>
      <c r="M173" s="15" t="n">
        <f aca="true">RAND()</f>
        <v>0.644673811725239</v>
      </c>
      <c r="N173" s="15" t="n">
        <f aca="true">RAND()</f>
        <v>0.750523755484454</v>
      </c>
      <c r="O173" s="15" t="n">
        <f aca="true">RAND()</f>
        <v>0.723073108017639</v>
      </c>
      <c r="P173" s="15" t="n">
        <f aca="true">RAND()</f>
        <v>0.0530937792155012</v>
      </c>
      <c r="Q173" s="15" t="n">
        <f aca="true">RAND()</f>
        <v>0.337490769581157</v>
      </c>
      <c r="R173" s="15" t="n">
        <f aca="true">RAND()</f>
        <v>0.848528845058958</v>
      </c>
      <c r="S173" s="15" t="n">
        <f aca="true">RAND()</f>
        <v>0.453948517429</v>
      </c>
      <c r="T173" s="16" t="n">
        <f aca="false">LOOKUP(D173,$E$23:$E$26,$A$23:$A$26)+LOOKUP(D173,$E$23:$E$26,$D$23:$D$26)*(D173-LOOKUP(D173,$E$23:$E$26))/LOOKUP(D173,$E$23:$E$26,$C$23:$C$26)</f>
        <v>5.12913674070353</v>
      </c>
      <c r="U173" s="16" t="n">
        <f aca="false">LOOKUP(E173,$E$23:$E$26,$A$23:$A$26)+LOOKUP(E173,$E$23:$E$26,$D$23:$D$26)*(E173-LOOKUP(E173,$E$23:$E$26))/LOOKUP(E173,$E$23:$E$26,$C$23:$C$26)</f>
        <v>4.05435266246941</v>
      </c>
      <c r="V173" s="16" t="n">
        <f aca="false">LOOKUP(F173,$E$23:$E$26,$A$23:$A$26)+LOOKUP(F173,$E$23:$E$26,$D$23:$D$26)*(F173-LOOKUP(F173,$E$23:$E$26))/LOOKUP(F173,$E$23:$E$26,$C$23:$C$26)</f>
        <v>5.86021067472931</v>
      </c>
      <c r="W173" s="16" t="n">
        <f aca="false">LOOKUP(G173,$E$23:$E$26,$A$23:$A$26)+LOOKUP(G173,$E$23:$E$26,$D$23:$D$26)*(G173-LOOKUP(G173,$E$23:$E$26))/LOOKUP(G173,$E$23:$E$26,$C$23:$C$26)</f>
        <v>4.95364154962593</v>
      </c>
      <c r="X173" s="16" t="n">
        <f aca="false">LOOKUP(H173,$E$23:$E$26,$A$23:$A$26)+LOOKUP(H173,$E$23:$E$26,$D$23:$D$26)*(H173-LOOKUP(H173,$E$23:$E$26))/LOOKUP(H173,$E$23:$E$26,$C$23:$C$26)</f>
        <v>5.78051654536001</v>
      </c>
      <c r="Y173" s="16" t="n">
        <f aca="false">LOOKUP(I173,$E$23:$E$26,$A$23:$A$26)+LOOKUP(I173,$E$23:$E$26,$D$23:$D$26)*(I173-LOOKUP(I173,$E$23:$E$26))/LOOKUP(I173,$E$23:$E$26,$C$23:$C$26)</f>
        <v>4.79985144582634</v>
      </c>
      <c r="Z173" s="16" t="n">
        <f aca="false">LOOKUP(J173,$E$23:$E$26,$A$23:$A$26)+LOOKUP(J173,$E$23:$E$26,$D$23:$D$26)*(J173-LOOKUP(J173,$E$23:$E$26))/LOOKUP(J173,$E$23:$E$26,$C$23:$C$26)</f>
        <v>5.72954328916007</v>
      </c>
      <c r="AA173" s="16" t="n">
        <f aca="false">LOOKUP(K173,$E$23:$E$26,$A$23:$A$26)+LOOKUP(K173,$E$23:$E$26,$D$23:$D$26)*(K173-LOOKUP(K173,$E$23:$E$26))/LOOKUP(K173,$E$23:$E$26,$C$23:$C$26)</f>
        <v>4.569869095175</v>
      </c>
      <c r="AB173" s="16" t="n">
        <f aca="false">LOOKUP(L173,$E$23:$E$26,$A$23:$A$26)+LOOKUP(L173,$E$23:$E$26,$D$23:$D$26)*(L173-LOOKUP(L173,$E$23:$E$26))/LOOKUP(L173,$E$23:$E$26,$C$23:$C$26)</f>
        <v>4.17112581229189</v>
      </c>
      <c r="AC173" s="16" t="n">
        <f aca="false">LOOKUP(M173,$E$23:$E$26,$A$23:$A$26)+LOOKUP(M173,$E$23:$E$26,$D$23:$D$26)*(M173-LOOKUP(M173,$E$23:$E$26))/LOOKUP(M173,$E$23:$E$26,$C$23:$C$26)</f>
        <v>4.93084226465655</v>
      </c>
      <c r="AD173" s="16" t="n">
        <f aca="false">LOOKUP(N173,$E$23:$E$26,$A$23:$A$26)+LOOKUP(N173,$E$23:$E$26,$D$23:$D$26)*(N173-LOOKUP(N173,$E$23:$E$26))/LOOKUP(N173,$E$23:$E$26,$C$23:$C$26)</f>
        <v>5.12630938871113</v>
      </c>
      <c r="AE173" s="16" t="n">
        <f aca="false">LOOKUP(O173,$E$23:$E$26,$A$23:$A$26)+LOOKUP(O173,$E$23:$E$26,$D$23:$D$26)*(O173-LOOKUP(O173,$E$23:$E$26))/LOOKUP(O173,$E$23:$E$26,$C$23:$C$26)</f>
        <v>5.0576827700441</v>
      </c>
      <c r="AF173" s="16" t="n">
        <f aca="false">LOOKUP(P173,$E$23:$E$26,$A$23:$A$26)+LOOKUP(P173,$E$23:$E$26,$D$23:$D$26)*(P173-LOOKUP(P173,$E$23:$E$26))/LOOKUP(P173,$E$23:$E$26,$C$23:$C$26)</f>
        <v>4.08848963202584</v>
      </c>
      <c r="AG173" s="16" t="n">
        <f aca="false">LOOKUP(Q173,$E$23:$E$26,$A$23:$A$26)+LOOKUP(Q173,$E$23:$E$26,$D$23:$D$26)*(Q173-LOOKUP(Q173,$E$23:$E$26))/LOOKUP(Q173,$E$23:$E$26,$C$23:$C$26)</f>
        <v>4.54686346197645</v>
      </c>
      <c r="AH173" s="16" t="n">
        <f aca="false">LOOKUP(R173,$E$23:$E$26,$A$23:$A$26)+LOOKUP(R173,$E$23:$E$26,$D$23:$D$26)*(R173-LOOKUP(R173,$E$23:$E$26))/LOOKUP(R173,$E$23:$E$26,$C$23:$C$26)</f>
        <v>5.3713221126474</v>
      </c>
      <c r="AI173" s="16" t="n">
        <f aca="false">LOOKUP(S173,$E$23:$E$26,$A$23:$A$26)+LOOKUP(S173,$E$23:$E$26,$D$23:$D$26)*(S173-LOOKUP(S173,$E$23:$E$26))/LOOKUP(S173,$E$23:$E$26,$C$23:$C$26)</f>
        <v>4.69243564678625</v>
      </c>
      <c r="AJ173" s="16" t="n">
        <f aca="false">SUM($T173:T173)</f>
        <v>5.12913674070353</v>
      </c>
      <c r="AK173" s="16" t="n">
        <f aca="false">SUM($T173:U173)</f>
        <v>9.18348940317294</v>
      </c>
      <c r="AL173" s="16" t="n">
        <f aca="false">SUM($T173:V173)</f>
        <v>15.0437000779022</v>
      </c>
      <c r="AM173" s="16" t="n">
        <f aca="false">SUM($T173:W173)</f>
        <v>19.9973416275282</v>
      </c>
      <c r="AN173" s="16" t="n">
        <f aca="false">SUM($T173:X173)</f>
        <v>25.7778581728882</v>
      </c>
      <c r="AO173" s="16" t="n">
        <f aca="false">SUM($T173:Y173)</f>
        <v>30.5777096187145</v>
      </c>
      <c r="AP173" s="16" t="n">
        <f aca="false">SUM($T173:Z173)</f>
        <v>36.3072529078746</v>
      </c>
      <c r="AQ173" s="16" t="n">
        <f aca="false">SUM($T173:AA173)</f>
        <v>40.8771220030496</v>
      </c>
      <c r="AR173" s="16" t="n">
        <f aca="false">SUM($T173:AB173)</f>
        <v>45.0482478153415</v>
      </c>
      <c r="AS173" s="16" t="n">
        <f aca="false">SUM($T173:AC173)</f>
        <v>49.979090079998</v>
      </c>
      <c r="AT173" s="16" t="n">
        <f aca="false">SUM($T173:AD173)</f>
        <v>55.1053994687092</v>
      </c>
      <c r="AU173" s="16" t="n">
        <f aca="false">SUM($T173:AE173)</f>
        <v>60.1630822387533</v>
      </c>
      <c r="AV173" s="16" t="n">
        <f aca="false">SUM($T173:AF173)</f>
        <v>64.2515718707791</v>
      </c>
      <c r="AW173" s="16" t="n">
        <f aca="false">SUM($T173:AG173)</f>
        <v>68.7984353327556</v>
      </c>
      <c r="AX173" s="16" t="n">
        <f aca="false">SUM($T173:AH173)</f>
        <v>74.1697574454029</v>
      </c>
      <c r="AY173" s="16" t="n">
        <f aca="false">SUM($T173:AI173)</f>
        <v>78.8621930921892</v>
      </c>
      <c r="AZ173" s="16" t="n">
        <f aca="false">MAX(C173-AJ173,0)</f>
        <v>63.9375692645308</v>
      </c>
      <c r="BA173" s="16" t="n">
        <f aca="false">MAX(C173-AK173,0)</f>
        <v>59.8832166020614</v>
      </c>
      <c r="BB173" s="16" t="n">
        <f aca="false">MAX(C173-AL173,0)</f>
        <v>54.0230059273321</v>
      </c>
      <c r="BC173" s="16" t="n">
        <f aca="false">MAX(C173-AM173,0)</f>
        <v>49.0693643777061</v>
      </c>
      <c r="BD173" s="16" t="n">
        <f aca="false">MAX(C173-AN173,0)</f>
        <v>43.2888478323461</v>
      </c>
      <c r="BE173" s="16" t="n">
        <f aca="false">MAX(C173-AO173,0)</f>
        <v>38.4889963865198</v>
      </c>
      <c r="BF173" s="16" t="n">
        <f aca="false">MAX(C173-AP173,0)</f>
        <v>32.7594530973597</v>
      </c>
      <c r="BG173" s="16" t="n">
        <f aca="false">MAX(C173-AQ173,0)</f>
        <v>28.1895840021847</v>
      </c>
      <c r="BH173" s="16" t="n">
        <f aca="false">MAX(C173-AR173,0)</f>
        <v>24.0184581898928</v>
      </c>
      <c r="BI173" s="16" t="n">
        <f aca="false">MAX(C173-AS173,0)</f>
        <v>19.0876159252363</v>
      </c>
      <c r="BJ173" s="16" t="n">
        <f aca="false">MAX(C173-AT173,0)</f>
        <v>13.9613065365251</v>
      </c>
      <c r="BK173" s="16" t="n">
        <f aca="false">MAX(C173-AU173,0)</f>
        <v>8.90362376648103</v>
      </c>
      <c r="BL173" s="16" t="n">
        <f aca="false">MAX(C173-AV173,0)</f>
        <v>4.81513413445519</v>
      </c>
      <c r="BM173" s="16" t="n">
        <f aca="false">MAX(C173-AW173,0)</f>
        <v>0.268270672478749</v>
      </c>
      <c r="BN173" s="16" t="n">
        <f aca="false">MAX(C173-AX173,0)</f>
        <v>0</v>
      </c>
      <c r="BO173" s="16" t="n">
        <f aca="false">MAX(C173-AY173,0)</f>
        <v>0</v>
      </c>
    </row>
    <row r="174" customFormat="false" ht="15" hidden="false" customHeight="false" outlineLevel="0" collapsed="false">
      <c r="A174" s="3" t="n">
        <v>144</v>
      </c>
      <c r="B174" s="15" t="n">
        <f aca="true">RAND()</f>
        <v>0.610995083630907</v>
      </c>
      <c r="C174" s="16" t="n">
        <f aca="false">LOOKUP(B174,$E$12:$E$17,$A$12:$A$17)+LOOKUP(B174,$E$12:$E$17,$D$12:$D$17)*(B174-LOOKUP(B174,$E$12:$E$17))/LOOKUP(B174,$E$12:$E$17,$C$12:$C$17)</f>
        <v>65.8713583375844</v>
      </c>
      <c r="D174" s="15" t="n">
        <f aca="true">RAND()</f>
        <v>0.433641407152044</v>
      </c>
      <c r="E174" s="15" t="n">
        <f aca="true">RAND()</f>
        <v>0.485105592816551</v>
      </c>
      <c r="F174" s="15" t="n">
        <f aca="true">RAND()</f>
        <v>0.561415686747351</v>
      </c>
      <c r="G174" s="15" t="n">
        <f aca="true">RAND()</f>
        <v>0.756138515334508</v>
      </c>
      <c r="H174" s="15" t="n">
        <f aca="true">RAND()</f>
        <v>0.278919682213634</v>
      </c>
      <c r="I174" s="15" t="n">
        <f aca="true">RAND()</f>
        <v>0.948543598905531</v>
      </c>
      <c r="J174" s="15" t="n">
        <f aca="true">RAND()</f>
        <v>0.266076882292515</v>
      </c>
      <c r="K174" s="15" t="n">
        <f aca="true">RAND()</f>
        <v>0.896448184652869</v>
      </c>
      <c r="L174" s="15" t="n">
        <f aca="true">RAND()</f>
        <v>0.270930984236719</v>
      </c>
      <c r="M174" s="15" t="n">
        <f aca="true">RAND()</f>
        <v>0.204327939975253</v>
      </c>
      <c r="N174" s="15" t="n">
        <f aca="true">RAND()</f>
        <v>0.532001746833282</v>
      </c>
      <c r="O174" s="15" t="n">
        <f aca="true">RAND()</f>
        <v>0.178196822992411</v>
      </c>
      <c r="P174" s="15" t="n">
        <f aca="true">RAND()</f>
        <v>0.431884450238049</v>
      </c>
      <c r="Q174" s="15" t="n">
        <f aca="true">RAND()</f>
        <v>0.736482033108986</v>
      </c>
      <c r="R174" s="15" t="n">
        <f aca="true">RAND()</f>
        <v>0.760872781293414</v>
      </c>
      <c r="S174" s="15" t="n">
        <f aca="true">RAND()</f>
        <v>0.174356657536668</v>
      </c>
      <c r="T174" s="16" t="n">
        <f aca="false">LOOKUP(D174,$E$23:$E$26,$A$23:$A$26)+LOOKUP(D174,$E$23:$E$26,$D$23:$D$26)*(D174-LOOKUP(D174,$E$23:$E$26))/LOOKUP(D174,$E$23:$E$26,$C$23:$C$26)</f>
        <v>4.66705175894006</v>
      </c>
      <c r="U174" s="16" t="n">
        <f aca="false">LOOKUP(E174,$E$23:$E$26,$A$23:$A$26)+LOOKUP(E174,$E$23:$E$26,$D$23:$D$26)*(E174-LOOKUP(E174,$E$23:$E$26))/LOOKUP(E174,$E$23:$E$26,$C$23:$C$26)</f>
        <v>4.73138199102069</v>
      </c>
      <c r="V174" s="16" t="n">
        <f aca="false">LOOKUP(F174,$E$23:$E$26,$A$23:$A$26)+LOOKUP(F174,$E$23:$E$26,$D$23:$D$26)*(F174-LOOKUP(F174,$E$23:$E$26))/LOOKUP(F174,$E$23:$E$26,$C$23:$C$26)</f>
        <v>4.82676960843419</v>
      </c>
      <c r="W174" s="16" t="n">
        <f aca="false">LOOKUP(G174,$E$23:$E$26,$A$23:$A$26)+LOOKUP(G174,$E$23:$E$26,$D$23:$D$26)*(G174-LOOKUP(G174,$E$23:$E$26))/LOOKUP(G174,$E$23:$E$26,$C$23:$C$26)</f>
        <v>5.14034628833627</v>
      </c>
      <c r="X174" s="16" t="n">
        <f aca="false">LOOKUP(H174,$E$23:$E$26,$A$23:$A$26)+LOOKUP(H174,$E$23:$E$26,$D$23:$D$26)*(H174-LOOKUP(H174,$E$23:$E$26))/LOOKUP(H174,$E$23:$E$26,$C$23:$C$26)</f>
        <v>4.46486613702272</v>
      </c>
      <c r="Y174" s="16" t="n">
        <f aca="false">LOOKUP(I174,$E$23:$E$26,$A$23:$A$26)+LOOKUP(I174,$E$23:$E$26,$D$23:$D$26)*(I174-LOOKUP(I174,$E$23:$E$26))/LOOKUP(I174,$E$23:$E$26,$C$23:$C$26)</f>
        <v>5.74271799452765</v>
      </c>
      <c r="Z174" s="16" t="n">
        <f aca="false">LOOKUP(J174,$E$23:$E$26,$A$23:$A$26)+LOOKUP(J174,$E$23:$E$26,$D$23:$D$26)*(J174-LOOKUP(J174,$E$23:$E$26))/LOOKUP(J174,$E$23:$E$26,$C$23:$C$26)</f>
        <v>4.44346147048753</v>
      </c>
      <c r="AA174" s="16" t="n">
        <f aca="false">LOOKUP(K174,$E$23:$E$26,$A$23:$A$26)+LOOKUP(K174,$E$23:$E$26,$D$23:$D$26)*(K174-LOOKUP(K174,$E$23:$E$26))/LOOKUP(K174,$E$23:$E$26,$C$23:$C$26)</f>
        <v>5.49112046163217</v>
      </c>
      <c r="AB174" s="16" t="n">
        <f aca="false">LOOKUP(L174,$E$23:$E$26,$A$23:$A$26)+LOOKUP(L174,$E$23:$E$26,$D$23:$D$26)*(L174-LOOKUP(L174,$E$23:$E$26))/LOOKUP(L174,$E$23:$E$26,$C$23:$C$26)</f>
        <v>4.45155164039453</v>
      </c>
      <c r="AC174" s="16" t="n">
        <f aca="false">LOOKUP(M174,$E$23:$E$26,$A$23:$A$26)+LOOKUP(M174,$E$23:$E$26,$D$23:$D$26)*(M174-LOOKUP(M174,$E$23:$E$26))/LOOKUP(M174,$E$23:$E$26,$C$23:$C$26)</f>
        <v>4.34054656662542</v>
      </c>
      <c r="AD174" s="16" t="n">
        <f aca="false">LOOKUP(N174,$E$23:$E$26,$A$23:$A$26)+LOOKUP(N174,$E$23:$E$26,$D$23:$D$26)*(N174-LOOKUP(N174,$E$23:$E$26))/LOOKUP(N174,$E$23:$E$26,$C$23:$C$26)</f>
        <v>4.7900021835416</v>
      </c>
      <c r="AE174" s="16" t="n">
        <f aca="false">LOOKUP(O174,$E$23:$E$26,$A$23:$A$26)+LOOKUP(O174,$E$23:$E$26,$D$23:$D$26)*(O174-LOOKUP(O174,$E$23:$E$26))/LOOKUP(O174,$E$23:$E$26,$C$23:$C$26)</f>
        <v>4.29699470498735</v>
      </c>
      <c r="AF174" s="16" t="n">
        <f aca="false">LOOKUP(P174,$E$23:$E$26,$A$23:$A$26)+LOOKUP(P174,$E$23:$E$26,$D$23:$D$26)*(P174-LOOKUP(P174,$E$23:$E$26))/LOOKUP(P174,$E$23:$E$26,$C$23:$C$26)</f>
        <v>4.66485556279756</v>
      </c>
      <c r="AG174" s="16" t="n">
        <f aca="false">LOOKUP(Q174,$E$23:$E$26,$A$23:$A$26)+LOOKUP(Q174,$E$23:$E$26,$D$23:$D$26)*(Q174-LOOKUP(Q174,$E$23:$E$26))/LOOKUP(Q174,$E$23:$E$26,$C$23:$C$26)</f>
        <v>5.09120508277247</v>
      </c>
      <c r="AH174" s="16" t="n">
        <f aca="false">LOOKUP(R174,$E$23:$E$26,$A$23:$A$26)+LOOKUP(R174,$E$23:$E$26,$D$23:$D$26)*(R174-LOOKUP(R174,$E$23:$E$26))/LOOKUP(R174,$E$23:$E$26,$C$23:$C$26)</f>
        <v>5.15218195323353</v>
      </c>
      <c r="AI174" s="16" t="n">
        <f aca="false">LOOKUP(S174,$E$23:$E$26,$A$23:$A$26)+LOOKUP(S174,$E$23:$E$26,$D$23:$D$26)*(S174-LOOKUP(S174,$E$23:$E$26))/LOOKUP(S174,$E$23:$E$26,$C$23:$C$26)</f>
        <v>4.29059442922778</v>
      </c>
      <c r="AJ174" s="16" t="n">
        <f aca="false">SUM($T174:T174)</f>
        <v>4.66705175894006</v>
      </c>
      <c r="AK174" s="16" t="n">
        <f aca="false">SUM($T174:U174)</f>
        <v>9.39843374996075</v>
      </c>
      <c r="AL174" s="16" t="n">
        <f aca="false">SUM($T174:V174)</f>
        <v>14.2252033583949</v>
      </c>
      <c r="AM174" s="16" t="n">
        <f aca="false">SUM($T174:W174)</f>
        <v>19.3655496467312</v>
      </c>
      <c r="AN174" s="16" t="n">
        <f aca="false">SUM($T174:X174)</f>
        <v>23.8304157837539</v>
      </c>
      <c r="AO174" s="16" t="n">
        <f aca="false">SUM($T174:Y174)</f>
        <v>29.5731337782816</v>
      </c>
      <c r="AP174" s="16" t="n">
        <f aca="false">SUM($T174:Z174)</f>
        <v>34.0165952487691</v>
      </c>
      <c r="AQ174" s="16" t="n">
        <f aca="false">SUM($T174:AA174)</f>
        <v>39.5077157104013</v>
      </c>
      <c r="AR174" s="16" t="n">
        <f aca="false">SUM($T174:AB174)</f>
        <v>43.9592673507958</v>
      </c>
      <c r="AS174" s="16" t="n">
        <f aca="false">SUM($T174:AC174)</f>
        <v>48.2998139174212</v>
      </c>
      <c r="AT174" s="16" t="n">
        <f aca="false">SUM($T174:AD174)</f>
        <v>53.0898161009628</v>
      </c>
      <c r="AU174" s="16" t="n">
        <f aca="false">SUM($T174:AE174)</f>
        <v>57.3868108059502</v>
      </c>
      <c r="AV174" s="16" t="n">
        <f aca="false">SUM($T174:AF174)</f>
        <v>62.0516663687477</v>
      </c>
      <c r="AW174" s="16" t="n">
        <f aca="false">SUM($T174:AG174)</f>
        <v>67.1428714515202</v>
      </c>
      <c r="AX174" s="16" t="n">
        <f aca="false">SUM($T174:AH174)</f>
        <v>72.2950534047537</v>
      </c>
      <c r="AY174" s="16" t="n">
        <f aca="false">SUM($T174:AI174)</f>
        <v>76.5856478339815</v>
      </c>
      <c r="AZ174" s="16" t="n">
        <f aca="false">MAX(C174-AJ174,0)</f>
        <v>61.2043065786443</v>
      </c>
      <c r="BA174" s="16" t="n">
        <f aca="false">MAX(C174-AK174,0)</f>
        <v>56.4729245876236</v>
      </c>
      <c r="BB174" s="16" t="n">
        <f aca="false">MAX(C174-AL174,0)</f>
        <v>51.6461549791895</v>
      </c>
      <c r="BC174" s="16" t="n">
        <f aca="false">MAX(C174-AM174,0)</f>
        <v>46.5058086908532</v>
      </c>
      <c r="BD174" s="16" t="n">
        <f aca="false">MAX(C174-AN174,0)</f>
        <v>42.0409425538305</v>
      </c>
      <c r="BE174" s="16" t="n">
        <f aca="false">MAX(C174-AO174,0)</f>
        <v>36.2982245593028</v>
      </c>
      <c r="BF174" s="16" t="n">
        <f aca="false">MAX(C174-AP174,0)</f>
        <v>31.8547630888153</v>
      </c>
      <c r="BG174" s="16" t="n">
        <f aca="false">MAX(C174-AQ174,0)</f>
        <v>26.3636426271831</v>
      </c>
      <c r="BH174" s="16" t="n">
        <f aca="false">MAX(C174-AR174,0)</f>
        <v>21.9120909867886</v>
      </c>
      <c r="BI174" s="16" t="n">
        <f aca="false">MAX(C174-AS174,0)</f>
        <v>17.5715444201632</v>
      </c>
      <c r="BJ174" s="16" t="n">
        <f aca="false">MAX(C174-AT174,0)</f>
        <v>12.7815422366216</v>
      </c>
      <c r="BK174" s="16" t="n">
        <f aca="false">MAX(C174-AU174,0)</f>
        <v>8.48454753163421</v>
      </c>
      <c r="BL174" s="16" t="n">
        <f aca="false">MAX(C174-AV174,0)</f>
        <v>3.81969196883664</v>
      </c>
      <c r="BM174" s="16" t="n">
        <f aca="false">MAX(C174-AW174,0)</f>
        <v>0</v>
      </c>
      <c r="BN174" s="16" t="n">
        <f aca="false">MAX(C174-AX174,0)</f>
        <v>0</v>
      </c>
      <c r="BO174" s="16" t="n">
        <f aca="false">MAX(C174-AY174,0)</f>
        <v>0</v>
      </c>
    </row>
    <row r="175" customFormat="false" ht="15" hidden="false" customHeight="false" outlineLevel="0" collapsed="false">
      <c r="A175" s="3" t="n">
        <v>145</v>
      </c>
      <c r="B175" s="15" t="n">
        <f aca="true">RAND()</f>
        <v>0.675627837302389</v>
      </c>
      <c r="C175" s="16" t="n">
        <f aca="false">LOOKUP(B175,$E$12:$E$17,$A$12:$A$17)+LOOKUP(B175,$E$12:$E$17,$D$12:$D$17)*(B175-LOOKUP(B175,$E$12:$E$17))/LOOKUP(B175,$E$12:$E$17,$C$12:$C$17)</f>
        <v>66.7946833900341</v>
      </c>
      <c r="D175" s="15" t="n">
        <f aca="true">RAND()</f>
        <v>0.76065853618772</v>
      </c>
      <c r="E175" s="15" t="n">
        <f aca="true">RAND()</f>
        <v>0.0403233590680581</v>
      </c>
      <c r="F175" s="15" t="n">
        <f aca="true">RAND()</f>
        <v>0.189033490268936</v>
      </c>
      <c r="G175" s="15" t="n">
        <f aca="true">RAND()</f>
        <v>0.617082820313019</v>
      </c>
      <c r="H175" s="15" t="n">
        <f aca="true">RAND()</f>
        <v>0.408044471432981</v>
      </c>
      <c r="I175" s="15" t="n">
        <f aca="true">RAND()</f>
        <v>0.105809576988858</v>
      </c>
      <c r="J175" s="15" t="n">
        <f aca="true">RAND()</f>
        <v>0.66437475744738</v>
      </c>
      <c r="K175" s="15" t="n">
        <f aca="true">RAND()</f>
        <v>0.681595021949987</v>
      </c>
      <c r="L175" s="15" t="n">
        <f aca="true">RAND()</f>
        <v>0.235485066952409</v>
      </c>
      <c r="M175" s="15" t="n">
        <f aca="true">RAND()</f>
        <v>0.781544538870056</v>
      </c>
      <c r="N175" s="15" t="n">
        <f aca="true">RAND()</f>
        <v>0.416510803395011</v>
      </c>
      <c r="O175" s="15" t="n">
        <f aca="true">RAND()</f>
        <v>0.384546199001207</v>
      </c>
      <c r="P175" s="15" t="n">
        <f aca="true">RAND()</f>
        <v>0.647895958611297</v>
      </c>
      <c r="Q175" s="15" t="n">
        <f aca="true">RAND()</f>
        <v>0.769347334121924</v>
      </c>
      <c r="R175" s="15" t="n">
        <f aca="true">RAND()</f>
        <v>0.311613081922045</v>
      </c>
      <c r="S175" s="15" t="n">
        <f aca="true">RAND()</f>
        <v>0.779425599634456</v>
      </c>
      <c r="T175" s="16" t="n">
        <f aca="false">LOOKUP(D175,$E$23:$E$26,$A$23:$A$26)+LOOKUP(D175,$E$23:$E$26,$D$23:$D$26)*(D175-LOOKUP(D175,$E$23:$E$26))/LOOKUP(D175,$E$23:$E$26,$C$23:$C$26)</f>
        <v>5.1516463404693</v>
      </c>
      <c r="U175" s="16" t="n">
        <f aca="false">LOOKUP(E175,$E$23:$E$26,$A$23:$A$26)+LOOKUP(E175,$E$23:$E$26,$D$23:$D$26)*(E175-LOOKUP(E175,$E$23:$E$26))/LOOKUP(E175,$E$23:$E$26,$C$23:$C$26)</f>
        <v>4.06720559844676</v>
      </c>
      <c r="V175" s="16" t="n">
        <f aca="false">LOOKUP(F175,$E$23:$E$26,$A$23:$A$26)+LOOKUP(F175,$E$23:$E$26,$D$23:$D$26)*(F175-LOOKUP(F175,$E$23:$E$26))/LOOKUP(F175,$E$23:$E$26,$C$23:$C$26)</f>
        <v>4.31505581711489</v>
      </c>
      <c r="W175" s="16" t="n">
        <f aca="false">LOOKUP(G175,$E$23:$E$26,$A$23:$A$26)+LOOKUP(G175,$E$23:$E$26,$D$23:$D$26)*(G175-LOOKUP(G175,$E$23:$E$26))/LOOKUP(G175,$E$23:$E$26,$C$23:$C$26)</f>
        <v>4.89635352539127</v>
      </c>
      <c r="X175" s="16" t="n">
        <f aca="false">LOOKUP(H175,$E$23:$E$26,$A$23:$A$26)+LOOKUP(H175,$E$23:$E$26,$D$23:$D$26)*(H175-LOOKUP(H175,$E$23:$E$26))/LOOKUP(H175,$E$23:$E$26,$C$23:$C$26)</f>
        <v>4.63505558929123</v>
      </c>
      <c r="Y175" s="16" t="n">
        <f aca="false">LOOKUP(I175,$E$23:$E$26,$A$23:$A$26)+LOOKUP(I175,$E$23:$E$26,$D$23:$D$26)*(I175-LOOKUP(I175,$E$23:$E$26))/LOOKUP(I175,$E$23:$E$26,$C$23:$C$26)</f>
        <v>4.17634929498143</v>
      </c>
      <c r="Z175" s="16" t="n">
        <f aca="false">LOOKUP(J175,$E$23:$E$26,$A$23:$A$26)+LOOKUP(J175,$E$23:$E$26,$D$23:$D$26)*(J175-LOOKUP(J175,$E$23:$E$26))/LOOKUP(J175,$E$23:$E$26,$C$23:$C$26)</f>
        <v>4.95546844680923</v>
      </c>
      <c r="AA175" s="16" t="n">
        <f aca="false">LOOKUP(K175,$E$23:$E$26,$A$23:$A$26)+LOOKUP(K175,$E$23:$E$26,$D$23:$D$26)*(K175-LOOKUP(K175,$E$23:$E$26))/LOOKUP(K175,$E$23:$E$26,$C$23:$C$26)</f>
        <v>4.97699377743748</v>
      </c>
      <c r="AB175" s="16" t="n">
        <f aca="false">LOOKUP(L175,$E$23:$E$26,$A$23:$A$26)+LOOKUP(L175,$E$23:$E$26,$D$23:$D$26)*(L175-LOOKUP(L175,$E$23:$E$26))/LOOKUP(L175,$E$23:$E$26,$C$23:$C$26)</f>
        <v>4.39247511158735</v>
      </c>
      <c r="AC175" s="16" t="n">
        <f aca="false">LOOKUP(M175,$E$23:$E$26,$A$23:$A$26)+LOOKUP(M175,$E$23:$E$26,$D$23:$D$26)*(M175-LOOKUP(M175,$E$23:$E$26))/LOOKUP(M175,$E$23:$E$26,$C$23:$C$26)</f>
        <v>5.20386134717514</v>
      </c>
      <c r="AD175" s="16" t="n">
        <f aca="false">LOOKUP(N175,$E$23:$E$26,$A$23:$A$26)+LOOKUP(N175,$E$23:$E$26,$D$23:$D$26)*(N175-LOOKUP(N175,$E$23:$E$26))/LOOKUP(N175,$E$23:$E$26,$C$23:$C$26)</f>
        <v>4.64563850424376</v>
      </c>
      <c r="AE175" s="16" t="n">
        <f aca="false">LOOKUP(O175,$E$23:$E$26,$A$23:$A$26)+LOOKUP(O175,$E$23:$E$26,$D$23:$D$26)*(O175-LOOKUP(O175,$E$23:$E$26))/LOOKUP(O175,$E$23:$E$26,$C$23:$C$26)</f>
        <v>4.60568274875151</v>
      </c>
      <c r="AF175" s="16" t="n">
        <f aca="false">LOOKUP(P175,$E$23:$E$26,$A$23:$A$26)+LOOKUP(P175,$E$23:$E$26,$D$23:$D$26)*(P175-LOOKUP(P175,$E$23:$E$26))/LOOKUP(P175,$E$23:$E$26,$C$23:$C$26)</f>
        <v>4.93486994826412</v>
      </c>
      <c r="AG175" s="16" t="n">
        <f aca="false">LOOKUP(Q175,$E$23:$E$26,$A$23:$A$26)+LOOKUP(Q175,$E$23:$E$26,$D$23:$D$26)*(Q175-LOOKUP(Q175,$E$23:$E$26))/LOOKUP(Q175,$E$23:$E$26,$C$23:$C$26)</f>
        <v>5.17336833530481</v>
      </c>
      <c r="AH175" s="16" t="n">
        <f aca="false">LOOKUP(R175,$E$23:$E$26,$A$23:$A$26)+LOOKUP(R175,$E$23:$E$26,$D$23:$D$26)*(R175-LOOKUP(R175,$E$23:$E$26))/LOOKUP(R175,$E$23:$E$26,$C$23:$C$26)</f>
        <v>4.51451635240256</v>
      </c>
      <c r="AI175" s="16" t="n">
        <f aca="false">LOOKUP(S175,$E$23:$E$26,$A$23:$A$26)+LOOKUP(S175,$E$23:$E$26,$D$23:$D$26)*(S175-LOOKUP(S175,$E$23:$E$26))/LOOKUP(S175,$E$23:$E$26,$C$23:$C$26)</f>
        <v>5.19856399908614</v>
      </c>
      <c r="AJ175" s="16" t="n">
        <f aca="false">SUM($T175:T175)</f>
        <v>5.1516463404693</v>
      </c>
      <c r="AK175" s="16" t="n">
        <f aca="false">SUM($T175:U175)</f>
        <v>9.21885193891606</v>
      </c>
      <c r="AL175" s="16" t="n">
        <f aca="false">SUM($T175:V175)</f>
        <v>13.533907756031</v>
      </c>
      <c r="AM175" s="16" t="n">
        <f aca="false">SUM($T175:W175)</f>
        <v>18.4302612814222</v>
      </c>
      <c r="AN175" s="16" t="n">
        <f aca="false">SUM($T175:X175)</f>
        <v>23.0653168707135</v>
      </c>
      <c r="AO175" s="16" t="n">
        <f aca="false">SUM($T175:Y175)</f>
        <v>27.2416661656949</v>
      </c>
      <c r="AP175" s="16" t="n">
        <f aca="false">SUM($T175:Z175)</f>
        <v>32.1971346125041</v>
      </c>
      <c r="AQ175" s="16" t="n">
        <f aca="false">SUM($T175:AA175)</f>
        <v>37.1741283899416</v>
      </c>
      <c r="AR175" s="16" t="n">
        <f aca="false">SUM($T175:AB175)</f>
        <v>41.5666035015289</v>
      </c>
      <c r="AS175" s="16" t="n">
        <f aca="false">SUM($T175:AC175)</f>
        <v>46.7704648487041</v>
      </c>
      <c r="AT175" s="16" t="n">
        <f aca="false">SUM($T175:AD175)</f>
        <v>51.4161033529479</v>
      </c>
      <c r="AU175" s="16" t="n">
        <f aca="false">SUM($T175:AE175)</f>
        <v>56.0217861016994</v>
      </c>
      <c r="AV175" s="16" t="n">
        <f aca="false">SUM($T175:AF175)</f>
        <v>60.9566560499635</v>
      </c>
      <c r="AW175" s="16" t="n">
        <f aca="false">SUM($T175:AG175)</f>
        <v>66.1300243852683</v>
      </c>
      <c r="AX175" s="16" t="n">
        <f aca="false">SUM($T175:AH175)</f>
        <v>70.6445407376708</v>
      </c>
      <c r="AY175" s="16" t="n">
        <f aca="false">SUM($T175:AI175)</f>
        <v>75.843104736757</v>
      </c>
      <c r="AZ175" s="16" t="n">
        <f aca="false">MAX(C175-AJ175,0)</f>
        <v>61.6430370495648</v>
      </c>
      <c r="BA175" s="16" t="n">
        <f aca="false">MAX(C175-AK175,0)</f>
        <v>57.5758314511181</v>
      </c>
      <c r="BB175" s="16" t="n">
        <f aca="false">MAX(C175-AL175,0)</f>
        <v>53.2607756340032</v>
      </c>
      <c r="BC175" s="16" t="n">
        <f aca="false">MAX(C175-AM175,0)</f>
        <v>48.3644221086119</v>
      </c>
      <c r="BD175" s="16" t="n">
        <f aca="false">MAX(C175-AN175,0)</f>
        <v>43.7293665193207</v>
      </c>
      <c r="BE175" s="16" t="n">
        <f aca="false">MAX(C175-AO175,0)</f>
        <v>39.5530172243392</v>
      </c>
      <c r="BF175" s="16" t="n">
        <f aca="false">MAX(C175-AP175,0)</f>
        <v>34.59754877753</v>
      </c>
      <c r="BG175" s="16" t="n">
        <f aca="false">MAX(C175-AQ175,0)</f>
        <v>29.6205550000925</v>
      </c>
      <c r="BH175" s="16" t="n">
        <f aca="false">MAX(C175-AR175,0)</f>
        <v>25.2280798885052</v>
      </c>
      <c r="BI175" s="16" t="n">
        <f aca="false">MAX(C175-AS175,0)</f>
        <v>20.02421854133</v>
      </c>
      <c r="BJ175" s="16" t="n">
        <f aca="false">MAX(C175-AT175,0)</f>
        <v>15.3785800370863</v>
      </c>
      <c r="BK175" s="16" t="n">
        <f aca="false">MAX(C175-AU175,0)</f>
        <v>10.7728972883348</v>
      </c>
      <c r="BL175" s="16" t="n">
        <f aca="false">MAX(C175-AV175,0)</f>
        <v>5.83802734007064</v>
      </c>
      <c r="BM175" s="16" t="n">
        <f aca="false">MAX(C175-AW175,0)</f>
        <v>0.664659004765838</v>
      </c>
      <c r="BN175" s="16" t="n">
        <f aca="false">MAX(C175-AX175,0)</f>
        <v>0</v>
      </c>
      <c r="BO175" s="16" t="n">
        <f aca="false">MAX(C175-AY175,0)</f>
        <v>0</v>
      </c>
    </row>
    <row r="176" customFormat="false" ht="15" hidden="false" customHeight="false" outlineLevel="0" collapsed="false">
      <c r="A176" s="3" t="n">
        <v>146</v>
      </c>
      <c r="B176" s="15" t="n">
        <f aca="true">RAND()</f>
        <v>0.480484369586905</v>
      </c>
      <c r="C176" s="16" t="n">
        <f aca="false">LOOKUP(B176,$E$12:$E$17,$A$12:$A$17)+LOOKUP(B176,$E$12:$E$17,$D$12:$D$17)*(B176-LOOKUP(B176,$E$12:$E$17))/LOOKUP(B176,$E$12:$E$17,$C$12:$C$17)</f>
        <v>63.8414061597818</v>
      </c>
      <c r="D176" s="15" t="n">
        <f aca="true">RAND()</f>
        <v>0.635471468916896</v>
      </c>
      <c r="E176" s="15" t="n">
        <f aca="true">RAND()</f>
        <v>0.729888872225397</v>
      </c>
      <c r="F176" s="15" t="n">
        <f aca="true">RAND()</f>
        <v>0.504370214910642</v>
      </c>
      <c r="G176" s="15" t="n">
        <f aca="true">RAND()</f>
        <v>0.625443822987414</v>
      </c>
      <c r="H176" s="15" t="n">
        <f aca="true">RAND()</f>
        <v>0.146077692621134</v>
      </c>
      <c r="I176" s="15" t="n">
        <f aca="true">RAND()</f>
        <v>0.443614081485842</v>
      </c>
      <c r="J176" s="15" t="n">
        <f aca="true">RAND()</f>
        <v>0.542121080143057</v>
      </c>
      <c r="K176" s="15" t="n">
        <f aca="true">RAND()</f>
        <v>0.124849924849375</v>
      </c>
      <c r="L176" s="15" t="n">
        <f aca="true">RAND()</f>
        <v>0.757280909467267</v>
      </c>
      <c r="M176" s="15" t="n">
        <f aca="true">RAND()</f>
        <v>0.399654477088164</v>
      </c>
      <c r="N176" s="15" t="n">
        <f aca="true">RAND()</f>
        <v>0.275609921046796</v>
      </c>
      <c r="O176" s="15" t="n">
        <f aca="true">RAND()</f>
        <v>0.61000490618228</v>
      </c>
      <c r="P176" s="15" t="n">
        <f aca="true">RAND()</f>
        <v>0.515009555415537</v>
      </c>
      <c r="Q176" s="15" t="n">
        <f aca="true">RAND()</f>
        <v>0.410086205100973</v>
      </c>
      <c r="R176" s="15" t="n">
        <f aca="true">RAND()</f>
        <v>0.20019784023561</v>
      </c>
      <c r="S176" s="15" t="n">
        <f aca="true">RAND()</f>
        <v>0.513516868166703</v>
      </c>
      <c r="T176" s="16" t="n">
        <f aca="false">LOOKUP(D176,$E$23:$E$26,$A$23:$A$26)+LOOKUP(D176,$E$23:$E$26,$D$23:$D$26)*(D176-LOOKUP(D176,$E$23:$E$26))/LOOKUP(D176,$E$23:$E$26,$C$23:$C$26)</f>
        <v>4.91933933614612</v>
      </c>
      <c r="U176" s="16" t="n">
        <f aca="false">LOOKUP(E176,$E$23:$E$26,$A$23:$A$26)+LOOKUP(E176,$E$23:$E$26,$D$23:$D$26)*(E176-LOOKUP(E176,$E$23:$E$26))/LOOKUP(E176,$E$23:$E$26,$C$23:$C$26)</f>
        <v>5.07472218056349</v>
      </c>
      <c r="V176" s="16" t="n">
        <f aca="false">LOOKUP(F176,$E$23:$E$26,$A$23:$A$26)+LOOKUP(F176,$E$23:$E$26,$D$23:$D$26)*(F176-LOOKUP(F176,$E$23:$E$26))/LOOKUP(F176,$E$23:$E$26,$C$23:$C$26)</f>
        <v>4.7554627686383</v>
      </c>
      <c r="W176" s="16" t="n">
        <f aca="false">LOOKUP(G176,$E$23:$E$26,$A$23:$A$26)+LOOKUP(G176,$E$23:$E$26,$D$23:$D$26)*(G176-LOOKUP(G176,$E$23:$E$26))/LOOKUP(G176,$E$23:$E$26,$C$23:$C$26)</f>
        <v>4.90680477873427</v>
      </c>
      <c r="X176" s="16" t="n">
        <f aca="false">LOOKUP(H176,$E$23:$E$26,$A$23:$A$26)+LOOKUP(H176,$E$23:$E$26,$D$23:$D$26)*(H176-LOOKUP(H176,$E$23:$E$26))/LOOKUP(H176,$E$23:$E$26,$C$23:$C$26)</f>
        <v>4.24346282103522</v>
      </c>
      <c r="Y176" s="16" t="n">
        <f aca="false">LOOKUP(I176,$E$23:$E$26,$A$23:$A$26)+LOOKUP(I176,$E$23:$E$26,$D$23:$D$26)*(I176-LOOKUP(I176,$E$23:$E$26))/LOOKUP(I176,$E$23:$E$26,$C$23:$C$26)</f>
        <v>4.6795176018573</v>
      </c>
      <c r="Z176" s="16" t="n">
        <f aca="false">LOOKUP(J176,$E$23:$E$26,$A$23:$A$26)+LOOKUP(J176,$E$23:$E$26,$D$23:$D$26)*(J176-LOOKUP(J176,$E$23:$E$26))/LOOKUP(J176,$E$23:$E$26,$C$23:$C$26)</f>
        <v>4.80265135017882</v>
      </c>
      <c r="AA176" s="16" t="n">
        <f aca="false">LOOKUP(K176,$E$23:$E$26,$A$23:$A$26)+LOOKUP(K176,$E$23:$E$26,$D$23:$D$26)*(K176-LOOKUP(K176,$E$23:$E$26))/LOOKUP(K176,$E$23:$E$26,$C$23:$C$26)</f>
        <v>4.20808320808229</v>
      </c>
      <c r="AB176" s="16" t="n">
        <f aca="false">LOOKUP(L176,$E$23:$E$26,$A$23:$A$26)+LOOKUP(L176,$E$23:$E$26,$D$23:$D$26)*(L176-LOOKUP(L176,$E$23:$E$26))/LOOKUP(L176,$E$23:$E$26,$C$23:$C$26)</f>
        <v>5.14320227366817</v>
      </c>
      <c r="AC176" s="16" t="n">
        <f aca="false">LOOKUP(M176,$E$23:$E$26,$A$23:$A$26)+LOOKUP(M176,$E$23:$E$26,$D$23:$D$26)*(M176-LOOKUP(M176,$E$23:$E$26))/LOOKUP(M176,$E$23:$E$26,$C$23:$C$26)</f>
        <v>4.62456809636021</v>
      </c>
      <c r="AD176" s="16" t="n">
        <f aca="false">LOOKUP(N176,$E$23:$E$26,$A$23:$A$26)+LOOKUP(N176,$E$23:$E$26,$D$23:$D$26)*(N176-LOOKUP(N176,$E$23:$E$26))/LOOKUP(N176,$E$23:$E$26,$C$23:$C$26)</f>
        <v>4.45934986841133</v>
      </c>
      <c r="AE176" s="16" t="n">
        <f aca="false">LOOKUP(O176,$E$23:$E$26,$A$23:$A$26)+LOOKUP(O176,$E$23:$E$26,$D$23:$D$26)*(O176-LOOKUP(O176,$E$23:$E$26))/LOOKUP(O176,$E$23:$E$26,$C$23:$C$26)</f>
        <v>4.88750613272785</v>
      </c>
      <c r="AF176" s="16" t="n">
        <f aca="false">LOOKUP(P176,$E$23:$E$26,$A$23:$A$26)+LOOKUP(P176,$E$23:$E$26,$D$23:$D$26)*(P176-LOOKUP(P176,$E$23:$E$26))/LOOKUP(P176,$E$23:$E$26,$C$23:$C$26)</f>
        <v>4.76876194426942</v>
      </c>
      <c r="AG176" s="16" t="n">
        <f aca="false">LOOKUP(Q176,$E$23:$E$26,$A$23:$A$26)+LOOKUP(Q176,$E$23:$E$26,$D$23:$D$26)*(Q176-LOOKUP(Q176,$E$23:$E$26))/LOOKUP(Q176,$E$23:$E$26,$C$23:$C$26)</f>
        <v>4.63760775637622</v>
      </c>
      <c r="AH176" s="16" t="n">
        <f aca="false">LOOKUP(R176,$E$23:$E$26,$A$23:$A$26)+LOOKUP(R176,$E$23:$E$26,$D$23:$D$26)*(R176-LOOKUP(R176,$E$23:$E$26))/LOOKUP(R176,$E$23:$E$26,$C$23:$C$26)</f>
        <v>4.33366306705935</v>
      </c>
      <c r="AI176" s="16" t="n">
        <f aca="false">LOOKUP(S176,$E$23:$E$26,$A$23:$A$26)+LOOKUP(S176,$E$23:$E$26,$D$23:$D$26)*(S176-LOOKUP(S176,$E$23:$E$26))/LOOKUP(S176,$E$23:$E$26,$C$23:$C$26)</f>
        <v>4.76689608520838</v>
      </c>
      <c r="AJ176" s="16" t="n">
        <f aca="false">SUM($T176:T176)</f>
        <v>4.91933933614612</v>
      </c>
      <c r="AK176" s="16" t="n">
        <f aca="false">SUM($T176:U176)</f>
        <v>9.99406151670961</v>
      </c>
      <c r="AL176" s="16" t="n">
        <f aca="false">SUM($T176:V176)</f>
        <v>14.7495242853479</v>
      </c>
      <c r="AM176" s="16" t="n">
        <f aca="false">SUM($T176:W176)</f>
        <v>19.6563290640822</v>
      </c>
      <c r="AN176" s="16" t="n">
        <f aca="false">SUM($T176:X176)</f>
        <v>23.8997918851174</v>
      </c>
      <c r="AO176" s="16" t="n">
        <f aca="false">SUM($T176:Y176)</f>
        <v>28.5793094869747</v>
      </c>
      <c r="AP176" s="16" t="n">
        <f aca="false">SUM($T176:Z176)</f>
        <v>33.3819608371535</v>
      </c>
      <c r="AQ176" s="16" t="n">
        <f aca="false">SUM($T176:AA176)</f>
        <v>37.5900440452358</v>
      </c>
      <c r="AR176" s="16" t="n">
        <f aca="false">SUM($T176:AB176)</f>
        <v>42.733246318904</v>
      </c>
      <c r="AS176" s="16" t="n">
        <f aca="false">SUM($T176:AC176)</f>
        <v>47.3578144152642</v>
      </c>
      <c r="AT176" s="16" t="n">
        <f aca="false">SUM($T176:AD176)</f>
        <v>51.8171642836755</v>
      </c>
      <c r="AU176" s="16" t="n">
        <f aca="false">SUM($T176:AE176)</f>
        <v>56.7046704164034</v>
      </c>
      <c r="AV176" s="16" t="n">
        <f aca="false">SUM($T176:AF176)</f>
        <v>61.4734323606728</v>
      </c>
      <c r="AW176" s="16" t="n">
        <f aca="false">SUM($T176:AG176)</f>
        <v>66.111040117049</v>
      </c>
      <c r="AX176" s="16" t="n">
        <f aca="false">SUM($T176:AH176)</f>
        <v>70.4447031841084</v>
      </c>
      <c r="AY176" s="16" t="n">
        <f aca="false">SUM($T176:AI176)</f>
        <v>75.2115992693167</v>
      </c>
      <c r="AZ176" s="16" t="n">
        <f aca="false">MAX(C176-AJ176,0)</f>
        <v>58.9220668236356</v>
      </c>
      <c r="BA176" s="16" t="n">
        <f aca="false">MAX(C176-AK176,0)</f>
        <v>53.8473446430721</v>
      </c>
      <c r="BB176" s="16" t="n">
        <f aca="false">MAX(C176-AL176,0)</f>
        <v>49.0918818744338</v>
      </c>
      <c r="BC176" s="16" t="n">
        <f aca="false">MAX(C176-AM176,0)</f>
        <v>44.1850770956996</v>
      </c>
      <c r="BD176" s="16" t="n">
        <f aca="false">MAX(C176-AN176,0)</f>
        <v>39.9416142746643</v>
      </c>
      <c r="BE176" s="16" t="n">
        <f aca="false">MAX(C176-AO176,0)</f>
        <v>35.2620966728071</v>
      </c>
      <c r="BF176" s="16" t="n">
        <f aca="false">MAX(C176-AP176,0)</f>
        <v>30.4594453226282</v>
      </c>
      <c r="BG176" s="16" t="n">
        <f aca="false">MAX(C176-AQ176,0)</f>
        <v>26.2513621145459</v>
      </c>
      <c r="BH176" s="16" t="n">
        <f aca="false">MAX(C176-AR176,0)</f>
        <v>21.1081598408778</v>
      </c>
      <c r="BI176" s="16" t="n">
        <f aca="false">MAX(C176-AS176,0)</f>
        <v>16.4835917445176</v>
      </c>
      <c r="BJ176" s="16" t="n">
        <f aca="false">MAX(C176-AT176,0)</f>
        <v>12.0242418761062</v>
      </c>
      <c r="BK176" s="16" t="n">
        <f aca="false">MAX(C176-AU176,0)</f>
        <v>7.13673574337838</v>
      </c>
      <c r="BL176" s="16" t="n">
        <f aca="false">MAX(C176-AV176,0)</f>
        <v>2.36797379910897</v>
      </c>
      <c r="BM176" s="16" t="n">
        <f aca="false">MAX(C176-AW176,0)</f>
        <v>0</v>
      </c>
      <c r="BN176" s="16" t="n">
        <f aca="false">MAX(C176-AX176,0)</f>
        <v>0</v>
      </c>
      <c r="BO176" s="16" t="n">
        <f aca="false">MAX(C176-AY176,0)</f>
        <v>0</v>
      </c>
    </row>
    <row r="177" customFormat="false" ht="15" hidden="false" customHeight="false" outlineLevel="0" collapsed="false">
      <c r="A177" s="3" t="n">
        <v>147</v>
      </c>
      <c r="B177" s="15" t="n">
        <f aca="true">RAND()</f>
        <v>0.374245313450084</v>
      </c>
      <c r="C177" s="16" t="n">
        <f aca="false">LOOKUP(B177,$E$12:$E$17,$A$12:$A$17)+LOOKUP(B177,$E$12:$E$17,$D$12:$D$17)*(B177-LOOKUP(B177,$E$12:$E$17))/LOOKUP(B177,$E$12:$E$17,$C$12:$C$17)</f>
        <v>62.0707552241681</v>
      </c>
      <c r="D177" s="15" t="n">
        <f aca="true">RAND()</f>
        <v>0.851830338996628</v>
      </c>
      <c r="E177" s="15" t="n">
        <f aca="true">RAND()</f>
        <v>0.297675844078467</v>
      </c>
      <c r="F177" s="15" t="n">
        <f aca="true">RAND()</f>
        <v>0.97076927385094</v>
      </c>
      <c r="G177" s="15" t="n">
        <f aca="true">RAND()</f>
        <v>0.424830460829897</v>
      </c>
      <c r="H177" s="15" t="n">
        <f aca="true">RAND()</f>
        <v>0.0990144079022836</v>
      </c>
      <c r="I177" s="15" t="n">
        <f aca="true">RAND()</f>
        <v>0.800050063711619</v>
      </c>
      <c r="J177" s="15" t="n">
        <f aca="true">RAND()</f>
        <v>0.733294623138407</v>
      </c>
      <c r="K177" s="15" t="n">
        <f aca="true">RAND()</f>
        <v>0.653248925452753</v>
      </c>
      <c r="L177" s="15" t="n">
        <f aca="true">RAND()</f>
        <v>0.232989342377212</v>
      </c>
      <c r="M177" s="15" t="n">
        <f aca="true">RAND()</f>
        <v>0.434474799285769</v>
      </c>
      <c r="N177" s="15" t="n">
        <f aca="true">RAND()</f>
        <v>0.087265705880087</v>
      </c>
      <c r="O177" s="15" t="n">
        <f aca="true">RAND()</f>
        <v>0.74384416657322</v>
      </c>
      <c r="P177" s="15" t="n">
        <f aca="true">RAND()</f>
        <v>0.298051492951246</v>
      </c>
      <c r="Q177" s="15" t="n">
        <f aca="true">RAND()</f>
        <v>0.239505656930008</v>
      </c>
      <c r="R177" s="15" t="n">
        <f aca="true">RAND()</f>
        <v>0.77646113402746</v>
      </c>
      <c r="S177" s="15" t="n">
        <f aca="true">RAND()</f>
        <v>0.929027843480173</v>
      </c>
      <c r="T177" s="16" t="n">
        <f aca="false">LOOKUP(D177,$E$23:$E$26,$A$23:$A$26)+LOOKUP(D177,$E$23:$E$26,$D$23:$D$26)*(D177-LOOKUP(D177,$E$23:$E$26))/LOOKUP(D177,$E$23:$E$26,$C$23:$C$26)</f>
        <v>5.37957584749157</v>
      </c>
      <c r="U177" s="16" t="n">
        <f aca="false">LOOKUP(E177,$E$23:$E$26,$A$23:$A$26)+LOOKUP(E177,$E$23:$E$26,$D$23:$D$26)*(E177-LOOKUP(E177,$E$23:$E$26))/LOOKUP(E177,$E$23:$E$26,$C$23:$C$26)</f>
        <v>4.49612640679745</v>
      </c>
      <c r="V177" s="16" t="n">
        <f aca="false">LOOKUP(F177,$E$23:$E$26,$A$23:$A$26)+LOOKUP(F177,$E$23:$E$26,$D$23:$D$26)*(F177-LOOKUP(F177,$E$23:$E$26))/LOOKUP(F177,$E$23:$E$26,$C$23:$C$26)</f>
        <v>5.8538463692547</v>
      </c>
      <c r="W177" s="16" t="n">
        <f aca="false">LOOKUP(G177,$E$23:$E$26,$A$23:$A$26)+LOOKUP(G177,$E$23:$E$26,$D$23:$D$26)*(G177-LOOKUP(G177,$E$23:$E$26))/LOOKUP(G177,$E$23:$E$26,$C$23:$C$26)</f>
        <v>4.65603807603737</v>
      </c>
      <c r="X177" s="16" t="n">
        <f aca="false">LOOKUP(H177,$E$23:$E$26,$A$23:$A$26)+LOOKUP(H177,$E$23:$E$26,$D$23:$D$26)*(H177-LOOKUP(H177,$E$23:$E$26))/LOOKUP(H177,$E$23:$E$26,$C$23:$C$26)</f>
        <v>4.16502401317047</v>
      </c>
      <c r="Y177" s="16" t="n">
        <f aca="false">LOOKUP(I177,$E$23:$E$26,$A$23:$A$26)+LOOKUP(I177,$E$23:$E$26,$D$23:$D$26)*(I177-LOOKUP(I177,$E$23:$E$26))/LOOKUP(I177,$E$23:$E$26,$C$23:$C$26)</f>
        <v>5.25012515927905</v>
      </c>
      <c r="Z177" s="16" t="n">
        <f aca="false">LOOKUP(J177,$E$23:$E$26,$A$23:$A$26)+LOOKUP(J177,$E$23:$E$26,$D$23:$D$26)*(J177-LOOKUP(J177,$E$23:$E$26))/LOOKUP(J177,$E$23:$E$26,$C$23:$C$26)</f>
        <v>5.08323655784602</v>
      </c>
      <c r="AA177" s="16" t="n">
        <f aca="false">LOOKUP(K177,$E$23:$E$26,$A$23:$A$26)+LOOKUP(K177,$E$23:$E$26,$D$23:$D$26)*(K177-LOOKUP(K177,$E$23:$E$26))/LOOKUP(K177,$E$23:$E$26,$C$23:$C$26)</f>
        <v>4.94156115681594</v>
      </c>
      <c r="AB177" s="16" t="n">
        <f aca="false">LOOKUP(L177,$E$23:$E$26,$A$23:$A$26)+LOOKUP(L177,$E$23:$E$26,$D$23:$D$26)*(L177-LOOKUP(L177,$E$23:$E$26))/LOOKUP(L177,$E$23:$E$26,$C$23:$C$26)</f>
        <v>4.38831557062869</v>
      </c>
      <c r="AC177" s="16" t="n">
        <f aca="false">LOOKUP(M177,$E$23:$E$26,$A$23:$A$26)+LOOKUP(M177,$E$23:$E$26,$D$23:$D$26)*(M177-LOOKUP(M177,$E$23:$E$26))/LOOKUP(M177,$E$23:$E$26,$C$23:$C$26)</f>
        <v>4.66809349910721</v>
      </c>
      <c r="AD177" s="16" t="n">
        <f aca="false">LOOKUP(N177,$E$23:$E$26,$A$23:$A$26)+LOOKUP(N177,$E$23:$E$26,$D$23:$D$26)*(N177-LOOKUP(N177,$E$23:$E$26))/LOOKUP(N177,$E$23:$E$26,$C$23:$C$26)</f>
        <v>4.14544284313348</v>
      </c>
      <c r="AE177" s="16" t="n">
        <f aca="false">LOOKUP(O177,$E$23:$E$26,$A$23:$A$26)+LOOKUP(O177,$E$23:$E$26,$D$23:$D$26)*(O177-LOOKUP(O177,$E$23:$E$26))/LOOKUP(O177,$E$23:$E$26,$C$23:$C$26)</f>
        <v>5.10961041643305</v>
      </c>
      <c r="AF177" s="16" t="n">
        <f aca="false">LOOKUP(P177,$E$23:$E$26,$A$23:$A$26)+LOOKUP(P177,$E$23:$E$26,$D$23:$D$26)*(P177-LOOKUP(P177,$E$23:$E$26))/LOOKUP(P177,$E$23:$E$26,$C$23:$C$26)</f>
        <v>4.49675248825208</v>
      </c>
      <c r="AG177" s="16" t="n">
        <f aca="false">LOOKUP(Q177,$E$23:$E$26,$A$23:$A$26)+LOOKUP(Q177,$E$23:$E$26,$D$23:$D$26)*(Q177-LOOKUP(Q177,$E$23:$E$26))/LOOKUP(Q177,$E$23:$E$26,$C$23:$C$26)</f>
        <v>4.39917609488335</v>
      </c>
      <c r="AH177" s="16" t="n">
        <f aca="false">LOOKUP(R177,$E$23:$E$26,$A$23:$A$26)+LOOKUP(R177,$E$23:$E$26,$D$23:$D$26)*(R177-LOOKUP(R177,$E$23:$E$26))/LOOKUP(R177,$E$23:$E$26,$C$23:$C$26)</f>
        <v>5.19115283506865</v>
      </c>
      <c r="AI177" s="16" t="n">
        <f aca="false">LOOKUP(S177,$E$23:$E$26,$A$23:$A$26)+LOOKUP(S177,$E$23:$E$26,$D$23:$D$26)*(S177-LOOKUP(S177,$E$23:$E$26))/LOOKUP(S177,$E$23:$E$26,$C$23:$C$26)</f>
        <v>5.64513921740087</v>
      </c>
      <c r="AJ177" s="16" t="n">
        <f aca="false">SUM($T177:T177)</f>
        <v>5.37957584749157</v>
      </c>
      <c r="AK177" s="16" t="n">
        <f aca="false">SUM($T177:U177)</f>
        <v>9.87570225428902</v>
      </c>
      <c r="AL177" s="16" t="n">
        <f aca="false">SUM($T177:V177)</f>
        <v>15.7295486235437</v>
      </c>
      <c r="AM177" s="16" t="n">
        <f aca="false">SUM($T177:W177)</f>
        <v>20.3855866995811</v>
      </c>
      <c r="AN177" s="16" t="n">
        <f aca="false">SUM($T177:X177)</f>
        <v>24.5506107127516</v>
      </c>
      <c r="AO177" s="16" t="n">
        <f aca="false">SUM($T177:Y177)</f>
        <v>29.8007358720306</v>
      </c>
      <c r="AP177" s="16" t="n">
        <f aca="false">SUM($T177:Z177)</f>
        <v>34.8839724298766</v>
      </c>
      <c r="AQ177" s="16" t="n">
        <f aca="false">SUM($T177:AA177)</f>
        <v>39.8255335866926</v>
      </c>
      <c r="AR177" s="16" t="n">
        <f aca="false">SUM($T177:AB177)</f>
        <v>44.2138491573213</v>
      </c>
      <c r="AS177" s="16" t="n">
        <f aca="false">SUM($T177:AC177)</f>
        <v>48.8819426564285</v>
      </c>
      <c r="AT177" s="16" t="n">
        <f aca="false">SUM($T177:AD177)</f>
        <v>53.0273854995619</v>
      </c>
      <c r="AU177" s="16" t="n">
        <f aca="false">SUM($T177:AE177)</f>
        <v>58.136995915995</v>
      </c>
      <c r="AV177" s="16" t="n">
        <f aca="false">SUM($T177:AF177)</f>
        <v>62.6337484042471</v>
      </c>
      <c r="AW177" s="16" t="n">
        <f aca="false">SUM($T177:AG177)</f>
        <v>67.0329244991304</v>
      </c>
      <c r="AX177" s="16" t="n">
        <f aca="false">SUM($T177:AH177)</f>
        <v>72.2240773341991</v>
      </c>
      <c r="AY177" s="16" t="n">
        <f aca="false">SUM($T177:AI177)</f>
        <v>77.8692165515999</v>
      </c>
      <c r="AZ177" s="16" t="n">
        <f aca="false">MAX(C177-AJ177,0)</f>
        <v>56.6911793766765</v>
      </c>
      <c r="BA177" s="16" t="n">
        <f aca="false">MAX(C177-AK177,0)</f>
        <v>52.1950529698791</v>
      </c>
      <c r="BB177" s="16" t="n">
        <f aca="false">MAX(C177-AL177,0)</f>
        <v>46.3412066006244</v>
      </c>
      <c r="BC177" s="16" t="n">
        <f aca="false">MAX(C177-AM177,0)</f>
        <v>41.685168524587</v>
      </c>
      <c r="BD177" s="16" t="n">
        <f aca="false">MAX(C177-AN177,0)</f>
        <v>37.5201445114165</v>
      </c>
      <c r="BE177" s="16" t="n">
        <f aca="false">MAX(C177-AO177,0)</f>
        <v>32.2700193521375</v>
      </c>
      <c r="BF177" s="16" t="n">
        <f aca="false">MAX(C177-AP177,0)</f>
        <v>27.1867827942914</v>
      </c>
      <c r="BG177" s="16" t="n">
        <f aca="false">MAX(C177-AQ177,0)</f>
        <v>22.2452216374755</v>
      </c>
      <c r="BH177" s="16" t="n">
        <f aca="false">MAX(C177-AR177,0)</f>
        <v>17.8569060668468</v>
      </c>
      <c r="BI177" s="16" t="n">
        <f aca="false">MAX(C177-AS177,0)</f>
        <v>13.1888125677396</v>
      </c>
      <c r="BJ177" s="16" t="n">
        <f aca="false">MAX(C177-AT177,0)</f>
        <v>9.04336972460612</v>
      </c>
      <c r="BK177" s="16" t="n">
        <f aca="false">MAX(C177-AU177,0)</f>
        <v>3.93375930817307</v>
      </c>
      <c r="BL177" s="16" t="n">
        <f aca="false">MAX(C177-AV177,0)</f>
        <v>0</v>
      </c>
      <c r="BM177" s="16" t="n">
        <f aca="false">MAX(C177-AW177,0)</f>
        <v>0</v>
      </c>
      <c r="BN177" s="16" t="n">
        <f aca="false">MAX(C177-AX177,0)</f>
        <v>0</v>
      </c>
      <c r="BO177" s="16" t="n">
        <f aca="false">MAX(C177-AY177,0)</f>
        <v>0</v>
      </c>
    </row>
    <row r="178" customFormat="false" ht="15" hidden="false" customHeight="false" outlineLevel="0" collapsed="false">
      <c r="A178" s="3" t="n">
        <v>148</v>
      </c>
      <c r="B178" s="15" t="n">
        <f aca="true">RAND()</f>
        <v>0.751178534972955</v>
      </c>
      <c r="C178" s="16" t="n">
        <f aca="false">LOOKUP(B178,$E$12:$E$17,$A$12:$A$17)+LOOKUP(B178,$E$12:$E$17,$D$12:$D$17)*(B178-LOOKUP(B178,$E$12:$E$17))/LOOKUP(B178,$E$12:$E$17,$C$12:$C$17)</f>
        <v>67.8739790710422</v>
      </c>
      <c r="D178" s="15" t="n">
        <f aca="true">RAND()</f>
        <v>0.74259351780885</v>
      </c>
      <c r="E178" s="15" t="n">
        <f aca="true">RAND()</f>
        <v>0.174020173595188</v>
      </c>
      <c r="F178" s="15" t="n">
        <f aca="true">RAND()</f>
        <v>0.594303423653176</v>
      </c>
      <c r="G178" s="15" t="n">
        <f aca="true">RAND()</f>
        <v>0.483308255171406</v>
      </c>
      <c r="H178" s="15" t="n">
        <f aca="true">RAND()</f>
        <v>0.491475481703715</v>
      </c>
      <c r="I178" s="15" t="n">
        <f aca="true">RAND()</f>
        <v>0.77486876247046</v>
      </c>
      <c r="J178" s="15" t="n">
        <f aca="true">RAND()</f>
        <v>0.890761605394506</v>
      </c>
      <c r="K178" s="15" t="n">
        <f aca="true">RAND()</f>
        <v>0.864354985226886</v>
      </c>
      <c r="L178" s="15" t="n">
        <f aca="true">RAND()</f>
        <v>0.327741576708663</v>
      </c>
      <c r="M178" s="15" t="n">
        <f aca="true">RAND()</f>
        <v>0.174468460463899</v>
      </c>
      <c r="N178" s="15" t="n">
        <f aca="true">RAND()</f>
        <v>0.430423082655748</v>
      </c>
      <c r="O178" s="15" t="n">
        <f aca="true">RAND()</f>
        <v>0.372534388283249</v>
      </c>
      <c r="P178" s="15" t="n">
        <f aca="true">RAND()</f>
        <v>0.620932505536667</v>
      </c>
      <c r="Q178" s="15" t="n">
        <f aca="true">RAND()</f>
        <v>0.0743928766253623</v>
      </c>
      <c r="R178" s="15" t="n">
        <f aca="true">RAND()</f>
        <v>0.885900599368989</v>
      </c>
      <c r="S178" s="15" t="n">
        <f aca="true">RAND()</f>
        <v>0.582260353176503</v>
      </c>
      <c r="T178" s="16" t="n">
        <f aca="false">LOOKUP(D178,$E$23:$E$26,$A$23:$A$26)+LOOKUP(D178,$E$23:$E$26,$D$23:$D$26)*(D178-LOOKUP(D178,$E$23:$E$26))/LOOKUP(D178,$E$23:$E$26,$C$23:$C$26)</f>
        <v>5.10648379452213</v>
      </c>
      <c r="U178" s="16" t="n">
        <f aca="false">LOOKUP(E178,$E$23:$E$26,$A$23:$A$26)+LOOKUP(E178,$E$23:$E$26,$D$23:$D$26)*(E178-LOOKUP(E178,$E$23:$E$26))/LOOKUP(E178,$E$23:$E$26,$C$23:$C$26)</f>
        <v>4.29003362265865</v>
      </c>
      <c r="V178" s="16" t="n">
        <f aca="false">LOOKUP(F178,$E$23:$E$26,$A$23:$A$26)+LOOKUP(F178,$E$23:$E$26,$D$23:$D$26)*(F178-LOOKUP(F178,$E$23:$E$26))/LOOKUP(F178,$E$23:$E$26,$C$23:$C$26)</f>
        <v>4.86787927956647</v>
      </c>
      <c r="W178" s="16" t="n">
        <f aca="false">LOOKUP(G178,$E$23:$E$26,$A$23:$A$26)+LOOKUP(G178,$E$23:$E$26,$D$23:$D$26)*(G178-LOOKUP(G178,$E$23:$E$26))/LOOKUP(G178,$E$23:$E$26,$C$23:$C$26)</f>
        <v>4.72913531896426</v>
      </c>
      <c r="X178" s="16" t="n">
        <f aca="false">LOOKUP(H178,$E$23:$E$26,$A$23:$A$26)+LOOKUP(H178,$E$23:$E$26,$D$23:$D$26)*(H178-LOOKUP(H178,$E$23:$E$26))/LOOKUP(H178,$E$23:$E$26,$C$23:$C$26)</f>
        <v>4.73934435212964</v>
      </c>
      <c r="Y178" s="16" t="n">
        <f aca="false">LOOKUP(I178,$E$23:$E$26,$A$23:$A$26)+LOOKUP(I178,$E$23:$E$26,$D$23:$D$26)*(I178-LOOKUP(I178,$E$23:$E$26))/LOOKUP(I178,$E$23:$E$26,$C$23:$C$26)</f>
        <v>5.18717190617615</v>
      </c>
      <c r="Z178" s="16" t="n">
        <f aca="false">LOOKUP(J178,$E$23:$E$26,$A$23:$A$26)+LOOKUP(J178,$E$23:$E$26,$D$23:$D$26)*(J178-LOOKUP(J178,$E$23:$E$26))/LOOKUP(J178,$E$23:$E$26,$C$23:$C$26)</f>
        <v>5.47690401348627</v>
      </c>
      <c r="AA178" s="16" t="n">
        <f aca="false">LOOKUP(K178,$E$23:$E$26,$A$23:$A$26)+LOOKUP(K178,$E$23:$E$26,$D$23:$D$26)*(K178-LOOKUP(K178,$E$23:$E$26))/LOOKUP(K178,$E$23:$E$26,$C$23:$C$26)</f>
        <v>5.41088746306722</v>
      </c>
      <c r="AB178" s="16" t="n">
        <f aca="false">LOOKUP(L178,$E$23:$E$26,$A$23:$A$26)+LOOKUP(L178,$E$23:$E$26,$D$23:$D$26)*(L178-LOOKUP(L178,$E$23:$E$26))/LOOKUP(L178,$E$23:$E$26,$C$23:$C$26)</f>
        <v>4.53467697088583</v>
      </c>
      <c r="AC178" s="16" t="n">
        <f aca="false">LOOKUP(M178,$E$23:$E$26,$A$23:$A$26)+LOOKUP(M178,$E$23:$E$26,$D$23:$D$26)*(M178-LOOKUP(M178,$E$23:$E$26))/LOOKUP(M178,$E$23:$E$26,$C$23:$C$26)</f>
        <v>4.29078076743983</v>
      </c>
      <c r="AD178" s="16" t="n">
        <f aca="false">LOOKUP(N178,$E$23:$E$26,$A$23:$A$26)+LOOKUP(N178,$E$23:$E$26,$D$23:$D$26)*(N178-LOOKUP(N178,$E$23:$E$26))/LOOKUP(N178,$E$23:$E$26,$C$23:$C$26)</f>
        <v>4.66302885331969</v>
      </c>
      <c r="AE178" s="16" t="n">
        <f aca="false">LOOKUP(O178,$E$23:$E$26,$A$23:$A$26)+LOOKUP(O178,$E$23:$E$26,$D$23:$D$26)*(O178-LOOKUP(O178,$E$23:$E$26))/LOOKUP(O178,$E$23:$E$26,$C$23:$C$26)</f>
        <v>4.59066798535406</v>
      </c>
      <c r="AF178" s="16" t="n">
        <f aca="false">LOOKUP(P178,$E$23:$E$26,$A$23:$A$26)+LOOKUP(P178,$E$23:$E$26,$D$23:$D$26)*(P178-LOOKUP(P178,$E$23:$E$26))/LOOKUP(P178,$E$23:$E$26,$C$23:$C$26)</f>
        <v>4.90116563192083</v>
      </c>
      <c r="AG178" s="16" t="n">
        <f aca="false">LOOKUP(Q178,$E$23:$E$26,$A$23:$A$26)+LOOKUP(Q178,$E$23:$E$26,$D$23:$D$26)*(Q178-LOOKUP(Q178,$E$23:$E$26))/LOOKUP(Q178,$E$23:$E$26,$C$23:$C$26)</f>
        <v>4.12398812770894</v>
      </c>
      <c r="AH178" s="16" t="n">
        <f aca="false">LOOKUP(R178,$E$23:$E$26,$A$23:$A$26)+LOOKUP(R178,$E$23:$E$26,$D$23:$D$26)*(R178-LOOKUP(R178,$E$23:$E$26))/LOOKUP(R178,$E$23:$E$26,$C$23:$C$26)</f>
        <v>5.46475149842247</v>
      </c>
      <c r="AI178" s="16" t="n">
        <f aca="false">LOOKUP(S178,$E$23:$E$26,$A$23:$A$26)+LOOKUP(S178,$E$23:$E$26,$D$23:$D$26)*(S178-LOOKUP(S178,$E$23:$E$26))/LOOKUP(S178,$E$23:$E$26,$C$23:$C$26)</f>
        <v>4.85282544147063</v>
      </c>
      <c r="AJ178" s="16" t="n">
        <f aca="false">SUM($T178:T178)</f>
        <v>5.10648379452213</v>
      </c>
      <c r="AK178" s="16" t="n">
        <f aca="false">SUM($T178:U178)</f>
        <v>9.39651741718077</v>
      </c>
      <c r="AL178" s="16" t="n">
        <f aca="false">SUM($T178:V178)</f>
        <v>14.2643966967472</v>
      </c>
      <c r="AM178" s="16" t="n">
        <f aca="false">SUM($T178:W178)</f>
        <v>18.9935320157115</v>
      </c>
      <c r="AN178" s="16" t="n">
        <f aca="false">SUM($T178:X178)</f>
        <v>23.7328763678411</v>
      </c>
      <c r="AO178" s="16" t="n">
        <f aca="false">SUM($T178:Y178)</f>
        <v>28.9200482740173</v>
      </c>
      <c r="AP178" s="16" t="n">
        <f aca="false">SUM($T178:Z178)</f>
        <v>34.3969522875036</v>
      </c>
      <c r="AQ178" s="16" t="n">
        <f aca="false">SUM($T178:AA178)</f>
        <v>39.8078397505708</v>
      </c>
      <c r="AR178" s="16" t="n">
        <f aca="false">SUM($T178:AB178)</f>
        <v>44.3425167214566</v>
      </c>
      <c r="AS178" s="16" t="n">
        <f aca="false">SUM($T178:AC178)</f>
        <v>48.6332974888964</v>
      </c>
      <c r="AT178" s="16" t="n">
        <f aca="false">SUM($T178:AD178)</f>
        <v>53.2963263422161</v>
      </c>
      <c r="AU178" s="16" t="n">
        <f aca="false">SUM($T178:AE178)</f>
        <v>57.8869943275702</v>
      </c>
      <c r="AV178" s="16" t="n">
        <f aca="false">SUM($T178:AF178)</f>
        <v>62.788159959491</v>
      </c>
      <c r="AW178" s="16" t="n">
        <f aca="false">SUM($T178:AG178)</f>
        <v>66.9121480872</v>
      </c>
      <c r="AX178" s="16" t="n">
        <f aca="false">SUM($T178:AH178)</f>
        <v>72.3768995856224</v>
      </c>
      <c r="AY178" s="16" t="n">
        <f aca="false">SUM($T178:AI178)</f>
        <v>77.2297250270931</v>
      </c>
      <c r="AZ178" s="16" t="n">
        <f aca="false">MAX(C178-AJ178,0)</f>
        <v>62.7674952765201</v>
      </c>
      <c r="BA178" s="16" t="n">
        <f aca="false">MAX(C178-AK178,0)</f>
        <v>58.4774616538614</v>
      </c>
      <c r="BB178" s="16" t="n">
        <f aca="false">MAX(C178-AL178,0)</f>
        <v>53.609582374295</v>
      </c>
      <c r="BC178" s="16" t="n">
        <f aca="false">MAX(C178-AM178,0)</f>
        <v>48.8804470553307</v>
      </c>
      <c r="BD178" s="16" t="n">
        <f aca="false">MAX(C178-AN178,0)</f>
        <v>44.1411027032011</v>
      </c>
      <c r="BE178" s="16" t="n">
        <f aca="false">MAX(C178-AO178,0)</f>
        <v>38.9539307970249</v>
      </c>
      <c r="BF178" s="16" t="n">
        <f aca="false">MAX(C178-AP178,0)</f>
        <v>33.4770267835387</v>
      </c>
      <c r="BG178" s="16" t="n">
        <f aca="false">MAX(C178-AQ178,0)</f>
        <v>28.0661393204714</v>
      </c>
      <c r="BH178" s="16" t="n">
        <f aca="false">MAX(C178-AR178,0)</f>
        <v>23.5314623495856</v>
      </c>
      <c r="BI178" s="16" t="n">
        <f aca="false">MAX(C178-AS178,0)</f>
        <v>19.2406815821458</v>
      </c>
      <c r="BJ178" s="16" t="n">
        <f aca="false">MAX(C178-AT178,0)</f>
        <v>14.5776527288261</v>
      </c>
      <c r="BK178" s="16" t="n">
        <f aca="false">MAX(C178-AU178,0)</f>
        <v>9.98698474347204</v>
      </c>
      <c r="BL178" s="16" t="n">
        <f aca="false">MAX(C178-AV178,0)</f>
        <v>5.0858191115512</v>
      </c>
      <c r="BM178" s="16" t="n">
        <f aca="false">MAX(C178-AW178,0)</f>
        <v>0.961830983842262</v>
      </c>
      <c r="BN178" s="16" t="n">
        <f aca="false">MAX(C178-AX178,0)</f>
        <v>0</v>
      </c>
      <c r="BO178" s="16" t="n">
        <f aca="false">MAX(C178-AY178,0)</f>
        <v>0</v>
      </c>
    </row>
    <row r="179" customFormat="false" ht="15" hidden="false" customHeight="false" outlineLevel="0" collapsed="false">
      <c r="A179" s="3" t="n">
        <v>149</v>
      </c>
      <c r="B179" s="15" t="n">
        <f aca="true">RAND()</f>
        <v>0.444471427957771</v>
      </c>
      <c r="C179" s="16" t="n">
        <f aca="false">LOOKUP(B179,$E$12:$E$17,$A$12:$A$17)+LOOKUP(B179,$E$12:$E$17,$D$12:$D$17)*(B179-LOOKUP(B179,$E$12:$E$17))/LOOKUP(B179,$E$12:$E$17,$C$12:$C$17)</f>
        <v>63.2411904659629</v>
      </c>
      <c r="D179" s="15" t="n">
        <f aca="true">RAND()</f>
        <v>0.801137845740645</v>
      </c>
      <c r="E179" s="15" t="n">
        <f aca="true">RAND()</f>
        <v>0.558691999537147</v>
      </c>
      <c r="F179" s="15" t="n">
        <f aca="true">RAND()</f>
        <v>0.633069696352383</v>
      </c>
      <c r="G179" s="15" t="n">
        <f aca="true">RAND()</f>
        <v>0.964730688511838</v>
      </c>
      <c r="H179" s="15" t="n">
        <f aca="true">RAND()</f>
        <v>0.185461407956076</v>
      </c>
      <c r="I179" s="15" t="n">
        <f aca="true">RAND()</f>
        <v>0.753137093989519</v>
      </c>
      <c r="J179" s="15" t="n">
        <f aca="true">RAND()</f>
        <v>0.871755102789462</v>
      </c>
      <c r="K179" s="15" t="n">
        <f aca="true">RAND()</f>
        <v>0.0328917140243128</v>
      </c>
      <c r="L179" s="15" t="n">
        <f aca="true">RAND()</f>
        <v>0.83279817598875</v>
      </c>
      <c r="M179" s="15" t="n">
        <f aca="true">RAND()</f>
        <v>0.395350594875325</v>
      </c>
      <c r="N179" s="15" t="n">
        <f aca="true">RAND()</f>
        <v>0.197209743241699</v>
      </c>
      <c r="O179" s="15" t="n">
        <f aca="true">RAND()</f>
        <v>0.940652647096611</v>
      </c>
      <c r="P179" s="15" t="n">
        <f aca="true">RAND()</f>
        <v>0.725516110032854</v>
      </c>
      <c r="Q179" s="15" t="n">
        <f aca="true">RAND()</f>
        <v>0.42084754905254</v>
      </c>
      <c r="R179" s="15" t="n">
        <f aca="true">RAND()</f>
        <v>0.0785080192815205</v>
      </c>
      <c r="S179" s="15" t="n">
        <f aca="true">RAND()</f>
        <v>0.00664389532691648</v>
      </c>
      <c r="T179" s="16" t="n">
        <f aca="false">LOOKUP(D179,$E$23:$E$26,$A$23:$A$26)+LOOKUP(D179,$E$23:$E$26,$D$23:$D$26)*(D179-LOOKUP(D179,$E$23:$E$26))/LOOKUP(D179,$E$23:$E$26,$C$23:$C$26)</f>
        <v>5.25284461435161</v>
      </c>
      <c r="U179" s="16" t="n">
        <f aca="false">LOOKUP(E179,$E$23:$E$26,$A$23:$A$26)+LOOKUP(E179,$E$23:$E$26,$D$23:$D$26)*(E179-LOOKUP(E179,$E$23:$E$26))/LOOKUP(E179,$E$23:$E$26,$C$23:$C$26)</f>
        <v>4.82336499942143</v>
      </c>
      <c r="V179" s="16" t="n">
        <f aca="false">LOOKUP(F179,$E$23:$E$26,$A$23:$A$26)+LOOKUP(F179,$E$23:$E$26,$D$23:$D$26)*(F179-LOOKUP(F179,$E$23:$E$26))/LOOKUP(F179,$E$23:$E$26,$C$23:$C$26)</f>
        <v>4.91633712044048</v>
      </c>
      <c r="W179" s="16" t="n">
        <f aca="false">LOOKUP(G179,$E$23:$E$26,$A$23:$A$26)+LOOKUP(G179,$E$23:$E$26,$D$23:$D$26)*(G179-LOOKUP(G179,$E$23:$E$26))/LOOKUP(G179,$E$23:$E$26,$C$23:$C$26)</f>
        <v>5.82365344255919</v>
      </c>
      <c r="X179" s="16" t="n">
        <f aca="false">LOOKUP(H179,$E$23:$E$26,$A$23:$A$26)+LOOKUP(H179,$E$23:$E$26,$D$23:$D$26)*(H179-LOOKUP(H179,$E$23:$E$26))/LOOKUP(H179,$E$23:$E$26,$C$23:$C$26)</f>
        <v>4.30910234659346</v>
      </c>
      <c r="Y179" s="16" t="n">
        <f aca="false">LOOKUP(I179,$E$23:$E$26,$A$23:$A$26)+LOOKUP(I179,$E$23:$E$26,$D$23:$D$26)*(I179-LOOKUP(I179,$E$23:$E$26))/LOOKUP(I179,$E$23:$E$26,$C$23:$C$26)</f>
        <v>5.1328427349738</v>
      </c>
      <c r="Z179" s="16" t="n">
        <f aca="false">LOOKUP(J179,$E$23:$E$26,$A$23:$A$26)+LOOKUP(J179,$E$23:$E$26,$D$23:$D$26)*(J179-LOOKUP(J179,$E$23:$E$26))/LOOKUP(J179,$E$23:$E$26,$C$23:$C$26)</f>
        <v>5.42938775697366</v>
      </c>
      <c r="AA179" s="16" t="n">
        <f aca="false">LOOKUP(K179,$E$23:$E$26,$A$23:$A$26)+LOOKUP(K179,$E$23:$E$26,$D$23:$D$26)*(K179-LOOKUP(K179,$E$23:$E$26))/LOOKUP(K179,$E$23:$E$26,$C$23:$C$26)</f>
        <v>4.05481952337386</v>
      </c>
      <c r="AB179" s="16" t="n">
        <f aca="false">LOOKUP(L179,$E$23:$E$26,$A$23:$A$26)+LOOKUP(L179,$E$23:$E$26,$D$23:$D$26)*(L179-LOOKUP(L179,$E$23:$E$26))/LOOKUP(L179,$E$23:$E$26,$C$23:$C$26)</f>
        <v>5.33199543997188</v>
      </c>
      <c r="AC179" s="16" t="n">
        <f aca="false">LOOKUP(M179,$E$23:$E$26,$A$23:$A$26)+LOOKUP(M179,$E$23:$E$26,$D$23:$D$26)*(M179-LOOKUP(M179,$E$23:$E$26))/LOOKUP(M179,$E$23:$E$26,$C$23:$C$26)</f>
        <v>4.61918824359416</v>
      </c>
      <c r="AD179" s="16" t="n">
        <f aca="false">LOOKUP(N179,$E$23:$E$26,$A$23:$A$26)+LOOKUP(N179,$E$23:$E$26,$D$23:$D$26)*(N179-LOOKUP(N179,$E$23:$E$26))/LOOKUP(N179,$E$23:$E$26,$C$23:$C$26)</f>
        <v>4.32868290540283</v>
      </c>
      <c r="AE179" s="16" t="n">
        <f aca="false">LOOKUP(O179,$E$23:$E$26,$A$23:$A$26)+LOOKUP(O179,$E$23:$E$26,$D$23:$D$26)*(O179-LOOKUP(O179,$E$23:$E$26))/LOOKUP(O179,$E$23:$E$26,$C$23:$C$26)</f>
        <v>5.70326323548305</v>
      </c>
      <c r="AF179" s="16" t="n">
        <f aca="false">LOOKUP(P179,$E$23:$E$26,$A$23:$A$26)+LOOKUP(P179,$E$23:$E$26,$D$23:$D$26)*(P179-LOOKUP(P179,$E$23:$E$26))/LOOKUP(P179,$E$23:$E$26,$C$23:$C$26)</f>
        <v>5.06379027508214</v>
      </c>
      <c r="AG179" s="16" t="n">
        <f aca="false">LOOKUP(Q179,$E$23:$E$26,$A$23:$A$26)+LOOKUP(Q179,$E$23:$E$26,$D$23:$D$26)*(Q179-LOOKUP(Q179,$E$23:$E$26))/LOOKUP(Q179,$E$23:$E$26,$C$23:$C$26)</f>
        <v>4.65105943631567</v>
      </c>
      <c r="AH179" s="16" t="n">
        <f aca="false">LOOKUP(R179,$E$23:$E$26,$A$23:$A$26)+LOOKUP(R179,$E$23:$E$26,$D$23:$D$26)*(R179-LOOKUP(R179,$E$23:$E$26))/LOOKUP(R179,$E$23:$E$26,$C$23:$C$26)</f>
        <v>4.13084669880253</v>
      </c>
      <c r="AI179" s="16" t="n">
        <f aca="false">LOOKUP(S179,$E$23:$E$26,$A$23:$A$26)+LOOKUP(S179,$E$23:$E$26,$D$23:$D$26)*(S179-LOOKUP(S179,$E$23:$E$26))/LOOKUP(S179,$E$23:$E$26,$C$23:$C$26)</f>
        <v>4.01107315887819</v>
      </c>
      <c r="AJ179" s="16" t="n">
        <f aca="false">SUM($T179:T179)</f>
        <v>5.25284461435161</v>
      </c>
      <c r="AK179" s="16" t="n">
        <f aca="false">SUM($T179:U179)</f>
        <v>10.076209613773</v>
      </c>
      <c r="AL179" s="16" t="n">
        <f aca="false">SUM($T179:V179)</f>
        <v>14.9925467342135</v>
      </c>
      <c r="AM179" s="16" t="n">
        <f aca="false">SUM($T179:W179)</f>
        <v>20.8162001767727</v>
      </c>
      <c r="AN179" s="16" t="n">
        <f aca="false">SUM($T179:X179)</f>
        <v>25.1253025233662</v>
      </c>
      <c r="AO179" s="16" t="n">
        <f aca="false">SUM($T179:Y179)</f>
        <v>30.25814525834</v>
      </c>
      <c r="AP179" s="16" t="n">
        <f aca="false">SUM($T179:Z179)</f>
        <v>35.6875330153136</v>
      </c>
      <c r="AQ179" s="16" t="n">
        <f aca="false">SUM($T179:AA179)</f>
        <v>39.7423525386875</v>
      </c>
      <c r="AR179" s="16" t="n">
        <f aca="false">SUM($T179:AB179)</f>
        <v>45.0743479786594</v>
      </c>
      <c r="AS179" s="16" t="n">
        <f aca="false">SUM($T179:AC179)</f>
        <v>49.6935362222535</v>
      </c>
      <c r="AT179" s="16" t="n">
        <f aca="false">SUM($T179:AD179)</f>
        <v>54.0222191276563</v>
      </c>
      <c r="AU179" s="16" t="n">
        <f aca="false">SUM($T179:AE179)</f>
        <v>59.7254823631394</v>
      </c>
      <c r="AV179" s="16" t="n">
        <f aca="false">SUM($T179:AF179)</f>
        <v>64.7892726382215</v>
      </c>
      <c r="AW179" s="16" t="n">
        <f aca="false">SUM($T179:AG179)</f>
        <v>69.4403320745372</v>
      </c>
      <c r="AX179" s="16" t="n">
        <f aca="false">SUM($T179:AH179)</f>
        <v>73.5711787733397</v>
      </c>
      <c r="AY179" s="16" t="n">
        <f aca="false">SUM($T179:AI179)</f>
        <v>77.5822519322179</v>
      </c>
      <c r="AZ179" s="16" t="n">
        <f aca="false">MAX(C179-AJ179,0)</f>
        <v>57.9883458516112</v>
      </c>
      <c r="BA179" s="16" t="n">
        <f aca="false">MAX(C179-AK179,0)</f>
        <v>53.1649808521898</v>
      </c>
      <c r="BB179" s="16" t="n">
        <f aca="false">MAX(C179-AL179,0)</f>
        <v>48.2486437317493</v>
      </c>
      <c r="BC179" s="16" t="n">
        <f aca="false">MAX(C179-AM179,0)</f>
        <v>42.4249902891901</v>
      </c>
      <c r="BD179" s="16" t="n">
        <f aca="false">MAX(C179-AN179,0)</f>
        <v>38.1158879425967</v>
      </c>
      <c r="BE179" s="16" t="n">
        <f aca="false">MAX(C179-AO179,0)</f>
        <v>32.9830452076229</v>
      </c>
      <c r="BF179" s="16" t="n">
        <f aca="false">MAX(C179-AP179,0)</f>
        <v>27.5536574506492</v>
      </c>
      <c r="BG179" s="16" t="n">
        <f aca="false">MAX(C179-AQ179,0)</f>
        <v>23.4988379272754</v>
      </c>
      <c r="BH179" s="16" t="n">
        <f aca="false">MAX(C179-AR179,0)</f>
        <v>18.1668424873035</v>
      </c>
      <c r="BI179" s="16" t="n">
        <f aca="false">MAX(C179-AS179,0)</f>
        <v>13.5476542437093</v>
      </c>
      <c r="BJ179" s="16" t="n">
        <f aca="false">MAX(C179-AT179,0)</f>
        <v>9.21897133830651</v>
      </c>
      <c r="BK179" s="16" t="n">
        <f aca="false">MAX(C179-AU179,0)</f>
        <v>3.51570810282345</v>
      </c>
      <c r="BL179" s="16" t="n">
        <f aca="false">MAX(C179-AV179,0)</f>
        <v>0</v>
      </c>
      <c r="BM179" s="16" t="n">
        <f aca="false">MAX(C179-AW179,0)</f>
        <v>0</v>
      </c>
      <c r="BN179" s="16" t="n">
        <f aca="false">MAX(C179-AX179,0)</f>
        <v>0</v>
      </c>
      <c r="BO179" s="16" t="n">
        <f aca="false">MAX(C179-AY179,0)</f>
        <v>0</v>
      </c>
    </row>
    <row r="180" customFormat="false" ht="15" hidden="false" customHeight="false" outlineLevel="0" collapsed="false">
      <c r="A180" s="3" t="n">
        <v>150</v>
      </c>
      <c r="B180" s="15" t="n">
        <f aca="true">RAND()</f>
        <v>0.0407200063954405</v>
      </c>
      <c r="C180" s="16" t="n">
        <f aca="false">LOOKUP(B180,$E$12:$E$17,$A$12:$A$17)+LOOKUP(B180,$E$12:$E$17,$D$12:$D$17)*(B180-LOOKUP(B180,$E$12:$E$17))/LOOKUP(B180,$E$12:$E$17,$C$12:$C$17)</f>
        <v>52.036000319772</v>
      </c>
      <c r="D180" s="15" t="n">
        <f aca="true">RAND()</f>
        <v>0.901719876964034</v>
      </c>
      <c r="E180" s="15" t="n">
        <f aca="true">RAND()</f>
        <v>0.0833251621582552</v>
      </c>
      <c r="F180" s="15" t="n">
        <f aca="true">RAND()</f>
        <v>0.534166725911272</v>
      </c>
      <c r="G180" s="15" t="n">
        <f aca="true">RAND()</f>
        <v>0.156022081397595</v>
      </c>
      <c r="H180" s="15" t="n">
        <f aca="true">RAND()</f>
        <v>0.905621158860366</v>
      </c>
      <c r="I180" s="15" t="n">
        <f aca="true">RAND()</f>
        <v>0.420108268928165</v>
      </c>
      <c r="J180" s="15" t="n">
        <f aca="true">RAND()</f>
        <v>0.357051660198208</v>
      </c>
      <c r="K180" s="15" t="n">
        <f aca="true">RAND()</f>
        <v>0.204408688658672</v>
      </c>
      <c r="L180" s="15" t="n">
        <f aca="true">RAND()</f>
        <v>0.32961973049426</v>
      </c>
      <c r="M180" s="15" t="n">
        <f aca="true">RAND()</f>
        <v>0.153797340914056</v>
      </c>
      <c r="N180" s="15" t="n">
        <f aca="true">RAND()</f>
        <v>0.998149631793959</v>
      </c>
      <c r="O180" s="15" t="n">
        <f aca="true">RAND()</f>
        <v>0.588073662240476</v>
      </c>
      <c r="P180" s="15" t="n">
        <f aca="true">RAND()</f>
        <v>0.259535133859473</v>
      </c>
      <c r="Q180" s="15" t="n">
        <f aca="true">RAND()</f>
        <v>0.910231371321733</v>
      </c>
      <c r="R180" s="15" t="n">
        <f aca="true">RAND()</f>
        <v>0.0572076242382146</v>
      </c>
      <c r="S180" s="15" t="n">
        <f aca="true">RAND()</f>
        <v>0.381968574819137</v>
      </c>
      <c r="T180" s="16" t="n">
        <f aca="false">LOOKUP(D180,$E$23:$E$26,$A$23:$A$26)+LOOKUP(D180,$E$23:$E$26,$D$23:$D$26)*(D180-LOOKUP(D180,$E$23:$E$26))/LOOKUP(D180,$E$23:$E$26,$C$23:$C$26)</f>
        <v>5.50859938482017</v>
      </c>
      <c r="U180" s="16" t="n">
        <f aca="false">LOOKUP(E180,$E$23:$E$26,$A$23:$A$26)+LOOKUP(E180,$E$23:$E$26,$D$23:$D$26)*(E180-LOOKUP(E180,$E$23:$E$26))/LOOKUP(E180,$E$23:$E$26,$C$23:$C$26)</f>
        <v>4.13887527026376</v>
      </c>
      <c r="V180" s="16" t="n">
        <f aca="false">LOOKUP(F180,$E$23:$E$26,$A$23:$A$26)+LOOKUP(F180,$E$23:$E$26,$D$23:$D$26)*(F180-LOOKUP(F180,$E$23:$E$26))/LOOKUP(F180,$E$23:$E$26,$C$23:$C$26)</f>
        <v>4.79270840738909</v>
      </c>
      <c r="W180" s="16" t="n">
        <f aca="false">LOOKUP(G180,$E$23:$E$26,$A$23:$A$26)+LOOKUP(G180,$E$23:$E$26,$D$23:$D$26)*(G180-LOOKUP(G180,$E$23:$E$26))/LOOKUP(G180,$E$23:$E$26,$C$23:$C$26)</f>
        <v>4.26003680232933</v>
      </c>
      <c r="X180" s="16" t="n">
        <f aca="false">LOOKUP(H180,$E$23:$E$26,$A$23:$A$26)+LOOKUP(H180,$E$23:$E$26,$D$23:$D$26)*(H180-LOOKUP(H180,$E$23:$E$26))/LOOKUP(H180,$E$23:$E$26,$C$23:$C$26)</f>
        <v>5.52810579430183</v>
      </c>
      <c r="Y180" s="16" t="n">
        <f aca="false">LOOKUP(I180,$E$23:$E$26,$A$23:$A$26)+LOOKUP(I180,$E$23:$E$26,$D$23:$D$26)*(I180-LOOKUP(I180,$E$23:$E$26))/LOOKUP(I180,$E$23:$E$26,$C$23:$C$26)</f>
        <v>4.65013533616021</v>
      </c>
      <c r="Z180" s="16" t="n">
        <f aca="false">LOOKUP(J180,$E$23:$E$26,$A$23:$A$26)+LOOKUP(J180,$E$23:$E$26,$D$23:$D$26)*(J180-LOOKUP(J180,$E$23:$E$26))/LOOKUP(J180,$E$23:$E$26,$C$23:$C$26)</f>
        <v>4.57131457524776</v>
      </c>
      <c r="AA180" s="16" t="n">
        <f aca="false">LOOKUP(K180,$E$23:$E$26,$A$23:$A$26)+LOOKUP(K180,$E$23:$E$26,$D$23:$D$26)*(K180-LOOKUP(K180,$E$23:$E$26))/LOOKUP(K180,$E$23:$E$26,$C$23:$C$26)</f>
        <v>4.34068114776445</v>
      </c>
      <c r="AB180" s="16" t="n">
        <f aca="false">LOOKUP(L180,$E$23:$E$26,$A$23:$A$26)+LOOKUP(L180,$E$23:$E$26,$D$23:$D$26)*(L180-LOOKUP(L180,$E$23:$E$26))/LOOKUP(L180,$E$23:$E$26,$C$23:$C$26)</f>
        <v>4.53702466311783</v>
      </c>
      <c r="AC180" s="16" t="n">
        <f aca="false">LOOKUP(M180,$E$23:$E$26,$A$23:$A$26)+LOOKUP(M180,$E$23:$E$26,$D$23:$D$26)*(M180-LOOKUP(M180,$E$23:$E$26))/LOOKUP(M180,$E$23:$E$26,$C$23:$C$26)</f>
        <v>4.25632890152343</v>
      </c>
      <c r="AD180" s="16" t="n">
        <f aca="false">LOOKUP(N180,$E$23:$E$26,$A$23:$A$26)+LOOKUP(N180,$E$23:$E$26,$D$23:$D$26)*(N180-LOOKUP(N180,$E$23:$E$26))/LOOKUP(N180,$E$23:$E$26,$C$23:$C$26)</f>
        <v>5.9907481589698</v>
      </c>
      <c r="AE180" s="16" t="n">
        <f aca="false">LOOKUP(O180,$E$23:$E$26,$A$23:$A$26)+LOOKUP(O180,$E$23:$E$26,$D$23:$D$26)*(O180-LOOKUP(O180,$E$23:$E$26))/LOOKUP(O180,$E$23:$E$26,$C$23:$C$26)</f>
        <v>4.8600920778006</v>
      </c>
      <c r="AF180" s="16" t="n">
        <f aca="false">LOOKUP(P180,$E$23:$E$26,$A$23:$A$26)+LOOKUP(P180,$E$23:$E$26,$D$23:$D$26)*(P180-LOOKUP(P180,$E$23:$E$26))/LOOKUP(P180,$E$23:$E$26,$C$23:$C$26)</f>
        <v>4.43255855643246</v>
      </c>
      <c r="AG180" s="16" t="n">
        <f aca="false">LOOKUP(Q180,$E$23:$E$26,$A$23:$A$26)+LOOKUP(Q180,$E$23:$E$26,$D$23:$D$26)*(Q180-LOOKUP(Q180,$E$23:$E$26))/LOOKUP(Q180,$E$23:$E$26,$C$23:$C$26)</f>
        <v>5.55115685660867</v>
      </c>
      <c r="AH180" s="16" t="n">
        <f aca="false">LOOKUP(R180,$E$23:$E$26,$A$23:$A$26)+LOOKUP(R180,$E$23:$E$26,$D$23:$D$26)*(R180-LOOKUP(R180,$E$23:$E$26))/LOOKUP(R180,$E$23:$E$26,$C$23:$C$26)</f>
        <v>4.09534604039702</v>
      </c>
      <c r="AI180" s="16" t="n">
        <f aca="false">LOOKUP(S180,$E$23:$E$26,$A$23:$A$26)+LOOKUP(S180,$E$23:$E$26,$D$23:$D$26)*(S180-LOOKUP(S180,$E$23:$E$26))/LOOKUP(S180,$E$23:$E$26,$C$23:$C$26)</f>
        <v>4.60246071852392</v>
      </c>
      <c r="AJ180" s="16" t="n">
        <f aca="false">SUM($T180:T180)</f>
        <v>5.50859938482017</v>
      </c>
      <c r="AK180" s="16" t="n">
        <f aca="false">SUM($T180:U180)</f>
        <v>9.64747465508393</v>
      </c>
      <c r="AL180" s="16" t="n">
        <f aca="false">SUM($T180:V180)</f>
        <v>14.440183062473</v>
      </c>
      <c r="AM180" s="16" t="n">
        <f aca="false">SUM($T180:W180)</f>
        <v>18.7002198648024</v>
      </c>
      <c r="AN180" s="16" t="n">
        <f aca="false">SUM($T180:X180)</f>
        <v>24.2283256591042</v>
      </c>
      <c r="AO180" s="16" t="n">
        <f aca="false">SUM($T180:Y180)</f>
        <v>28.8784609952644</v>
      </c>
      <c r="AP180" s="16" t="n">
        <f aca="false">SUM($T180:Z180)</f>
        <v>33.4497755705121</v>
      </c>
      <c r="AQ180" s="16" t="n">
        <f aca="false">SUM($T180:AA180)</f>
        <v>37.7904567182766</v>
      </c>
      <c r="AR180" s="16" t="n">
        <f aca="false">SUM($T180:AB180)</f>
        <v>42.3274813813944</v>
      </c>
      <c r="AS180" s="16" t="n">
        <f aca="false">SUM($T180:AC180)</f>
        <v>46.5838102829178</v>
      </c>
      <c r="AT180" s="16" t="n">
        <f aca="false">SUM($T180:AD180)</f>
        <v>52.5745584418876</v>
      </c>
      <c r="AU180" s="16" t="n">
        <f aca="false">SUM($T180:AE180)</f>
        <v>57.4346505196882</v>
      </c>
      <c r="AV180" s="16" t="n">
        <f aca="false">SUM($T180:AF180)</f>
        <v>61.8672090761207</v>
      </c>
      <c r="AW180" s="16" t="n">
        <f aca="false">SUM($T180:AG180)</f>
        <v>67.4183659327294</v>
      </c>
      <c r="AX180" s="16" t="n">
        <f aca="false">SUM($T180:AH180)</f>
        <v>71.5137119731264</v>
      </c>
      <c r="AY180" s="16" t="n">
        <f aca="false">SUM($T180:AI180)</f>
        <v>76.1161726916503</v>
      </c>
      <c r="AZ180" s="16" t="n">
        <f aca="false">MAX(C180-AJ180,0)</f>
        <v>46.5274009349519</v>
      </c>
      <c r="BA180" s="16" t="n">
        <f aca="false">MAX(C180-AK180,0)</f>
        <v>42.3885256646881</v>
      </c>
      <c r="BB180" s="16" t="n">
        <f aca="false">MAX(C180-AL180,0)</f>
        <v>37.595817257299</v>
      </c>
      <c r="BC180" s="16" t="n">
        <f aca="false">MAX(C180-AM180,0)</f>
        <v>33.3357804549697</v>
      </c>
      <c r="BD180" s="16" t="n">
        <f aca="false">MAX(C180-AN180,0)</f>
        <v>27.8076746606678</v>
      </c>
      <c r="BE180" s="16" t="n">
        <f aca="false">MAX(C180-AO180,0)</f>
        <v>23.1575393245076</v>
      </c>
      <c r="BF180" s="16" t="n">
        <f aca="false">MAX(C180-AP180,0)</f>
        <v>18.5862247492599</v>
      </c>
      <c r="BG180" s="16" t="n">
        <f aca="false">MAX(C180-AQ180,0)</f>
        <v>14.2455436014954</v>
      </c>
      <c r="BH180" s="16" t="n">
        <f aca="false">MAX(C180-AR180,0)</f>
        <v>9.7085189383776</v>
      </c>
      <c r="BI180" s="16" t="n">
        <f aca="false">MAX(C180-AS180,0)</f>
        <v>5.45219003685418</v>
      </c>
      <c r="BJ180" s="16" t="n">
        <f aca="false">MAX(C180-AT180,0)</f>
        <v>0</v>
      </c>
      <c r="BK180" s="16" t="n">
        <f aca="false">MAX(C180-AU180,0)</f>
        <v>0</v>
      </c>
      <c r="BL180" s="16" t="n">
        <f aca="false">MAX(C180-AV180,0)</f>
        <v>0</v>
      </c>
      <c r="BM180" s="16" t="n">
        <f aca="false">MAX(C180-AW180,0)</f>
        <v>0</v>
      </c>
      <c r="BN180" s="16" t="n">
        <f aca="false">MAX(C180-AX180,0)</f>
        <v>0</v>
      </c>
      <c r="BO180" s="16" t="n">
        <f aca="false">MAX(C180-AY180,0)</f>
        <v>0</v>
      </c>
    </row>
    <row r="181" customFormat="false" ht="15" hidden="false" customHeight="false" outlineLevel="0" collapsed="false">
      <c r="A181" s="3" t="n">
        <v>151</v>
      </c>
      <c r="B181" s="15" t="n">
        <f aca="true">RAND()</f>
        <v>0.599289406563858</v>
      </c>
      <c r="C181" s="16" t="n">
        <f aca="false">LOOKUP(B181,$E$12:$E$17,$A$12:$A$17)+LOOKUP(B181,$E$12:$E$17,$D$12:$D$17)*(B181-LOOKUP(B181,$E$12:$E$17))/LOOKUP(B181,$E$12:$E$17,$C$12:$C$17)</f>
        <v>65.7041343794837</v>
      </c>
      <c r="D181" s="15" t="n">
        <f aca="true">RAND()</f>
        <v>0.636199176867289</v>
      </c>
      <c r="E181" s="15" t="n">
        <f aca="true">RAND()</f>
        <v>0.0689966918742062</v>
      </c>
      <c r="F181" s="15" t="n">
        <f aca="true">RAND()</f>
        <v>0.945316802209239</v>
      </c>
      <c r="G181" s="15" t="n">
        <f aca="true">RAND()</f>
        <v>0.90827207022525</v>
      </c>
      <c r="H181" s="15" t="n">
        <f aca="true">RAND()</f>
        <v>0.283861955260689</v>
      </c>
      <c r="I181" s="15" t="n">
        <f aca="true">RAND()</f>
        <v>0.446246353388961</v>
      </c>
      <c r="J181" s="15" t="n">
        <f aca="true">RAND()</f>
        <v>0.176484349602465</v>
      </c>
      <c r="K181" s="15" t="n">
        <f aca="true">RAND()</f>
        <v>0.88888146629783</v>
      </c>
      <c r="L181" s="15" t="n">
        <f aca="true">RAND()</f>
        <v>0.0245302186705292</v>
      </c>
      <c r="M181" s="15" t="n">
        <f aca="true">RAND()</f>
        <v>0.0355688524156534</v>
      </c>
      <c r="N181" s="15" t="n">
        <f aca="true">RAND()</f>
        <v>0.205457638386672</v>
      </c>
      <c r="O181" s="15" t="n">
        <f aca="true">RAND()</f>
        <v>0.793873535956304</v>
      </c>
      <c r="P181" s="15" t="n">
        <f aca="true">RAND()</f>
        <v>0.338004782120565</v>
      </c>
      <c r="Q181" s="15" t="n">
        <f aca="true">RAND()</f>
        <v>0.654573051450322</v>
      </c>
      <c r="R181" s="15" t="n">
        <f aca="true">RAND()</f>
        <v>0.647697421907962</v>
      </c>
      <c r="S181" s="15" t="n">
        <f aca="true">RAND()</f>
        <v>0.242914266419</v>
      </c>
      <c r="T181" s="16" t="n">
        <f aca="false">LOOKUP(D181,$E$23:$E$26,$A$23:$A$26)+LOOKUP(D181,$E$23:$E$26,$D$23:$D$26)*(D181-LOOKUP(D181,$E$23:$E$26))/LOOKUP(D181,$E$23:$E$26,$C$23:$C$26)</f>
        <v>4.92024897108411</v>
      </c>
      <c r="U181" s="16" t="n">
        <f aca="false">LOOKUP(E181,$E$23:$E$26,$A$23:$A$26)+LOOKUP(E181,$E$23:$E$26,$D$23:$D$26)*(E181-LOOKUP(E181,$E$23:$E$26))/LOOKUP(E181,$E$23:$E$26,$C$23:$C$26)</f>
        <v>4.11499448645701</v>
      </c>
      <c r="V181" s="16" t="n">
        <f aca="false">LOOKUP(F181,$E$23:$E$26,$A$23:$A$26)+LOOKUP(F181,$E$23:$E$26,$D$23:$D$26)*(F181-LOOKUP(F181,$E$23:$E$26))/LOOKUP(F181,$E$23:$E$26,$C$23:$C$26)</f>
        <v>5.72658401104619</v>
      </c>
      <c r="W181" s="16" t="n">
        <f aca="false">LOOKUP(G181,$E$23:$E$26,$A$23:$A$26)+LOOKUP(G181,$E$23:$E$26,$D$23:$D$26)*(G181-LOOKUP(G181,$E$23:$E$26))/LOOKUP(G181,$E$23:$E$26,$C$23:$C$26)</f>
        <v>5.54136035112625</v>
      </c>
      <c r="X181" s="16" t="n">
        <f aca="false">LOOKUP(H181,$E$23:$E$26,$A$23:$A$26)+LOOKUP(H181,$E$23:$E$26,$D$23:$D$26)*(H181-LOOKUP(H181,$E$23:$E$26))/LOOKUP(H181,$E$23:$E$26,$C$23:$C$26)</f>
        <v>4.47310325876782</v>
      </c>
      <c r="Y181" s="16" t="n">
        <f aca="false">LOOKUP(I181,$E$23:$E$26,$A$23:$A$26)+LOOKUP(I181,$E$23:$E$26,$D$23:$D$26)*(I181-LOOKUP(I181,$E$23:$E$26))/LOOKUP(I181,$E$23:$E$26,$C$23:$C$26)</f>
        <v>4.6828079417362</v>
      </c>
      <c r="Z181" s="16" t="n">
        <f aca="false">LOOKUP(J181,$E$23:$E$26,$A$23:$A$26)+LOOKUP(J181,$E$23:$E$26,$D$23:$D$26)*(J181-LOOKUP(J181,$E$23:$E$26))/LOOKUP(J181,$E$23:$E$26,$C$23:$C$26)</f>
        <v>4.29414058267078</v>
      </c>
      <c r="AA181" s="16" t="n">
        <f aca="false">LOOKUP(K181,$E$23:$E$26,$A$23:$A$26)+LOOKUP(K181,$E$23:$E$26,$D$23:$D$26)*(K181-LOOKUP(K181,$E$23:$E$26))/LOOKUP(K181,$E$23:$E$26,$C$23:$C$26)</f>
        <v>5.47220366574458</v>
      </c>
      <c r="AB181" s="16" t="n">
        <f aca="false">LOOKUP(L181,$E$23:$E$26,$A$23:$A$26)+LOOKUP(L181,$E$23:$E$26,$D$23:$D$26)*(L181-LOOKUP(L181,$E$23:$E$26))/LOOKUP(L181,$E$23:$E$26,$C$23:$C$26)</f>
        <v>4.04088369778422</v>
      </c>
      <c r="AC181" s="16" t="n">
        <f aca="false">LOOKUP(M181,$E$23:$E$26,$A$23:$A$26)+LOOKUP(M181,$E$23:$E$26,$D$23:$D$26)*(M181-LOOKUP(M181,$E$23:$E$26))/LOOKUP(M181,$E$23:$E$26,$C$23:$C$26)</f>
        <v>4.05928142069276</v>
      </c>
      <c r="AD181" s="16" t="n">
        <f aca="false">LOOKUP(N181,$E$23:$E$26,$A$23:$A$26)+LOOKUP(N181,$E$23:$E$26,$D$23:$D$26)*(N181-LOOKUP(N181,$E$23:$E$26))/LOOKUP(N181,$E$23:$E$26,$C$23:$C$26)</f>
        <v>4.34242939731112</v>
      </c>
      <c r="AE181" s="16" t="n">
        <f aca="false">LOOKUP(O181,$E$23:$E$26,$A$23:$A$26)+LOOKUP(O181,$E$23:$E$26,$D$23:$D$26)*(O181-LOOKUP(O181,$E$23:$E$26))/LOOKUP(O181,$E$23:$E$26,$C$23:$C$26)</f>
        <v>5.23468383989076</v>
      </c>
      <c r="AF181" s="16" t="n">
        <f aca="false">LOOKUP(P181,$E$23:$E$26,$A$23:$A$26)+LOOKUP(P181,$E$23:$E$26,$D$23:$D$26)*(P181-LOOKUP(P181,$E$23:$E$26))/LOOKUP(P181,$E$23:$E$26,$C$23:$C$26)</f>
        <v>4.54750597765071</v>
      </c>
      <c r="AG181" s="16" t="n">
        <f aca="false">LOOKUP(Q181,$E$23:$E$26,$A$23:$A$26)+LOOKUP(Q181,$E$23:$E$26,$D$23:$D$26)*(Q181-LOOKUP(Q181,$E$23:$E$26))/LOOKUP(Q181,$E$23:$E$26,$C$23:$C$26)</f>
        <v>4.9432163143129</v>
      </c>
      <c r="AH181" s="16" t="n">
        <f aca="false">LOOKUP(R181,$E$23:$E$26,$A$23:$A$26)+LOOKUP(R181,$E$23:$E$26,$D$23:$D$26)*(R181-LOOKUP(R181,$E$23:$E$26))/LOOKUP(R181,$E$23:$E$26,$C$23:$C$26)</f>
        <v>4.93462177738495</v>
      </c>
      <c r="AI181" s="16" t="n">
        <f aca="false">LOOKUP(S181,$E$23:$E$26,$A$23:$A$26)+LOOKUP(S181,$E$23:$E$26,$D$23:$D$26)*(S181-LOOKUP(S181,$E$23:$E$26))/LOOKUP(S181,$E$23:$E$26,$C$23:$C$26)</f>
        <v>4.40485711069833</v>
      </c>
      <c r="AJ181" s="16" t="n">
        <f aca="false">SUM($T181:T181)</f>
        <v>4.92024897108411</v>
      </c>
      <c r="AK181" s="16" t="n">
        <f aca="false">SUM($T181:U181)</f>
        <v>9.03524345754112</v>
      </c>
      <c r="AL181" s="16" t="n">
        <f aca="false">SUM($T181:V181)</f>
        <v>14.7618274685873</v>
      </c>
      <c r="AM181" s="16" t="n">
        <f aca="false">SUM($T181:W181)</f>
        <v>20.3031878197136</v>
      </c>
      <c r="AN181" s="16" t="n">
        <f aca="false">SUM($T181:X181)</f>
        <v>24.7762910784814</v>
      </c>
      <c r="AO181" s="16" t="n">
        <f aca="false">SUM($T181:Y181)</f>
        <v>29.4590990202176</v>
      </c>
      <c r="AP181" s="16" t="n">
        <f aca="false">SUM($T181:Z181)</f>
        <v>33.7532396028884</v>
      </c>
      <c r="AQ181" s="16" t="n">
        <f aca="false">SUM($T181:AA181)</f>
        <v>39.2254432686329</v>
      </c>
      <c r="AR181" s="16" t="n">
        <f aca="false">SUM($T181:AB181)</f>
        <v>43.2663269664172</v>
      </c>
      <c r="AS181" s="16" t="n">
        <f aca="false">SUM($T181:AC181)</f>
        <v>47.3256083871099</v>
      </c>
      <c r="AT181" s="16" t="n">
        <f aca="false">SUM($T181:AD181)</f>
        <v>51.668037784421</v>
      </c>
      <c r="AU181" s="16" t="n">
        <f aca="false">SUM($T181:AE181)</f>
        <v>56.9027216243118</v>
      </c>
      <c r="AV181" s="16" t="n">
        <f aca="false">SUM($T181:AF181)</f>
        <v>61.4502276019625</v>
      </c>
      <c r="AW181" s="16" t="n">
        <f aca="false">SUM($T181:AG181)</f>
        <v>66.3934439162754</v>
      </c>
      <c r="AX181" s="16" t="n">
        <f aca="false">SUM($T181:AH181)</f>
        <v>71.3280656936603</v>
      </c>
      <c r="AY181" s="16" t="n">
        <f aca="false">SUM($T181:AI181)</f>
        <v>75.7329228043587</v>
      </c>
      <c r="AZ181" s="16" t="n">
        <f aca="false">MAX(C181-AJ181,0)</f>
        <v>60.7838854083996</v>
      </c>
      <c r="BA181" s="16" t="n">
        <f aca="false">MAX(C181-AK181,0)</f>
        <v>56.6688909219426</v>
      </c>
      <c r="BB181" s="16" t="n">
        <f aca="false">MAX(C181-AL181,0)</f>
        <v>50.9423069108964</v>
      </c>
      <c r="BC181" s="16" t="n">
        <f aca="false">MAX(C181-AM181,0)</f>
        <v>45.4009465597701</v>
      </c>
      <c r="BD181" s="16" t="n">
        <f aca="false">MAX(C181-AN181,0)</f>
        <v>40.9278433010023</v>
      </c>
      <c r="BE181" s="16" t="n">
        <f aca="false">MAX(C181-AO181,0)</f>
        <v>36.2450353592661</v>
      </c>
      <c r="BF181" s="16" t="n">
        <f aca="false">MAX(C181-AP181,0)</f>
        <v>31.9508947765953</v>
      </c>
      <c r="BG181" s="16" t="n">
        <f aca="false">MAX(C181-AQ181,0)</f>
        <v>26.4786911108507</v>
      </c>
      <c r="BH181" s="16" t="n">
        <f aca="false">MAX(C181-AR181,0)</f>
        <v>22.4378074130665</v>
      </c>
      <c r="BI181" s="16" t="n">
        <f aca="false">MAX(C181-AS181,0)</f>
        <v>18.3785259923738</v>
      </c>
      <c r="BJ181" s="16" t="n">
        <f aca="false">MAX(C181-AT181,0)</f>
        <v>14.0360965950627</v>
      </c>
      <c r="BK181" s="16" t="n">
        <f aca="false">MAX(C181-AU181,0)</f>
        <v>8.80141275517189</v>
      </c>
      <c r="BL181" s="16" t="n">
        <f aca="false">MAX(C181-AV181,0)</f>
        <v>4.25390677752119</v>
      </c>
      <c r="BM181" s="16" t="n">
        <f aca="false">MAX(C181-AW181,0)</f>
        <v>0</v>
      </c>
      <c r="BN181" s="16" t="n">
        <f aca="false">MAX(C181-AX181,0)</f>
        <v>0</v>
      </c>
      <c r="BO181" s="16" t="n">
        <f aca="false">MAX(C181-AY181,0)</f>
        <v>0</v>
      </c>
    </row>
    <row r="182" customFormat="false" ht="15" hidden="false" customHeight="false" outlineLevel="0" collapsed="false">
      <c r="A182" s="3" t="n">
        <v>152</v>
      </c>
      <c r="B182" s="15" t="n">
        <f aca="true">RAND()</f>
        <v>0.623828493297329</v>
      </c>
      <c r="C182" s="16" t="n">
        <f aca="false">LOOKUP(B182,$E$12:$E$17,$A$12:$A$17)+LOOKUP(B182,$E$12:$E$17,$D$12:$D$17)*(B182-LOOKUP(B182,$E$12:$E$17))/LOOKUP(B182,$E$12:$E$17,$C$12:$C$17)</f>
        <v>66.0546927613904</v>
      </c>
      <c r="D182" s="15" t="n">
        <f aca="true">RAND()</f>
        <v>0.103015704878723</v>
      </c>
      <c r="E182" s="15" t="n">
        <f aca="true">RAND()</f>
        <v>0.86547103010965</v>
      </c>
      <c r="F182" s="15" t="n">
        <f aca="true">RAND()</f>
        <v>0.171869628252619</v>
      </c>
      <c r="G182" s="15" t="n">
        <f aca="true">RAND()</f>
        <v>0.426208092681832</v>
      </c>
      <c r="H182" s="15" t="n">
        <f aca="true">RAND()</f>
        <v>0.663111491947585</v>
      </c>
      <c r="I182" s="15" t="n">
        <f aca="true">RAND()</f>
        <v>0.638442313571189</v>
      </c>
      <c r="J182" s="15" t="n">
        <f aca="true">RAND()</f>
        <v>0.853509691210818</v>
      </c>
      <c r="K182" s="15" t="n">
        <f aca="true">RAND()</f>
        <v>0.236991418092898</v>
      </c>
      <c r="L182" s="15" t="n">
        <f aca="true">RAND()</f>
        <v>0.29354639028624</v>
      </c>
      <c r="M182" s="15" t="n">
        <f aca="true">RAND()</f>
        <v>0.146737234293926</v>
      </c>
      <c r="N182" s="15" t="n">
        <f aca="true">RAND()</f>
        <v>0.93628246699173</v>
      </c>
      <c r="O182" s="15" t="n">
        <f aca="true">RAND()</f>
        <v>0.0828770015294706</v>
      </c>
      <c r="P182" s="15" t="n">
        <f aca="true">RAND()</f>
        <v>0.862549532909916</v>
      </c>
      <c r="Q182" s="15" t="n">
        <f aca="true">RAND()</f>
        <v>0.907617344892866</v>
      </c>
      <c r="R182" s="15" t="n">
        <f aca="true">RAND()</f>
        <v>0.687493990300485</v>
      </c>
      <c r="S182" s="15" t="n">
        <f aca="true">RAND()</f>
        <v>0.127393104911473</v>
      </c>
      <c r="T182" s="16" t="n">
        <f aca="false">LOOKUP(D182,$E$23:$E$26,$A$23:$A$26)+LOOKUP(D182,$E$23:$E$26,$D$23:$D$26)*(D182-LOOKUP(D182,$E$23:$E$26))/LOOKUP(D182,$E$23:$E$26,$C$23:$C$26)</f>
        <v>4.17169284146454</v>
      </c>
      <c r="U182" s="16" t="n">
        <f aca="false">LOOKUP(E182,$E$23:$E$26,$A$23:$A$26)+LOOKUP(E182,$E$23:$E$26,$D$23:$D$26)*(E182-LOOKUP(E182,$E$23:$E$26))/LOOKUP(E182,$E$23:$E$26,$C$23:$C$26)</f>
        <v>5.41367757527412</v>
      </c>
      <c r="V182" s="16" t="n">
        <f aca="false">LOOKUP(F182,$E$23:$E$26,$A$23:$A$26)+LOOKUP(F182,$E$23:$E$26,$D$23:$D$26)*(F182-LOOKUP(F182,$E$23:$E$26))/LOOKUP(F182,$E$23:$E$26,$C$23:$C$26)</f>
        <v>4.28644938042103</v>
      </c>
      <c r="W182" s="16" t="n">
        <f aca="false">LOOKUP(G182,$E$23:$E$26,$A$23:$A$26)+LOOKUP(G182,$E$23:$E$26,$D$23:$D$26)*(G182-LOOKUP(G182,$E$23:$E$26))/LOOKUP(G182,$E$23:$E$26,$C$23:$C$26)</f>
        <v>4.65776011585229</v>
      </c>
      <c r="X182" s="16" t="n">
        <f aca="false">LOOKUP(H182,$E$23:$E$26,$A$23:$A$26)+LOOKUP(H182,$E$23:$E$26,$D$23:$D$26)*(H182-LOOKUP(H182,$E$23:$E$26))/LOOKUP(H182,$E$23:$E$26,$C$23:$C$26)</f>
        <v>4.95388936493448</v>
      </c>
      <c r="Y182" s="16" t="n">
        <f aca="false">LOOKUP(I182,$E$23:$E$26,$A$23:$A$26)+LOOKUP(I182,$E$23:$E$26,$D$23:$D$26)*(I182-LOOKUP(I182,$E$23:$E$26))/LOOKUP(I182,$E$23:$E$26,$C$23:$C$26)</f>
        <v>4.92305289196399</v>
      </c>
      <c r="Z182" s="16" t="n">
        <f aca="false">LOOKUP(J182,$E$23:$E$26,$A$23:$A$26)+LOOKUP(J182,$E$23:$E$26,$D$23:$D$26)*(J182-LOOKUP(J182,$E$23:$E$26))/LOOKUP(J182,$E$23:$E$26,$C$23:$C$26)</f>
        <v>5.38377422802705</v>
      </c>
      <c r="AA182" s="16" t="n">
        <f aca="false">LOOKUP(K182,$E$23:$E$26,$A$23:$A$26)+LOOKUP(K182,$E$23:$E$26,$D$23:$D$26)*(K182-LOOKUP(K182,$E$23:$E$26))/LOOKUP(K182,$E$23:$E$26,$C$23:$C$26)</f>
        <v>4.3949856968215</v>
      </c>
      <c r="AB182" s="16" t="n">
        <f aca="false">LOOKUP(L182,$E$23:$E$26,$A$23:$A$26)+LOOKUP(L182,$E$23:$E$26,$D$23:$D$26)*(L182-LOOKUP(L182,$E$23:$E$26))/LOOKUP(L182,$E$23:$E$26,$C$23:$C$26)</f>
        <v>4.4892439838104</v>
      </c>
      <c r="AC182" s="16" t="n">
        <f aca="false">LOOKUP(M182,$E$23:$E$26,$A$23:$A$26)+LOOKUP(M182,$E$23:$E$26,$D$23:$D$26)*(M182-LOOKUP(M182,$E$23:$E$26))/LOOKUP(M182,$E$23:$E$26,$C$23:$C$26)</f>
        <v>4.24456205715654</v>
      </c>
      <c r="AD182" s="16" t="n">
        <f aca="false">LOOKUP(N182,$E$23:$E$26,$A$23:$A$26)+LOOKUP(N182,$E$23:$E$26,$D$23:$D$26)*(N182-LOOKUP(N182,$E$23:$E$26))/LOOKUP(N182,$E$23:$E$26,$C$23:$C$26)</f>
        <v>5.68141233495865</v>
      </c>
      <c r="AE182" s="16" t="n">
        <f aca="false">LOOKUP(O182,$E$23:$E$26,$A$23:$A$26)+LOOKUP(O182,$E$23:$E$26,$D$23:$D$26)*(O182-LOOKUP(O182,$E$23:$E$26))/LOOKUP(O182,$E$23:$E$26,$C$23:$C$26)</f>
        <v>4.13812833588245</v>
      </c>
      <c r="AF182" s="16" t="n">
        <f aca="false">LOOKUP(P182,$E$23:$E$26,$A$23:$A$26)+LOOKUP(P182,$E$23:$E$26,$D$23:$D$26)*(P182-LOOKUP(P182,$E$23:$E$26))/LOOKUP(P182,$E$23:$E$26,$C$23:$C$26)</f>
        <v>5.40637383227479</v>
      </c>
      <c r="AG182" s="16" t="n">
        <f aca="false">LOOKUP(Q182,$E$23:$E$26,$A$23:$A$26)+LOOKUP(Q182,$E$23:$E$26,$D$23:$D$26)*(Q182-LOOKUP(Q182,$E$23:$E$26))/LOOKUP(Q182,$E$23:$E$26,$C$23:$C$26)</f>
        <v>5.53808672446433</v>
      </c>
      <c r="AH182" s="16" t="n">
        <f aca="false">LOOKUP(R182,$E$23:$E$26,$A$23:$A$26)+LOOKUP(R182,$E$23:$E$26,$D$23:$D$26)*(R182-LOOKUP(R182,$E$23:$E$26))/LOOKUP(R182,$E$23:$E$26,$C$23:$C$26)</f>
        <v>4.98436748787561</v>
      </c>
      <c r="AI182" s="16" t="n">
        <f aca="false">LOOKUP(S182,$E$23:$E$26,$A$23:$A$26)+LOOKUP(S182,$E$23:$E$26,$D$23:$D$26)*(S182-LOOKUP(S182,$E$23:$E$26))/LOOKUP(S182,$E$23:$E$26,$C$23:$C$26)</f>
        <v>4.21232184151912</v>
      </c>
      <c r="AJ182" s="16" t="n">
        <f aca="false">SUM($T182:T182)</f>
        <v>4.17169284146454</v>
      </c>
      <c r="AK182" s="16" t="n">
        <f aca="false">SUM($T182:U182)</f>
        <v>9.58537041673866</v>
      </c>
      <c r="AL182" s="16" t="n">
        <f aca="false">SUM($T182:V182)</f>
        <v>13.8718197971597</v>
      </c>
      <c r="AM182" s="16" t="n">
        <f aca="false">SUM($T182:W182)</f>
        <v>18.529579913012</v>
      </c>
      <c r="AN182" s="16" t="n">
        <f aca="false">SUM($T182:X182)</f>
        <v>23.4834692779465</v>
      </c>
      <c r="AO182" s="16" t="n">
        <f aca="false">SUM($T182:Y182)</f>
        <v>28.4065221699105</v>
      </c>
      <c r="AP182" s="16" t="n">
        <f aca="false">SUM($T182:Z182)</f>
        <v>33.7902963979375</v>
      </c>
      <c r="AQ182" s="16" t="n">
        <f aca="false">SUM($T182:AA182)</f>
        <v>38.185282094759</v>
      </c>
      <c r="AR182" s="16" t="n">
        <f aca="false">SUM($T182:AB182)</f>
        <v>42.6745260785694</v>
      </c>
      <c r="AS182" s="16" t="n">
        <f aca="false">SUM($T182:AC182)</f>
        <v>46.9190881357259</v>
      </c>
      <c r="AT182" s="16" t="n">
        <f aca="false">SUM($T182:AD182)</f>
        <v>52.6005004706846</v>
      </c>
      <c r="AU182" s="16" t="n">
        <f aca="false">SUM($T182:AE182)</f>
        <v>56.738628806567</v>
      </c>
      <c r="AV182" s="16" t="n">
        <f aca="false">SUM($T182:AF182)</f>
        <v>62.1450026388418</v>
      </c>
      <c r="AW182" s="16" t="n">
        <f aca="false">SUM($T182:AG182)</f>
        <v>67.6830893633062</v>
      </c>
      <c r="AX182" s="16" t="n">
        <f aca="false">SUM($T182:AH182)</f>
        <v>72.6674568511818</v>
      </c>
      <c r="AY182" s="16" t="n">
        <f aca="false">SUM($T182:AI182)</f>
        <v>76.8797786927009</v>
      </c>
      <c r="AZ182" s="16" t="n">
        <f aca="false">MAX(C182-AJ182,0)</f>
        <v>61.8829999199259</v>
      </c>
      <c r="BA182" s="16" t="n">
        <f aca="false">MAX(C182-AK182,0)</f>
        <v>56.4693223446518</v>
      </c>
      <c r="BB182" s="16" t="n">
        <f aca="false">MAX(C182-AL182,0)</f>
        <v>52.1828729642307</v>
      </c>
      <c r="BC182" s="16" t="n">
        <f aca="false">MAX(C182-AM182,0)</f>
        <v>47.5251128483784</v>
      </c>
      <c r="BD182" s="16" t="n">
        <f aca="false">MAX(C182-AN182,0)</f>
        <v>42.5712234834439</v>
      </c>
      <c r="BE182" s="16" t="n">
        <f aca="false">MAX(C182-AO182,0)</f>
        <v>37.64817059148</v>
      </c>
      <c r="BF182" s="16" t="n">
        <f aca="false">MAX(C182-AP182,0)</f>
        <v>32.2643963634529</v>
      </c>
      <c r="BG182" s="16" t="n">
        <f aca="false">MAX(C182-AQ182,0)</f>
        <v>27.8694106666314</v>
      </c>
      <c r="BH182" s="16" t="n">
        <f aca="false">MAX(C182-AR182,0)</f>
        <v>23.380166682821</v>
      </c>
      <c r="BI182" s="16" t="n">
        <f aca="false">MAX(C182-AS182,0)</f>
        <v>19.1356046256645</v>
      </c>
      <c r="BJ182" s="16" t="n">
        <f aca="false">MAX(C182-AT182,0)</f>
        <v>13.4541922907058</v>
      </c>
      <c r="BK182" s="16" t="n">
        <f aca="false">MAX(C182-AU182,0)</f>
        <v>9.31606395482338</v>
      </c>
      <c r="BL182" s="16" t="n">
        <f aca="false">MAX(C182-AV182,0)</f>
        <v>3.90969012254859</v>
      </c>
      <c r="BM182" s="16" t="n">
        <f aca="false">MAX(C182-AW182,0)</f>
        <v>0</v>
      </c>
      <c r="BN182" s="16" t="n">
        <f aca="false">MAX(C182-AX182,0)</f>
        <v>0</v>
      </c>
      <c r="BO182" s="16" t="n">
        <f aca="false">MAX(C182-AY182,0)</f>
        <v>0</v>
      </c>
    </row>
    <row r="183" customFormat="false" ht="15" hidden="false" customHeight="false" outlineLevel="0" collapsed="false">
      <c r="A183" s="3" t="n">
        <v>153</v>
      </c>
      <c r="B183" s="15" t="n">
        <f aca="true">RAND()</f>
        <v>0.275480435467486</v>
      </c>
      <c r="C183" s="16" t="n">
        <f aca="false">LOOKUP(B183,$E$12:$E$17,$A$12:$A$17)+LOOKUP(B183,$E$12:$E$17,$D$12:$D$17)*(B183-LOOKUP(B183,$E$12:$E$17))/LOOKUP(B183,$E$12:$E$17,$C$12:$C$17)</f>
        <v>60.4246739244581</v>
      </c>
      <c r="D183" s="15" t="n">
        <f aca="true">RAND()</f>
        <v>0.629965638186249</v>
      </c>
      <c r="E183" s="15" t="n">
        <f aca="true">RAND()</f>
        <v>0.549963635209617</v>
      </c>
      <c r="F183" s="15" t="n">
        <f aca="true">RAND()</f>
        <v>0.26922093876342</v>
      </c>
      <c r="G183" s="15" t="n">
        <f aca="true">RAND()</f>
        <v>0.655290119857986</v>
      </c>
      <c r="H183" s="15" t="n">
        <f aca="true">RAND()</f>
        <v>0.435887006486108</v>
      </c>
      <c r="I183" s="15" t="n">
        <f aca="true">RAND()</f>
        <v>0.344777105135205</v>
      </c>
      <c r="J183" s="15" t="n">
        <f aca="true">RAND()</f>
        <v>0.368277030729137</v>
      </c>
      <c r="K183" s="15" t="n">
        <f aca="true">RAND()</f>
        <v>0.645250004069074</v>
      </c>
      <c r="L183" s="15" t="n">
        <f aca="true">RAND()</f>
        <v>0.941219848217198</v>
      </c>
      <c r="M183" s="15" t="n">
        <f aca="true">RAND()</f>
        <v>0.757937440788899</v>
      </c>
      <c r="N183" s="15" t="n">
        <f aca="true">RAND()</f>
        <v>0.72963068824264</v>
      </c>
      <c r="O183" s="15" t="n">
        <f aca="true">RAND()</f>
        <v>0.484397977409741</v>
      </c>
      <c r="P183" s="15" t="n">
        <f aca="true">RAND()</f>
        <v>0.776022308136387</v>
      </c>
      <c r="Q183" s="15" t="n">
        <f aca="true">RAND()</f>
        <v>0.988320111328736</v>
      </c>
      <c r="R183" s="15" t="n">
        <f aca="true">RAND()</f>
        <v>0.186861859513184</v>
      </c>
      <c r="S183" s="15" t="n">
        <f aca="true">RAND()</f>
        <v>0.458782553960678</v>
      </c>
      <c r="T183" s="16" t="n">
        <f aca="false">LOOKUP(D183,$E$23:$E$26,$A$23:$A$26)+LOOKUP(D183,$E$23:$E$26,$D$23:$D$26)*(D183-LOOKUP(D183,$E$23:$E$26))/LOOKUP(D183,$E$23:$E$26,$C$23:$C$26)</f>
        <v>4.91245704773281</v>
      </c>
      <c r="U183" s="16" t="n">
        <f aca="false">LOOKUP(E183,$E$23:$E$26,$A$23:$A$26)+LOOKUP(E183,$E$23:$E$26,$D$23:$D$26)*(E183-LOOKUP(E183,$E$23:$E$26))/LOOKUP(E183,$E$23:$E$26,$C$23:$C$26)</f>
        <v>4.81245454401202</v>
      </c>
      <c r="V183" s="16" t="n">
        <f aca="false">LOOKUP(F183,$E$23:$E$26,$A$23:$A$26)+LOOKUP(F183,$E$23:$E$26,$D$23:$D$26)*(F183-LOOKUP(F183,$E$23:$E$26))/LOOKUP(F183,$E$23:$E$26,$C$23:$C$26)</f>
        <v>4.4487015646057</v>
      </c>
      <c r="W183" s="16" t="n">
        <f aca="false">LOOKUP(G183,$E$23:$E$26,$A$23:$A$26)+LOOKUP(G183,$E$23:$E$26,$D$23:$D$26)*(G183-LOOKUP(G183,$E$23:$E$26))/LOOKUP(G183,$E$23:$E$26,$C$23:$C$26)</f>
        <v>4.94411264982248</v>
      </c>
      <c r="X183" s="16" t="n">
        <f aca="false">LOOKUP(H183,$E$23:$E$26,$A$23:$A$26)+LOOKUP(H183,$E$23:$E$26,$D$23:$D$26)*(H183-LOOKUP(H183,$E$23:$E$26))/LOOKUP(H183,$E$23:$E$26,$C$23:$C$26)</f>
        <v>4.66985875810764</v>
      </c>
      <c r="Y183" s="16" t="n">
        <f aca="false">LOOKUP(I183,$E$23:$E$26,$A$23:$A$26)+LOOKUP(I183,$E$23:$E$26,$D$23:$D$26)*(I183-LOOKUP(I183,$E$23:$E$26))/LOOKUP(I183,$E$23:$E$26,$C$23:$C$26)</f>
        <v>4.55597138141901</v>
      </c>
      <c r="Z183" s="16" t="n">
        <f aca="false">LOOKUP(J183,$E$23:$E$26,$A$23:$A$26)+LOOKUP(J183,$E$23:$E$26,$D$23:$D$26)*(J183-LOOKUP(J183,$E$23:$E$26))/LOOKUP(J183,$E$23:$E$26,$C$23:$C$26)</f>
        <v>4.58534628841142</v>
      </c>
      <c r="AA183" s="16" t="n">
        <f aca="false">LOOKUP(K183,$E$23:$E$26,$A$23:$A$26)+LOOKUP(K183,$E$23:$E$26,$D$23:$D$26)*(K183-LOOKUP(K183,$E$23:$E$26))/LOOKUP(K183,$E$23:$E$26,$C$23:$C$26)</f>
        <v>4.93156250508634</v>
      </c>
      <c r="AB183" s="16" t="n">
        <f aca="false">LOOKUP(L183,$E$23:$E$26,$A$23:$A$26)+LOOKUP(L183,$E$23:$E$26,$D$23:$D$26)*(L183-LOOKUP(L183,$E$23:$E$26))/LOOKUP(L183,$E$23:$E$26,$C$23:$C$26)</f>
        <v>5.70609924108599</v>
      </c>
      <c r="AC183" s="16" t="n">
        <f aca="false">LOOKUP(M183,$E$23:$E$26,$A$23:$A$26)+LOOKUP(M183,$E$23:$E$26,$D$23:$D$26)*(M183-LOOKUP(M183,$E$23:$E$26))/LOOKUP(M183,$E$23:$E$26,$C$23:$C$26)</f>
        <v>5.14484360197225</v>
      </c>
      <c r="AD183" s="16" t="n">
        <f aca="false">LOOKUP(N183,$E$23:$E$26,$A$23:$A$26)+LOOKUP(N183,$E$23:$E$26,$D$23:$D$26)*(N183-LOOKUP(N183,$E$23:$E$26))/LOOKUP(N183,$E$23:$E$26,$C$23:$C$26)</f>
        <v>5.0740767206066</v>
      </c>
      <c r="AE183" s="16" t="n">
        <f aca="false">LOOKUP(O183,$E$23:$E$26,$A$23:$A$26)+LOOKUP(O183,$E$23:$E$26,$D$23:$D$26)*(O183-LOOKUP(O183,$E$23:$E$26))/LOOKUP(O183,$E$23:$E$26,$C$23:$C$26)</f>
        <v>4.73049747176218</v>
      </c>
      <c r="AF183" s="16" t="n">
        <f aca="false">LOOKUP(P183,$E$23:$E$26,$A$23:$A$26)+LOOKUP(P183,$E$23:$E$26,$D$23:$D$26)*(P183-LOOKUP(P183,$E$23:$E$26))/LOOKUP(P183,$E$23:$E$26,$C$23:$C$26)</f>
        <v>5.19005577034097</v>
      </c>
      <c r="AG183" s="16" t="n">
        <f aca="false">LOOKUP(Q183,$E$23:$E$26,$A$23:$A$26)+LOOKUP(Q183,$E$23:$E$26,$D$23:$D$26)*(Q183-LOOKUP(Q183,$E$23:$E$26))/LOOKUP(Q183,$E$23:$E$26,$C$23:$C$26)</f>
        <v>5.94160055664368</v>
      </c>
      <c r="AH183" s="16" t="n">
        <f aca="false">LOOKUP(R183,$E$23:$E$26,$A$23:$A$26)+LOOKUP(R183,$E$23:$E$26,$D$23:$D$26)*(R183-LOOKUP(R183,$E$23:$E$26))/LOOKUP(R183,$E$23:$E$26,$C$23:$C$26)</f>
        <v>4.31143643252197</v>
      </c>
      <c r="AI183" s="16" t="n">
        <f aca="false">LOOKUP(S183,$E$23:$E$26,$A$23:$A$26)+LOOKUP(S183,$E$23:$E$26,$D$23:$D$26)*(S183-LOOKUP(S183,$E$23:$E$26))/LOOKUP(S183,$E$23:$E$26,$C$23:$C$26)</f>
        <v>4.69847819245085</v>
      </c>
      <c r="AJ183" s="16" t="n">
        <f aca="false">SUM($T183:T183)</f>
        <v>4.91245704773281</v>
      </c>
      <c r="AK183" s="16" t="n">
        <f aca="false">SUM($T183:U183)</f>
        <v>9.72491159174483</v>
      </c>
      <c r="AL183" s="16" t="n">
        <f aca="false">SUM($T183:V183)</f>
        <v>14.1736131563505</v>
      </c>
      <c r="AM183" s="16" t="n">
        <f aca="false">SUM($T183:W183)</f>
        <v>19.117725806173</v>
      </c>
      <c r="AN183" s="16" t="n">
        <f aca="false">SUM($T183:X183)</f>
        <v>23.7875845642807</v>
      </c>
      <c r="AO183" s="16" t="n">
        <f aca="false">SUM($T183:Y183)</f>
        <v>28.3435559456997</v>
      </c>
      <c r="AP183" s="16" t="n">
        <f aca="false">SUM($T183:Z183)</f>
        <v>32.9289022341111</v>
      </c>
      <c r="AQ183" s="16" t="n">
        <f aca="false">SUM($T183:AA183)</f>
        <v>37.8604647391974</v>
      </c>
      <c r="AR183" s="16" t="n">
        <f aca="false">SUM($T183:AB183)</f>
        <v>43.5665639802834</v>
      </c>
      <c r="AS183" s="16" t="n">
        <f aca="false">SUM($T183:AC183)</f>
        <v>48.7114075822557</v>
      </c>
      <c r="AT183" s="16" t="n">
        <f aca="false">SUM($T183:AD183)</f>
        <v>53.7854843028623</v>
      </c>
      <c r="AU183" s="16" t="n">
        <f aca="false">SUM($T183:AE183)</f>
        <v>58.5159817746244</v>
      </c>
      <c r="AV183" s="16" t="n">
        <f aca="false">SUM($T183:AF183)</f>
        <v>63.7060375449654</v>
      </c>
      <c r="AW183" s="16" t="n">
        <f aca="false">SUM($T183:AG183)</f>
        <v>69.6476381016091</v>
      </c>
      <c r="AX183" s="16" t="n">
        <f aca="false">SUM($T183:AH183)</f>
        <v>73.9590745341311</v>
      </c>
      <c r="AY183" s="16" t="n">
        <f aca="false">SUM($T183:AI183)</f>
        <v>78.6575527265819</v>
      </c>
      <c r="AZ183" s="16" t="n">
        <f aca="false">MAX(C183-AJ183,0)</f>
        <v>55.5122168767253</v>
      </c>
      <c r="BA183" s="16" t="n">
        <f aca="false">MAX(C183-AK183,0)</f>
        <v>50.6997623327133</v>
      </c>
      <c r="BB183" s="16" t="n">
        <f aca="false">MAX(C183-AL183,0)</f>
        <v>46.2510607681076</v>
      </c>
      <c r="BC183" s="16" t="n">
        <f aca="false">MAX(C183-AM183,0)</f>
        <v>41.3069481182851</v>
      </c>
      <c r="BD183" s="16" t="n">
        <f aca="false">MAX(C183-AN183,0)</f>
        <v>36.6370893601774</v>
      </c>
      <c r="BE183" s="16" t="n">
        <f aca="false">MAX(C183-AO183,0)</f>
        <v>32.0811179787584</v>
      </c>
      <c r="BF183" s="16" t="n">
        <f aca="false">MAX(C183-AP183,0)</f>
        <v>27.495771690347</v>
      </c>
      <c r="BG183" s="16" t="n">
        <f aca="false">MAX(C183-AQ183,0)</f>
        <v>22.5642091852607</v>
      </c>
      <c r="BH183" s="16" t="n">
        <f aca="false">MAX(C183-AR183,0)</f>
        <v>16.8581099441747</v>
      </c>
      <c r="BI183" s="16" t="n">
        <f aca="false">MAX(C183-AS183,0)</f>
        <v>11.7132663422024</v>
      </c>
      <c r="BJ183" s="16" t="n">
        <f aca="false">MAX(C183-AT183,0)</f>
        <v>6.63918962159584</v>
      </c>
      <c r="BK183" s="16" t="n">
        <f aca="false">MAX(C183-AU183,0)</f>
        <v>1.90869214983366</v>
      </c>
      <c r="BL183" s="16" t="n">
        <f aca="false">MAX(C183-AV183,0)</f>
        <v>0</v>
      </c>
      <c r="BM183" s="16" t="n">
        <f aca="false">MAX(C183-AW183,0)</f>
        <v>0</v>
      </c>
      <c r="BN183" s="16" t="n">
        <f aca="false">MAX(C183-AX183,0)</f>
        <v>0</v>
      </c>
      <c r="BO183" s="16" t="n">
        <f aca="false">MAX(C183-AY183,0)</f>
        <v>0</v>
      </c>
    </row>
    <row r="184" customFormat="false" ht="15" hidden="false" customHeight="false" outlineLevel="0" collapsed="false">
      <c r="A184" s="3" t="n">
        <v>154</v>
      </c>
      <c r="B184" s="15" t="n">
        <f aca="true">RAND()</f>
        <v>0.910808562099236</v>
      </c>
      <c r="C184" s="16" t="n">
        <f aca="false">LOOKUP(B184,$E$12:$E$17,$A$12:$A$17)+LOOKUP(B184,$E$12:$E$17,$D$12:$D$17)*(B184-LOOKUP(B184,$E$12:$E$17))/LOOKUP(B184,$E$12:$E$17,$C$12:$C$17)</f>
        <v>75.6755351312022</v>
      </c>
      <c r="D184" s="15" t="n">
        <f aca="true">RAND()</f>
        <v>0.218814525719691</v>
      </c>
      <c r="E184" s="15" t="n">
        <f aca="true">RAND()</f>
        <v>0.70675534260752</v>
      </c>
      <c r="F184" s="15" t="n">
        <f aca="true">RAND()</f>
        <v>0.148536168809607</v>
      </c>
      <c r="G184" s="15" t="n">
        <f aca="true">RAND()</f>
        <v>0.258095414525626</v>
      </c>
      <c r="H184" s="15" t="n">
        <f aca="true">RAND()</f>
        <v>0.652857254965622</v>
      </c>
      <c r="I184" s="15" t="n">
        <f aca="true">RAND()</f>
        <v>0.789255089525902</v>
      </c>
      <c r="J184" s="15" t="n">
        <f aca="true">RAND()</f>
        <v>0.900034662398482</v>
      </c>
      <c r="K184" s="15" t="n">
        <f aca="true">RAND()</f>
        <v>0.292708122933225</v>
      </c>
      <c r="L184" s="15" t="n">
        <f aca="true">RAND()</f>
        <v>0.097558793595446</v>
      </c>
      <c r="M184" s="15" t="n">
        <f aca="true">RAND()</f>
        <v>0.502106418077204</v>
      </c>
      <c r="N184" s="15" t="n">
        <f aca="true">RAND()</f>
        <v>0.67713962939828</v>
      </c>
      <c r="O184" s="15" t="n">
        <f aca="true">RAND()</f>
        <v>0.623165820957295</v>
      </c>
      <c r="P184" s="15" t="n">
        <f aca="true">RAND()</f>
        <v>0.0406554769247192</v>
      </c>
      <c r="Q184" s="15" t="n">
        <f aca="true">RAND()</f>
        <v>0.309324250465459</v>
      </c>
      <c r="R184" s="15" t="n">
        <f aca="true">RAND()</f>
        <v>0.16085383011676</v>
      </c>
      <c r="S184" s="15" t="n">
        <f aca="true">RAND()</f>
        <v>0.683459556529258</v>
      </c>
      <c r="T184" s="16" t="n">
        <f aca="false">LOOKUP(D184,$E$23:$E$26,$A$23:$A$26)+LOOKUP(D184,$E$23:$E$26,$D$23:$D$26)*(D184-LOOKUP(D184,$E$23:$E$26))/LOOKUP(D184,$E$23:$E$26,$C$23:$C$26)</f>
        <v>4.36469087619949</v>
      </c>
      <c r="U184" s="16" t="n">
        <f aca="false">LOOKUP(E184,$E$23:$E$26,$A$23:$A$26)+LOOKUP(E184,$E$23:$E$26,$D$23:$D$26)*(E184-LOOKUP(E184,$E$23:$E$26))/LOOKUP(E184,$E$23:$E$26,$C$23:$C$26)</f>
        <v>5.0168883565188</v>
      </c>
      <c r="V184" s="16" t="n">
        <f aca="false">LOOKUP(F184,$E$23:$E$26,$A$23:$A$26)+LOOKUP(F184,$E$23:$E$26,$D$23:$D$26)*(F184-LOOKUP(F184,$E$23:$E$26))/LOOKUP(F184,$E$23:$E$26,$C$23:$C$26)</f>
        <v>4.24756028134935</v>
      </c>
      <c r="W184" s="16" t="n">
        <f aca="false">LOOKUP(G184,$E$23:$E$26,$A$23:$A$26)+LOOKUP(G184,$E$23:$E$26,$D$23:$D$26)*(G184-LOOKUP(G184,$E$23:$E$26))/LOOKUP(G184,$E$23:$E$26,$C$23:$C$26)</f>
        <v>4.43015902420938</v>
      </c>
      <c r="X184" s="16" t="n">
        <f aca="false">LOOKUP(H184,$E$23:$E$26,$A$23:$A$26)+LOOKUP(H184,$E$23:$E$26,$D$23:$D$26)*(H184-LOOKUP(H184,$E$23:$E$26))/LOOKUP(H184,$E$23:$E$26,$C$23:$C$26)</f>
        <v>4.94107156870703</v>
      </c>
      <c r="Y184" s="16" t="n">
        <f aca="false">LOOKUP(I184,$E$23:$E$26,$A$23:$A$26)+LOOKUP(I184,$E$23:$E$26,$D$23:$D$26)*(I184-LOOKUP(I184,$E$23:$E$26))/LOOKUP(I184,$E$23:$E$26,$C$23:$C$26)</f>
        <v>5.22313772381475</v>
      </c>
      <c r="Z184" s="16" t="n">
        <f aca="false">LOOKUP(J184,$E$23:$E$26,$A$23:$A$26)+LOOKUP(J184,$E$23:$E$26,$D$23:$D$26)*(J184-LOOKUP(J184,$E$23:$E$26))/LOOKUP(J184,$E$23:$E$26,$C$23:$C$26)</f>
        <v>5.50017331199241</v>
      </c>
      <c r="AA184" s="16" t="n">
        <f aca="false">LOOKUP(K184,$E$23:$E$26,$A$23:$A$26)+LOOKUP(K184,$E$23:$E$26,$D$23:$D$26)*(K184-LOOKUP(K184,$E$23:$E$26))/LOOKUP(K184,$E$23:$E$26,$C$23:$C$26)</f>
        <v>4.48784687155537</v>
      </c>
      <c r="AB184" s="16" t="n">
        <f aca="false">LOOKUP(L184,$E$23:$E$26,$A$23:$A$26)+LOOKUP(L184,$E$23:$E$26,$D$23:$D$26)*(L184-LOOKUP(L184,$E$23:$E$26))/LOOKUP(L184,$E$23:$E$26,$C$23:$C$26)</f>
        <v>4.16259798932574</v>
      </c>
      <c r="AC184" s="16" t="n">
        <f aca="false">LOOKUP(M184,$E$23:$E$26,$A$23:$A$26)+LOOKUP(M184,$E$23:$E$26,$D$23:$D$26)*(M184-LOOKUP(M184,$E$23:$E$26))/LOOKUP(M184,$E$23:$E$26,$C$23:$C$26)</f>
        <v>4.75263302259651</v>
      </c>
      <c r="AD184" s="16" t="n">
        <f aca="false">LOOKUP(N184,$E$23:$E$26,$A$23:$A$26)+LOOKUP(N184,$E$23:$E$26,$D$23:$D$26)*(N184-LOOKUP(N184,$E$23:$E$26))/LOOKUP(N184,$E$23:$E$26,$C$23:$C$26)</f>
        <v>4.97142453674785</v>
      </c>
      <c r="AE184" s="16" t="n">
        <f aca="false">LOOKUP(O184,$E$23:$E$26,$A$23:$A$26)+LOOKUP(O184,$E$23:$E$26,$D$23:$D$26)*(O184-LOOKUP(O184,$E$23:$E$26))/LOOKUP(O184,$E$23:$E$26,$C$23:$C$26)</f>
        <v>4.90395727619662</v>
      </c>
      <c r="AF184" s="16" t="n">
        <f aca="false">LOOKUP(P184,$E$23:$E$26,$A$23:$A$26)+LOOKUP(P184,$E$23:$E$26,$D$23:$D$26)*(P184-LOOKUP(P184,$E$23:$E$26))/LOOKUP(P184,$E$23:$E$26,$C$23:$C$26)</f>
        <v>4.06775912820787</v>
      </c>
      <c r="AG184" s="16" t="n">
        <f aca="false">LOOKUP(Q184,$E$23:$E$26,$A$23:$A$26)+LOOKUP(Q184,$E$23:$E$26,$D$23:$D$26)*(Q184-LOOKUP(Q184,$E$23:$E$26))/LOOKUP(Q184,$E$23:$E$26,$C$23:$C$26)</f>
        <v>4.51165531308183</v>
      </c>
      <c r="AH184" s="16" t="n">
        <f aca="false">LOOKUP(R184,$E$23:$E$26,$A$23:$A$26)+LOOKUP(R184,$E$23:$E$26,$D$23:$D$26)*(R184-LOOKUP(R184,$E$23:$E$26))/LOOKUP(R184,$E$23:$E$26,$C$23:$C$26)</f>
        <v>4.26808971686127</v>
      </c>
      <c r="AI184" s="16" t="n">
        <f aca="false">LOOKUP(S184,$E$23:$E$26,$A$23:$A$26)+LOOKUP(S184,$E$23:$E$26,$D$23:$D$26)*(S184-LOOKUP(S184,$E$23:$E$26))/LOOKUP(S184,$E$23:$E$26,$C$23:$C$26)</f>
        <v>4.97932444566157</v>
      </c>
      <c r="AJ184" s="16" t="n">
        <f aca="false">SUM($T184:T184)</f>
        <v>4.36469087619949</v>
      </c>
      <c r="AK184" s="16" t="n">
        <f aca="false">SUM($T184:U184)</f>
        <v>9.38157923271828</v>
      </c>
      <c r="AL184" s="16" t="n">
        <f aca="false">SUM($T184:V184)</f>
        <v>13.6291395140676</v>
      </c>
      <c r="AM184" s="16" t="n">
        <f aca="false">SUM($T184:W184)</f>
        <v>18.059298538277</v>
      </c>
      <c r="AN184" s="16" t="n">
        <f aca="false">SUM($T184:X184)</f>
        <v>23.000370106984</v>
      </c>
      <c r="AO184" s="16" t="n">
        <f aca="false">SUM($T184:Y184)</f>
        <v>28.2235078307988</v>
      </c>
      <c r="AP184" s="16" t="n">
        <f aca="false">SUM($T184:Z184)</f>
        <v>33.7236811427912</v>
      </c>
      <c r="AQ184" s="16" t="n">
        <f aca="false">SUM($T184:AA184)</f>
        <v>38.2115280143466</v>
      </c>
      <c r="AR184" s="16" t="n">
        <f aca="false">SUM($T184:AB184)</f>
        <v>42.3741260036723</v>
      </c>
      <c r="AS184" s="16" t="n">
        <f aca="false">SUM($T184:AC184)</f>
        <v>47.1267590262688</v>
      </c>
      <c r="AT184" s="16" t="n">
        <f aca="false">SUM($T184:AD184)</f>
        <v>52.0981835630167</v>
      </c>
      <c r="AU184" s="16" t="n">
        <f aca="false">SUM($T184:AE184)</f>
        <v>57.0021408392133</v>
      </c>
      <c r="AV184" s="16" t="n">
        <f aca="false">SUM($T184:AF184)</f>
        <v>61.0698999674212</v>
      </c>
      <c r="AW184" s="16" t="n">
        <f aca="false">SUM($T184:AG184)</f>
        <v>65.581555280503</v>
      </c>
      <c r="AX184" s="16" t="n">
        <f aca="false">SUM($T184:AH184)</f>
        <v>69.8496449973643</v>
      </c>
      <c r="AY184" s="16" t="n">
        <f aca="false">SUM($T184:AI184)</f>
        <v>74.8289694430258</v>
      </c>
      <c r="AZ184" s="16" t="n">
        <f aca="false">MAX(C184-AJ184,0)</f>
        <v>71.3108442550028</v>
      </c>
      <c r="BA184" s="16" t="n">
        <f aca="false">MAX(C184-AK184,0)</f>
        <v>66.293955898484</v>
      </c>
      <c r="BB184" s="16" t="n">
        <f aca="false">MAX(C184-AL184,0)</f>
        <v>62.0463956171346</v>
      </c>
      <c r="BC184" s="16" t="n">
        <f aca="false">MAX(C184-AM184,0)</f>
        <v>57.6162365929252</v>
      </c>
      <c r="BD184" s="16" t="n">
        <f aca="false">MAX(C184-AN184,0)</f>
        <v>52.6751650242182</v>
      </c>
      <c r="BE184" s="16" t="n">
        <f aca="false">MAX(C184-AO184,0)</f>
        <v>47.4520273004035</v>
      </c>
      <c r="BF184" s="16" t="n">
        <f aca="false">MAX(C184-AP184,0)</f>
        <v>41.951853988411</v>
      </c>
      <c r="BG184" s="16" t="n">
        <f aca="false">MAX(C184-AQ184,0)</f>
        <v>37.4640071168557</v>
      </c>
      <c r="BH184" s="16" t="n">
        <f aca="false">MAX(C184-AR184,0)</f>
        <v>33.3014091275299</v>
      </c>
      <c r="BI184" s="16" t="n">
        <f aca="false">MAX(C184-AS184,0)</f>
        <v>28.5487761049334</v>
      </c>
      <c r="BJ184" s="16" t="n">
        <f aca="false">MAX(C184-AT184,0)</f>
        <v>23.5773515681856</v>
      </c>
      <c r="BK184" s="16" t="n">
        <f aca="false">MAX(C184-AU184,0)</f>
        <v>18.673394291989</v>
      </c>
      <c r="BL184" s="16" t="n">
        <f aca="false">MAX(C184-AV184,0)</f>
        <v>14.6056351637811</v>
      </c>
      <c r="BM184" s="16" t="n">
        <f aca="false">MAX(C184-AW184,0)</f>
        <v>10.0939798506993</v>
      </c>
      <c r="BN184" s="16" t="n">
        <f aca="false">MAX(C184-AX184,0)</f>
        <v>5.82589013383799</v>
      </c>
      <c r="BO184" s="16" t="n">
        <f aca="false">MAX(C184-AY184,0)</f>
        <v>0.846565688176412</v>
      </c>
    </row>
    <row r="185" customFormat="false" ht="15" hidden="false" customHeight="false" outlineLevel="0" collapsed="false">
      <c r="A185" s="3" t="n">
        <v>155</v>
      </c>
      <c r="B185" s="15" t="n">
        <f aca="true">RAND()</f>
        <v>0.77180465340384</v>
      </c>
      <c r="C185" s="16" t="n">
        <f aca="false">LOOKUP(B185,$E$12:$E$17,$A$12:$A$17)+LOOKUP(B185,$E$12:$E$17,$D$12:$D$17)*(B185-LOOKUP(B185,$E$12:$E$17))/LOOKUP(B185,$E$12:$E$17,$C$12:$C$17)</f>
        <v>68.1686379057691</v>
      </c>
      <c r="D185" s="15" t="n">
        <f aca="true">RAND()</f>
        <v>0.798643539024933</v>
      </c>
      <c r="E185" s="15" t="n">
        <f aca="true">RAND()</f>
        <v>0.984745413611427</v>
      </c>
      <c r="F185" s="15" t="n">
        <f aca="true">RAND()</f>
        <v>0.679351747085432</v>
      </c>
      <c r="G185" s="15" t="n">
        <f aca="true">RAND()</f>
        <v>0.891397401902603</v>
      </c>
      <c r="H185" s="15" t="n">
        <f aca="true">RAND()</f>
        <v>0.568865662723696</v>
      </c>
      <c r="I185" s="15" t="n">
        <f aca="true">RAND()</f>
        <v>0.330910921706217</v>
      </c>
      <c r="J185" s="15" t="n">
        <f aca="true">RAND()</f>
        <v>0.625089094898706</v>
      </c>
      <c r="K185" s="15" t="n">
        <f aca="true">RAND()</f>
        <v>0.372351053537832</v>
      </c>
      <c r="L185" s="15" t="n">
        <f aca="true">RAND()</f>
        <v>0.75809464942681</v>
      </c>
      <c r="M185" s="15" t="n">
        <f aca="true">RAND()</f>
        <v>0.806790056218363</v>
      </c>
      <c r="N185" s="15" t="n">
        <f aca="true">RAND()</f>
        <v>0.382128180145372</v>
      </c>
      <c r="O185" s="15" t="n">
        <f aca="true">RAND()</f>
        <v>0.000743590020372823</v>
      </c>
      <c r="P185" s="15" t="n">
        <f aca="true">RAND()</f>
        <v>0.0445746859497651</v>
      </c>
      <c r="Q185" s="15" t="n">
        <f aca="true">RAND()</f>
        <v>0.432411511303548</v>
      </c>
      <c r="R185" s="15" t="n">
        <f aca="true">RAND()</f>
        <v>0.895176593570653</v>
      </c>
      <c r="S185" s="15" t="n">
        <f aca="true">RAND()</f>
        <v>0.488410318244828</v>
      </c>
      <c r="T185" s="16" t="n">
        <f aca="false">LOOKUP(D185,$E$23:$E$26,$A$23:$A$26)+LOOKUP(D185,$E$23:$E$26,$D$23:$D$26)*(D185-LOOKUP(D185,$E$23:$E$26))/LOOKUP(D185,$E$23:$E$26,$C$23:$C$26)</f>
        <v>5.24660884756233</v>
      </c>
      <c r="U185" s="16" t="n">
        <f aca="false">LOOKUP(E185,$E$23:$E$26,$A$23:$A$26)+LOOKUP(E185,$E$23:$E$26,$D$23:$D$26)*(E185-LOOKUP(E185,$E$23:$E$26))/LOOKUP(E185,$E$23:$E$26,$C$23:$C$26)</f>
        <v>5.92372706805714</v>
      </c>
      <c r="V185" s="16" t="n">
        <f aca="false">LOOKUP(F185,$E$23:$E$26,$A$23:$A$26)+LOOKUP(F185,$E$23:$E$26,$D$23:$D$26)*(F185-LOOKUP(F185,$E$23:$E$26))/LOOKUP(F185,$E$23:$E$26,$C$23:$C$26)</f>
        <v>4.97418968385679</v>
      </c>
      <c r="W185" s="16" t="n">
        <f aca="false">LOOKUP(G185,$E$23:$E$26,$A$23:$A$26)+LOOKUP(G185,$E$23:$E$26,$D$23:$D$26)*(G185-LOOKUP(G185,$E$23:$E$26))/LOOKUP(G185,$E$23:$E$26,$C$23:$C$26)</f>
        <v>5.47849350475651</v>
      </c>
      <c r="X185" s="16" t="n">
        <f aca="false">LOOKUP(H185,$E$23:$E$26,$A$23:$A$26)+LOOKUP(H185,$E$23:$E$26,$D$23:$D$26)*(H185-LOOKUP(H185,$E$23:$E$26))/LOOKUP(H185,$E$23:$E$26,$C$23:$C$26)</f>
        <v>4.83608207840462</v>
      </c>
      <c r="Y185" s="16" t="n">
        <f aca="false">LOOKUP(I185,$E$23:$E$26,$A$23:$A$26)+LOOKUP(I185,$E$23:$E$26,$D$23:$D$26)*(I185-LOOKUP(I185,$E$23:$E$26))/LOOKUP(I185,$E$23:$E$26,$C$23:$C$26)</f>
        <v>4.53863865213277</v>
      </c>
      <c r="Z185" s="16" t="n">
        <f aca="false">LOOKUP(J185,$E$23:$E$26,$A$23:$A$26)+LOOKUP(J185,$E$23:$E$26,$D$23:$D$26)*(J185-LOOKUP(J185,$E$23:$E$26))/LOOKUP(J185,$E$23:$E$26,$C$23:$C$26)</f>
        <v>4.90636136862338</v>
      </c>
      <c r="AA185" s="16" t="n">
        <f aca="false">LOOKUP(K185,$E$23:$E$26,$A$23:$A$26)+LOOKUP(K185,$E$23:$E$26,$D$23:$D$26)*(K185-LOOKUP(K185,$E$23:$E$26))/LOOKUP(K185,$E$23:$E$26,$C$23:$C$26)</f>
        <v>4.59043881692229</v>
      </c>
      <c r="AB185" s="16" t="n">
        <f aca="false">LOOKUP(L185,$E$23:$E$26,$A$23:$A$26)+LOOKUP(L185,$E$23:$E$26,$D$23:$D$26)*(L185-LOOKUP(L185,$E$23:$E$26))/LOOKUP(L185,$E$23:$E$26,$C$23:$C$26)</f>
        <v>5.14523662356703</v>
      </c>
      <c r="AC185" s="16" t="n">
        <f aca="false">LOOKUP(M185,$E$23:$E$26,$A$23:$A$26)+LOOKUP(M185,$E$23:$E$26,$D$23:$D$26)*(M185-LOOKUP(M185,$E$23:$E$26))/LOOKUP(M185,$E$23:$E$26,$C$23:$C$26)</f>
        <v>5.26697514054591</v>
      </c>
      <c r="AD185" s="16" t="n">
        <f aca="false">LOOKUP(N185,$E$23:$E$26,$A$23:$A$26)+LOOKUP(N185,$E$23:$E$26,$D$23:$D$26)*(N185-LOOKUP(N185,$E$23:$E$26))/LOOKUP(N185,$E$23:$E$26,$C$23:$C$26)</f>
        <v>4.60266022518171</v>
      </c>
      <c r="AE185" s="16" t="n">
        <f aca="false">LOOKUP(O185,$E$23:$E$26,$A$23:$A$26)+LOOKUP(O185,$E$23:$E$26,$D$23:$D$26)*(O185-LOOKUP(O185,$E$23:$E$26))/LOOKUP(O185,$E$23:$E$26,$C$23:$C$26)</f>
        <v>4.00123931670062</v>
      </c>
      <c r="AF185" s="16" t="n">
        <f aca="false">LOOKUP(P185,$E$23:$E$26,$A$23:$A$26)+LOOKUP(P185,$E$23:$E$26,$D$23:$D$26)*(P185-LOOKUP(P185,$E$23:$E$26))/LOOKUP(P185,$E$23:$E$26,$C$23:$C$26)</f>
        <v>4.07429114324961</v>
      </c>
      <c r="AG185" s="16" t="n">
        <f aca="false">LOOKUP(Q185,$E$23:$E$26,$A$23:$A$26)+LOOKUP(Q185,$E$23:$E$26,$D$23:$D$26)*(Q185-LOOKUP(Q185,$E$23:$E$26))/LOOKUP(Q185,$E$23:$E$26,$C$23:$C$26)</f>
        <v>4.66551438912943</v>
      </c>
      <c r="AH185" s="16" t="n">
        <f aca="false">LOOKUP(R185,$E$23:$E$26,$A$23:$A$26)+LOOKUP(R185,$E$23:$E$26,$D$23:$D$26)*(R185-LOOKUP(R185,$E$23:$E$26))/LOOKUP(R185,$E$23:$E$26,$C$23:$C$26)</f>
        <v>5.48794148392663</v>
      </c>
      <c r="AI185" s="16" t="n">
        <f aca="false">LOOKUP(S185,$E$23:$E$26,$A$23:$A$26)+LOOKUP(S185,$E$23:$E$26,$D$23:$D$26)*(S185-LOOKUP(S185,$E$23:$E$26))/LOOKUP(S185,$E$23:$E$26,$C$23:$C$26)</f>
        <v>4.73551289780604</v>
      </c>
      <c r="AJ185" s="16" t="n">
        <f aca="false">SUM($T185:T185)</f>
        <v>5.24660884756233</v>
      </c>
      <c r="AK185" s="16" t="n">
        <f aca="false">SUM($T185:U185)</f>
        <v>11.1703359156195</v>
      </c>
      <c r="AL185" s="16" t="n">
        <f aca="false">SUM($T185:V185)</f>
        <v>16.1445255994763</v>
      </c>
      <c r="AM185" s="16" t="n">
        <f aca="false">SUM($T185:W185)</f>
        <v>21.6230191042328</v>
      </c>
      <c r="AN185" s="16" t="n">
        <f aca="false">SUM($T185:X185)</f>
        <v>26.4591011826374</v>
      </c>
      <c r="AO185" s="16" t="n">
        <f aca="false">SUM($T185:Y185)</f>
        <v>30.9977398347702</v>
      </c>
      <c r="AP185" s="16" t="n">
        <f aca="false">SUM($T185:Z185)</f>
        <v>35.9041012033935</v>
      </c>
      <c r="AQ185" s="16" t="n">
        <f aca="false">SUM($T185:AA185)</f>
        <v>40.4945400203158</v>
      </c>
      <c r="AR185" s="16" t="n">
        <f aca="false">SUM($T185:AB185)</f>
        <v>45.6397766438829</v>
      </c>
      <c r="AS185" s="16" t="n">
        <f aca="false">SUM($T185:AC185)</f>
        <v>50.9067517844288</v>
      </c>
      <c r="AT185" s="16" t="n">
        <f aca="false">SUM($T185:AD185)</f>
        <v>55.5094120096105</v>
      </c>
      <c r="AU185" s="16" t="n">
        <f aca="false">SUM($T185:AE185)</f>
        <v>59.5106513263111</v>
      </c>
      <c r="AV185" s="16" t="n">
        <f aca="false">SUM($T185:AF185)</f>
        <v>63.5849424695607</v>
      </c>
      <c r="AW185" s="16" t="n">
        <f aca="false">SUM($T185:AG185)</f>
        <v>68.2504568586901</v>
      </c>
      <c r="AX185" s="16" t="n">
        <f aca="false">SUM($T185:AH185)</f>
        <v>73.7383983426168</v>
      </c>
      <c r="AY185" s="16" t="n">
        <f aca="false">SUM($T185:AI185)</f>
        <v>78.4739112404228</v>
      </c>
      <c r="AZ185" s="16" t="n">
        <f aca="false">MAX(C185-AJ185,0)</f>
        <v>62.9220290582068</v>
      </c>
      <c r="BA185" s="16" t="n">
        <f aca="false">MAX(C185-AK185,0)</f>
        <v>56.9983019901497</v>
      </c>
      <c r="BB185" s="16" t="n">
        <f aca="false">MAX(C185-AL185,0)</f>
        <v>52.0241123062929</v>
      </c>
      <c r="BC185" s="16" t="n">
        <f aca="false">MAX(C185-AM185,0)</f>
        <v>46.5456188015364</v>
      </c>
      <c r="BD185" s="16" t="n">
        <f aca="false">MAX(C185-AN185,0)</f>
        <v>41.7095367231318</v>
      </c>
      <c r="BE185" s="16" t="n">
        <f aca="false">MAX(C185-AO185,0)</f>
        <v>37.170898070999</v>
      </c>
      <c r="BF185" s="16" t="n">
        <f aca="false">MAX(C185-AP185,0)</f>
        <v>32.2645367023756</v>
      </c>
      <c r="BG185" s="16" t="n">
        <f aca="false">MAX(C185-AQ185,0)</f>
        <v>27.6740978854533</v>
      </c>
      <c r="BH185" s="16" t="n">
        <f aca="false">MAX(C185-AR185,0)</f>
        <v>22.5288612618863</v>
      </c>
      <c r="BI185" s="16" t="n">
        <f aca="false">MAX(C185-AS185,0)</f>
        <v>17.2618861213404</v>
      </c>
      <c r="BJ185" s="16" t="n">
        <f aca="false">MAX(C185-AT185,0)</f>
        <v>12.6592258961587</v>
      </c>
      <c r="BK185" s="16" t="n">
        <f aca="false">MAX(C185-AU185,0)</f>
        <v>8.65798657945804</v>
      </c>
      <c r="BL185" s="16" t="n">
        <f aca="false">MAX(C185-AV185,0)</f>
        <v>4.58369543620842</v>
      </c>
      <c r="BM185" s="16" t="n">
        <f aca="false">MAX(C185-AW185,0)</f>
        <v>0</v>
      </c>
      <c r="BN185" s="16" t="n">
        <f aca="false">MAX(C185-AX185,0)</f>
        <v>0</v>
      </c>
      <c r="BO185" s="16" t="n">
        <f aca="false">MAX(C185-AY185,0)</f>
        <v>0</v>
      </c>
    </row>
    <row r="186" customFormat="false" ht="15" hidden="false" customHeight="false" outlineLevel="0" collapsed="false">
      <c r="A186" s="3" t="n">
        <v>156</v>
      </c>
      <c r="B186" s="15" t="n">
        <f aca="true">RAND()</f>
        <v>0.8031468431863</v>
      </c>
      <c r="C186" s="16" t="n">
        <f aca="false">LOOKUP(B186,$E$12:$E$17,$A$12:$A$17)+LOOKUP(B186,$E$12:$E$17,$D$12:$D$17)*(B186-LOOKUP(B186,$E$12:$E$17))/LOOKUP(B186,$E$12:$E$17,$C$12:$C$17)</f>
        <v>68.61638347409</v>
      </c>
      <c r="D186" s="15" t="n">
        <f aca="true">RAND()</f>
        <v>0.898085733775323</v>
      </c>
      <c r="E186" s="15" t="n">
        <f aca="true">RAND()</f>
        <v>0.382648709085739</v>
      </c>
      <c r="F186" s="15" t="n">
        <f aca="true">RAND()</f>
        <v>0.640441854588934</v>
      </c>
      <c r="G186" s="15" t="n">
        <f aca="true">RAND()</f>
        <v>0.629709334298476</v>
      </c>
      <c r="H186" s="15" t="n">
        <f aca="true">RAND()</f>
        <v>0.37276820407109</v>
      </c>
      <c r="I186" s="15" t="n">
        <f aca="true">RAND()</f>
        <v>0.391645173841517</v>
      </c>
      <c r="J186" s="15" t="n">
        <f aca="true">RAND()</f>
        <v>0.425666951764541</v>
      </c>
      <c r="K186" s="15" t="n">
        <f aca="true">RAND()</f>
        <v>0.52990935985802</v>
      </c>
      <c r="L186" s="15" t="n">
        <f aca="true">RAND()</f>
        <v>0.107394475250605</v>
      </c>
      <c r="M186" s="15" t="n">
        <f aca="true">RAND()</f>
        <v>0.0446208961400218</v>
      </c>
      <c r="N186" s="15" t="n">
        <f aca="true">RAND()</f>
        <v>0.674336130607725</v>
      </c>
      <c r="O186" s="15" t="n">
        <f aca="true">RAND()</f>
        <v>0.557850951212841</v>
      </c>
      <c r="P186" s="15" t="n">
        <f aca="true">RAND()</f>
        <v>0.642882329624973</v>
      </c>
      <c r="Q186" s="15" t="n">
        <f aca="true">RAND()</f>
        <v>0.582185392845097</v>
      </c>
      <c r="R186" s="15" t="n">
        <f aca="true">RAND()</f>
        <v>0.764844201196139</v>
      </c>
      <c r="S186" s="15" t="n">
        <f aca="true">RAND()</f>
        <v>0.33249040475763</v>
      </c>
      <c r="T186" s="16" t="n">
        <f aca="false">LOOKUP(D186,$E$23:$E$26,$A$23:$A$26)+LOOKUP(D186,$E$23:$E$26,$D$23:$D$26)*(D186-LOOKUP(D186,$E$23:$E$26))/LOOKUP(D186,$E$23:$E$26,$C$23:$C$26)</f>
        <v>5.49521433443831</v>
      </c>
      <c r="U186" s="16" t="n">
        <f aca="false">LOOKUP(E186,$E$23:$E$26,$A$23:$A$26)+LOOKUP(E186,$E$23:$E$26,$D$23:$D$26)*(E186-LOOKUP(E186,$E$23:$E$26))/LOOKUP(E186,$E$23:$E$26,$C$23:$C$26)</f>
        <v>4.60331088635717</v>
      </c>
      <c r="V186" s="16" t="n">
        <f aca="false">LOOKUP(F186,$E$23:$E$26,$A$23:$A$26)+LOOKUP(F186,$E$23:$E$26,$D$23:$D$26)*(F186-LOOKUP(F186,$E$23:$E$26))/LOOKUP(F186,$E$23:$E$26,$C$23:$C$26)</f>
        <v>4.92555231823617</v>
      </c>
      <c r="W186" s="16" t="n">
        <f aca="false">LOOKUP(G186,$E$23:$E$26,$A$23:$A$26)+LOOKUP(G186,$E$23:$E$26,$D$23:$D$26)*(G186-LOOKUP(G186,$E$23:$E$26))/LOOKUP(G186,$E$23:$E$26,$C$23:$C$26)</f>
        <v>4.9121366678731</v>
      </c>
      <c r="X186" s="16" t="n">
        <f aca="false">LOOKUP(H186,$E$23:$E$26,$A$23:$A$26)+LOOKUP(H186,$E$23:$E$26,$D$23:$D$26)*(H186-LOOKUP(H186,$E$23:$E$26))/LOOKUP(H186,$E$23:$E$26,$C$23:$C$26)</f>
        <v>4.59096025508886</v>
      </c>
      <c r="Y186" s="16" t="n">
        <f aca="false">LOOKUP(I186,$E$23:$E$26,$A$23:$A$26)+LOOKUP(I186,$E$23:$E$26,$D$23:$D$26)*(I186-LOOKUP(I186,$E$23:$E$26))/LOOKUP(I186,$E$23:$E$26,$C$23:$C$26)</f>
        <v>4.6145564673019</v>
      </c>
      <c r="Z186" s="16" t="n">
        <f aca="false">LOOKUP(J186,$E$23:$E$26,$A$23:$A$26)+LOOKUP(J186,$E$23:$E$26,$D$23:$D$26)*(J186-LOOKUP(J186,$E$23:$E$26))/LOOKUP(J186,$E$23:$E$26,$C$23:$C$26)</f>
        <v>4.65708368970568</v>
      </c>
      <c r="AA186" s="16" t="n">
        <f aca="false">LOOKUP(K186,$E$23:$E$26,$A$23:$A$26)+LOOKUP(K186,$E$23:$E$26,$D$23:$D$26)*(K186-LOOKUP(K186,$E$23:$E$26))/LOOKUP(K186,$E$23:$E$26,$C$23:$C$26)</f>
        <v>4.78738669982252</v>
      </c>
      <c r="AB186" s="16" t="n">
        <f aca="false">LOOKUP(L186,$E$23:$E$26,$A$23:$A$26)+LOOKUP(L186,$E$23:$E$26,$D$23:$D$26)*(L186-LOOKUP(L186,$E$23:$E$26))/LOOKUP(L186,$E$23:$E$26,$C$23:$C$26)</f>
        <v>4.17899079208434</v>
      </c>
      <c r="AC186" s="16" t="n">
        <f aca="false">LOOKUP(M186,$E$23:$E$26,$A$23:$A$26)+LOOKUP(M186,$E$23:$E$26,$D$23:$D$26)*(M186-LOOKUP(M186,$E$23:$E$26))/LOOKUP(M186,$E$23:$E$26,$C$23:$C$26)</f>
        <v>4.07436816023337</v>
      </c>
      <c r="AD186" s="16" t="n">
        <f aca="false">LOOKUP(N186,$E$23:$E$26,$A$23:$A$26)+LOOKUP(N186,$E$23:$E$26,$D$23:$D$26)*(N186-LOOKUP(N186,$E$23:$E$26))/LOOKUP(N186,$E$23:$E$26,$C$23:$C$26)</f>
        <v>4.96792016325966</v>
      </c>
      <c r="AE186" s="16" t="n">
        <f aca="false">LOOKUP(O186,$E$23:$E$26,$A$23:$A$26)+LOOKUP(O186,$E$23:$E$26,$D$23:$D$26)*(O186-LOOKUP(O186,$E$23:$E$26))/LOOKUP(O186,$E$23:$E$26,$C$23:$C$26)</f>
        <v>4.82231368901605</v>
      </c>
      <c r="AF186" s="16" t="n">
        <f aca="false">LOOKUP(P186,$E$23:$E$26,$A$23:$A$26)+LOOKUP(P186,$E$23:$E$26,$D$23:$D$26)*(P186-LOOKUP(P186,$E$23:$E$26))/LOOKUP(P186,$E$23:$E$26,$C$23:$C$26)</f>
        <v>4.92860291203122</v>
      </c>
      <c r="AG186" s="16" t="n">
        <f aca="false">LOOKUP(Q186,$E$23:$E$26,$A$23:$A$26)+LOOKUP(Q186,$E$23:$E$26,$D$23:$D$26)*(Q186-LOOKUP(Q186,$E$23:$E$26))/LOOKUP(Q186,$E$23:$E$26,$C$23:$C$26)</f>
        <v>4.85273174105637</v>
      </c>
      <c r="AH186" s="16" t="n">
        <f aca="false">LOOKUP(R186,$E$23:$E$26,$A$23:$A$26)+LOOKUP(R186,$E$23:$E$26,$D$23:$D$26)*(R186-LOOKUP(R186,$E$23:$E$26))/LOOKUP(R186,$E$23:$E$26,$C$23:$C$26)</f>
        <v>5.16211050299035</v>
      </c>
      <c r="AI186" s="16" t="n">
        <f aca="false">LOOKUP(S186,$E$23:$E$26,$A$23:$A$26)+LOOKUP(S186,$E$23:$E$26,$D$23:$D$26)*(S186-LOOKUP(S186,$E$23:$E$26))/LOOKUP(S186,$E$23:$E$26,$C$23:$C$26)</f>
        <v>4.54061300594704</v>
      </c>
      <c r="AJ186" s="16" t="n">
        <f aca="false">SUM($T186:T186)</f>
        <v>5.49521433443831</v>
      </c>
      <c r="AK186" s="16" t="n">
        <f aca="false">SUM($T186:U186)</f>
        <v>10.0985252207955</v>
      </c>
      <c r="AL186" s="16" t="n">
        <f aca="false">SUM($T186:V186)</f>
        <v>15.0240775390316</v>
      </c>
      <c r="AM186" s="16" t="n">
        <f aca="false">SUM($T186:W186)</f>
        <v>19.9362142069047</v>
      </c>
      <c r="AN186" s="16" t="n">
        <f aca="false">SUM($T186:X186)</f>
        <v>24.5271744619936</v>
      </c>
      <c r="AO186" s="16" t="n">
        <f aca="false">SUM($T186:Y186)</f>
        <v>29.1417309292955</v>
      </c>
      <c r="AP186" s="16" t="n">
        <f aca="false">SUM($T186:Z186)</f>
        <v>33.7988146190012</v>
      </c>
      <c r="AQ186" s="16" t="n">
        <f aca="false">SUM($T186:AA186)</f>
        <v>38.5862013188237</v>
      </c>
      <c r="AR186" s="16" t="n">
        <f aca="false">SUM($T186:AB186)</f>
        <v>42.765192110908</v>
      </c>
      <c r="AS186" s="16" t="n">
        <f aca="false">SUM($T186:AC186)</f>
        <v>46.8395602711414</v>
      </c>
      <c r="AT186" s="16" t="n">
        <f aca="false">SUM($T186:AD186)</f>
        <v>51.8074804344011</v>
      </c>
      <c r="AU186" s="16" t="n">
        <f aca="false">SUM($T186:AE186)</f>
        <v>56.6297941234171</v>
      </c>
      <c r="AV186" s="16" t="n">
        <f aca="false">SUM($T186:AF186)</f>
        <v>61.5583970354483</v>
      </c>
      <c r="AW186" s="16" t="n">
        <f aca="false">SUM($T186:AG186)</f>
        <v>66.4111287765047</v>
      </c>
      <c r="AX186" s="16" t="n">
        <f aca="false">SUM($T186:AH186)</f>
        <v>71.5732392794951</v>
      </c>
      <c r="AY186" s="16" t="n">
        <f aca="false">SUM($T186:AI186)</f>
        <v>76.1138522854421</v>
      </c>
      <c r="AZ186" s="16" t="n">
        <f aca="false">MAX(C186-AJ186,0)</f>
        <v>63.1211691396517</v>
      </c>
      <c r="BA186" s="16" t="n">
        <f aca="false">MAX(C186-AK186,0)</f>
        <v>58.5178582532945</v>
      </c>
      <c r="BB186" s="16" t="n">
        <f aca="false">MAX(C186-AL186,0)</f>
        <v>53.5923059350584</v>
      </c>
      <c r="BC186" s="16" t="n">
        <f aca="false">MAX(C186-AM186,0)</f>
        <v>48.6801692671853</v>
      </c>
      <c r="BD186" s="16" t="n">
        <f aca="false">MAX(C186-AN186,0)</f>
        <v>44.0892090120964</v>
      </c>
      <c r="BE186" s="16" t="n">
        <f aca="false">MAX(C186-AO186,0)</f>
        <v>39.4746525447945</v>
      </c>
      <c r="BF186" s="16" t="n">
        <f aca="false">MAX(C186-AP186,0)</f>
        <v>34.8175688550888</v>
      </c>
      <c r="BG186" s="16" t="n">
        <f aca="false">MAX(C186-AQ186,0)</f>
        <v>30.0301821552663</v>
      </c>
      <c r="BH186" s="16" t="n">
        <f aca="false">MAX(C186-AR186,0)</f>
        <v>25.851191363182</v>
      </c>
      <c r="BI186" s="16" t="n">
        <f aca="false">MAX(C186-AS186,0)</f>
        <v>21.7768232029486</v>
      </c>
      <c r="BJ186" s="16" t="n">
        <f aca="false">MAX(C186-AT186,0)</f>
        <v>16.8089030396889</v>
      </c>
      <c r="BK186" s="16" t="n">
        <f aca="false">MAX(C186-AU186,0)</f>
        <v>11.9865893506729</v>
      </c>
      <c r="BL186" s="16" t="n">
        <f aca="false">MAX(C186-AV186,0)</f>
        <v>7.05798643864166</v>
      </c>
      <c r="BM186" s="16" t="n">
        <f aca="false">MAX(C186-AW186,0)</f>
        <v>2.20525469758529</v>
      </c>
      <c r="BN186" s="16" t="n">
        <f aca="false">MAX(C186-AX186,0)</f>
        <v>0</v>
      </c>
      <c r="BO186" s="16" t="n">
        <f aca="false">MAX(C186-AY186,0)</f>
        <v>0</v>
      </c>
    </row>
    <row r="187" customFormat="false" ht="15" hidden="false" customHeight="false" outlineLevel="0" collapsed="false">
      <c r="A187" s="3" t="n">
        <v>157</v>
      </c>
      <c r="B187" s="15" t="n">
        <f aca="true">RAND()</f>
        <v>0.368321799020696</v>
      </c>
      <c r="C187" s="16" t="n">
        <f aca="false">LOOKUP(B187,$E$12:$E$17,$A$12:$A$17)+LOOKUP(B187,$E$12:$E$17,$D$12:$D$17)*(B187-LOOKUP(B187,$E$12:$E$17))/LOOKUP(B187,$E$12:$E$17,$C$12:$C$17)</f>
        <v>61.9720299836783</v>
      </c>
      <c r="D187" s="15" t="n">
        <f aca="true">RAND()</f>
        <v>0.312439962731473</v>
      </c>
      <c r="E187" s="15" t="n">
        <f aca="true">RAND()</f>
        <v>0.782520955282792</v>
      </c>
      <c r="F187" s="15" t="n">
        <f aca="true">RAND()</f>
        <v>0.752688736991408</v>
      </c>
      <c r="G187" s="15" t="n">
        <f aca="true">RAND()</f>
        <v>0.616081326910936</v>
      </c>
      <c r="H187" s="15" t="n">
        <f aca="true">RAND()</f>
        <v>0.0323271575440035</v>
      </c>
      <c r="I187" s="15" t="n">
        <f aca="true">RAND()</f>
        <v>0.644756818029234</v>
      </c>
      <c r="J187" s="15" t="n">
        <f aca="true">RAND()</f>
        <v>0.688925443741531</v>
      </c>
      <c r="K187" s="15" t="n">
        <f aca="true">RAND()</f>
        <v>0.715332252753986</v>
      </c>
      <c r="L187" s="15" t="n">
        <f aca="true">RAND()</f>
        <v>0.269051421302015</v>
      </c>
      <c r="M187" s="15" t="n">
        <f aca="true">RAND()</f>
        <v>0.622417626402597</v>
      </c>
      <c r="N187" s="15" t="n">
        <f aca="true">RAND()</f>
        <v>0.0711717171187325</v>
      </c>
      <c r="O187" s="15" t="n">
        <f aca="true">RAND()</f>
        <v>0.57848259261244</v>
      </c>
      <c r="P187" s="15" t="n">
        <f aca="true">RAND()</f>
        <v>0.403764107198763</v>
      </c>
      <c r="Q187" s="15" t="n">
        <f aca="true">RAND()</f>
        <v>0.849650846839414</v>
      </c>
      <c r="R187" s="15" t="n">
        <f aca="true">RAND()</f>
        <v>0.671222773823322</v>
      </c>
      <c r="S187" s="15" t="n">
        <f aca="true">RAND()</f>
        <v>0.148426535133032</v>
      </c>
      <c r="T187" s="16" t="n">
        <f aca="false">LOOKUP(D187,$E$23:$E$26,$A$23:$A$26)+LOOKUP(D187,$E$23:$E$26,$D$23:$D$26)*(D187-LOOKUP(D187,$E$23:$E$26))/LOOKUP(D187,$E$23:$E$26,$C$23:$C$26)</f>
        <v>4.51554995341434</v>
      </c>
      <c r="U187" s="16" t="n">
        <f aca="false">LOOKUP(E187,$E$23:$E$26,$A$23:$A$26)+LOOKUP(E187,$E$23:$E$26,$D$23:$D$26)*(E187-LOOKUP(E187,$E$23:$E$26))/LOOKUP(E187,$E$23:$E$26,$C$23:$C$26)</f>
        <v>5.20630238820698</v>
      </c>
      <c r="V187" s="16" t="n">
        <f aca="false">LOOKUP(F187,$E$23:$E$26,$A$23:$A$26)+LOOKUP(F187,$E$23:$E$26,$D$23:$D$26)*(F187-LOOKUP(F187,$E$23:$E$26))/LOOKUP(F187,$E$23:$E$26,$C$23:$C$26)</f>
        <v>5.13172184247852</v>
      </c>
      <c r="W187" s="16" t="n">
        <f aca="false">LOOKUP(G187,$E$23:$E$26,$A$23:$A$26)+LOOKUP(G187,$E$23:$E$26,$D$23:$D$26)*(G187-LOOKUP(G187,$E$23:$E$26))/LOOKUP(G187,$E$23:$E$26,$C$23:$C$26)</f>
        <v>4.89510165863867</v>
      </c>
      <c r="X187" s="16" t="n">
        <f aca="false">LOOKUP(H187,$E$23:$E$26,$A$23:$A$26)+LOOKUP(H187,$E$23:$E$26,$D$23:$D$26)*(H187-LOOKUP(H187,$E$23:$E$26))/LOOKUP(H187,$E$23:$E$26,$C$23:$C$26)</f>
        <v>4.05387859590667</v>
      </c>
      <c r="Y187" s="16" t="n">
        <f aca="false">LOOKUP(I187,$E$23:$E$26,$A$23:$A$26)+LOOKUP(I187,$E$23:$E$26,$D$23:$D$26)*(I187-LOOKUP(I187,$E$23:$E$26))/LOOKUP(I187,$E$23:$E$26,$C$23:$C$26)</f>
        <v>4.93094602253654</v>
      </c>
      <c r="Z187" s="16" t="n">
        <f aca="false">LOOKUP(J187,$E$23:$E$26,$A$23:$A$26)+LOOKUP(J187,$E$23:$E$26,$D$23:$D$26)*(J187-LOOKUP(J187,$E$23:$E$26))/LOOKUP(J187,$E$23:$E$26,$C$23:$C$26)</f>
        <v>4.98615680467691</v>
      </c>
      <c r="AA187" s="16" t="n">
        <f aca="false">LOOKUP(K187,$E$23:$E$26,$A$23:$A$26)+LOOKUP(K187,$E$23:$E$26,$D$23:$D$26)*(K187-LOOKUP(K187,$E$23:$E$26))/LOOKUP(K187,$E$23:$E$26,$C$23:$C$26)</f>
        <v>5.03833063188496</v>
      </c>
      <c r="AB187" s="16" t="n">
        <f aca="false">LOOKUP(L187,$E$23:$E$26,$A$23:$A$26)+LOOKUP(L187,$E$23:$E$26,$D$23:$D$26)*(L187-LOOKUP(L187,$E$23:$E$26))/LOOKUP(L187,$E$23:$E$26,$C$23:$C$26)</f>
        <v>4.44841903550336</v>
      </c>
      <c r="AC187" s="16" t="n">
        <f aca="false">LOOKUP(M187,$E$23:$E$26,$A$23:$A$26)+LOOKUP(M187,$E$23:$E$26,$D$23:$D$26)*(M187-LOOKUP(M187,$E$23:$E$26))/LOOKUP(M187,$E$23:$E$26,$C$23:$C$26)</f>
        <v>4.90302203300325</v>
      </c>
      <c r="AD187" s="16" t="n">
        <f aca="false">LOOKUP(N187,$E$23:$E$26,$A$23:$A$26)+LOOKUP(N187,$E$23:$E$26,$D$23:$D$26)*(N187-LOOKUP(N187,$E$23:$E$26))/LOOKUP(N187,$E$23:$E$26,$C$23:$C$26)</f>
        <v>4.11861952853122</v>
      </c>
      <c r="AE187" s="16" t="n">
        <f aca="false">LOOKUP(O187,$E$23:$E$26,$A$23:$A$26)+LOOKUP(O187,$E$23:$E$26,$D$23:$D$26)*(O187-LOOKUP(O187,$E$23:$E$26))/LOOKUP(O187,$E$23:$E$26,$C$23:$C$26)</f>
        <v>4.84810324076555</v>
      </c>
      <c r="AF187" s="16" t="n">
        <f aca="false">LOOKUP(P187,$E$23:$E$26,$A$23:$A$26)+LOOKUP(P187,$E$23:$E$26,$D$23:$D$26)*(P187-LOOKUP(P187,$E$23:$E$26))/LOOKUP(P187,$E$23:$E$26,$C$23:$C$26)</f>
        <v>4.62970513399845</v>
      </c>
      <c r="AG187" s="16" t="n">
        <f aca="false">LOOKUP(Q187,$E$23:$E$26,$A$23:$A$26)+LOOKUP(Q187,$E$23:$E$26,$D$23:$D$26)*(Q187-LOOKUP(Q187,$E$23:$E$26))/LOOKUP(Q187,$E$23:$E$26,$C$23:$C$26)</f>
        <v>5.37412711709854</v>
      </c>
      <c r="AH187" s="16" t="n">
        <f aca="false">LOOKUP(R187,$E$23:$E$26,$A$23:$A$26)+LOOKUP(R187,$E$23:$E$26,$D$23:$D$26)*(R187-LOOKUP(R187,$E$23:$E$26))/LOOKUP(R187,$E$23:$E$26,$C$23:$C$26)</f>
        <v>4.96402846727915</v>
      </c>
      <c r="AI187" s="16" t="n">
        <f aca="false">LOOKUP(S187,$E$23:$E$26,$A$23:$A$26)+LOOKUP(S187,$E$23:$E$26,$D$23:$D$26)*(S187-LOOKUP(S187,$E$23:$E$26))/LOOKUP(S187,$E$23:$E$26,$C$23:$C$26)</f>
        <v>4.24737755855505</v>
      </c>
      <c r="AJ187" s="16" t="n">
        <f aca="false">SUM($T187:T187)</f>
        <v>4.51554995341434</v>
      </c>
      <c r="AK187" s="16" t="n">
        <f aca="false">SUM($T187:U187)</f>
        <v>9.72185234162132</v>
      </c>
      <c r="AL187" s="16" t="n">
        <f aca="false">SUM($T187:V187)</f>
        <v>14.8535741840998</v>
      </c>
      <c r="AM187" s="16" t="n">
        <f aca="false">SUM($T187:W187)</f>
        <v>19.7486758427385</v>
      </c>
      <c r="AN187" s="16" t="n">
        <f aca="false">SUM($T187:X187)</f>
        <v>23.8025544386452</v>
      </c>
      <c r="AO187" s="16" t="n">
        <f aca="false">SUM($T187:Y187)</f>
        <v>28.7335004611817</v>
      </c>
      <c r="AP187" s="16" t="n">
        <f aca="false">SUM($T187:Z187)</f>
        <v>33.7196572658586</v>
      </c>
      <c r="AQ187" s="16" t="n">
        <f aca="false">SUM($T187:AA187)</f>
        <v>38.7579878977436</v>
      </c>
      <c r="AR187" s="16" t="n">
        <f aca="false">SUM($T187:AB187)</f>
        <v>43.206406933247</v>
      </c>
      <c r="AS187" s="16" t="n">
        <f aca="false">SUM($T187:AC187)</f>
        <v>48.1094289662502</v>
      </c>
      <c r="AT187" s="16" t="n">
        <f aca="false">SUM($T187:AD187)</f>
        <v>52.2280484947814</v>
      </c>
      <c r="AU187" s="16" t="n">
        <f aca="false">SUM($T187:AE187)</f>
        <v>57.076151735547</v>
      </c>
      <c r="AV187" s="16" t="n">
        <f aca="false">SUM($T187:AF187)</f>
        <v>61.7058568695454</v>
      </c>
      <c r="AW187" s="16" t="n">
        <f aca="false">SUM($T187:AG187)</f>
        <v>67.079983986644</v>
      </c>
      <c r="AX187" s="16" t="n">
        <f aca="false">SUM($T187:AH187)</f>
        <v>72.0440124539231</v>
      </c>
      <c r="AY187" s="16" t="n">
        <f aca="false">SUM($T187:AI187)</f>
        <v>76.2913900124782</v>
      </c>
      <c r="AZ187" s="16" t="n">
        <f aca="false">MAX(C187-AJ187,0)</f>
        <v>57.4564800302639</v>
      </c>
      <c r="BA187" s="16" t="n">
        <f aca="false">MAX(C187-AK187,0)</f>
        <v>52.250177642057</v>
      </c>
      <c r="BB187" s="16" t="n">
        <f aca="false">MAX(C187-AL187,0)</f>
        <v>47.1184557995784</v>
      </c>
      <c r="BC187" s="16" t="n">
        <f aca="false">MAX(C187-AM187,0)</f>
        <v>42.2233541409398</v>
      </c>
      <c r="BD187" s="16" t="n">
        <f aca="false">MAX(C187-AN187,0)</f>
        <v>38.1694755450331</v>
      </c>
      <c r="BE187" s="16" t="n">
        <f aca="false">MAX(C187-AO187,0)</f>
        <v>33.2385295224965</v>
      </c>
      <c r="BF187" s="16" t="n">
        <f aca="false">MAX(C187-AP187,0)</f>
        <v>28.2523727178196</v>
      </c>
      <c r="BG187" s="16" t="n">
        <f aca="false">MAX(C187-AQ187,0)</f>
        <v>23.2140420859347</v>
      </c>
      <c r="BH187" s="16" t="n">
        <f aca="false">MAX(C187-AR187,0)</f>
        <v>18.7656230504313</v>
      </c>
      <c r="BI187" s="16" t="n">
        <f aca="false">MAX(C187-AS187,0)</f>
        <v>13.8626010174281</v>
      </c>
      <c r="BJ187" s="16" t="n">
        <f aca="false">MAX(C187-AT187,0)</f>
        <v>9.74398148889684</v>
      </c>
      <c r="BK187" s="16" t="n">
        <f aca="false">MAX(C187-AU187,0)</f>
        <v>4.89587824813128</v>
      </c>
      <c r="BL187" s="16" t="n">
        <f aca="false">MAX(C187-AV187,0)</f>
        <v>0.266173114132833</v>
      </c>
      <c r="BM187" s="16" t="n">
        <f aca="false">MAX(C187-AW187,0)</f>
        <v>0</v>
      </c>
      <c r="BN187" s="16" t="n">
        <f aca="false">MAX(C187-AX187,0)</f>
        <v>0</v>
      </c>
      <c r="BO187" s="16" t="n">
        <f aca="false">MAX(C187-AY187,0)</f>
        <v>0</v>
      </c>
    </row>
    <row r="188" customFormat="false" ht="15" hidden="false" customHeight="false" outlineLevel="0" collapsed="false">
      <c r="A188" s="3" t="n">
        <v>158</v>
      </c>
      <c r="B188" s="15" t="n">
        <f aca="true">RAND()</f>
        <v>0.346680310369696</v>
      </c>
      <c r="C188" s="16" t="n">
        <f aca="false">LOOKUP(B188,$E$12:$E$17,$A$12:$A$17)+LOOKUP(B188,$E$12:$E$17,$D$12:$D$17)*(B188-LOOKUP(B188,$E$12:$E$17))/LOOKUP(B188,$E$12:$E$17,$C$12:$C$17)</f>
        <v>61.6113385061616</v>
      </c>
      <c r="D188" s="15" t="n">
        <f aca="true">RAND()</f>
        <v>0.687096614423355</v>
      </c>
      <c r="E188" s="15" t="n">
        <f aca="true">RAND()</f>
        <v>0.0462542234959895</v>
      </c>
      <c r="F188" s="15" t="n">
        <f aca="true">RAND()</f>
        <v>0.45124624844622</v>
      </c>
      <c r="G188" s="15" t="n">
        <f aca="true">RAND()</f>
        <v>0.415571060459705</v>
      </c>
      <c r="H188" s="15" t="n">
        <f aca="true">RAND()</f>
        <v>0.322291981965407</v>
      </c>
      <c r="I188" s="15" t="n">
        <f aca="true">RAND()</f>
        <v>0.205673619902263</v>
      </c>
      <c r="J188" s="15" t="n">
        <f aca="true">RAND()</f>
        <v>0.225403402620664</v>
      </c>
      <c r="K188" s="15" t="n">
        <f aca="true">RAND()</f>
        <v>0.820925995059456</v>
      </c>
      <c r="L188" s="15" t="n">
        <f aca="true">RAND()</f>
        <v>0.0357109324147921</v>
      </c>
      <c r="M188" s="15" t="n">
        <f aca="true">RAND()</f>
        <v>0.992389319403375</v>
      </c>
      <c r="N188" s="15" t="n">
        <f aca="true">RAND()</f>
        <v>0.346503069935709</v>
      </c>
      <c r="O188" s="15" t="n">
        <f aca="true">RAND()</f>
        <v>0.427635557732051</v>
      </c>
      <c r="P188" s="15" t="n">
        <f aca="true">RAND()</f>
        <v>0.0816057094631074</v>
      </c>
      <c r="Q188" s="15" t="n">
        <f aca="true">RAND()</f>
        <v>0.59199687270309</v>
      </c>
      <c r="R188" s="15" t="n">
        <f aca="true">RAND()</f>
        <v>0.898655135302189</v>
      </c>
      <c r="S188" s="15" t="n">
        <f aca="true">RAND()</f>
        <v>0.747881211002507</v>
      </c>
      <c r="T188" s="16" t="n">
        <f aca="false">LOOKUP(D188,$E$23:$E$26,$A$23:$A$26)+LOOKUP(D188,$E$23:$E$26,$D$23:$D$26)*(D188-LOOKUP(D188,$E$23:$E$26))/LOOKUP(D188,$E$23:$E$26,$C$23:$C$26)</f>
        <v>4.98387076802919</v>
      </c>
      <c r="U188" s="16" t="n">
        <f aca="false">LOOKUP(E188,$E$23:$E$26,$A$23:$A$26)+LOOKUP(E188,$E$23:$E$26,$D$23:$D$26)*(E188-LOOKUP(E188,$E$23:$E$26))/LOOKUP(E188,$E$23:$E$26,$C$23:$C$26)</f>
        <v>4.07709037249332</v>
      </c>
      <c r="V188" s="16" t="n">
        <f aca="false">LOOKUP(F188,$E$23:$E$26,$A$23:$A$26)+LOOKUP(F188,$E$23:$E$26,$D$23:$D$26)*(F188-LOOKUP(F188,$E$23:$E$26))/LOOKUP(F188,$E$23:$E$26,$C$23:$C$26)</f>
        <v>4.68905781055778</v>
      </c>
      <c r="W188" s="16" t="n">
        <f aca="false">LOOKUP(G188,$E$23:$E$26,$A$23:$A$26)+LOOKUP(G188,$E$23:$E$26,$D$23:$D$26)*(G188-LOOKUP(G188,$E$23:$E$26))/LOOKUP(G188,$E$23:$E$26,$C$23:$C$26)</f>
        <v>4.64446382557463</v>
      </c>
      <c r="X188" s="16" t="n">
        <f aca="false">LOOKUP(H188,$E$23:$E$26,$A$23:$A$26)+LOOKUP(H188,$E$23:$E$26,$D$23:$D$26)*(H188-LOOKUP(H188,$E$23:$E$26))/LOOKUP(H188,$E$23:$E$26,$C$23:$C$26)</f>
        <v>4.52786497745676</v>
      </c>
      <c r="Y188" s="16" t="n">
        <f aca="false">LOOKUP(I188,$E$23:$E$26,$A$23:$A$26)+LOOKUP(I188,$E$23:$E$26,$D$23:$D$26)*(I188-LOOKUP(I188,$E$23:$E$26))/LOOKUP(I188,$E$23:$E$26,$C$23:$C$26)</f>
        <v>4.34278936650377</v>
      </c>
      <c r="Z188" s="16" t="n">
        <f aca="false">LOOKUP(J188,$E$23:$E$26,$A$23:$A$26)+LOOKUP(J188,$E$23:$E$26,$D$23:$D$26)*(J188-LOOKUP(J188,$E$23:$E$26))/LOOKUP(J188,$E$23:$E$26,$C$23:$C$26)</f>
        <v>4.37567233770111</v>
      </c>
      <c r="AA188" s="16" t="n">
        <f aca="false">LOOKUP(K188,$E$23:$E$26,$A$23:$A$26)+LOOKUP(K188,$E$23:$E$26,$D$23:$D$26)*(K188-LOOKUP(K188,$E$23:$E$26))/LOOKUP(K188,$E$23:$E$26,$C$23:$C$26)</f>
        <v>5.30231498764864</v>
      </c>
      <c r="AB188" s="16" t="n">
        <f aca="false">LOOKUP(L188,$E$23:$E$26,$A$23:$A$26)+LOOKUP(L188,$E$23:$E$26,$D$23:$D$26)*(L188-LOOKUP(L188,$E$23:$E$26))/LOOKUP(L188,$E$23:$E$26,$C$23:$C$26)</f>
        <v>4.05951822069132</v>
      </c>
      <c r="AC188" s="16" t="n">
        <f aca="false">LOOKUP(M188,$E$23:$E$26,$A$23:$A$26)+LOOKUP(M188,$E$23:$E$26,$D$23:$D$26)*(M188-LOOKUP(M188,$E$23:$E$26))/LOOKUP(M188,$E$23:$E$26,$C$23:$C$26)</f>
        <v>5.96194659701688</v>
      </c>
      <c r="AD188" s="16" t="n">
        <f aca="false">LOOKUP(N188,$E$23:$E$26,$A$23:$A$26)+LOOKUP(N188,$E$23:$E$26,$D$23:$D$26)*(N188-LOOKUP(N188,$E$23:$E$26))/LOOKUP(N188,$E$23:$E$26,$C$23:$C$26)</f>
        <v>4.55812883741964</v>
      </c>
      <c r="AE188" s="16" t="n">
        <f aca="false">LOOKUP(O188,$E$23:$E$26,$A$23:$A$26)+LOOKUP(O188,$E$23:$E$26,$D$23:$D$26)*(O188-LOOKUP(O188,$E$23:$E$26))/LOOKUP(O188,$E$23:$E$26,$C$23:$C$26)</f>
        <v>4.65954444716506</v>
      </c>
      <c r="AF188" s="16" t="n">
        <f aca="false">LOOKUP(P188,$E$23:$E$26,$A$23:$A$26)+LOOKUP(P188,$E$23:$E$26,$D$23:$D$26)*(P188-LOOKUP(P188,$E$23:$E$26))/LOOKUP(P188,$E$23:$E$26,$C$23:$C$26)</f>
        <v>4.13600951577185</v>
      </c>
      <c r="AG188" s="16" t="n">
        <f aca="false">LOOKUP(Q188,$E$23:$E$26,$A$23:$A$26)+LOOKUP(Q188,$E$23:$E$26,$D$23:$D$26)*(Q188-LOOKUP(Q188,$E$23:$E$26))/LOOKUP(Q188,$E$23:$E$26,$C$23:$C$26)</f>
        <v>4.86499609087886</v>
      </c>
      <c r="AH188" s="16" t="n">
        <f aca="false">LOOKUP(R188,$E$23:$E$26,$A$23:$A$26)+LOOKUP(R188,$E$23:$E$26,$D$23:$D$26)*(R188-LOOKUP(R188,$E$23:$E$26))/LOOKUP(R188,$E$23:$E$26,$C$23:$C$26)</f>
        <v>5.49663783825547</v>
      </c>
      <c r="AI188" s="16" t="n">
        <f aca="false">LOOKUP(S188,$E$23:$E$26,$A$23:$A$26)+LOOKUP(S188,$E$23:$E$26,$D$23:$D$26)*(S188-LOOKUP(S188,$E$23:$E$26))/LOOKUP(S188,$E$23:$E$26,$C$23:$C$26)</f>
        <v>5.11970302750627</v>
      </c>
      <c r="AJ188" s="16" t="n">
        <f aca="false">SUM($T188:T188)</f>
        <v>4.98387076802919</v>
      </c>
      <c r="AK188" s="16" t="n">
        <f aca="false">SUM($T188:U188)</f>
        <v>9.06096114052251</v>
      </c>
      <c r="AL188" s="16" t="n">
        <f aca="false">SUM($T188:V188)</f>
        <v>13.7500189510803</v>
      </c>
      <c r="AM188" s="16" t="n">
        <f aca="false">SUM($T188:W188)</f>
        <v>18.3944827766549</v>
      </c>
      <c r="AN188" s="16" t="n">
        <f aca="false">SUM($T188:X188)</f>
        <v>22.9223477541117</v>
      </c>
      <c r="AO188" s="16" t="n">
        <f aca="false">SUM($T188:Y188)</f>
        <v>27.2651371206155</v>
      </c>
      <c r="AP188" s="16" t="n">
        <f aca="false">SUM($T188:Z188)</f>
        <v>31.6408094583166</v>
      </c>
      <c r="AQ188" s="16" t="n">
        <f aca="false">SUM($T188:AA188)</f>
        <v>36.9431244459652</v>
      </c>
      <c r="AR188" s="16" t="n">
        <f aca="false">SUM($T188:AB188)</f>
        <v>41.0026426666565</v>
      </c>
      <c r="AS188" s="16" t="n">
        <f aca="false">SUM($T188:AC188)</f>
        <v>46.9645892636734</v>
      </c>
      <c r="AT188" s="16" t="n">
        <f aca="false">SUM($T188:AD188)</f>
        <v>51.522718101093</v>
      </c>
      <c r="AU188" s="16" t="n">
        <f aca="false">SUM($T188:AE188)</f>
        <v>56.1822625482581</v>
      </c>
      <c r="AV188" s="16" t="n">
        <f aca="false">SUM($T188:AF188)</f>
        <v>60.3182720640299</v>
      </c>
      <c r="AW188" s="16" t="n">
        <f aca="false">SUM($T188:AG188)</f>
        <v>65.1832681549088</v>
      </c>
      <c r="AX188" s="16" t="n">
        <f aca="false">SUM($T188:AH188)</f>
        <v>70.6799059931643</v>
      </c>
      <c r="AY188" s="16" t="n">
        <f aca="false">SUM($T188:AI188)</f>
        <v>75.7996090206705</v>
      </c>
      <c r="AZ188" s="16" t="n">
        <f aca="false">MAX(C188-AJ188,0)</f>
        <v>56.6274677381324</v>
      </c>
      <c r="BA188" s="16" t="n">
        <f aca="false">MAX(C188-AK188,0)</f>
        <v>52.5503773656391</v>
      </c>
      <c r="BB188" s="16" t="n">
        <f aca="false">MAX(C188-AL188,0)</f>
        <v>47.8613195550813</v>
      </c>
      <c r="BC188" s="16" t="n">
        <f aca="false">MAX(C188-AM188,0)</f>
        <v>43.2168557295067</v>
      </c>
      <c r="BD188" s="16" t="n">
        <f aca="false">MAX(C188-AN188,0)</f>
        <v>38.6889907520499</v>
      </c>
      <c r="BE188" s="16" t="n">
        <f aca="false">MAX(C188-AO188,0)</f>
        <v>34.3462013855462</v>
      </c>
      <c r="BF188" s="16" t="n">
        <f aca="false">MAX(C188-AP188,0)</f>
        <v>29.970529047845</v>
      </c>
      <c r="BG188" s="16" t="n">
        <f aca="false">MAX(C188-AQ188,0)</f>
        <v>24.6682140601964</v>
      </c>
      <c r="BH188" s="16" t="n">
        <f aca="false">MAX(C188-AR188,0)</f>
        <v>20.6086958395051</v>
      </c>
      <c r="BI188" s="16" t="n">
        <f aca="false">MAX(C188-AS188,0)</f>
        <v>14.6467492424882</v>
      </c>
      <c r="BJ188" s="16" t="n">
        <f aca="false">MAX(C188-AT188,0)</f>
        <v>10.0886204050686</v>
      </c>
      <c r="BK188" s="16" t="n">
        <f aca="false">MAX(C188-AU188,0)</f>
        <v>5.42907595790351</v>
      </c>
      <c r="BL188" s="16" t="n">
        <f aca="false">MAX(C188-AV188,0)</f>
        <v>1.29306644213167</v>
      </c>
      <c r="BM188" s="16" t="n">
        <f aca="false">MAX(C188-AW188,0)</f>
        <v>0</v>
      </c>
      <c r="BN188" s="16" t="n">
        <f aca="false">MAX(C188-AX188,0)</f>
        <v>0</v>
      </c>
      <c r="BO188" s="16" t="n">
        <f aca="false">MAX(C188-AY188,0)</f>
        <v>0</v>
      </c>
    </row>
    <row r="189" customFormat="false" ht="15" hidden="false" customHeight="false" outlineLevel="0" collapsed="false">
      <c r="A189" s="3" t="n">
        <v>159</v>
      </c>
      <c r="B189" s="15" t="n">
        <f aca="true">RAND()</f>
        <v>0.428086274890163</v>
      </c>
      <c r="C189" s="16" t="n">
        <f aca="false">LOOKUP(B189,$E$12:$E$17,$A$12:$A$17)+LOOKUP(B189,$E$12:$E$17,$D$12:$D$17)*(B189-LOOKUP(B189,$E$12:$E$17))/LOOKUP(B189,$E$12:$E$17,$C$12:$C$17)</f>
        <v>62.9681045815027</v>
      </c>
      <c r="D189" s="15" t="n">
        <f aca="true">RAND()</f>
        <v>0.811518872056709</v>
      </c>
      <c r="E189" s="15" t="n">
        <f aca="true">RAND()</f>
        <v>0.568956707907203</v>
      </c>
      <c r="F189" s="15" t="n">
        <f aca="true">RAND()</f>
        <v>0.503174663404074</v>
      </c>
      <c r="G189" s="15" t="n">
        <f aca="true">RAND()</f>
        <v>0.208422078537821</v>
      </c>
      <c r="H189" s="15" t="n">
        <f aca="true">RAND()</f>
        <v>0.103995178871991</v>
      </c>
      <c r="I189" s="15" t="n">
        <f aca="true">RAND()</f>
        <v>0.287290501774254</v>
      </c>
      <c r="J189" s="15" t="n">
        <f aca="true">RAND()</f>
        <v>0.208083569884597</v>
      </c>
      <c r="K189" s="15" t="n">
        <f aca="true">RAND()</f>
        <v>0.192847009584539</v>
      </c>
      <c r="L189" s="15" t="n">
        <f aca="true">RAND()</f>
        <v>0.163763315141285</v>
      </c>
      <c r="M189" s="15" t="n">
        <f aca="true">RAND()</f>
        <v>0.842333288765538</v>
      </c>
      <c r="N189" s="15" t="n">
        <f aca="true">RAND()</f>
        <v>0.591797049756405</v>
      </c>
      <c r="O189" s="15" t="n">
        <f aca="true">RAND()</f>
        <v>0.507333832812395</v>
      </c>
      <c r="P189" s="15" t="n">
        <f aca="true">RAND()</f>
        <v>0.664011570631181</v>
      </c>
      <c r="Q189" s="15" t="n">
        <f aca="true">RAND()</f>
        <v>0.494918689162702</v>
      </c>
      <c r="R189" s="15" t="n">
        <f aca="true">RAND()</f>
        <v>0.864602708639851</v>
      </c>
      <c r="S189" s="15" t="n">
        <f aca="true">RAND()</f>
        <v>0.229433020422318</v>
      </c>
      <c r="T189" s="16" t="n">
        <f aca="false">LOOKUP(D189,$E$23:$E$26,$A$23:$A$26)+LOOKUP(D189,$E$23:$E$26,$D$23:$D$26)*(D189-LOOKUP(D189,$E$23:$E$26))/LOOKUP(D189,$E$23:$E$26,$C$23:$C$26)</f>
        <v>5.27879718014177</v>
      </c>
      <c r="U189" s="16" t="n">
        <f aca="false">LOOKUP(E189,$E$23:$E$26,$A$23:$A$26)+LOOKUP(E189,$E$23:$E$26,$D$23:$D$26)*(E189-LOOKUP(E189,$E$23:$E$26))/LOOKUP(E189,$E$23:$E$26,$C$23:$C$26)</f>
        <v>4.836195884884</v>
      </c>
      <c r="V189" s="16" t="n">
        <f aca="false">LOOKUP(F189,$E$23:$E$26,$A$23:$A$26)+LOOKUP(F189,$E$23:$E$26,$D$23:$D$26)*(F189-LOOKUP(F189,$E$23:$E$26))/LOOKUP(F189,$E$23:$E$26,$C$23:$C$26)</f>
        <v>4.75396832925509</v>
      </c>
      <c r="W189" s="16" t="n">
        <f aca="false">LOOKUP(G189,$E$23:$E$26,$A$23:$A$26)+LOOKUP(G189,$E$23:$E$26,$D$23:$D$26)*(G189-LOOKUP(G189,$E$23:$E$26))/LOOKUP(G189,$E$23:$E$26,$C$23:$C$26)</f>
        <v>4.34737013089637</v>
      </c>
      <c r="X189" s="16" t="n">
        <f aca="false">LOOKUP(H189,$E$23:$E$26,$A$23:$A$26)+LOOKUP(H189,$E$23:$E$26,$D$23:$D$26)*(H189-LOOKUP(H189,$E$23:$E$26))/LOOKUP(H189,$E$23:$E$26,$C$23:$C$26)</f>
        <v>4.17332529811999</v>
      </c>
      <c r="Y189" s="16" t="n">
        <f aca="false">LOOKUP(I189,$E$23:$E$26,$A$23:$A$26)+LOOKUP(I189,$E$23:$E$26,$D$23:$D$26)*(I189-LOOKUP(I189,$E$23:$E$26))/LOOKUP(I189,$E$23:$E$26,$C$23:$C$26)</f>
        <v>4.47881750295709</v>
      </c>
      <c r="Z189" s="16" t="n">
        <f aca="false">LOOKUP(J189,$E$23:$E$26,$A$23:$A$26)+LOOKUP(J189,$E$23:$E$26,$D$23:$D$26)*(J189-LOOKUP(J189,$E$23:$E$26))/LOOKUP(J189,$E$23:$E$26,$C$23:$C$26)</f>
        <v>4.34680594980766</v>
      </c>
      <c r="AA189" s="16" t="n">
        <f aca="false">LOOKUP(K189,$E$23:$E$26,$A$23:$A$26)+LOOKUP(K189,$E$23:$E$26,$D$23:$D$26)*(K189-LOOKUP(K189,$E$23:$E$26))/LOOKUP(K189,$E$23:$E$26,$C$23:$C$26)</f>
        <v>4.3214116826409</v>
      </c>
      <c r="AB189" s="16" t="n">
        <f aca="false">LOOKUP(L189,$E$23:$E$26,$A$23:$A$26)+LOOKUP(L189,$E$23:$E$26,$D$23:$D$26)*(L189-LOOKUP(L189,$E$23:$E$26))/LOOKUP(L189,$E$23:$E$26,$C$23:$C$26)</f>
        <v>4.27293885856881</v>
      </c>
      <c r="AC189" s="16" t="n">
        <f aca="false">LOOKUP(M189,$E$23:$E$26,$A$23:$A$26)+LOOKUP(M189,$E$23:$E$26,$D$23:$D$26)*(M189-LOOKUP(M189,$E$23:$E$26))/LOOKUP(M189,$E$23:$E$26,$C$23:$C$26)</f>
        <v>5.35583322191384</v>
      </c>
      <c r="AD189" s="16" t="n">
        <f aca="false">LOOKUP(N189,$E$23:$E$26,$A$23:$A$26)+LOOKUP(N189,$E$23:$E$26,$D$23:$D$26)*(N189-LOOKUP(N189,$E$23:$E$26))/LOOKUP(N189,$E$23:$E$26,$C$23:$C$26)</f>
        <v>4.86474631219551</v>
      </c>
      <c r="AE189" s="16" t="n">
        <f aca="false">LOOKUP(O189,$E$23:$E$26,$A$23:$A$26)+LOOKUP(O189,$E$23:$E$26,$D$23:$D$26)*(O189-LOOKUP(O189,$E$23:$E$26))/LOOKUP(O189,$E$23:$E$26,$C$23:$C$26)</f>
        <v>4.75916729101549</v>
      </c>
      <c r="AF189" s="16" t="n">
        <f aca="false">LOOKUP(P189,$E$23:$E$26,$A$23:$A$26)+LOOKUP(P189,$E$23:$E$26,$D$23:$D$26)*(P189-LOOKUP(P189,$E$23:$E$26))/LOOKUP(P189,$E$23:$E$26,$C$23:$C$26)</f>
        <v>4.95501446328898</v>
      </c>
      <c r="AG189" s="16" t="n">
        <f aca="false">LOOKUP(Q189,$E$23:$E$26,$A$23:$A$26)+LOOKUP(Q189,$E$23:$E$26,$D$23:$D$26)*(Q189-LOOKUP(Q189,$E$23:$E$26))/LOOKUP(Q189,$E$23:$E$26,$C$23:$C$26)</f>
        <v>4.74364836145338</v>
      </c>
      <c r="AH189" s="16" t="n">
        <f aca="false">LOOKUP(R189,$E$23:$E$26,$A$23:$A$26)+LOOKUP(R189,$E$23:$E$26,$D$23:$D$26)*(R189-LOOKUP(R189,$E$23:$E$26))/LOOKUP(R189,$E$23:$E$26,$C$23:$C$26)</f>
        <v>5.41150677159963</v>
      </c>
      <c r="AI189" s="16" t="n">
        <f aca="false">LOOKUP(S189,$E$23:$E$26,$A$23:$A$26)+LOOKUP(S189,$E$23:$E$26,$D$23:$D$26)*(S189-LOOKUP(S189,$E$23:$E$26))/LOOKUP(S189,$E$23:$E$26,$C$23:$C$26)</f>
        <v>4.38238836737053</v>
      </c>
      <c r="AJ189" s="16" t="n">
        <f aca="false">SUM($T189:T189)</f>
        <v>5.27879718014177</v>
      </c>
      <c r="AK189" s="16" t="n">
        <f aca="false">SUM($T189:U189)</f>
        <v>10.1149930650258</v>
      </c>
      <c r="AL189" s="16" t="n">
        <f aca="false">SUM($T189:V189)</f>
        <v>14.8689613942809</v>
      </c>
      <c r="AM189" s="16" t="n">
        <f aca="false">SUM($T189:W189)</f>
        <v>19.2163315251772</v>
      </c>
      <c r="AN189" s="16" t="n">
        <f aca="false">SUM($T189:X189)</f>
        <v>23.3896568232972</v>
      </c>
      <c r="AO189" s="16" t="n">
        <f aca="false">SUM($T189:Y189)</f>
        <v>27.8684743262543</v>
      </c>
      <c r="AP189" s="16" t="n">
        <f aca="false">SUM($T189:Z189)</f>
        <v>32.215280276062</v>
      </c>
      <c r="AQ189" s="16" t="n">
        <f aca="false">SUM($T189:AA189)</f>
        <v>36.5366919587029</v>
      </c>
      <c r="AR189" s="16" t="n">
        <f aca="false">SUM($T189:AB189)</f>
        <v>40.8096308172717</v>
      </c>
      <c r="AS189" s="16" t="n">
        <f aca="false">SUM($T189:AC189)</f>
        <v>46.1654640391855</v>
      </c>
      <c r="AT189" s="16" t="n">
        <f aca="false">SUM($T189:AD189)</f>
        <v>51.030210351381</v>
      </c>
      <c r="AU189" s="16" t="n">
        <f aca="false">SUM($T189:AE189)</f>
        <v>55.7893776423965</v>
      </c>
      <c r="AV189" s="16" t="n">
        <f aca="false">SUM($T189:AF189)</f>
        <v>60.7443921056855</v>
      </c>
      <c r="AW189" s="16" t="n">
        <f aca="false">SUM($T189:AG189)</f>
        <v>65.4880404671389</v>
      </c>
      <c r="AX189" s="16" t="n">
        <f aca="false">SUM($T189:AH189)</f>
        <v>70.8995472387385</v>
      </c>
      <c r="AY189" s="16" t="n">
        <f aca="false">SUM($T189:AI189)</f>
        <v>75.281935606109</v>
      </c>
      <c r="AZ189" s="16" t="n">
        <f aca="false">MAX(C189-AJ189,0)</f>
        <v>57.6893074013609</v>
      </c>
      <c r="BA189" s="16" t="n">
        <f aca="false">MAX(C189-AK189,0)</f>
        <v>52.8531115164769</v>
      </c>
      <c r="BB189" s="16" t="n">
        <f aca="false">MAX(C189-AL189,0)</f>
        <v>48.0991431872219</v>
      </c>
      <c r="BC189" s="16" t="n">
        <f aca="false">MAX(C189-AM189,0)</f>
        <v>43.7517730563255</v>
      </c>
      <c r="BD189" s="16" t="n">
        <f aca="false">MAX(C189-AN189,0)</f>
        <v>39.5784477582055</v>
      </c>
      <c r="BE189" s="16" t="n">
        <f aca="false">MAX(C189-AO189,0)</f>
        <v>35.0996302552484</v>
      </c>
      <c r="BF189" s="16" t="n">
        <f aca="false">MAX(C189-AP189,0)</f>
        <v>30.7528243054407</v>
      </c>
      <c r="BG189" s="16" t="n">
        <f aca="false">MAX(C189-AQ189,0)</f>
        <v>26.4314126227998</v>
      </c>
      <c r="BH189" s="16" t="n">
        <f aca="false">MAX(C189-AR189,0)</f>
        <v>22.158473764231</v>
      </c>
      <c r="BI189" s="16" t="n">
        <f aca="false">MAX(C189-AS189,0)</f>
        <v>16.8026405423172</v>
      </c>
      <c r="BJ189" s="16" t="n">
        <f aca="false">MAX(C189-AT189,0)</f>
        <v>11.9378942301217</v>
      </c>
      <c r="BK189" s="16" t="n">
        <f aca="false">MAX(C189-AU189,0)</f>
        <v>7.17872693910619</v>
      </c>
      <c r="BL189" s="16" t="n">
        <f aca="false">MAX(C189-AV189,0)</f>
        <v>2.22371247581722</v>
      </c>
      <c r="BM189" s="16" t="n">
        <f aca="false">MAX(C189-AW189,0)</f>
        <v>0</v>
      </c>
      <c r="BN189" s="16" t="n">
        <f aca="false">MAX(C189-AX189,0)</f>
        <v>0</v>
      </c>
      <c r="BO189" s="16" t="n">
        <f aca="false">MAX(C189-AY189,0)</f>
        <v>0</v>
      </c>
    </row>
    <row r="190" customFormat="false" ht="15" hidden="false" customHeight="false" outlineLevel="0" collapsed="false">
      <c r="A190" s="3" t="n">
        <v>160</v>
      </c>
      <c r="B190" s="15" t="n">
        <f aca="true">RAND()</f>
        <v>0.852449641773294</v>
      </c>
      <c r="C190" s="16" t="n">
        <f aca="false">LOOKUP(B190,$E$12:$E$17,$A$12:$A$17)+LOOKUP(B190,$E$12:$E$17,$D$12:$D$17)*(B190-LOOKUP(B190,$E$12:$E$17))/LOOKUP(B190,$E$12:$E$17,$C$12:$C$17)</f>
        <v>69.3207091681899</v>
      </c>
      <c r="D190" s="15" t="n">
        <f aca="true">RAND()</f>
        <v>0.693946051814645</v>
      </c>
      <c r="E190" s="15" t="n">
        <f aca="true">RAND()</f>
        <v>0.274460157848749</v>
      </c>
      <c r="F190" s="15" t="n">
        <f aca="true">RAND()</f>
        <v>0.343209147073966</v>
      </c>
      <c r="G190" s="15" t="n">
        <f aca="true">RAND()</f>
        <v>0.406293323737089</v>
      </c>
      <c r="H190" s="15" t="n">
        <f aca="true">RAND()</f>
        <v>0.478002367419484</v>
      </c>
      <c r="I190" s="15" t="n">
        <f aca="true">RAND()</f>
        <v>0.218159625623217</v>
      </c>
      <c r="J190" s="15" t="n">
        <f aca="true">RAND()</f>
        <v>0.772798815629975</v>
      </c>
      <c r="K190" s="15" t="n">
        <f aca="true">RAND()</f>
        <v>0.177425785270193</v>
      </c>
      <c r="L190" s="15" t="n">
        <f aca="true">RAND()</f>
        <v>0.45646468858725</v>
      </c>
      <c r="M190" s="15" t="n">
        <f aca="true">RAND()</f>
        <v>0.334238345292448</v>
      </c>
      <c r="N190" s="15" t="n">
        <f aca="true">RAND()</f>
        <v>0.193879022184541</v>
      </c>
      <c r="O190" s="15" t="n">
        <f aca="true">RAND()</f>
        <v>0.169732192977992</v>
      </c>
      <c r="P190" s="15" t="n">
        <f aca="true">RAND()</f>
        <v>0.000782576421957454</v>
      </c>
      <c r="Q190" s="15" t="n">
        <f aca="true">RAND()</f>
        <v>0.861404923869966</v>
      </c>
      <c r="R190" s="15" t="n">
        <f aca="true">RAND()</f>
        <v>0.0098562060315561</v>
      </c>
      <c r="S190" s="15" t="n">
        <f aca="true">RAND()</f>
        <v>0.466301549101645</v>
      </c>
      <c r="T190" s="16" t="n">
        <f aca="false">LOOKUP(D190,$E$23:$E$26,$A$23:$A$26)+LOOKUP(D190,$E$23:$E$26,$D$23:$D$26)*(D190-LOOKUP(D190,$E$23:$E$26))/LOOKUP(D190,$E$23:$E$26,$C$23:$C$26)</f>
        <v>4.99243256476831</v>
      </c>
      <c r="U190" s="16" t="n">
        <f aca="false">LOOKUP(E190,$E$23:$E$26,$A$23:$A$26)+LOOKUP(E190,$E$23:$E$26,$D$23:$D$26)*(E190-LOOKUP(E190,$E$23:$E$26))/LOOKUP(E190,$E$23:$E$26,$C$23:$C$26)</f>
        <v>4.45743359641458</v>
      </c>
      <c r="V190" s="16" t="n">
        <f aca="false">LOOKUP(F190,$E$23:$E$26,$A$23:$A$26)+LOOKUP(F190,$E$23:$E$26,$D$23:$D$26)*(F190-LOOKUP(F190,$E$23:$E$26))/LOOKUP(F190,$E$23:$E$26,$C$23:$C$26)</f>
        <v>4.55401143384246</v>
      </c>
      <c r="W190" s="16" t="n">
        <f aca="false">LOOKUP(G190,$E$23:$E$26,$A$23:$A$26)+LOOKUP(G190,$E$23:$E$26,$D$23:$D$26)*(G190-LOOKUP(G190,$E$23:$E$26))/LOOKUP(G190,$E$23:$E$26,$C$23:$C$26)</f>
        <v>4.63286665467136</v>
      </c>
      <c r="X190" s="16" t="n">
        <f aca="false">LOOKUP(H190,$E$23:$E$26,$A$23:$A$26)+LOOKUP(H190,$E$23:$E$26,$D$23:$D$26)*(H190-LOOKUP(H190,$E$23:$E$26))/LOOKUP(H190,$E$23:$E$26,$C$23:$C$26)</f>
        <v>4.72250295927436</v>
      </c>
      <c r="Y190" s="16" t="n">
        <f aca="false">LOOKUP(I190,$E$23:$E$26,$A$23:$A$26)+LOOKUP(I190,$E$23:$E$26,$D$23:$D$26)*(I190-LOOKUP(I190,$E$23:$E$26))/LOOKUP(I190,$E$23:$E$26,$C$23:$C$26)</f>
        <v>4.36359937603869</v>
      </c>
      <c r="Z190" s="16" t="n">
        <f aca="false">LOOKUP(J190,$E$23:$E$26,$A$23:$A$26)+LOOKUP(J190,$E$23:$E$26,$D$23:$D$26)*(J190-LOOKUP(J190,$E$23:$E$26))/LOOKUP(J190,$E$23:$E$26,$C$23:$C$26)</f>
        <v>5.18199703907494</v>
      </c>
      <c r="AA190" s="16" t="n">
        <f aca="false">LOOKUP(K190,$E$23:$E$26,$A$23:$A$26)+LOOKUP(K190,$E$23:$E$26,$D$23:$D$26)*(K190-LOOKUP(K190,$E$23:$E$26))/LOOKUP(K190,$E$23:$E$26,$C$23:$C$26)</f>
        <v>4.29570964211699</v>
      </c>
      <c r="AB190" s="16" t="n">
        <f aca="false">LOOKUP(L190,$E$23:$E$26,$A$23:$A$26)+LOOKUP(L190,$E$23:$E$26,$D$23:$D$26)*(L190-LOOKUP(L190,$E$23:$E$26))/LOOKUP(L190,$E$23:$E$26,$C$23:$C$26)</f>
        <v>4.69558086073406</v>
      </c>
      <c r="AC190" s="16" t="n">
        <f aca="false">LOOKUP(M190,$E$23:$E$26,$A$23:$A$26)+LOOKUP(M190,$E$23:$E$26,$D$23:$D$26)*(M190-LOOKUP(M190,$E$23:$E$26))/LOOKUP(M190,$E$23:$E$26,$C$23:$C$26)</f>
        <v>4.54279793161556</v>
      </c>
      <c r="AD190" s="16" t="n">
        <f aca="false">LOOKUP(N190,$E$23:$E$26,$A$23:$A$26)+LOOKUP(N190,$E$23:$E$26,$D$23:$D$26)*(N190-LOOKUP(N190,$E$23:$E$26))/LOOKUP(N190,$E$23:$E$26,$C$23:$C$26)</f>
        <v>4.3231317036409</v>
      </c>
      <c r="AE190" s="16" t="n">
        <f aca="false">LOOKUP(O190,$E$23:$E$26,$A$23:$A$26)+LOOKUP(O190,$E$23:$E$26,$D$23:$D$26)*(O190-LOOKUP(O190,$E$23:$E$26))/LOOKUP(O190,$E$23:$E$26,$C$23:$C$26)</f>
        <v>4.28288698829665</v>
      </c>
      <c r="AF190" s="16" t="n">
        <f aca="false">LOOKUP(P190,$E$23:$E$26,$A$23:$A$26)+LOOKUP(P190,$E$23:$E$26,$D$23:$D$26)*(P190-LOOKUP(P190,$E$23:$E$26))/LOOKUP(P190,$E$23:$E$26,$C$23:$C$26)</f>
        <v>4.0013042940366</v>
      </c>
      <c r="AG190" s="16" t="n">
        <f aca="false">LOOKUP(Q190,$E$23:$E$26,$A$23:$A$26)+LOOKUP(Q190,$E$23:$E$26,$D$23:$D$26)*(Q190-LOOKUP(Q190,$E$23:$E$26))/LOOKUP(Q190,$E$23:$E$26,$C$23:$C$26)</f>
        <v>5.40351230967492</v>
      </c>
      <c r="AH190" s="16" t="n">
        <f aca="false">LOOKUP(R190,$E$23:$E$26,$A$23:$A$26)+LOOKUP(R190,$E$23:$E$26,$D$23:$D$26)*(R190-LOOKUP(R190,$E$23:$E$26))/LOOKUP(R190,$E$23:$E$26,$C$23:$C$26)</f>
        <v>4.01642701005259</v>
      </c>
      <c r="AI190" s="16" t="n">
        <f aca="false">LOOKUP(S190,$E$23:$E$26,$A$23:$A$26)+LOOKUP(S190,$E$23:$E$26,$D$23:$D$26)*(S190-LOOKUP(S190,$E$23:$E$26))/LOOKUP(S190,$E$23:$E$26,$C$23:$C$26)</f>
        <v>4.70787693637706</v>
      </c>
      <c r="AJ190" s="16" t="n">
        <f aca="false">SUM($T190:T190)</f>
        <v>4.99243256476831</v>
      </c>
      <c r="AK190" s="16" t="n">
        <f aca="false">SUM($T190:U190)</f>
        <v>9.44986616118289</v>
      </c>
      <c r="AL190" s="16" t="n">
        <f aca="false">SUM($T190:V190)</f>
        <v>14.0038775950253</v>
      </c>
      <c r="AM190" s="16" t="n">
        <f aca="false">SUM($T190:W190)</f>
        <v>18.6367442496967</v>
      </c>
      <c r="AN190" s="16" t="n">
        <f aca="false">SUM($T190:X190)</f>
        <v>23.3592472089711</v>
      </c>
      <c r="AO190" s="16" t="n">
        <f aca="false">SUM($T190:Y190)</f>
        <v>27.7228465850098</v>
      </c>
      <c r="AP190" s="16" t="n">
        <f aca="false">SUM($T190:Z190)</f>
        <v>32.9048436240847</v>
      </c>
      <c r="AQ190" s="16" t="n">
        <f aca="false">SUM($T190:AA190)</f>
        <v>37.2005532662017</v>
      </c>
      <c r="AR190" s="16" t="n">
        <f aca="false">SUM($T190:AB190)</f>
        <v>41.8961341269357</v>
      </c>
      <c r="AS190" s="16" t="n">
        <f aca="false">SUM($T190:AC190)</f>
        <v>46.4389320585513</v>
      </c>
      <c r="AT190" s="16" t="n">
        <f aca="false">SUM($T190:AD190)</f>
        <v>50.7620637621922</v>
      </c>
      <c r="AU190" s="16" t="n">
        <f aca="false">SUM($T190:AE190)</f>
        <v>55.0449507504889</v>
      </c>
      <c r="AV190" s="16" t="n">
        <f aca="false">SUM($T190:AF190)</f>
        <v>59.0462550445255</v>
      </c>
      <c r="AW190" s="16" t="n">
        <f aca="false">SUM($T190:AG190)</f>
        <v>64.4497673542004</v>
      </c>
      <c r="AX190" s="16" t="n">
        <f aca="false">SUM($T190:AH190)</f>
        <v>68.466194364253</v>
      </c>
      <c r="AY190" s="16" t="n">
        <f aca="false">SUM($T190:AI190)</f>
        <v>73.17407130063</v>
      </c>
      <c r="AZ190" s="16" t="n">
        <f aca="false">MAX(C190-AJ190,0)</f>
        <v>64.3282766034216</v>
      </c>
      <c r="BA190" s="16" t="n">
        <f aca="false">MAX(C190-AK190,0)</f>
        <v>59.870843007007</v>
      </c>
      <c r="BB190" s="16" t="n">
        <f aca="false">MAX(C190-AL190,0)</f>
        <v>55.3168315731646</v>
      </c>
      <c r="BC190" s="16" t="n">
        <f aca="false">MAX(C190-AM190,0)</f>
        <v>50.6839649184932</v>
      </c>
      <c r="BD190" s="16" t="n">
        <f aca="false">MAX(C190-AN190,0)</f>
        <v>45.9614619592189</v>
      </c>
      <c r="BE190" s="16" t="n">
        <f aca="false">MAX(C190-AO190,0)</f>
        <v>41.5978625831802</v>
      </c>
      <c r="BF190" s="16" t="n">
        <f aca="false">MAX(C190-AP190,0)</f>
        <v>36.4158655441052</v>
      </c>
      <c r="BG190" s="16" t="n">
        <f aca="false">MAX(C190-AQ190,0)</f>
        <v>32.1201559019882</v>
      </c>
      <c r="BH190" s="16" t="n">
        <f aca="false">MAX(C190-AR190,0)</f>
        <v>27.4245750412542</v>
      </c>
      <c r="BI190" s="16" t="n">
        <f aca="false">MAX(C190-AS190,0)</f>
        <v>22.8817771096386</v>
      </c>
      <c r="BJ190" s="16" t="n">
        <f aca="false">MAX(C190-AT190,0)</f>
        <v>18.5586454059977</v>
      </c>
      <c r="BK190" s="16" t="n">
        <f aca="false">MAX(C190-AU190,0)</f>
        <v>14.2757584177011</v>
      </c>
      <c r="BL190" s="16" t="n">
        <f aca="false">MAX(C190-AV190,0)</f>
        <v>10.2744541236645</v>
      </c>
      <c r="BM190" s="16" t="n">
        <f aca="false">MAX(C190-AW190,0)</f>
        <v>4.87094181398955</v>
      </c>
      <c r="BN190" s="16" t="n">
        <f aca="false">MAX(C190-AX190,0)</f>
        <v>0.854514803936951</v>
      </c>
      <c r="BO190" s="16" t="n">
        <f aca="false">MAX(C190-AY190,0)</f>
        <v>0</v>
      </c>
    </row>
    <row r="191" customFormat="false" ht="15" hidden="false" customHeight="false" outlineLevel="0" collapsed="false">
      <c r="A191" s="3" t="n">
        <v>161</v>
      </c>
      <c r="B191" s="15" t="n">
        <f aca="true">RAND()</f>
        <v>0.895622680173155</v>
      </c>
      <c r="C191" s="16" t="n">
        <f aca="false">LOOKUP(B191,$E$12:$E$17,$A$12:$A$17)+LOOKUP(B191,$E$12:$E$17,$D$12:$D$17)*(B191-LOOKUP(B191,$E$12:$E$17))/LOOKUP(B191,$E$12:$E$17,$C$12:$C$17)</f>
        <v>69.9374668596165</v>
      </c>
      <c r="D191" s="15" t="n">
        <f aca="true">RAND()</f>
        <v>0.0749386084754305</v>
      </c>
      <c r="E191" s="15" t="n">
        <f aca="true">RAND()</f>
        <v>0.599951094034428</v>
      </c>
      <c r="F191" s="15" t="n">
        <f aca="true">RAND()</f>
        <v>0.898684186384696</v>
      </c>
      <c r="G191" s="15" t="n">
        <f aca="true">RAND()</f>
        <v>0.337806038804081</v>
      </c>
      <c r="H191" s="15" t="n">
        <f aca="true">RAND()</f>
        <v>0.500513462527875</v>
      </c>
      <c r="I191" s="15" t="n">
        <f aca="true">RAND()</f>
        <v>0.696869004683268</v>
      </c>
      <c r="J191" s="15" t="n">
        <f aca="true">RAND()</f>
        <v>0.131912859323965</v>
      </c>
      <c r="K191" s="15" t="n">
        <f aca="true">RAND()</f>
        <v>0.915759715408476</v>
      </c>
      <c r="L191" s="15" t="n">
        <f aca="true">RAND()</f>
        <v>0.453548567068269</v>
      </c>
      <c r="M191" s="15" t="n">
        <f aca="true">RAND()</f>
        <v>0.977048276678908</v>
      </c>
      <c r="N191" s="15" t="n">
        <f aca="true">RAND()</f>
        <v>0.529076194914092</v>
      </c>
      <c r="O191" s="15" t="n">
        <f aca="true">RAND()</f>
        <v>0.12838680714395</v>
      </c>
      <c r="P191" s="15" t="n">
        <f aca="true">RAND()</f>
        <v>0.659094948975325</v>
      </c>
      <c r="Q191" s="15" t="n">
        <f aca="true">RAND()</f>
        <v>0.458291376440041</v>
      </c>
      <c r="R191" s="15" t="n">
        <f aca="true">RAND()</f>
        <v>0.995811538919742</v>
      </c>
      <c r="S191" s="15" t="n">
        <f aca="true">RAND()</f>
        <v>0.0378815630473983</v>
      </c>
      <c r="T191" s="16" t="n">
        <f aca="false">LOOKUP(D191,$E$23:$E$26,$A$23:$A$26)+LOOKUP(D191,$E$23:$E$26,$D$23:$D$26)*(D191-LOOKUP(D191,$E$23:$E$26))/LOOKUP(D191,$E$23:$E$26,$C$23:$C$26)</f>
        <v>4.12489768079238</v>
      </c>
      <c r="U191" s="16" t="n">
        <f aca="false">LOOKUP(E191,$E$23:$E$26,$A$23:$A$26)+LOOKUP(E191,$E$23:$E$26,$D$23:$D$26)*(E191-LOOKUP(E191,$E$23:$E$26))/LOOKUP(E191,$E$23:$E$26,$C$23:$C$26)</f>
        <v>4.87493886754304</v>
      </c>
      <c r="V191" s="16" t="n">
        <f aca="false">LOOKUP(F191,$E$23:$E$26,$A$23:$A$26)+LOOKUP(F191,$E$23:$E$26,$D$23:$D$26)*(F191-LOOKUP(F191,$E$23:$E$26))/LOOKUP(F191,$E$23:$E$26,$C$23:$C$26)</f>
        <v>5.49671046596174</v>
      </c>
      <c r="W191" s="16" t="n">
        <f aca="false">LOOKUP(G191,$E$23:$E$26,$A$23:$A$26)+LOOKUP(G191,$E$23:$E$26,$D$23:$D$26)*(G191-LOOKUP(G191,$E$23:$E$26))/LOOKUP(G191,$E$23:$E$26,$C$23:$C$26)</f>
        <v>4.5472575485051</v>
      </c>
      <c r="X191" s="16" t="n">
        <f aca="false">LOOKUP(H191,$E$23:$E$26,$A$23:$A$26)+LOOKUP(H191,$E$23:$E$26,$D$23:$D$26)*(H191-LOOKUP(H191,$E$23:$E$26))/LOOKUP(H191,$E$23:$E$26,$C$23:$C$26)</f>
        <v>4.75064182815984</v>
      </c>
      <c r="Y191" s="16" t="n">
        <f aca="false">LOOKUP(I191,$E$23:$E$26,$A$23:$A$26)+LOOKUP(I191,$E$23:$E$26,$D$23:$D$26)*(I191-LOOKUP(I191,$E$23:$E$26))/LOOKUP(I191,$E$23:$E$26,$C$23:$C$26)</f>
        <v>4.99608625585409</v>
      </c>
      <c r="Z191" s="16" t="n">
        <f aca="false">LOOKUP(J191,$E$23:$E$26,$A$23:$A$26)+LOOKUP(J191,$E$23:$E$26,$D$23:$D$26)*(J191-LOOKUP(J191,$E$23:$E$26))/LOOKUP(J191,$E$23:$E$26,$C$23:$C$26)</f>
        <v>4.21985476553994</v>
      </c>
      <c r="AA191" s="16" t="n">
        <f aca="false">LOOKUP(K191,$E$23:$E$26,$A$23:$A$26)+LOOKUP(K191,$E$23:$E$26,$D$23:$D$26)*(K191-LOOKUP(K191,$E$23:$E$26))/LOOKUP(K191,$E$23:$E$26,$C$23:$C$26)</f>
        <v>5.57879857704238</v>
      </c>
      <c r="AB191" s="16" t="n">
        <f aca="false">LOOKUP(L191,$E$23:$E$26,$A$23:$A$26)+LOOKUP(L191,$E$23:$E$26,$D$23:$D$26)*(L191-LOOKUP(L191,$E$23:$E$26))/LOOKUP(L191,$E$23:$E$26,$C$23:$C$26)</f>
        <v>4.69193570883534</v>
      </c>
      <c r="AC191" s="16" t="n">
        <f aca="false">LOOKUP(M191,$E$23:$E$26,$A$23:$A$26)+LOOKUP(M191,$E$23:$E$26,$D$23:$D$26)*(M191-LOOKUP(M191,$E$23:$E$26))/LOOKUP(M191,$E$23:$E$26,$C$23:$C$26)</f>
        <v>5.88524138339454</v>
      </c>
      <c r="AD191" s="16" t="n">
        <f aca="false">LOOKUP(N191,$E$23:$E$26,$A$23:$A$26)+LOOKUP(N191,$E$23:$E$26,$D$23:$D$26)*(N191-LOOKUP(N191,$E$23:$E$26))/LOOKUP(N191,$E$23:$E$26,$C$23:$C$26)</f>
        <v>4.78634524364262</v>
      </c>
      <c r="AE191" s="16" t="n">
        <f aca="false">LOOKUP(O191,$E$23:$E$26,$A$23:$A$26)+LOOKUP(O191,$E$23:$E$26,$D$23:$D$26)*(O191-LOOKUP(O191,$E$23:$E$26))/LOOKUP(O191,$E$23:$E$26,$C$23:$C$26)</f>
        <v>4.21397801190658</v>
      </c>
      <c r="AF191" s="16" t="n">
        <f aca="false">LOOKUP(P191,$E$23:$E$26,$A$23:$A$26)+LOOKUP(P191,$E$23:$E$26,$D$23:$D$26)*(P191-LOOKUP(P191,$E$23:$E$26))/LOOKUP(P191,$E$23:$E$26,$C$23:$C$26)</f>
        <v>4.94886868621916</v>
      </c>
      <c r="AG191" s="16" t="n">
        <f aca="false">LOOKUP(Q191,$E$23:$E$26,$A$23:$A$26)+LOOKUP(Q191,$E$23:$E$26,$D$23:$D$26)*(Q191-LOOKUP(Q191,$E$23:$E$26))/LOOKUP(Q191,$E$23:$E$26,$C$23:$C$26)</f>
        <v>4.69786422055005</v>
      </c>
      <c r="AH191" s="16" t="n">
        <f aca="false">LOOKUP(R191,$E$23:$E$26,$A$23:$A$26)+LOOKUP(R191,$E$23:$E$26,$D$23:$D$26)*(R191-LOOKUP(R191,$E$23:$E$26))/LOOKUP(R191,$E$23:$E$26,$C$23:$C$26)</f>
        <v>5.97905769459871</v>
      </c>
      <c r="AI191" s="16" t="n">
        <f aca="false">LOOKUP(S191,$E$23:$E$26,$A$23:$A$26)+LOOKUP(S191,$E$23:$E$26,$D$23:$D$26)*(S191-LOOKUP(S191,$E$23:$E$26))/LOOKUP(S191,$E$23:$E$26,$C$23:$C$26)</f>
        <v>4.06313593841233</v>
      </c>
      <c r="AJ191" s="16" t="n">
        <f aca="false">SUM($T191:T191)</f>
        <v>4.12489768079238</v>
      </c>
      <c r="AK191" s="16" t="n">
        <f aca="false">SUM($T191:U191)</f>
        <v>8.99983654833542</v>
      </c>
      <c r="AL191" s="16" t="n">
        <f aca="false">SUM($T191:V191)</f>
        <v>14.4965470142972</v>
      </c>
      <c r="AM191" s="16" t="n">
        <f aca="false">SUM($T191:W191)</f>
        <v>19.0438045628023</v>
      </c>
      <c r="AN191" s="16" t="n">
        <f aca="false">SUM($T191:X191)</f>
        <v>23.7944463909621</v>
      </c>
      <c r="AO191" s="16" t="n">
        <f aca="false">SUM($T191:Y191)</f>
        <v>28.7905326468162</v>
      </c>
      <c r="AP191" s="16" t="n">
        <f aca="false">SUM($T191:Z191)</f>
        <v>33.0103874123561</v>
      </c>
      <c r="AQ191" s="16" t="n">
        <f aca="false">SUM($T191:AA191)</f>
        <v>38.5891859893985</v>
      </c>
      <c r="AR191" s="16" t="n">
        <f aca="false">SUM($T191:AB191)</f>
        <v>43.2811216982339</v>
      </c>
      <c r="AS191" s="16" t="n">
        <f aca="false">SUM($T191:AC191)</f>
        <v>49.1663630816284</v>
      </c>
      <c r="AT191" s="16" t="n">
        <f aca="false">SUM($T191:AD191)</f>
        <v>53.952708325271</v>
      </c>
      <c r="AU191" s="16" t="n">
        <f aca="false">SUM($T191:AE191)</f>
        <v>58.1666863371776</v>
      </c>
      <c r="AV191" s="16" t="n">
        <f aca="false">SUM($T191:AF191)</f>
        <v>63.1155550233967</v>
      </c>
      <c r="AW191" s="16" t="n">
        <f aca="false">SUM($T191:AG191)</f>
        <v>67.8134192439468</v>
      </c>
      <c r="AX191" s="16" t="n">
        <f aca="false">SUM($T191:AH191)</f>
        <v>73.7924769385455</v>
      </c>
      <c r="AY191" s="16" t="n">
        <f aca="false">SUM($T191:AI191)</f>
        <v>77.8556128769578</v>
      </c>
      <c r="AZ191" s="16" t="n">
        <f aca="false">MAX(C191-AJ191,0)</f>
        <v>65.8125691788241</v>
      </c>
      <c r="BA191" s="16" t="n">
        <f aca="false">MAX(C191-AK191,0)</f>
        <v>60.9376303112811</v>
      </c>
      <c r="BB191" s="16" t="n">
        <f aca="false">MAX(C191-AL191,0)</f>
        <v>55.4409198453193</v>
      </c>
      <c r="BC191" s="16" t="n">
        <f aca="false">MAX(C191-AM191,0)</f>
        <v>50.8936622968142</v>
      </c>
      <c r="BD191" s="16" t="n">
        <f aca="false">MAX(C191-AN191,0)</f>
        <v>46.1430204686544</v>
      </c>
      <c r="BE191" s="16" t="n">
        <f aca="false">MAX(C191-AO191,0)</f>
        <v>41.1469342128003</v>
      </c>
      <c r="BF191" s="16" t="n">
        <f aca="false">MAX(C191-AP191,0)</f>
        <v>36.9270794472604</v>
      </c>
      <c r="BG191" s="16" t="n">
        <f aca="false">MAX(C191-AQ191,0)</f>
        <v>31.348280870218</v>
      </c>
      <c r="BH191" s="16" t="n">
        <f aca="false">MAX(C191-AR191,0)</f>
        <v>26.6563451613826</v>
      </c>
      <c r="BI191" s="16" t="n">
        <f aca="false">MAX(C191-AS191,0)</f>
        <v>20.7711037779881</v>
      </c>
      <c r="BJ191" s="16" t="n">
        <f aca="false">MAX(C191-AT191,0)</f>
        <v>15.9847585343455</v>
      </c>
      <c r="BK191" s="16" t="n">
        <f aca="false">MAX(C191-AU191,0)</f>
        <v>11.7707805224389</v>
      </c>
      <c r="BL191" s="16" t="n">
        <f aca="false">MAX(C191-AV191,0)</f>
        <v>6.82191183621976</v>
      </c>
      <c r="BM191" s="16" t="n">
        <f aca="false">MAX(C191-AW191,0)</f>
        <v>2.12404761566971</v>
      </c>
      <c r="BN191" s="16" t="n">
        <f aca="false">MAX(C191-AX191,0)</f>
        <v>0</v>
      </c>
      <c r="BO191" s="16" t="n">
        <f aca="false">MAX(C191-AY191,0)</f>
        <v>0</v>
      </c>
    </row>
    <row r="192" customFormat="false" ht="15" hidden="false" customHeight="false" outlineLevel="0" collapsed="false">
      <c r="A192" s="3" t="n">
        <v>162</v>
      </c>
      <c r="B192" s="15" t="n">
        <f aca="true">RAND()</f>
        <v>0.979681568715558</v>
      </c>
      <c r="C192" s="16" t="n">
        <f aca="false">LOOKUP(B192,$E$12:$E$17,$A$12:$A$17)+LOOKUP(B192,$E$12:$E$17,$D$12:$D$17)*(B192-LOOKUP(B192,$E$12:$E$17))/LOOKUP(B192,$E$12:$E$17,$C$12:$C$17)</f>
        <v>79.9800980447224</v>
      </c>
      <c r="D192" s="15" t="n">
        <f aca="true">RAND()</f>
        <v>0.0197167705058634</v>
      </c>
      <c r="E192" s="15" t="n">
        <f aca="true">RAND()</f>
        <v>0.686606824270385</v>
      </c>
      <c r="F192" s="15" t="n">
        <f aca="true">RAND()</f>
        <v>0.0808924882864288</v>
      </c>
      <c r="G192" s="15" t="n">
        <f aca="true">RAND()</f>
        <v>0.197334293387119</v>
      </c>
      <c r="H192" s="15" t="n">
        <f aca="true">RAND()</f>
        <v>0.253804037623637</v>
      </c>
      <c r="I192" s="15" t="n">
        <f aca="true">RAND()</f>
        <v>0.971959068963275</v>
      </c>
      <c r="J192" s="15" t="n">
        <f aca="true">RAND()</f>
        <v>0.801163016374082</v>
      </c>
      <c r="K192" s="15" t="n">
        <f aca="true">RAND()</f>
        <v>0.131998641259432</v>
      </c>
      <c r="L192" s="15" t="n">
        <f aca="true">RAND()</f>
        <v>0.194640244528312</v>
      </c>
      <c r="M192" s="15" t="n">
        <f aca="true">RAND()</f>
        <v>0.0832562857215533</v>
      </c>
      <c r="N192" s="15" t="n">
        <f aca="true">RAND()</f>
        <v>0.568536648293873</v>
      </c>
      <c r="O192" s="15" t="n">
        <f aca="true">RAND()</f>
        <v>0.292200495744782</v>
      </c>
      <c r="P192" s="15" t="n">
        <f aca="true">RAND()</f>
        <v>0.735205386398416</v>
      </c>
      <c r="Q192" s="15" t="n">
        <f aca="true">RAND()</f>
        <v>0.859687872495496</v>
      </c>
      <c r="R192" s="15" t="n">
        <f aca="true">RAND()</f>
        <v>0.035874271620251</v>
      </c>
      <c r="S192" s="15" t="n">
        <f aca="true">RAND()</f>
        <v>0.918689349159888</v>
      </c>
      <c r="T192" s="16" t="n">
        <f aca="false">LOOKUP(D192,$E$23:$E$26,$A$23:$A$26)+LOOKUP(D192,$E$23:$E$26,$D$23:$D$26)*(D192-LOOKUP(D192,$E$23:$E$26))/LOOKUP(D192,$E$23:$E$26,$C$23:$C$26)</f>
        <v>4.03286128417644</v>
      </c>
      <c r="U192" s="16" t="n">
        <f aca="false">LOOKUP(E192,$E$23:$E$26,$A$23:$A$26)+LOOKUP(E192,$E$23:$E$26,$D$23:$D$26)*(E192-LOOKUP(E192,$E$23:$E$26))/LOOKUP(E192,$E$23:$E$26,$C$23:$C$26)</f>
        <v>4.98325853033798</v>
      </c>
      <c r="V192" s="16" t="n">
        <f aca="false">LOOKUP(F192,$E$23:$E$26,$A$23:$A$26)+LOOKUP(F192,$E$23:$E$26,$D$23:$D$26)*(F192-LOOKUP(F192,$E$23:$E$26))/LOOKUP(F192,$E$23:$E$26,$C$23:$C$26)</f>
        <v>4.13482081381071</v>
      </c>
      <c r="W192" s="16" t="n">
        <f aca="false">LOOKUP(G192,$E$23:$E$26,$A$23:$A$26)+LOOKUP(G192,$E$23:$E$26,$D$23:$D$26)*(G192-LOOKUP(G192,$E$23:$E$26))/LOOKUP(G192,$E$23:$E$26,$C$23:$C$26)</f>
        <v>4.32889048897853</v>
      </c>
      <c r="X192" s="16" t="n">
        <f aca="false">LOOKUP(H192,$E$23:$E$26,$A$23:$A$26)+LOOKUP(H192,$E$23:$E$26,$D$23:$D$26)*(H192-LOOKUP(H192,$E$23:$E$26))/LOOKUP(H192,$E$23:$E$26,$C$23:$C$26)</f>
        <v>4.42300672937273</v>
      </c>
      <c r="Y192" s="16" t="n">
        <f aca="false">LOOKUP(I192,$E$23:$E$26,$A$23:$A$26)+LOOKUP(I192,$E$23:$E$26,$D$23:$D$26)*(I192-LOOKUP(I192,$E$23:$E$26))/LOOKUP(I192,$E$23:$E$26,$C$23:$C$26)</f>
        <v>5.85979534481638</v>
      </c>
      <c r="Z192" s="16" t="n">
        <f aca="false">LOOKUP(J192,$E$23:$E$26,$A$23:$A$26)+LOOKUP(J192,$E$23:$E$26,$D$23:$D$26)*(J192-LOOKUP(J192,$E$23:$E$26))/LOOKUP(J192,$E$23:$E$26,$C$23:$C$26)</f>
        <v>5.2529075409352</v>
      </c>
      <c r="AA192" s="16" t="n">
        <f aca="false">LOOKUP(K192,$E$23:$E$26,$A$23:$A$26)+LOOKUP(K192,$E$23:$E$26,$D$23:$D$26)*(K192-LOOKUP(K192,$E$23:$E$26))/LOOKUP(K192,$E$23:$E$26,$C$23:$C$26)</f>
        <v>4.21999773543239</v>
      </c>
      <c r="AB192" s="16" t="n">
        <f aca="false">LOOKUP(L192,$E$23:$E$26,$A$23:$A$26)+LOOKUP(L192,$E$23:$E$26,$D$23:$D$26)*(L192-LOOKUP(L192,$E$23:$E$26))/LOOKUP(L192,$E$23:$E$26,$C$23:$C$26)</f>
        <v>4.32440040754719</v>
      </c>
      <c r="AC192" s="16" t="n">
        <f aca="false">LOOKUP(M192,$E$23:$E$26,$A$23:$A$26)+LOOKUP(M192,$E$23:$E$26,$D$23:$D$26)*(M192-LOOKUP(M192,$E$23:$E$26))/LOOKUP(M192,$E$23:$E$26,$C$23:$C$26)</f>
        <v>4.13876047620259</v>
      </c>
      <c r="AD192" s="16" t="n">
        <f aca="false">LOOKUP(N192,$E$23:$E$26,$A$23:$A$26)+LOOKUP(N192,$E$23:$E$26,$D$23:$D$26)*(N192-LOOKUP(N192,$E$23:$E$26))/LOOKUP(N192,$E$23:$E$26,$C$23:$C$26)</f>
        <v>4.83567081036734</v>
      </c>
      <c r="AE192" s="16" t="n">
        <f aca="false">LOOKUP(O192,$E$23:$E$26,$A$23:$A$26)+LOOKUP(O192,$E$23:$E$26,$D$23:$D$26)*(O192-LOOKUP(O192,$E$23:$E$26))/LOOKUP(O192,$E$23:$E$26,$C$23:$C$26)</f>
        <v>4.4870008262413</v>
      </c>
      <c r="AF192" s="16" t="n">
        <f aca="false">LOOKUP(P192,$E$23:$E$26,$A$23:$A$26)+LOOKUP(P192,$E$23:$E$26,$D$23:$D$26)*(P192-LOOKUP(P192,$E$23:$E$26))/LOOKUP(P192,$E$23:$E$26,$C$23:$C$26)</f>
        <v>5.08801346599604</v>
      </c>
      <c r="AG192" s="16" t="n">
        <f aca="false">LOOKUP(Q192,$E$23:$E$26,$A$23:$A$26)+LOOKUP(Q192,$E$23:$E$26,$D$23:$D$26)*(Q192-LOOKUP(Q192,$E$23:$E$26))/LOOKUP(Q192,$E$23:$E$26,$C$23:$C$26)</f>
        <v>5.39921968123874</v>
      </c>
      <c r="AH192" s="16" t="n">
        <f aca="false">LOOKUP(R192,$E$23:$E$26,$A$23:$A$26)+LOOKUP(R192,$E$23:$E$26,$D$23:$D$26)*(R192-LOOKUP(R192,$E$23:$E$26))/LOOKUP(R192,$E$23:$E$26,$C$23:$C$26)</f>
        <v>4.05979045270042</v>
      </c>
      <c r="AI192" s="16" t="n">
        <f aca="false">LOOKUP(S192,$E$23:$E$26,$A$23:$A$26)+LOOKUP(S192,$E$23:$E$26,$D$23:$D$26)*(S192-LOOKUP(S192,$E$23:$E$26))/LOOKUP(S192,$E$23:$E$26,$C$23:$C$26)</f>
        <v>5.59344674579944</v>
      </c>
      <c r="AJ192" s="16" t="n">
        <f aca="false">SUM($T192:T192)</f>
        <v>4.03286128417644</v>
      </c>
      <c r="AK192" s="16" t="n">
        <f aca="false">SUM($T192:U192)</f>
        <v>9.01611981451442</v>
      </c>
      <c r="AL192" s="16" t="n">
        <f aca="false">SUM($T192:V192)</f>
        <v>13.1509406283251</v>
      </c>
      <c r="AM192" s="16" t="n">
        <f aca="false">SUM($T192:W192)</f>
        <v>17.4798311173037</v>
      </c>
      <c r="AN192" s="16" t="n">
        <f aca="false">SUM($T192:X192)</f>
        <v>21.9028378466764</v>
      </c>
      <c r="AO192" s="16" t="n">
        <f aca="false">SUM($T192:Y192)</f>
        <v>27.7626331914928</v>
      </c>
      <c r="AP192" s="16" t="n">
        <f aca="false">SUM($T192:Z192)</f>
        <v>33.015540732428</v>
      </c>
      <c r="AQ192" s="16" t="n">
        <f aca="false">SUM($T192:AA192)</f>
        <v>37.2355384678604</v>
      </c>
      <c r="AR192" s="16" t="n">
        <f aca="false">SUM($T192:AB192)</f>
        <v>41.5599388754075</v>
      </c>
      <c r="AS192" s="16" t="n">
        <f aca="false">SUM($T192:AC192)</f>
        <v>45.6986993516101</v>
      </c>
      <c r="AT192" s="16" t="n">
        <f aca="false">SUM($T192:AD192)</f>
        <v>50.5343701619775</v>
      </c>
      <c r="AU192" s="16" t="n">
        <f aca="false">SUM($T192:AE192)</f>
        <v>55.0213709882188</v>
      </c>
      <c r="AV192" s="16" t="n">
        <f aca="false">SUM($T192:AF192)</f>
        <v>60.1093844542148</v>
      </c>
      <c r="AW192" s="16" t="n">
        <f aca="false">SUM($T192:AG192)</f>
        <v>65.5086041354536</v>
      </c>
      <c r="AX192" s="16" t="n">
        <f aca="false">SUM($T192:AH192)</f>
        <v>69.568394588154</v>
      </c>
      <c r="AY192" s="16" t="n">
        <f aca="false">SUM($T192:AI192)</f>
        <v>75.1618413339534</v>
      </c>
      <c r="AZ192" s="16" t="n">
        <f aca="false">MAX(C192-AJ192,0)</f>
        <v>75.947236760546</v>
      </c>
      <c r="BA192" s="16" t="n">
        <f aca="false">MAX(C192-AK192,0)</f>
        <v>70.963978230208</v>
      </c>
      <c r="BB192" s="16" t="n">
        <f aca="false">MAX(C192-AL192,0)</f>
        <v>66.8291574163973</v>
      </c>
      <c r="BC192" s="16" t="n">
        <f aca="false">MAX(C192-AM192,0)</f>
        <v>62.5002669274187</v>
      </c>
      <c r="BD192" s="16" t="n">
        <f aca="false">MAX(C192-AN192,0)</f>
        <v>58.077260198046</v>
      </c>
      <c r="BE192" s="16" t="n">
        <f aca="false">MAX(C192-AO192,0)</f>
        <v>52.2174648532296</v>
      </c>
      <c r="BF192" s="16" t="n">
        <f aca="false">MAX(C192-AP192,0)</f>
        <v>46.9645573122944</v>
      </c>
      <c r="BG192" s="16" t="n">
        <f aca="false">MAX(C192-AQ192,0)</f>
        <v>42.744559576862</v>
      </c>
      <c r="BH192" s="16" t="n">
        <f aca="false">MAX(C192-AR192,0)</f>
        <v>38.4201591693148</v>
      </c>
      <c r="BI192" s="16" t="n">
        <f aca="false">MAX(C192-AS192,0)</f>
        <v>34.2813986931122</v>
      </c>
      <c r="BJ192" s="16" t="n">
        <f aca="false">MAX(C192-AT192,0)</f>
        <v>29.4457278827449</v>
      </c>
      <c r="BK192" s="16" t="n">
        <f aca="false">MAX(C192-AU192,0)</f>
        <v>24.9587270565036</v>
      </c>
      <c r="BL192" s="16" t="n">
        <f aca="false">MAX(C192-AV192,0)</f>
        <v>19.8707135905076</v>
      </c>
      <c r="BM192" s="16" t="n">
        <f aca="false">MAX(C192-AW192,0)</f>
        <v>14.4714939092688</v>
      </c>
      <c r="BN192" s="16" t="n">
        <f aca="false">MAX(C192-AX192,0)</f>
        <v>10.4117034565684</v>
      </c>
      <c r="BO192" s="16" t="n">
        <f aca="false">MAX(C192-AY192,0)</f>
        <v>4.81825671076896</v>
      </c>
    </row>
    <row r="193" customFormat="false" ht="15" hidden="false" customHeight="false" outlineLevel="0" collapsed="false">
      <c r="A193" s="3" t="n">
        <v>163</v>
      </c>
      <c r="B193" s="15" t="n">
        <f aca="true">RAND()</f>
        <v>0.813135984141005</v>
      </c>
      <c r="C193" s="16" t="n">
        <f aca="false">LOOKUP(B193,$E$12:$E$17,$A$12:$A$17)+LOOKUP(B193,$E$12:$E$17,$D$12:$D$17)*(B193-LOOKUP(B193,$E$12:$E$17))/LOOKUP(B193,$E$12:$E$17,$C$12:$C$17)</f>
        <v>68.7590854877286</v>
      </c>
      <c r="D193" s="15" t="n">
        <f aca="true">RAND()</f>
        <v>0.816673656841404</v>
      </c>
      <c r="E193" s="15" t="n">
        <f aca="true">RAND()</f>
        <v>0.00149738625475086</v>
      </c>
      <c r="F193" s="15" t="n">
        <f aca="true">RAND()</f>
        <v>0.417263001372792</v>
      </c>
      <c r="G193" s="15" t="n">
        <f aca="true">RAND()</f>
        <v>0.936519930671598</v>
      </c>
      <c r="H193" s="15" t="n">
        <f aca="true">RAND()</f>
        <v>0.650396799320349</v>
      </c>
      <c r="I193" s="15" t="n">
        <f aca="true">RAND()</f>
        <v>0.898494903031547</v>
      </c>
      <c r="J193" s="15" t="n">
        <f aca="true">RAND()</f>
        <v>0.501371783884775</v>
      </c>
      <c r="K193" s="15" t="n">
        <f aca="true">RAND()</f>
        <v>0.525500085478505</v>
      </c>
      <c r="L193" s="15" t="n">
        <f aca="true">RAND()</f>
        <v>0.513388533205109</v>
      </c>
      <c r="M193" s="15" t="n">
        <f aca="true">RAND()</f>
        <v>0.483120392895732</v>
      </c>
      <c r="N193" s="15" t="n">
        <f aca="true">RAND()</f>
        <v>0.471979544293329</v>
      </c>
      <c r="O193" s="15" t="n">
        <f aca="true">RAND()</f>
        <v>0.828018033536297</v>
      </c>
      <c r="P193" s="15" t="n">
        <f aca="true">RAND()</f>
        <v>0.573569522859595</v>
      </c>
      <c r="Q193" s="15" t="n">
        <f aca="true">RAND()</f>
        <v>0.270567246069962</v>
      </c>
      <c r="R193" s="15" t="n">
        <f aca="true">RAND()</f>
        <v>0.68950756188705</v>
      </c>
      <c r="S193" s="15" t="n">
        <f aca="true">RAND()</f>
        <v>0.429381435672273</v>
      </c>
      <c r="T193" s="16" t="n">
        <f aca="false">LOOKUP(D193,$E$23:$E$26,$A$23:$A$26)+LOOKUP(D193,$E$23:$E$26,$D$23:$D$26)*(D193-LOOKUP(D193,$E$23:$E$26))/LOOKUP(D193,$E$23:$E$26,$C$23:$C$26)</f>
        <v>5.29168414210351</v>
      </c>
      <c r="U193" s="16" t="n">
        <f aca="false">LOOKUP(E193,$E$23:$E$26,$A$23:$A$26)+LOOKUP(E193,$E$23:$E$26,$D$23:$D$26)*(E193-LOOKUP(E193,$E$23:$E$26))/LOOKUP(E193,$E$23:$E$26,$C$23:$C$26)</f>
        <v>4.00249564375792</v>
      </c>
      <c r="V193" s="16" t="n">
        <f aca="false">LOOKUP(F193,$E$23:$E$26,$A$23:$A$26)+LOOKUP(F193,$E$23:$E$26,$D$23:$D$26)*(F193-LOOKUP(F193,$E$23:$E$26))/LOOKUP(F193,$E$23:$E$26,$C$23:$C$26)</f>
        <v>4.64657875171599</v>
      </c>
      <c r="W193" s="16" t="n">
        <f aca="false">LOOKUP(G193,$E$23:$E$26,$A$23:$A$26)+LOOKUP(G193,$E$23:$E$26,$D$23:$D$26)*(G193-LOOKUP(G193,$E$23:$E$26))/LOOKUP(G193,$E$23:$E$26,$C$23:$C$26)</f>
        <v>5.68259965335799</v>
      </c>
      <c r="X193" s="16" t="n">
        <f aca="false">LOOKUP(H193,$E$23:$E$26,$A$23:$A$26)+LOOKUP(H193,$E$23:$E$26,$D$23:$D$26)*(H193-LOOKUP(H193,$E$23:$E$26))/LOOKUP(H193,$E$23:$E$26,$C$23:$C$26)</f>
        <v>4.93799599915044</v>
      </c>
      <c r="Y193" s="16" t="n">
        <f aca="false">LOOKUP(I193,$E$23:$E$26,$A$23:$A$26)+LOOKUP(I193,$E$23:$E$26,$D$23:$D$26)*(I193-LOOKUP(I193,$E$23:$E$26))/LOOKUP(I193,$E$23:$E$26,$C$23:$C$26)</f>
        <v>5.49623725757887</v>
      </c>
      <c r="Z193" s="16" t="n">
        <f aca="false">LOOKUP(J193,$E$23:$E$26,$A$23:$A$26)+LOOKUP(J193,$E$23:$E$26,$D$23:$D$26)*(J193-LOOKUP(J193,$E$23:$E$26))/LOOKUP(J193,$E$23:$E$26,$C$23:$C$26)</f>
        <v>4.75171472985597</v>
      </c>
      <c r="AA193" s="16" t="n">
        <f aca="false">LOOKUP(K193,$E$23:$E$26,$A$23:$A$26)+LOOKUP(K193,$E$23:$E$26,$D$23:$D$26)*(K193-LOOKUP(K193,$E$23:$E$26))/LOOKUP(K193,$E$23:$E$26,$C$23:$C$26)</f>
        <v>4.78187510684813</v>
      </c>
      <c r="AB193" s="16" t="n">
        <f aca="false">LOOKUP(L193,$E$23:$E$26,$A$23:$A$26)+LOOKUP(L193,$E$23:$E$26,$D$23:$D$26)*(L193-LOOKUP(L193,$E$23:$E$26))/LOOKUP(L193,$E$23:$E$26,$C$23:$C$26)</f>
        <v>4.76673566650639</v>
      </c>
      <c r="AC193" s="16" t="n">
        <f aca="false">LOOKUP(M193,$E$23:$E$26,$A$23:$A$26)+LOOKUP(M193,$E$23:$E$26,$D$23:$D$26)*(M193-LOOKUP(M193,$E$23:$E$26))/LOOKUP(M193,$E$23:$E$26,$C$23:$C$26)</f>
        <v>4.72890049111966</v>
      </c>
      <c r="AD193" s="16" t="n">
        <f aca="false">LOOKUP(N193,$E$23:$E$26,$A$23:$A$26)+LOOKUP(N193,$E$23:$E$26,$D$23:$D$26)*(N193-LOOKUP(N193,$E$23:$E$26))/LOOKUP(N193,$E$23:$E$26,$C$23:$C$26)</f>
        <v>4.71497443036666</v>
      </c>
      <c r="AE193" s="16" t="n">
        <f aca="false">LOOKUP(O193,$E$23:$E$26,$A$23:$A$26)+LOOKUP(O193,$E$23:$E$26,$D$23:$D$26)*(O193-LOOKUP(O193,$E$23:$E$26))/LOOKUP(O193,$E$23:$E$26,$C$23:$C$26)</f>
        <v>5.32004508384074</v>
      </c>
      <c r="AF193" s="16" t="n">
        <f aca="false">LOOKUP(P193,$E$23:$E$26,$A$23:$A$26)+LOOKUP(P193,$E$23:$E$26,$D$23:$D$26)*(P193-LOOKUP(P193,$E$23:$E$26))/LOOKUP(P193,$E$23:$E$26,$C$23:$C$26)</f>
        <v>4.84196190357449</v>
      </c>
      <c r="AG193" s="16" t="n">
        <f aca="false">LOOKUP(Q193,$E$23:$E$26,$A$23:$A$26)+LOOKUP(Q193,$E$23:$E$26,$D$23:$D$26)*(Q193-LOOKUP(Q193,$E$23:$E$26))/LOOKUP(Q193,$E$23:$E$26,$C$23:$C$26)</f>
        <v>4.4509454101166</v>
      </c>
      <c r="AH193" s="16" t="n">
        <f aca="false">LOOKUP(R193,$E$23:$E$26,$A$23:$A$26)+LOOKUP(R193,$E$23:$E$26,$D$23:$D$26)*(R193-LOOKUP(R193,$E$23:$E$26))/LOOKUP(R193,$E$23:$E$26,$C$23:$C$26)</f>
        <v>4.98688445235881</v>
      </c>
      <c r="AI193" s="16" t="n">
        <f aca="false">LOOKUP(S193,$E$23:$E$26,$A$23:$A$26)+LOOKUP(S193,$E$23:$E$26,$D$23:$D$26)*(S193-LOOKUP(S193,$E$23:$E$26))/LOOKUP(S193,$E$23:$E$26,$C$23:$C$26)</f>
        <v>4.66172679459034</v>
      </c>
      <c r="AJ193" s="16" t="n">
        <f aca="false">SUM($T193:T193)</f>
        <v>5.29168414210351</v>
      </c>
      <c r="AK193" s="16" t="n">
        <f aca="false">SUM($T193:U193)</f>
        <v>9.29417978586143</v>
      </c>
      <c r="AL193" s="16" t="n">
        <f aca="false">SUM($T193:V193)</f>
        <v>13.9407585375774</v>
      </c>
      <c r="AM193" s="16" t="n">
        <f aca="false">SUM($T193:W193)</f>
        <v>19.6233581909354</v>
      </c>
      <c r="AN193" s="16" t="n">
        <f aca="false">SUM($T193:X193)</f>
        <v>24.5613541900858</v>
      </c>
      <c r="AO193" s="16" t="n">
        <f aca="false">SUM($T193:Y193)</f>
        <v>30.0575914476647</v>
      </c>
      <c r="AP193" s="16" t="n">
        <f aca="false">SUM($T193:Z193)</f>
        <v>34.8093061775207</v>
      </c>
      <c r="AQ193" s="16" t="n">
        <f aca="false">SUM($T193:AA193)</f>
        <v>39.5911812843688</v>
      </c>
      <c r="AR193" s="16" t="n">
        <f aca="false">SUM($T193:AB193)</f>
        <v>44.3579169508752</v>
      </c>
      <c r="AS193" s="16" t="n">
        <f aca="false">SUM($T193:AC193)</f>
        <v>49.0868174419949</v>
      </c>
      <c r="AT193" s="16" t="n">
        <f aca="false">SUM($T193:AD193)</f>
        <v>53.8017918723615</v>
      </c>
      <c r="AU193" s="16" t="n">
        <f aca="false">SUM($T193:AE193)</f>
        <v>59.1218369562023</v>
      </c>
      <c r="AV193" s="16" t="n">
        <f aca="false">SUM($T193:AF193)</f>
        <v>63.9637988597768</v>
      </c>
      <c r="AW193" s="16" t="n">
        <f aca="false">SUM($T193:AG193)</f>
        <v>68.4147442698934</v>
      </c>
      <c r="AX193" s="16" t="n">
        <f aca="false">SUM($T193:AH193)</f>
        <v>73.4016287222522</v>
      </c>
      <c r="AY193" s="16" t="n">
        <f aca="false">SUM($T193:AI193)</f>
        <v>78.0633555168425</v>
      </c>
      <c r="AZ193" s="16" t="n">
        <f aca="false">MAX(C193-AJ193,0)</f>
        <v>63.4674013456251</v>
      </c>
      <c r="BA193" s="16" t="n">
        <f aca="false">MAX(C193-AK193,0)</f>
        <v>59.4649057018672</v>
      </c>
      <c r="BB193" s="16" t="n">
        <f aca="false">MAX(C193-AL193,0)</f>
        <v>54.8183269501512</v>
      </c>
      <c r="BC193" s="16" t="n">
        <f aca="false">MAX(C193-AM193,0)</f>
        <v>49.1357272967932</v>
      </c>
      <c r="BD193" s="16" t="n">
        <f aca="false">MAX(C193-AN193,0)</f>
        <v>44.1977312976428</v>
      </c>
      <c r="BE193" s="16" t="n">
        <f aca="false">MAX(C193-AO193,0)</f>
        <v>38.7014940400639</v>
      </c>
      <c r="BF193" s="16" t="n">
        <f aca="false">MAX(C193-AP193,0)</f>
        <v>33.949779310208</v>
      </c>
      <c r="BG193" s="16" t="n">
        <f aca="false">MAX(C193-AQ193,0)</f>
        <v>29.1679042033598</v>
      </c>
      <c r="BH193" s="16" t="n">
        <f aca="false">MAX(C193-AR193,0)</f>
        <v>24.4011685368534</v>
      </c>
      <c r="BI193" s="16" t="n">
        <f aca="false">MAX(C193-AS193,0)</f>
        <v>19.6722680457338</v>
      </c>
      <c r="BJ193" s="16" t="n">
        <f aca="false">MAX(C193-AT193,0)</f>
        <v>14.9572936153671</v>
      </c>
      <c r="BK193" s="16" t="n">
        <f aca="false">MAX(C193-AU193,0)</f>
        <v>9.63724853152638</v>
      </c>
      <c r="BL193" s="16" t="n">
        <f aca="false">MAX(C193-AV193,0)</f>
        <v>4.79528662795188</v>
      </c>
      <c r="BM193" s="16" t="n">
        <f aca="false">MAX(C193-AW193,0)</f>
        <v>0.344341217835279</v>
      </c>
      <c r="BN193" s="16" t="n">
        <f aca="false">MAX(C193-AX193,0)</f>
        <v>0</v>
      </c>
      <c r="BO193" s="16" t="n">
        <f aca="false">MAX(C193-AY193,0)</f>
        <v>0</v>
      </c>
    </row>
    <row r="194" customFormat="false" ht="15" hidden="false" customHeight="false" outlineLevel="0" collapsed="false">
      <c r="A194" s="3" t="n">
        <v>164</v>
      </c>
      <c r="B194" s="15" t="n">
        <f aca="true">RAND()</f>
        <v>0.491696241464664</v>
      </c>
      <c r="C194" s="16" t="n">
        <f aca="false">LOOKUP(B194,$E$12:$E$17,$A$12:$A$17)+LOOKUP(B194,$E$12:$E$17,$D$12:$D$17)*(B194-LOOKUP(B194,$E$12:$E$17))/LOOKUP(B194,$E$12:$E$17,$C$12:$C$17)</f>
        <v>64.0282706910777</v>
      </c>
      <c r="D194" s="15" t="n">
        <f aca="true">RAND()</f>
        <v>0.606032479894586</v>
      </c>
      <c r="E194" s="15" t="n">
        <f aca="true">RAND()</f>
        <v>0.882334941093925</v>
      </c>
      <c r="F194" s="15" t="n">
        <f aca="true">RAND()</f>
        <v>0.405985815020334</v>
      </c>
      <c r="G194" s="15" t="n">
        <f aca="true">RAND()</f>
        <v>0.178886792957005</v>
      </c>
      <c r="H194" s="15" t="n">
        <f aca="true">RAND()</f>
        <v>0.121086088699665</v>
      </c>
      <c r="I194" s="15" t="n">
        <f aca="true">RAND()</f>
        <v>0.605299495353164</v>
      </c>
      <c r="J194" s="15" t="n">
        <f aca="true">RAND()</f>
        <v>0.740445539363629</v>
      </c>
      <c r="K194" s="15" t="n">
        <f aca="true">RAND()</f>
        <v>0.733197827363651</v>
      </c>
      <c r="L194" s="15" t="n">
        <f aca="true">RAND()</f>
        <v>0.0530871399641125</v>
      </c>
      <c r="M194" s="15" t="n">
        <f aca="true">RAND()</f>
        <v>0.702154681816605</v>
      </c>
      <c r="N194" s="15" t="n">
        <f aca="true">RAND()</f>
        <v>0.280203189712651</v>
      </c>
      <c r="O194" s="15" t="n">
        <f aca="true">RAND()</f>
        <v>0.570189632520897</v>
      </c>
      <c r="P194" s="15" t="n">
        <f aca="true">RAND()</f>
        <v>0.530863840235851</v>
      </c>
      <c r="Q194" s="15" t="n">
        <f aca="true">RAND()</f>
        <v>0.970802864585473</v>
      </c>
      <c r="R194" s="15" t="n">
        <f aca="true">RAND()</f>
        <v>0.909026294957254</v>
      </c>
      <c r="S194" s="15" t="n">
        <f aca="true">RAND()</f>
        <v>0.790044459066837</v>
      </c>
      <c r="T194" s="16" t="n">
        <f aca="false">LOOKUP(D194,$E$23:$E$26,$A$23:$A$26)+LOOKUP(D194,$E$23:$E$26,$D$23:$D$26)*(D194-LOOKUP(D194,$E$23:$E$26))/LOOKUP(D194,$E$23:$E$26,$C$23:$C$26)</f>
        <v>4.88254059986823</v>
      </c>
      <c r="U194" s="16" t="n">
        <f aca="false">LOOKUP(E194,$E$23:$E$26,$A$23:$A$26)+LOOKUP(E194,$E$23:$E$26,$D$23:$D$26)*(E194-LOOKUP(E194,$E$23:$E$26))/LOOKUP(E194,$E$23:$E$26,$C$23:$C$26)</f>
        <v>5.45583735273481</v>
      </c>
      <c r="V194" s="16" t="n">
        <f aca="false">LOOKUP(F194,$E$23:$E$26,$A$23:$A$26)+LOOKUP(F194,$E$23:$E$26,$D$23:$D$26)*(F194-LOOKUP(F194,$E$23:$E$26))/LOOKUP(F194,$E$23:$E$26,$C$23:$C$26)</f>
        <v>4.63248226877542</v>
      </c>
      <c r="W194" s="16" t="n">
        <f aca="false">LOOKUP(G194,$E$23:$E$26,$A$23:$A$26)+LOOKUP(G194,$E$23:$E$26,$D$23:$D$26)*(G194-LOOKUP(G194,$E$23:$E$26))/LOOKUP(G194,$E$23:$E$26,$C$23:$C$26)</f>
        <v>4.29814465492834</v>
      </c>
      <c r="X194" s="16" t="n">
        <f aca="false">LOOKUP(H194,$E$23:$E$26,$A$23:$A$26)+LOOKUP(H194,$E$23:$E$26,$D$23:$D$26)*(H194-LOOKUP(H194,$E$23:$E$26))/LOOKUP(H194,$E$23:$E$26,$C$23:$C$26)</f>
        <v>4.20181014783277</v>
      </c>
      <c r="Y194" s="16" t="n">
        <f aca="false">LOOKUP(I194,$E$23:$E$26,$A$23:$A$26)+LOOKUP(I194,$E$23:$E$26,$D$23:$D$26)*(I194-LOOKUP(I194,$E$23:$E$26))/LOOKUP(I194,$E$23:$E$26,$C$23:$C$26)</f>
        <v>4.88162436919146</v>
      </c>
      <c r="Z194" s="16" t="n">
        <f aca="false">LOOKUP(J194,$E$23:$E$26,$A$23:$A$26)+LOOKUP(J194,$E$23:$E$26,$D$23:$D$26)*(J194-LOOKUP(J194,$E$23:$E$26))/LOOKUP(J194,$E$23:$E$26,$C$23:$C$26)</f>
        <v>5.10111384840907</v>
      </c>
      <c r="AA194" s="16" t="n">
        <f aca="false">LOOKUP(K194,$E$23:$E$26,$A$23:$A$26)+LOOKUP(K194,$E$23:$E$26,$D$23:$D$26)*(K194-LOOKUP(K194,$E$23:$E$26))/LOOKUP(K194,$E$23:$E$26,$C$23:$C$26)</f>
        <v>5.08299456840913</v>
      </c>
      <c r="AB194" s="16" t="n">
        <f aca="false">LOOKUP(L194,$E$23:$E$26,$A$23:$A$26)+LOOKUP(L194,$E$23:$E$26,$D$23:$D$26)*(L194-LOOKUP(L194,$E$23:$E$26))/LOOKUP(L194,$E$23:$E$26,$C$23:$C$26)</f>
        <v>4.08847856660685</v>
      </c>
      <c r="AC194" s="16" t="n">
        <f aca="false">LOOKUP(M194,$E$23:$E$26,$A$23:$A$26)+LOOKUP(M194,$E$23:$E$26,$D$23:$D$26)*(M194-LOOKUP(M194,$E$23:$E$26))/LOOKUP(M194,$E$23:$E$26,$C$23:$C$26)</f>
        <v>5.00538670454151</v>
      </c>
      <c r="AD194" s="16" t="n">
        <f aca="false">LOOKUP(N194,$E$23:$E$26,$A$23:$A$26)+LOOKUP(N194,$E$23:$E$26,$D$23:$D$26)*(N194-LOOKUP(N194,$E$23:$E$26))/LOOKUP(N194,$E$23:$E$26,$C$23:$C$26)</f>
        <v>4.46700531618775</v>
      </c>
      <c r="AE194" s="16" t="n">
        <f aca="false">LOOKUP(O194,$E$23:$E$26,$A$23:$A$26)+LOOKUP(O194,$E$23:$E$26,$D$23:$D$26)*(O194-LOOKUP(O194,$E$23:$E$26))/LOOKUP(O194,$E$23:$E$26,$C$23:$C$26)</f>
        <v>4.83773704065112</v>
      </c>
      <c r="AF194" s="16" t="n">
        <f aca="false">LOOKUP(P194,$E$23:$E$26,$A$23:$A$26)+LOOKUP(P194,$E$23:$E$26,$D$23:$D$26)*(P194-LOOKUP(P194,$E$23:$E$26))/LOOKUP(P194,$E$23:$E$26,$C$23:$C$26)</f>
        <v>4.78857980029481</v>
      </c>
      <c r="AG194" s="16" t="n">
        <f aca="false">LOOKUP(Q194,$E$23:$E$26,$A$23:$A$26)+LOOKUP(Q194,$E$23:$E$26,$D$23:$D$26)*(Q194-LOOKUP(Q194,$E$23:$E$26))/LOOKUP(Q194,$E$23:$E$26,$C$23:$C$26)</f>
        <v>5.85401432292737</v>
      </c>
      <c r="AH194" s="16" t="n">
        <f aca="false">LOOKUP(R194,$E$23:$E$26,$A$23:$A$26)+LOOKUP(R194,$E$23:$E$26,$D$23:$D$26)*(R194-LOOKUP(R194,$E$23:$E$26))/LOOKUP(R194,$E$23:$E$26,$C$23:$C$26)</f>
        <v>5.54513147478627</v>
      </c>
      <c r="AI194" s="16" t="n">
        <f aca="false">LOOKUP(S194,$E$23:$E$26,$A$23:$A$26)+LOOKUP(S194,$E$23:$E$26,$D$23:$D$26)*(S194-LOOKUP(S194,$E$23:$E$26))/LOOKUP(S194,$E$23:$E$26,$C$23:$C$26)</f>
        <v>5.22511114766709</v>
      </c>
      <c r="AJ194" s="16" t="n">
        <f aca="false">SUM($T194:T194)</f>
        <v>4.88254059986823</v>
      </c>
      <c r="AK194" s="16" t="n">
        <f aca="false">SUM($T194:U194)</f>
        <v>10.338377952603</v>
      </c>
      <c r="AL194" s="16" t="n">
        <f aca="false">SUM($T194:V194)</f>
        <v>14.9708602213785</v>
      </c>
      <c r="AM194" s="16" t="n">
        <f aca="false">SUM($T194:W194)</f>
        <v>19.2690048763068</v>
      </c>
      <c r="AN194" s="16" t="n">
        <f aca="false">SUM($T194:X194)</f>
        <v>23.4708150241396</v>
      </c>
      <c r="AO194" s="16" t="n">
        <f aca="false">SUM($T194:Y194)</f>
        <v>28.352439393331</v>
      </c>
      <c r="AP194" s="16" t="n">
        <f aca="false">SUM($T194:Z194)</f>
        <v>33.4535532417401</v>
      </c>
      <c r="AQ194" s="16" t="n">
        <f aca="false">SUM($T194:AA194)</f>
        <v>38.5365478101492</v>
      </c>
      <c r="AR194" s="16" t="n">
        <f aca="false">SUM($T194:AB194)</f>
        <v>42.6250263767561</v>
      </c>
      <c r="AS194" s="16" t="n">
        <f aca="false">SUM($T194:AC194)</f>
        <v>47.6304130812976</v>
      </c>
      <c r="AT194" s="16" t="n">
        <f aca="false">SUM($T194:AD194)</f>
        <v>52.0974183974854</v>
      </c>
      <c r="AU194" s="16" t="n">
        <f aca="false">SUM($T194:AE194)</f>
        <v>56.9351554381365</v>
      </c>
      <c r="AV194" s="16" t="n">
        <f aca="false">SUM($T194:AF194)</f>
        <v>61.7237352384313</v>
      </c>
      <c r="AW194" s="16" t="n">
        <f aca="false">SUM($T194:AG194)</f>
        <v>67.5777495613587</v>
      </c>
      <c r="AX194" s="16" t="n">
        <f aca="false">SUM($T194:AH194)</f>
        <v>73.1228810361449</v>
      </c>
      <c r="AY194" s="16" t="n">
        <f aca="false">SUM($T194:AI194)</f>
        <v>78.347992183812</v>
      </c>
      <c r="AZ194" s="16" t="n">
        <f aca="false">MAX(C194-AJ194,0)</f>
        <v>59.1457300912095</v>
      </c>
      <c r="BA194" s="16" t="n">
        <f aca="false">MAX(C194-AK194,0)</f>
        <v>53.6898927384747</v>
      </c>
      <c r="BB194" s="16" t="n">
        <f aca="false">MAX(C194-AL194,0)</f>
        <v>49.0574104696993</v>
      </c>
      <c r="BC194" s="16" t="n">
        <f aca="false">MAX(C194-AM194,0)</f>
        <v>44.7592658147709</v>
      </c>
      <c r="BD194" s="16" t="n">
        <f aca="false">MAX(C194-AN194,0)</f>
        <v>40.5574556669381</v>
      </c>
      <c r="BE194" s="16" t="n">
        <f aca="false">MAX(C194-AO194,0)</f>
        <v>35.6758312977467</v>
      </c>
      <c r="BF194" s="16" t="n">
        <f aca="false">MAX(C194-AP194,0)</f>
        <v>30.5747174493376</v>
      </c>
      <c r="BG194" s="16" t="n">
        <f aca="false">MAX(C194-AQ194,0)</f>
        <v>25.4917228809285</v>
      </c>
      <c r="BH194" s="16" t="n">
        <f aca="false">MAX(C194-AR194,0)</f>
        <v>21.4032443143216</v>
      </c>
      <c r="BI194" s="16" t="n">
        <f aca="false">MAX(C194-AS194,0)</f>
        <v>16.3978576097801</v>
      </c>
      <c r="BJ194" s="16" t="n">
        <f aca="false">MAX(C194-AT194,0)</f>
        <v>11.9308522935924</v>
      </c>
      <c r="BK194" s="16" t="n">
        <f aca="false">MAX(C194-AU194,0)</f>
        <v>7.09311525294125</v>
      </c>
      <c r="BL194" s="16" t="n">
        <f aca="false">MAX(C194-AV194,0)</f>
        <v>2.30453545264643</v>
      </c>
      <c r="BM194" s="16" t="n">
        <f aca="false">MAX(C194-AW194,0)</f>
        <v>0</v>
      </c>
      <c r="BN194" s="16" t="n">
        <f aca="false">MAX(C194-AX194,0)</f>
        <v>0</v>
      </c>
      <c r="BO194" s="16" t="n">
        <f aca="false">MAX(C194-AY194,0)</f>
        <v>0</v>
      </c>
    </row>
    <row r="195" customFormat="false" ht="15" hidden="false" customHeight="false" outlineLevel="0" collapsed="false">
      <c r="A195" s="3" t="n">
        <v>165</v>
      </c>
      <c r="B195" s="15" t="n">
        <f aca="true">RAND()</f>
        <v>0.262184821124584</v>
      </c>
      <c r="C195" s="16" t="n">
        <f aca="false">LOOKUP(B195,$E$12:$E$17,$A$12:$A$17)+LOOKUP(B195,$E$12:$E$17,$D$12:$D$17)*(B195-LOOKUP(B195,$E$12:$E$17))/LOOKUP(B195,$E$12:$E$17,$C$12:$C$17)</f>
        <v>60.2030803520764</v>
      </c>
      <c r="D195" s="15" t="n">
        <f aca="true">RAND()</f>
        <v>0.892766712232629</v>
      </c>
      <c r="E195" s="15" t="n">
        <f aca="true">RAND()</f>
        <v>0.193899051800563</v>
      </c>
      <c r="F195" s="15" t="n">
        <f aca="true">RAND()</f>
        <v>0.555166283353558</v>
      </c>
      <c r="G195" s="15" t="n">
        <f aca="true">RAND()</f>
        <v>0.625271405684918</v>
      </c>
      <c r="H195" s="15" t="n">
        <f aca="true">RAND()</f>
        <v>0.216646830185471</v>
      </c>
      <c r="I195" s="15" t="n">
        <f aca="true">RAND()</f>
        <v>0.604399711501783</v>
      </c>
      <c r="J195" s="15" t="n">
        <f aca="true">RAND()</f>
        <v>0.0572223459104916</v>
      </c>
      <c r="K195" s="15" t="n">
        <f aca="true">RAND()</f>
        <v>0.635867185591195</v>
      </c>
      <c r="L195" s="15" t="n">
        <f aca="true">RAND()</f>
        <v>0.233519445945012</v>
      </c>
      <c r="M195" s="15" t="n">
        <f aca="true">RAND()</f>
        <v>0.0145119727509878</v>
      </c>
      <c r="N195" s="15" t="n">
        <f aca="true">RAND()</f>
        <v>0.455306290700292</v>
      </c>
      <c r="O195" s="15" t="n">
        <f aca="true">RAND()</f>
        <v>0.470796805499492</v>
      </c>
      <c r="P195" s="15" t="n">
        <f aca="true">RAND()</f>
        <v>0.662292498029217</v>
      </c>
      <c r="Q195" s="15" t="n">
        <f aca="true">RAND()</f>
        <v>0.798564748995847</v>
      </c>
      <c r="R195" s="15" t="n">
        <f aca="true">RAND()</f>
        <v>0.566476209379803</v>
      </c>
      <c r="S195" s="15" t="n">
        <f aca="true">RAND()</f>
        <v>0.982113942883989</v>
      </c>
      <c r="T195" s="16" t="n">
        <f aca="false">LOOKUP(D195,$E$23:$E$26,$A$23:$A$26)+LOOKUP(D195,$E$23:$E$26,$D$23:$D$26)*(D195-LOOKUP(D195,$E$23:$E$26))/LOOKUP(D195,$E$23:$E$26,$C$23:$C$26)</f>
        <v>5.48191678058157</v>
      </c>
      <c r="U195" s="16" t="n">
        <f aca="false">LOOKUP(E195,$E$23:$E$26,$A$23:$A$26)+LOOKUP(E195,$E$23:$E$26,$D$23:$D$26)*(E195-LOOKUP(E195,$E$23:$E$26))/LOOKUP(E195,$E$23:$E$26,$C$23:$C$26)</f>
        <v>4.32316508633427</v>
      </c>
      <c r="V195" s="16" t="n">
        <f aca="false">LOOKUP(F195,$E$23:$E$26,$A$23:$A$26)+LOOKUP(F195,$E$23:$E$26,$D$23:$D$26)*(F195-LOOKUP(F195,$E$23:$E$26))/LOOKUP(F195,$E$23:$E$26,$C$23:$C$26)</f>
        <v>4.81895785419195</v>
      </c>
      <c r="W195" s="16" t="n">
        <f aca="false">LOOKUP(G195,$E$23:$E$26,$A$23:$A$26)+LOOKUP(G195,$E$23:$E$26,$D$23:$D$26)*(G195-LOOKUP(G195,$E$23:$E$26))/LOOKUP(G195,$E$23:$E$26,$C$23:$C$26)</f>
        <v>4.90658925710615</v>
      </c>
      <c r="X195" s="16" t="n">
        <f aca="false">LOOKUP(H195,$E$23:$E$26,$A$23:$A$26)+LOOKUP(H195,$E$23:$E$26,$D$23:$D$26)*(H195-LOOKUP(H195,$E$23:$E$26))/LOOKUP(H195,$E$23:$E$26,$C$23:$C$26)</f>
        <v>4.36107805030912</v>
      </c>
      <c r="Y195" s="16" t="n">
        <f aca="false">LOOKUP(I195,$E$23:$E$26,$A$23:$A$26)+LOOKUP(I195,$E$23:$E$26,$D$23:$D$26)*(I195-LOOKUP(I195,$E$23:$E$26))/LOOKUP(I195,$E$23:$E$26,$C$23:$C$26)</f>
        <v>4.88049963937723</v>
      </c>
      <c r="Z195" s="16" t="n">
        <f aca="false">LOOKUP(J195,$E$23:$E$26,$A$23:$A$26)+LOOKUP(J195,$E$23:$E$26,$D$23:$D$26)*(J195-LOOKUP(J195,$E$23:$E$26))/LOOKUP(J195,$E$23:$E$26,$C$23:$C$26)</f>
        <v>4.09537057651749</v>
      </c>
      <c r="AA195" s="16" t="n">
        <f aca="false">LOOKUP(K195,$E$23:$E$26,$A$23:$A$26)+LOOKUP(K195,$E$23:$E$26,$D$23:$D$26)*(K195-LOOKUP(K195,$E$23:$E$26))/LOOKUP(K195,$E$23:$E$26,$C$23:$C$26)</f>
        <v>4.91983398198899</v>
      </c>
      <c r="AB195" s="16" t="n">
        <f aca="false">LOOKUP(L195,$E$23:$E$26,$A$23:$A$26)+LOOKUP(L195,$E$23:$E$26,$D$23:$D$26)*(L195-LOOKUP(L195,$E$23:$E$26))/LOOKUP(L195,$E$23:$E$26,$C$23:$C$26)</f>
        <v>4.38919907657502</v>
      </c>
      <c r="AC195" s="16" t="n">
        <f aca="false">LOOKUP(M195,$E$23:$E$26,$A$23:$A$26)+LOOKUP(M195,$E$23:$E$26,$D$23:$D$26)*(M195-LOOKUP(M195,$E$23:$E$26))/LOOKUP(M195,$E$23:$E$26,$C$23:$C$26)</f>
        <v>4.02418662125165</v>
      </c>
      <c r="AD195" s="16" t="n">
        <f aca="false">LOOKUP(N195,$E$23:$E$26,$A$23:$A$26)+LOOKUP(N195,$E$23:$E$26,$D$23:$D$26)*(N195-LOOKUP(N195,$E$23:$E$26))/LOOKUP(N195,$E$23:$E$26,$C$23:$C$26)</f>
        <v>4.69413286337537</v>
      </c>
      <c r="AE195" s="16" t="n">
        <f aca="false">LOOKUP(O195,$E$23:$E$26,$A$23:$A$26)+LOOKUP(O195,$E$23:$E$26,$D$23:$D$26)*(O195-LOOKUP(O195,$E$23:$E$26))/LOOKUP(O195,$E$23:$E$26,$C$23:$C$26)</f>
        <v>4.71349600687437</v>
      </c>
      <c r="AF195" s="16" t="n">
        <f aca="false">LOOKUP(P195,$E$23:$E$26,$A$23:$A$26)+LOOKUP(P195,$E$23:$E$26,$D$23:$D$26)*(P195-LOOKUP(P195,$E$23:$E$26))/LOOKUP(P195,$E$23:$E$26,$C$23:$C$26)</f>
        <v>4.95286562253652</v>
      </c>
      <c r="AG195" s="16" t="n">
        <f aca="false">LOOKUP(Q195,$E$23:$E$26,$A$23:$A$26)+LOOKUP(Q195,$E$23:$E$26,$D$23:$D$26)*(Q195-LOOKUP(Q195,$E$23:$E$26))/LOOKUP(Q195,$E$23:$E$26,$C$23:$C$26)</f>
        <v>5.24641187248962</v>
      </c>
      <c r="AH195" s="16" t="n">
        <f aca="false">LOOKUP(R195,$E$23:$E$26,$A$23:$A$26)+LOOKUP(R195,$E$23:$E$26,$D$23:$D$26)*(R195-LOOKUP(R195,$E$23:$E$26))/LOOKUP(R195,$E$23:$E$26,$C$23:$C$26)</f>
        <v>4.83309526172475</v>
      </c>
      <c r="AI195" s="16" t="n">
        <f aca="false">LOOKUP(S195,$E$23:$E$26,$A$23:$A$26)+LOOKUP(S195,$E$23:$E$26,$D$23:$D$26)*(S195-LOOKUP(S195,$E$23:$E$26))/LOOKUP(S195,$E$23:$E$26,$C$23:$C$26)</f>
        <v>5.91056971441995</v>
      </c>
      <c r="AJ195" s="16" t="n">
        <f aca="false">SUM($T195:T195)</f>
        <v>5.48191678058157</v>
      </c>
      <c r="AK195" s="16" t="n">
        <f aca="false">SUM($T195:U195)</f>
        <v>9.80508186691584</v>
      </c>
      <c r="AL195" s="16" t="n">
        <f aca="false">SUM($T195:V195)</f>
        <v>14.6240397211078</v>
      </c>
      <c r="AM195" s="16" t="n">
        <f aca="false">SUM($T195:W195)</f>
        <v>19.5306289782139</v>
      </c>
      <c r="AN195" s="16" t="n">
        <f aca="false">SUM($T195:X195)</f>
        <v>23.8917070285231</v>
      </c>
      <c r="AO195" s="16" t="n">
        <f aca="false">SUM($T195:Y195)</f>
        <v>28.7722066679003</v>
      </c>
      <c r="AP195" s="16" t="n">
        <f aca="false">SUM($T195:Z195)</f>
        <v>32.8675772444178</v>
      </c>
      <c r="AQ195" s="16" t="n">
        <f aca="false">SUM($T195:AA195)</f>
        <v>37.7874112264068</v>
      </c>
      <c r="AR195" s="16" t="n">
        <f aca="false">SUM($T195:AB195)</f>
        <v>42.1766103029818</v>
      </c>
      <c r="AS195" s="16" t="n">
        <f aca="false">SUM($T195:AC195)</f>
        <v>46.2007969242334</v>
      </c>
      <c r="AT195" s="16" t="n">
        <f aca="false">SUM($T195:AD195)</f>
        <v>50.8949297876088</v>
      </c>
      <c r="AU195" s="16" t="n">
        <f aca="false">SUM($T195:AE195)</f>
        <v>55.6084257944832</v>
      </c>
      <c r="AV195" s="16" t="n">
        <f aca="false">SUM($T195:AF195)</f>
        <v>60.5612914170197</v>
      </c>
      <c r="AW195" s="16" t="n">
        <f aca="false">SUM($T195:AG195)</f>
        <v>65.8077032895093</v>
      </c>
      <c r="AX195" s="16" t="n">
        <f aca="false">SUM($T195:AH195)</f>
        <v>70.6407985512341</v>
      </c>
      <c r="AY195" s="16" t="n">
        <f aca="false">SUM($T195:AI195)</f>
        <v>76.551368265654</v>
      </c>
      <c r="AZ195" s="16" t="n">
        <f aca="false">MAX(C195-AJ195,0)</f>
        <v>54.7211635714948</v>
      </c>
      <c r="BA195" s="16" t="n">
        <f aca="false">MAX(C195-AK195,0)</f>
        <v>50.3979984851606</v>
      </c>
      <c r="BB195" s="16" t="n">
        <f aca="false">MAX(C195-AL195,0)</f>
        <v>45.5790406309686</v>
      </c>
      <c r="BC195" s="16" t="n">
        <f aca="false">MAX(C195-AM195,0)</f>
        <v>40.6724513738625</v>
      </c>
      <c r="BD195" s="16" t="n">
        <f aca="false">MAX(C195-AN195,0)</f>
        <v>36.3113733235533</v>
      </c>
      <c r="BE195" s="16" t="n">
        <f aca="false">MAX(C195-AO195,0)</f>
        <v>31.4308736841761</v>
      </c>
      <c r="BF195" s="16" t="n">
        <f aca="false">MAX(C195-AP195,0)</f>
        <v>27.3355031076586</v>
      </c>
      <c r="BG195" s="16" t="n">
        <f aca="false">MAX(C195-AQ195,0)</f>
        <v>22.4156691256696</v>
      </c>
      <c r="BH195" s="16" t="n">
        <f aca="false">MAX(C195-AR195,0)</f>
        <v>18.0264700490946</v>
      </c>
      <c r="BI195" s="16" t="n">
        <f aca="false">MAX(C195-AS195,0)</f>
        <v>14.002283427843</v>
      </c>
      <c r="BJ195" s="16" t="n">
        <f aca="false">MAX(C195-AT195,0)</f>
        <v>9.3081505644676</v>
      </c>
      <c r="BK195" s="16" t="n">
        <f aca="false">MAX(C195-AU195,0)</f>
        <v>4.59465455759324</v>
      </c>
      <c r="BL195" s="16" t="n">
        <f aca="false">MAX(C195-AV195,0)</f>
        <v>0</v>
      </c>
      <c r="BM195" s="16" t="n">
        <f aca="false">MAX(C195-AW195,0)</f>
        <v>0</v>
      </c>
      <c r="BN195" s="16" t="n">
        <f aca="false">MAX(C195-AX195,0)</f>
        <v>0</v>
      </c>
      <c r="BO195" s="16" t="n">
        <f aca="false">MAX(C195-AY195,0)</f>
        <v>0</v>
      </c>
    </row>
    <row r="196" customFormat="false" ht="15" hidden="false" customHeight="false" outlineLevel="0" collapsed="false">
      <c r="A196" s="3" t="n">
        <v>166</v>
      </c>
      <c r="B196" s="15" t="n">
        <f aca="true">RAND()</f>
        <v>0.0370583303320821</v>
      </c>
      <c r="C196" s="16" t="n">
        <f aca="false">LOOKUP(B196,$E$12:$E$17,$A$12:$A$17)+LOOKUP(B196,$E$12:$E$17,$D$12:$D$17)*(B196-LOOKUP(B196,$E$12:$E$17))/LOOKUP(B196,$E$12:$E$17,$C$12:$C$17)</f>
        <v>51.8529165166041</v>
      </c>
      <c r="D196" s="15" t="n">
        <f aca="true">RAND()</f>
        <v>0.843670302006484</v>
      </c>
      <c r="E196" s="15" t="n">
        <f aca="true">RAND()</f>
        <v>0.785510596561915</v>
      </c>
      <c r="F196" s="15" t="n">
        <f aca="true">RAND()</f>
        <v>0.964056971894799</v>
      </c>
      <c r="G196" s="15" t="n">
        <f aca="true">RAND()</f>
        <v>0.348391588557173</v>
      </c>
      <c r="H196" s="15" t="n">
        <f aca="true">RAND()</f>
        <v>0.0316108809022686</v>
      </c>
      <c r="I196" s="15" t="n">
        <f aca="true">RAND()</f>
        <v>0.00761798717065793</v>
      </c>
      <c r="J196" s="15" t="n">
        <f aca="true">RAND()</f>
        <v>0.246699551977381</v>
      </c>
      <c r="K196" s="15" t="n">
        <f aca="true">RAND()</f>
        <v>0.198988319320906</v>
      </c>
      <c r="L196" s="15" t="n">
        <f aca="true">RAND()</f>
        <v>0.956497872603621</v>
      </c>
      <c r="M196" s="15" t="n">
        <f aca="true">RAND()</f>
        <v>0.14215658809353</v>
      </c>
      <c r="N196" s="15" t="n">
        <f aca="true">RAND()</f>
        <v>0.320084399202326</v>
      </c>
      <c r="O196" s="15" t="n">
        <f aca="true">RAND()</f>
        <v>0.313240103404962</v>
      </c>
      <c r="P196" s="15" t="n">
        <f aca="true">RAND()</f>
        <v>0.58103136758287</v>
      </c>
      <c r="Q196" s="15" t="n">
        <f aca="true">RAND()</f>
        <v>0.96800926712141</v>
      </c>
      <c r="R196" s="15" t="n">
        <f aca="true">RAND()</f>
        <v>0.680516514741847</v>
      </c>
      <c r="S196" s="15" t="n">
        <f aca="true">RAND()</f>
        <v>0.834347297138042</v>
      </c>
      <c r="T196" s="16" t="n">
        <f aca="false">LOOKUP(D196,$E$23:$E$26,$A$23:$A$26)+LOOKUP(D196,$E$23:$E$26,$D$23:$D$26)*(D196-LOOKUP(D196,$E$23:$E$26))/LOOKUP(D196,$E$23:$E$26,$C$23:$C$26)</f>
        <v>5.35917575501621</v>
      </c>
      <c r="U196" s="16" t="n">
        <f aca="false">LOOKUP(E196,$E$23:$E$26,$A$23:$A$26)+LOOKUP(E196,$E$23:$E$26,$D$23:$D$26)*(E196-LOOKUP(E196,$E$23:$E$26))/LOOKUP(E196,$E$23:$E$26,$C$23:$C$26)</f>
        <v>5.21377649140479</v>
      </c>
      <c r="V196" s="16" t="n">
        <f aca="false">LOOKUP(F196,$E$23:$E$26,$A$23:$A$26)+LOOKUP(F196,$E$23:$E$26,$D$23:$D$26)*(F196-LOOKUP(F196,$E$23:$E$26))/LOOKUP(F196,$E$23:$E$26,$C$23:$C$26)</f>
        <v>5.820284859474</v>
      </c>
      <c r="W196" s="16" t="n">
        <f aca="false">LOOKUP(G196,$E$23:$E$26,$A$23:$A$26)+LOOKUP(G196,$E$23:$E$26,$D$23:$D$26)*(G196-LOOKUP(G196,$E$23:$E$26))/LOOKUP(G196,$E$23:$E$26,$C$23:$C$26)</f>
        <v>4.56048948569647</v>
      </c>
      <c r="X196" s="16" t="n">
        <f aca="false">LOOKUP(H196,$E$23:$E$26,$A$23:$A$26)+LOOKUP(H196,$E$23:$E$26,$D$23:$D$26)*(H196-LOOKUP(H196,$E$23:$E$26))/LOOKUP(H196,$E$23:$E$26,$C$23:$C$26)</f>
        <v>4.05268480150378</v>
      </c>
      <c r="Y196" s="16" t="n">
        <f aca="false">LOOKUP(I196,$E$23:$E$26,$A$23:$A$26)+LOOKUP(I196,$E$23:$E$26,$D$23:$D$26)*(I196-LOOKUP(I196,$E$23:$E$26))/LOOKUP(I196,$E$23:$E$26,$C$23:$C$26)</f>
        <v>4.01269664528443</v>
      </c>
      <c r="Z196" s="16" t="n">
        <f aca="false">LOOKUP(J196,$E$23:$E$26,$A$23:$A$26)+LOOKUP(J196,$E$23:$E$26,$D$23:$D$26)*(J196-LOOKUP(J196,$E$23:$E$26))/LOOKUP(J196,$E$23:$E$26,$C$23:$C$26)</f>
        <v>4.4111659199623</v>
      </c>
      <c r="AA196" s="16" t="n">
        <f aca="false">LOOKUP(K196,$E$23:$E$26,$A$23:$A$26)+LOOKUP(K196,$E$23:$E$26,$D$23:$D$26)*(K196-LOOKUP(K196,$E$23:$E$26))/LOOKUP(K196,$E$23:$E$26,$C$23:$C$26)</f>
        <v>4.33164719886818</v>
      </c>
      <c r="AB196" s="16" t="n">
        <f aca="false">LOOKUP(L196,$E$23:$E$26,$A$23:$A$26)+LOOKUP(L196,$E$23:$E$26,$D$23:$D$26)*(L196-LOOKUP(L196,$E$23:$E$26))/LOOKUP(L196,$E$23:$E$26,$C$23:$C$26)</f>
        <v>5.78248936301811</v>
      </c>
      <c r="AC196" s="16" t="n">
        <f aca="false">LOOKUP(M196,$E$23:$E$26,$A$23:$A$26)+LOOKUP(M196,$E$23:$E$26,$D$23:$D$26)*(M196-LOOKUP(M196,$E$23:$E$26))/LOOKUP(M196,$E$23:$E$26,$C$23:$C$26)</f>
        <v>4.23692764682255</v>
      </c>
      <c r="AD196" s="16" t="n">
        <f aca="false">LOOKUP(N196,$E$23:$E$26,$A$23:$A$26)+LOOKUP(N196,$E$23:$E$26,$D$23:$D$26)*(N196-LOOKUP(N196,$E$23:$E$26))/LOOKUP(N196,$E$23:$E$26,$C$23:$C$26)</f>
        <v>4.52510549900291</v>
      </c>
      <c r="AE196" s="16" t="n">
        <f aca="false">LOOKUP(O196,$E$23:$E$26,$A$23:$A$26)+LOOKUP(O196,$E$23:$E$26,$D$23:$D$26)*(O196-LOOKUP(O196,$E$23:$E$26))/LOOKUP(O196,$E$23:$E$26,$C$23:$C$26)</f>
        <v>4.5165501292562</v>
      </c>
      <c r="AF196" s="16" t="n">
        <f aca="false">LOOKUP(P196,$E$23:$E$26,$A$23:$A$26)+LOOKUP(P196,$E$23:$E$26,$D$23:$D$26)*(P196-LOOKUP(P196,$E$23:$E$26))/LOOKUP(P196,$E$23:$E$26,$C$23:$C$26)</f>
        <v>4.85128920947859</v>
      </c>
      <c r="AG196" s="16" t="n">
        <f aca="false">LOOKUP(Q196,$E$23:$E$26,$A$23:$A$26)+LOOKUP(Q196,$E$23:$E$26,$D$23:$D$26)*(Q196-LOOKUP(Q196,$E$23:$E$26))/LOOKUP(Q196,$E$23:$E$26,$C$23:$C$26)</f>
        <v>5.84004633560705</v>
      </c>
      <c r="AH196" s="16" t="n">
        <f aca="false">LOOKUP(R196,$E$23:$E$26,$A$23:$A$26)+LOOKUP(R196,$E$23:$E$26,$D$23:$D$26)*(R196-LOOKUP(R196,$E$23:$E$26))/LOOKUP(R196,$E$23:$E$26,$C$23:$C$26)</f>
        <v>4.97564564342731</v>
      </c>
      <c r="AI196" s="16" t="n">
        <f aca="false">LOOKUP(S196,$E$23:$E$26,$A$23:$A$26)+LOOKUP(S196,$E$23:$E$26,$D$23:$D$26)*(S196-LOOKUP(S196,$E$23:$E$26))/LOOKUP(S196,$E$23:$E$26,$C$23:$C$26)</f>
        <v>5.3358682428451</v>
      </c>
      <c r="AJ196" s="16" t="n">
        <f aca="false">SUM($T196:T196)</f>
        <v>5.35917575501621</v>
      </c>
      <c r="AK196" s="16" t="n">
        <f aca="false">SUM($T196:U196)</f>
        <v>10.572952246421</v>
      </c>
      <c r="AL196" s="16" t="n">
        <f aca="false">SUM($T196:V196)</f>
        <v>16.393237105895</v>
      </c>
      <c r="AM196" s="16" t="n">
        <f aca="false">SUM($T196:W196)</f>
        <v>20.9537265915915</v>
      </c>
      <c r="AN196" s="16" t="n">
        <f aca="false">SUM($T196:X196)</f>
        <v>25.0064113930952</v>
      </c>
      <c r="AO196" s="16" t="n">
        <f aca="false">SUM($T196:Y196)</f>
        <v>29.0191080383797</v>
      </c>
      <c r="AP196" s="16" t="n">
        <f aca="false">SUM($T196:Z196)</f>
        <v>33.430273958342</v>
      </c>
      <c r="AQ196" s="16" t="n">
        <f aca="false">SUM($T196:AA196)</f>
        <v>37.7619211572101</v>
      </c>
      <c r="AR196" s="16" t="n">
        <f aca="false">SUM($T196:AB196)</f>
        <v>43.5444105202283</v>
      </c>
      <c r="AS196" s="16" t="n">
        <f aca="false">SUM($T196:AC196)</f>
        <v>47.7813381670508</v>
      </c>
      <c r="AT196" s="16" t="n">
        <f aca="false">SUM($T196:AD196)</f>
        <v>52.3064436660537</v>
      </c>
      <c r="AU196" s="16" t="n">
        <f aca="false">SUM($T196:AE196)</f>
        <v>56.8229937953099</v>
      </c>
      <c r="AV196" s="16" t="n">
        <f aca="false">SUM($T196:AF196)</f>
        <v>61.6742830047885</v>
      </c>
      <c r="AW196" s="16" t="n">
        <f aca="false">SUM($T196:AG196)</f>
        <v>67.5143293403956</v>
      </c>
      <c r="AX196" s="16" t="n">
        <f aca="false">SUM($T196:AH196)</f>
        <v>72.4899749838229</v>
      </c>
      <c r="AY196" s="16" t="n">
        <f aca="false">SUM($T196:AI196)</f>
        <v>77.825843226668</v>
      </c>
      <c r="AZ196" s="16" t="n">
        <f aca="false">MAX(C196-AJ196,0)</f>
        <v>46.4937407615879</v>
      </c>
      <c r="BA196" s="16" t="n">
        <f aca="false">MAX(C196-AK196,0)</f>
        <v>41.2799642701831</v>
      </c>
      <c r="BB196" s="16" t="n">
        <f aca="false">MAX(C196-AL196,0)</f>
        <v>35.4596794107091</v>
      </c>
      <c r="BC196" s="16" t="n">
        <f aca="false">MAX(C196-AM196,0)</f>
        <v>30.8991899250126</v>
      </c>
      <c r="BD196" s="16" t="n">
        <f aca="false">MAX(C196-AN196,0)</f>
        <v>26.8465051235089</v>
      </c>
      <c r="BE196" s="16" t="n">
        <f aca="false">MAX(C196-AO196,0)</f>
        <v>22.8338084782244</v>
      </c>
      <c r="BF196" s="16" t="n">
        <f aca="false">MAX(C196-AP196,0)</f>
        <v>18.4226425582621</v>
      </c>
      <c r="BG196" s="16" t="n">
        <f aca="false">MAX(C196-AQ196,0)</f>
        <v>14.090995359394</v>
      </c>
      <c r="BH196" s="16" t="n">
        <f aca="false">MAX(C196-AR196,0)</f>
        <v>8.30850599637584</v>
      </c>
      <c r="BI196" s="16" t="n">
        <f aca="false">MAX(C196-AS196,0)</f>
        <v>4.0715783495533</v>
      </c>
      <c r="BJ196" s="16" t="n">
        <f aca="false">MAX(C196-AT196,0)</f>
        <v>0</v>
      </c>
      <c r="BK196" s="16" t="n">
        <f aca="false">MAX(C196-AU196,0)</f>
        <v>0</v>
      </c>
      <c r="BL196" s="16" t="n">
        <f aca="false">MAX(C196-AV196,0)</f>
        <v>0</v>
      </c>
      <c r="BM196" s="16" t="n">
        <f aca="false">MAX(C196-AW196,0)</f>
        <v>0</v>
      </c>
      <c r="BN196" s="16" t="n">
        <f aca="false">MAX(C196-AX196,0)</f>
        <v>0</v>
      </c>
      <c r="BO196" s="16" t="n">
        <f aca="false">MAX(C196-AY196,0)</f>
        <v>0</v>
      </c>
    </row>
    <row r="197" customFormat="false" ht="15" hidden="false" customHeight="false" outlineLevel="0" collapsed="false">
      <c r="A197" s="3" t="n">
        <v>167</v>
      </c>
      <c r="B197" s="15" t="n">
        <f aca="true">RAND()</f>
        <v>0.69029184024736</v>
      </c>
      <c r="C197" s="16" t="n">
        <f aca="false">LOOKUP(B197,$E$12:$E$17,$A$12:$A$17)+LOOKUP(B197,$E$12:$E$17,$D$12:$D$17)*(B197-LOOKUP(B197,$E$12:$E$17))/LOOKUP(B197,$E$12:$E$17,$C$12:$C$17)</f>
        <v>67.0041691463909</v>
      </c>
      <c r="D197" s="15" t="n">
        <f aca="true">RAND()</f>
        <v>0.72663684068696</v>
      </c>
      <c r="E197" s="15" t="n">
        <f aca="true">RAND()</f>
        <v>0.492942904949114</v>
      </c>
      <c r="F197" s="15" t="n">
        <f aca="true">RAND()</f>
        <v>0.694924175312436</v>
      </c>
      <c r="G197" s="15" t="n">
        <f aca="true">RAND()</f>
        <v>0.638060368209205</v>
      </c>
      <c r="H197" s="15" t="n">
        <f aca="true">RAND()</f>
        <v>0.740834964123679</v>
      </c>
      <c r="I197" s="15" t="n">
        <f aca="true">RAND()</f>
        <v>0.725970912823917</v>
      </c>
      <c r="J197" s="15" t="n">
        <f aca="true">RAND()</f>
        <v>0.819050498676388</v>
      </c>
      <c r="K197" s="15" t="n">
        <f aca="true">RAND()</f>
        <v>0.841396703459559</v>
      </c>
      <c r="L197" s="15" t="n">
        <f aca="true">RAND()</f>
        <v>0.154520748825794</v>
      </c>
      <c r="M197" s="15" t="n">
        <f aca="true">RAND()</f>
        <v>0.77145209074346</v>
      </c>
      <c r="N197" s="15" t="n">
        <f aca="true">RAND()</f>
        <v>0.516508428602021</v>
      </c>
      <c r="O197" s="15" t="n">
        <f aca="true">RAND()</f>
        <v>0.18685542752334</v>
      </c>
      <c r="P197" s="15" t="n">
        <f aca="true">RAND()</f>
        <v>0.00483338688956929</v>
      </c>
      <c r="Q197" s="15" t="n">
        <f aca="true">RAND()</f>
        <v>0.379128141261767</v>
      </c>
      <c r="R197" s="15" t="n">
        <f aca="true">RAND()</f>
        <v>0.319462318795939</v>
      </c>
      <c r="S197" s="15" t="n">
        <f aca="true">RAND()</f>
        <v>0.751410643480975</v>
      </c>
      <c r="T197" s="16" t="n">
        <f aca="false">LOOKUP(D197,$E$23:$E$26,$A$23:$A$26)+LOOKUP(D197,$E$23:$E$26,$D$23:$D$26)*(D197-LOOKUP(D197,$E$23:$E$26))/LOOKUP(D197,$E$23:$E$26,$C$23:$C$26)</f>
        <v>5.0665921017174</v>
      </c>
      <c r="U197" s="16" t="n">
        <f aca="false">LOOKUP(E197,$E$23:$E$26,$A$23:$A$26)+LOOKUP(E197,$E$23:$E$26,$D$23:$D$26)*(E197-LOOKUP(E197,$E$23:$E$26))/LOOKUP(E197,$E$23:$E$26,$C$23:$C$26)</f>
        <v>4.74117863118639</v>
      </c>
      <c r="V197" s="16" t="n">
        <f aca="false">LOOKUP(F197,$E$23:$E$26,$A$23:$A$26)+LOOKUP(F197,$E$23:$E$26,$D$23:$D$26)*(F197-LOOKUP(F197,$E$23:$E$26))/LOOKUP(F197,$E$23:$E$26,$C$23:$C$26)</f>
        <v>4.99365521914055</v>
      </c>
      <c r="W197" s="16" t="n">
        <f aca="false">LOOKUP(G197,$E$23:$E$26,$A$23:$A$26)+LOOKUP(G197,$E$23:$E$26,$D$23:$D$26)*(G197-LOOKUP(G197,$E$23:$E$26))/LOOKUP(G197,$E$23:$E$26,$C$23:$C$26)</f>
        <v>4.92257546026151</v>
      </c>
      <c r="X197" s="16" t="n">
        <f aca="false">LOOKUP(H197,$E$23:$E$26,$A$23:$A$26)+LOOKUP(H197,$E$23:$E$26,$D$23:$D$26)*(H197-LOOKUP(H197,$E$23:$E$26))/LOOKUP(H197,$E$23:$E$26,$C$23:$C$26)</f>
        <v>5.1020874103092</v>
      </c>
      <c r="Y197" s="16" t="n">
        <f aca="false">LOOKUP(I197,$E$23:$E$26,$A$23:$A$26)+LOOKUP(I197,$E$23:$E$26,$D$23:$D$26)*(I197-LOOKUP(I197,$E$23:$E$26))/LOOKUP(I197,$E$23:$E$26,$C$23:$C$26)</f>
        <v>5.06492728205979</v>
      </c>
      <c r="Z197" s="16" t="n">
        <f aca="false">LOOKUP(J197,$E$23:$E$26,$A$23:$A$26)+LOOKUP(J197,$E$23:$E$26,$D$23:$D$26)*(J197-LOOKUP(J197,$E$23:$E$26))/LOOKUP(J197,$E$23:$E$26,$C$23:$C$26)</f>
        <v>5.29762624669097</v>
      </c>
      <c r="AA197" s="16" t="n">
        <f aca="false">LOOKUP(K197,$E$23:$E$26,$A$23:$A$26)+LOOKUP(K197,$E$23:$E$26,$D$23:$D$26)*(K197-LOOKUP(K197,$E$23:$E$26))/LOOKUP(K197,$E$23:$E$26,$C$23:$C$26)</f>
        <v>5.3534917586489</v>
      </c>
      <c r="AB197" s="16" t="n">
        <f aca="false">LOOKUP(L197,$E$23:$E$26,$A$23:$A$26)+LOOKUP(L197,$E$23:$E$26,$D$23:$D$26)*(L197-LOOKUP(L197,$E$23:$E$26))/LOOKUP(L197,$E$23:$E$26,$C$23:$C$26)</f>
        <v>4.25753458137632</v>
      </c>
      <c r="AC197" s="16" t="n">
        <f aca="false">LOOKUP(M197,$E$23:$E$26,$A$23:$A$26)+LOOKUP(M197,$E$23:$E$26,$D$23:$D$26)*(M197-LOOKUP(M197,$E$23:$E$26))/LOOKUP(M197,$E$23:$E$26,$C$23:$C$26)</f>
        <v>5.17863022685865</v>
      </c>
      <c r="AD197" s="16" t="n">
        <f aca="false">LOOKUP(N197,$E$23:$E$26,$A$23:$A$26)+LOOKUP(N197,$E$23:$E$26,$D$23:$D$26)*(N197-LOOKUP(N197,$E$23:$E$26))/LOOKUP(N197,$E$23:$E$26,$C$23:$C$26)</f>
        <v>4.77063553575253</v>
      </c>
      <c r="AE197" s="16" t="n">
        <f aca="false">LOOKUP(O197,$E$23:$E$26,$A$23:$A$26)+LOOKUP(O197,$E$23:$E$26,$D$23:$D$26)*(O197-LOOKUP(O197,$E$23:$E$26))/LOOKUP(O197,$E$23:$E$26,$C$23:$C$26)</f>
        <v>4.3114257125389</v>
      </c>
      <c r="AF197" s="16" t="n">
        <f aca="false">LOOKUP(P197,$E$23:$E$26,$A$23:$A$26)+LOOKUP(P197,$E$23:$E$26,$D$23:$D$26)*(P197-LOOKUP(P197,$E$23:$E$26))/LOOKUP(P197,$E$23:$E$26,$C$23:$C$26)</f>
        <v>4.00805564481595</v>
      </c>
      <c r="AG197" s="16" t="n">
        <f aca="false">LOOKUP(Q197,$E$23:$E$26,$A$23:$A$26)+LOOKUP(Q197,$E$23:$E$26,$D$23:$D$26)*(Q197-LOOKUP(Q197,$E$23:$E$26))/LOOKUP(Q197,$E$23:$E$26,$C$23:$C$26)</f>
        <v>4.59891017657721</v>
      </c>
      <c r="AH197" s="16" t="n">
        <f aca="false">LOOKUP(R197,$E$23:$E$26,$A$23:$A$26)+LOOKUP(R197,$E$23:$E$26,$D$23:$D$26)*(R197-LOOKUP(R197,$E$23:$E$26))/LOOKUP(R197,$E$23:$E$26,$C$23:$C$26)</f>
        <v>4.52432789849492</v>
      </c>
      <c r="AI197" s="16" t="n">
        <f aca="false">LOOKUP(S197,$E$23:$E$26,$A$23:$A$26)+LOOKUP(S197,$E$23:$E$26,$D$23:$D$26)*(S197-LOOKUP(S197,$E$23:$E$26))/LOOKUP(S197,$E$23:$E$26,$C$23:$C$26)</f>
        <v>5.12852660870244</v>
      </c>
      <c r="AJ197" s="16" t="n">
        <f aca="false">SUM($T197:T197)</f>
        <v>5.0665921017174</v>
      </c>
      <c r="AK197" s="16" t="n">
        <f aca="false">SUM($T197:U197)</f>
        <v>9.80777073290379</v>
      </c>
      <c r="AL197" s="16" t="n">
        <f aca="false">SUM($T197:V197)</f>
        <v>14.8014259520443</v>
      </c>
      <c r="AM197" s="16" t="n">
        <f aca="false">SUM($T197:W197)</f>
        <v>19.7240014123058</v>
      </c>
      <c r="AN197" s="16" t="n">
        <f aca="false">SUM($T197:X197)</f>
        <v>24.826088822615</v>
      </c>
      <c r="AO197" s="16" t="n">
        <f aca="false">SUM($T197:Y197)</f>
        <v>29.8910161046748</v>
      </c>
      <c r="AP197" s="16" t="n">
        <f aca="false">SUM($T197:Z197)</f>
        <v>35.1886423513658</v>
      </c>
      <c r="AQ197" s="16" t="n">
        <f aca="false">SUM($T197:AA197)</f>
        <v>40.5421341100147</v>
      </c>
      <c r="AR197" s="16" t="n">
        <f aca="false">SUM($T197:AB197)</f>
        <v>44.799668691391</v>
      </c>
      <c r="AS197" s="16" t="n">
        <f aca="false">SUM($T197:AC197)</f>
        <v>49.9782989182497</v>
      </c>
      <c r="AT197" s="16" t="n">
        <f aca="false">SUM($T197:AD197)</f>
        <v>54.7489344540022</v>
      </c>
      <c r="AU197" s="16" t="n">
        <f aca="false">SUM($T197:AE197)</f>
        <v>59.0603601665411</v>
      </c>
      <c r="AV197" s="16" t="n">
        <f aca="false">SUM($T197:AF197)</f>
        <v>63.068415811357</v>
      </c>
      <c r="AW197" s="16" t="n">
        <f aca="false">SUM($T197:AG197)</f>
        <v>67.6673259879343</v>
      </c>
      <c r="AX197" s="16" t="n">
        <f aca="false">SUM($T197:AH197)</f>
        <v>72.1916538864292</v>
      </c>
      <c r="AY197" s="16" t="n">
        <f aca="false">SUM($T197:AI197)</f>
        <v>77.3201804951316</v>
      </c>
      <c r="AZ197" s="16" t="n">
        <f aca="false">MAX(C197-AJ197,0)</f>
        <v>61.9375770446735</v>
      </c>
      <c r="BA197" s="16" t="n">
        <f aca="false">MAX(C197-AK197,0)</f>
        <v>57.1963984134871</v>
      </c>
      <c r="BB197" s="16" t="n">
        <f aca="false">MAX(C197-AL197,0)</f>
        <v>52.2027431943465</v>
      </c>
      <c r="BC197" s="16" t="n">
        <f aca="false">MAX(C197-AM197,0)</f>
        <v>47.280167734085</v>
      </c>
      <c r="BD197" s="16" t="n">
        <f aca="false">MAX(C197-AN197,0)</f>
        <v>42.1780803237758</v>
      </c>
      <c r="BE197" s="16" t="n">
        <f aca="false">MAX(C197-AO197,0)</f>
        <v>37.113153041716</v>
      </c>
      <c r="BF197" s="16" t="n">
        <f aca="false">MAX(C197-AP197,0)</f>
        <v>31.8155267950251</v>
      </c>
      <c r="BG197" s="16" t="n">
        <f aca="false">MAX(C197-AQ197,0)</f>
        <v>26.4620350363762</v>
      </c>
      <c r="BH197" s="16" t="n">
        <f aca="false">MAX(C197-AR197,0)</f>
        <v>22.2045004549998</v>
      </c>
      <c r="BI197" s="16" t="n">
        <f aca="false">MAX(C197-AS197,0)</f>
        <v>17.0258702281412</v>
      </c>
      <c r="BJ197" s="16" t="n">
        <f aca="false">MAX(C197-AT197,0)</f>
        <v>12.2552346923887</v>
      </c>
      <c r="BK197" s="16" t="n">
        <f aca="false">MAX(C197-AU197,0)</f>
        <v>7.94380897984977</v>
      </c>
      <c r="BL197" s="16" t="n">
        <f aca="false">MAX(C197-AV197,0)</f>
        <v>3.93575333503382</v>
      </c>
      <c r="BM197" s="16" t="n">
        <f aca="false">MAX(C197-AW197,0)</f>
        <v>0</v>
      </c>
      <c r="BN197" s="16" t="n">
        <f aca="false">MAX(C197-AX197,0)</f>
        <v>0</v>
      </c>
      <c r="BO197" s="16" t="n">
        <f aca="false">MAX(C197-AY197,0)</f>
        <v>0</v>
      </c>
    </row>
    <row r="198" customFormat="false" ht="15" hidden="false" customHeight="false" outlineLevel="0" collapsed="false">
      <c r="A198" s="3" t="n">
        <v>168</v>
      </c>
      <c r="B198" s="15" t="n">
        <f aca="true">RAND()</f>
        <v>0.958663695076071</v>
      </c>
      <c r="C198" s="16" t="n">
        <f aca="false">LOOKUP(B198,$E$12:$E$17,$A$12:$A$17)+LOOKUP(B198,$E$12:$E$17,$D$12:$D$17)*(B198-LOOKUP(B198,$E$12:$E$17))/LOOKUP(B198,$E$12:$E$17,$C$12:$C$17)</f>
        <v>78.6664809422544</v>
      </c>
      <c r="D198" s="15" t="n">
        <f aca="true">RAND()</f>
        <v>0.855027517830932</v>
      </c>
      <c r="E198" s="15" t="n">
        <f aca="true">RAND()</f>
        <v>0.904028366453547</v>
      </c>
      <c r="F198" s="15" t="n">
        <f aca="true">RAND()</f>
        <v>0.572135668670892</v>
      </c>
      <c r="G198" s="15" t="n">
        <f aca="true">RAND()</f>
        <v>0.126099841815542</v>
      </c>
      <c r="H198" s="15" t="n">
        <f aca="true">RAND()</f>
        <v>0.780541160645356</v>
      </c>
      <c r="I198" s="15" t="n">
        <f aca="true">RAND()</f>
        <v>0.0281364925695067</v>
      </c>
      <c r="J198" s="15" t="n">
        <f aca="true">RAND()</f>
        <v>0.505486478682838</v>
      </c>
      <c r="K198" s="15" t="n">
        <f aca="true">RAND()</f>
        <v>0.637964165658786</v>
      </c>
      <c r="L198" s="15" t="n">
        <f aca="true">RAND()</f>
        <v>0.0564519310028204</v>
      </c>
      <c r="M198" s="15" t="n">
        <f aca="true">RAND()</f>
        <v>0.769431023469204</v>
      </c>
      <c r="N198" s="15" t="n">
        <f aca="true">RAND()</f>
        <v>0.955201914201415</v>
      </c>
      <c r="O198" s="15" t="n">
        <f aca="true">RAND()</f>
        <v>0.722209504042879</v>
      </c>
      <c r="P198" s="15" t="n">
        <f aca="true">RAND()</f>
        <v>0.430296988644883</v>
      </c>
      <c r="Q198" s="15" t="n">
        <f aca="true">RAND()</f>
        <v>0.250635097684259</v>
      </c>
      <c r="R198" s="15" t="n">
        <f aca="true">RAND()</f>
        <v>0.544585413574814</v>
      </c>
      <c r="S198" s="15" t="n">
        <f aca="true">RAND()</f>
        <v>0.840814950785718</v>
      </c>
      <c r="T198" s="16" t="n">
        <f aca="false">LOOKUP(D198,$E$23:$E$26,$A$23:$A$26)+LOOKUP(D198,$E$23:$E$26,$D$23:$D$26)*(D198-LOOKUP(D198,$E$23:$E$26))/LOOKUP(D198,$E$23:$E$26,$C$23:$C$26)</f>
        <v>5.38756879457733</v>
      </c>
      <c r="U198" s="16" t="n">
        <f aca="false">LOOKUP(E198,$E$23:$E$26,$A$23:$A$26)+LOOKUP(E198,$E$23:$E$26,$D$23:$D$26)*(E198-LOOKUP(E198,$E$23:$E$26))/LOOKUP(E198,$E$23:$E$26,$C$23:$C$26)</f>
        <v>5.52014183226773</v>
      </c>
      <c r="V198" s="16" t="n">
        <f aca="false">LOOKUP(F198,$E$23:$E$26,$A$23:$A$26)+LOOKUP(F198,$E$23:$E$26,$D$23:$D$26)*(F198-LOOKUP(F198,$E$23:$E$26))/LOOKUP(F198,$E$23:$E$26,$C$23:$C$26)</f>
        <v>4.84016958583862</v>
      </c>
      <c r="W198" s="16" t="n">
        <f aca="false">LOOKUP(G198,$E$23:$E$26,$A$23:$A$26)+LOOKUP(G198,$E$23:$E$26,$D$23:$D$26)*(G198-LOOKUP(G198,$E$23:$E$26))/LOOKUP(G198,$E$23:$E$26,$C$23:$C$26)</f>
        <v>4.2101664030259</v>
      </c>
      <c r="X198" s="16" t="n">
        <f aca="false">LOOKUP(H198,$E$23:$E$26,$A$23:$A$26)+LOOKUP(H198,$E$23:$E$26,$D$23:$D$26)*(H198-LOOKUP(H198,$E$23:$E$26))/LOOKUP(H198,$E$23:$E$26,$C$23:$C$26)</f>
        <v>5.20135290161339</v>
      </c>
      <c r="Y198" s="16" t="n">
        <f aca="false">LOOKUP(I198,$E$23:$E$26,$A$23:$A$26)+LOOKUP(I198,$E$23:$E$26,$D$23:$D$26)*(I198-LOOKUP(I198,$E$23:$E$26))/LOOKUP(I198,$E$23:$E$26,$C$23:$C$26)</f>
        <v>4.04689415428251</v>
      </c>
      <c r="Z198" s="16" t="n">
        <f aca="false">LOOKUP(J198,$E$23:$E$26,$A$23:$A$26)+LOOKUP(J198,$E$23:$E$26,$D$23:$D$26)*(J198-LOOKUP(J198,$E$23:$E$26))/LOOKUP(J198,$E$23:$E$26,$C$23:$C$26)</f>
        <v>4.75685809835355</v>
      </c>
      <c r="AA198" s="16" t="n">
        <f aca="false">LOOKUP(K198,$E$23:$E$26,$A$23:$A$26)+LOOKUP(K198,$E$23:$E$26,$D$23:$D$26)*(K198-LOOKUP(K198,$E$23:$E$26))/LOOKUP(K198,$E$23:$E$26,$C$23:$C$26)</f>
        <v>4.92245520707348</v>
      </c>
      <c r="AB198" s="16" t="n">
        <f aca="false">LOOKUP(L198,$E$23:$E$26,$A$23:$A$26)+LOOKUP(L198,$E$23:$E$26,$D$23:$D$26)*(L198-LOOKUP(L198,$E$23:$E$26))/LOOKUP(L198,$E$23:$E$26,$C$23:$C$26)</f>
        <v>4.09408655167137</v>
      </c>
      <c r="AC198" s="16" t="n">
        <f aca="false">LOOKUP(M198,$E$23:$E$26,$A$23:$A$26)+LOOKUP(M198,$E$23:$E$26,$D$23:$D$26)*(M198-LOOKUP(M198,$E$23:$E$26))/LOOKUP(M198,$E$23:$E$26,$C$23:$C$26)</f>
        <v>5.17357755867301</v>
      </c>
      <c r="AD198" s="16" t="n">
        <f aca="false">LOOKUP(N198,$E$23:$E$26,$A$23:$A$26)+LOOKUP(N198,$E$23:$E$26,$D$23:$D$26)*(N198-LOOKUP(N198,$E$23:$E$26))/LOOKUP(N198,$E$23:$E$26,$C$23:$C$26)</f>
        <v>5.77600957100708</v>
      </c>
      <c r="AE198" s="16" t="n">
        <f aca="false">LOOKUP(O198,$E$23:$E$26,$A$23:$A$26)+LOOKUP(O198,$E$23:$E$26,$D$23:$D$26)*(O198-LOOKUP(O198,$E$23:$E$26))/LOOKUP(O198,$E$23:$E$26,$C$23:$C$26)</f>
        <v>5.0555237601072</v>
      </c>
      <c r="AF198" s="16" t="n">
        <f aca="false">LOOKUP(P198,$E$23:$E$26,$A$23:$A$26)+LOOKUP(P198,$E$23:$E$26,$D$23:$D$26)*(P198-LOOKUP(P198,$E$23:$E$26))/LOOKUP(P198,$E$23:$E$26,$C$23:$C$26)</f>
        <v>4.6628712358061</v>
      </c>
      <c r="AG198" s="16" t="n">
        <f aca="false">LOOKUP(Q198,$E$23:$E$26,$A$23:$A$26)+LOOKUP(Q198,$E$23:$E$26,$D$23:$D$26)*(Q198-LOOKUP(Q198,$E$23:$E$26))/LOOKUP(Q198,$E$23:$E$26,$C$23:$C$26)</f>
        <v>4.4177251628071</v>
      </c>
      <c r="AH198" s="16" t="n">
        <f aca="false">LOOKUP(R198,$E$23:$E$26,$A$23:$A$26)+LOOKUP(R198,$E$23:$E$26,$D$23:$D$26)*(R198-LOOKUP(R198,$E$23:$E$26))/LOOKUP(R198,$E$23:$E$26,$C$23:$C$26)</f>
        <v>4.80573176696852</v>
      </c>
      <c r="AI198" s="16" t="n">
        <f aca="false">LOOKUP(S198,$E$23:$E$26,$A$23:$A$26)+LOOKUP(S198,$E$23:$E$26,$D$23:$D$26)*(S198-LOOKUP(S198,$E$23:$E$26))/LOOKUP(S198,$E$23:$E$26,$C$23:$C$26)</f>
        <v>5.3520373769643</v>
      </c>
      <c r="AJ198" s="16" t="n">
        <f aca="false">SUM($T198:T198)</f>
        <v>5.38756879457733</v>
      </c>
      <c r="AK198" s="16" t="n">
        <f aca="false">SUM($T198:U198)</f>
        <v>10.9077106268451</v>
      </c>
      <c r="AL198" s="16" t="n">
        <f aca="false">SUM($T198:V198)</f>
        <v>15.7478802126837</v>
      </c>
      <c r="AM198" s="16" t="n">
        <f aca="false">SUM($T198:W198)</f>
        <v>19.9580466157096</v>
      </c>
      <c r="AN198" s="16" t="n">
        <f aca="false">SUM($T198:X198)</f>
        <v>25.159399517323</v>
      </c>
      <c r="AO198" s="16" t="n">
        <f aca="false">SUM($T198:Y198)</f>
        <v>29.2062936716055</v>
      </c>
      <c r="AP198" s="16" t="n">
        <f aca="false">SUM($T198:Z198)</f>
        <v>33.963151769959</v>
      </c>
      <c r="AQ198" s="16" t="n">
        <f aca="false">SUM($T198:AA198)</f>
        <v>38.8856069770325</v>
      </c>
      <c r="AR198" s="16" t="n">
        <f aca="false">SUM($T198:AB198)</f>
        <v>42.9796935287039</v>
      </c>
      <c r="AS198" s="16" t="n">
        <f aca="false">SUM($T198:AC198)</f>
        <v>48.1532710873769</v>
      </c>
      <c r="AT198" s="16" t="n">
        <f aca="false">SUM($T198:AD198)</f>
        <v>53.929280658384</v>
      </c>
      <c r="AU198" s="16" t="n">
        <f aca="false">SUM($T198:AE198)</f>
        <v>58.9848044184912</v>
      </c>
      <c r="AV198" s="16" t="n">
        <f aca="false">SUM($T198:AF198)</f>
        <v>63.6476756542973</v>
      </c>
      <c r="AW198" s="16" t="n">
        <f aca="false">SUM($T198:AG198)</f>
        <v>68.0654008171044</v>
      </c>
      <c r="AX198" s="16" t="n">
        <f aca="false">SUM($T198:AH198)</f>
        <v>72.8711325840729</v>
      </c>
      <c r="AY198" s="16" t="n">
        <f aca="false">SUM($T198:AI198)</f>
        <v>78.2231699610372</v>
      </c>
      <c r="AZ198" s="16" t="n">
        <f aca="false">MAX(C198-AJ198,0)</f>
        <v>73.2789121476771</v>
      </c>
      <c r="BA198" s="16" t="n">
        <f aca="false">MAX(C198-AK198,0)</f>
        <v>67.7587703154094</v>
      </c>
      <c r="BB198" s="16" t="n">
        <f aca="false">MAX(C198-AL198,0)</f>
        <v>62.9186007295707</v>
      </c>
      <c r="BC198" s="16" t="n">
        <f aca="false">MAX(C198-AM198,0)</f>
        <v>58.7084343265448</v>
      </c>
      <c r="BD198" s="16" t="n">
        <f aca="false">MAX(C198-AN198,0)</f>
        <v>53.5070814249315</v>
      </c>
      <c r="BE198" s="16" t="n">
        <f aca="false">MAX(C198-AO198,0)</f>
        <v>49.4601872706489</v>
      </c>
      <c r="BF198" s="16" t="n">
        <f aca="false">MAX(C198-AP198,0)</f>
        <v>44.7033291722954</v>
      </c>
      <c r="BG198" s="16" t="n">
        <f aca="false">MAX(C198-AQ198,0)</f>
        <v>39.7808739652219</v>
      </c>
      <c r="BH198" s="16" t="n">
        <f aca="false">MAX(C198-AR198,0)</f>
        <v>35.6867874135506</v>
      </c>
      <c r="BI198" s="16" t="n">
        <f aca="false">MAX(C198-AS198,0)</f>
        <v>30.5132098548775</v>
      </c>
      <c r="BJ198" s="16" t="n">
        <f aca="false">MAX(C198-AT198,0)</f>
        <v>24.7372002838705</v>
      </c>
      <c r="BK198" s="16" t="n">
        <f aca="false">MAX(C198-AU198,0)</f>
        <v>19.6816765237633</v>
      </c>
      <c r="BL198" s="16" t="n">
        <f aca="false">MAX(C198-AV198,0)</f>
        <v>15.0188052879572</v>
      </c>
      <c r="BM198" s="16" t="n">
        <f aca="false">MAX(C198-AW198,0)</f>
        <v>10.6010801251501</v>
      </c>
      <c r="BN198" s="16" t="n">
        <f aca="false">MAX(C198-AX198,0)</f>
        <v>5.79534835818154</v>
      </c>
      <c r="BO198" s="16" t="n">
        <f aca="false">MAX(C198-AY198,0)</f>
        <v>0.443310981217252</v>
      </c>
    </row>
    <row r="199" customFormat="false" ht="15" hidden="false" customHeight="false" outlineLevel="0" collapsed="false">
      <c r="A199" s="3" t="n">
        <v>169</v>
      </c>
      <c r="B199" s="15" t="n">
        <f aca="true">RAND()</f>
        <v>0.484066319084305</v>
      </c>
      <c r="C199" s="16" t="n">
        <f aca="false">LOOKUP(B199,$E$12:$E$17,$A$12:$A$17)+LOOKUP(B199,$E$12:$E$17,$D$12:$D$17)*(B199-LOOKUP(B199,$E$12:$E$17))/LOOKUP(B199,$E$12:$E$17,$C$12:$C$17)</f>
        <v>63.9011053180718</v>
      </c>
      <c r="D199" s="15" t="n">
        <f aca="true">RAND()</f>
        <v>0.80202213027672</v>
      </c>
      <c r="E199" s="15" t="n">
        <f aca="true">RAND()</f>
        <v>0.547274855323125</v>
      </c>
      <c r="F199" s="15" t="n">
        <f aca="true">RAND()</f>
        <v>0.655405419887971</v>
      </c>
      <c r="G199" s="15" t="n">
        <f aca="true">RAND()</f>
        <v>0.624458067765794</v>
      </c>
      <c r="H199" s="15" t="n">
        <f aca="true">RAND()</f>
        <v>0.282303786825287</v>
      </c>
      <c r="I199" s="15" t="n">
        <f aca="true">RAND()</f>
        <v>0.247130750753711</v>
      </c>
      <c r="J199" s="15" t="n">
        <f aca="true">RAND()</f>
        <v>0.482177515903904</v>
      </c>
      <c r="K199" s="15" t="n">
        <f aca="true">RAND()</f>
        <v>0.594726424109282</v>
      </c>
      <c r="L199" s="15" t="n">
        <f aca="true">RAND()</f>
        <v>0.45708415608237</v>
      </c>
      <c r="M199" s="15" t="n">
        <f aca="true">RAND()</f>
        <v>0.76411832695489</v>
      </c>
      <c r="N199" s="15" t="n">
        <f aca="true">RAND()</f>
        <v>0.518443255424009</v>
      </c>
      <c r="O199" s="15" t="n">
        <f aca="true">RAND()</f>
        <v>0.616263737204428</v>
      </c>
      <c r="P199" s="15" t="n">
        <f aca="true">RAND()</f>
        <v>0.185319156394937</v>
      </c>
      <c r="Q199" s="15" t="n">
        <f aca="true">RAND()</f>
        <v>0.235951808149551</v>
      </c>
      <c r="R199" s="15" t="n">
        <f aca="true">RAND()</f>
        <v>0.800728559435891</v>
      </c>
      <c r="S199" s="15" t="n">
        <f aca="true">RAND()</f>
        <v>0.164224673809551</v>
      </c>
      <c r="T199" s="16" t="n">
        <f aca="false">LOOKUP(D199,$E$23:$E$26,$A$23:$A$26)+LOOKUP(D199,$E$23:$E$26,$D$23:$D$26)*(D199-LOOKUP(D199,$E$23:$E$26))/LOOKUP(D199,$E$23:$E$26,$C$23:$C$26)</f>
        <v>5.2550553256918</v>
      </c>
      <c r="U199" s="16" t="n">
        <f aca="false">LOOKUP(E199,$E$23:$E$26,$A$23:$A$26)+LOOKUP(E199,$E$23:$E$26,$D$23:$D$26)*(E199-LOOKUP(E199,$E$23:$E$26))/LOOKUP(E199,$E$23:$E$26,$C$23:$C$26)</f>
        <v>4.80909356915391</v>
      </c>
      <c r="V199" s="16" t="n">
        <f aca="false">LOOKUP(F199,$E$23:$E$26,$A$23:$A$26)+LOOKUP(F199,$E$23:$E$26,$D$23:$D$26)*(F199-LOOKUP(F199,$E$23:$E$26))/LOOKUP(F199,$E$23:$E$26,$C$23:$C$26)</f>
        <v>4.94425677485996</v>
      </c>
      <c r="W199" s="16" t="n">
        <f aca="false">LOOKUP(G199,$E$23:$E$26,$A$23:$A$26)+LOOKUP(G199,$E$23:$E$26,$D$23:$D$26)*(G199-LOOKUP(G199,$E$23:$E$26))/LOOKUP(G199,$E$23:$E$26,$C$23:$C$26)</f>
        <v>4.90557258470724</v>
      </c>
      <c r="X199" s="16" t="n">
        <f aca="false">LOOKUP(H199,$E$23:$E$26,$A$23:$A$26)+LOOKUP(H199,$E$23:$E$26,$D$23:$D$26)*(H199-LOOKUP(H199,$E$23:$E$26))/LOOKUP(H199,$E$23:$E$26,$C$23:$C$26)</f>
        <v>4.47050631137548</v>
      </c>
      <c r="Y199" s="16" t="n">
        <f aca="false">LOOKUP(I199,$E$23:$E$26,$A$23:$A$26)+LOOKUP(I199,$E$23:$E$26,$D$23:$D$26)*(I199-LOOKUP(I199,$E$23:$E$26))/LOOKUP(I199,$E$23:$E$26,$C$23:$C$26)</f>
        <v>4.41188458458952</v>
      </c>
      <c r="Z199" s="16" t="n">
        <f aca="false">LOOKUP(J199,$E$23:$E$26,$A$23:$A$26)+LOOKUP(J199,$E$23:$E$26,$D$23:$D$26)*(J199-LOOKUP(J199,$E$23:$E$26))/LOOKUP(J199,$E$23:$E$26,$C$23:$C$26)</f>
        <v>4.72772189487988</v>
      </c>
      <c r="AA199" s="16" t="n">
        <f aca="false">LOOKUP(K199,$E$23:$E$26,$A$23:$A$26)+LOOKUP(K199,$E$23:$E$26,$D$23:$D$26)*(K199-LOOKUP(K199,$E$23:$E$26))/LOOKUP(K199,$E$23:$E$26,$C$23:$C$26)</f>
        <v>4.8684080301366</v>
      </c>
      <c r="AB199" s="16" t="n">
        <f aca="false">LOOKUP(L199,$E$23:$E$26,$A$23:$A$26)+LOOKUP(L199,$E$23:$E$26,$D$23:$D$26)*(L199-LOOKUP(L199,$E$23:$E$26))/LOOKUP(L199,$E$23:$E$26,$C$23:$C$26)</f>
        <v>4.69635519510296</v>
      </c>
      <c r="AC199" s="16" t="n">
        <f aca="false">LOOKUP(M199,$E$23:$E$26,$A$23:$A$26)+LOOKUP(M199,$E$23:$E$26,$D$23:$D$26)*(M199-LOOKUP(M199,$E$23:$E$26))/LOOKUP(M199,$E$23:$E$26,$C$23:$C$26)</f>
        <v>5.16029581738722</v>
      </c>
      <c r="AD199" s="16" t="n">
        <f aca="false">LOOKUP(N199,$E$23:$E$26,$A$23:$A$26)+LOOKUP(N199,$E$23:$E$26,$D$23:$D$26)*(N199-LOOKUP(N199,$E$23:$E$26))/LOOKUP(N199,$E$23:$E$26,$C$23:$C$26)</f>
        <v>4.77305406928001</v>
      </c>
      <c r="AE199" s="16" t="n">
        <f aca="false">LOOKUP(O199,$E$23:$E$26,$A$23:$A$26)+LOOKUP(O199,$E$23:$E$26,$D$23:$D$26)*(O199-LOOKUP(O199,$E$23:$E$26))/LOOKUP(O199,$E$23:$E$26,$C$23:$C$26)</f>
        <v>4.89532967150554</v>
      </c>
      <c r="AF199" s="16" t="n">
        <f aca="false">LOOKUP(P199,$E$23:$E$26,$A$23:$A$26)+LOOKUP(P199,$E$23:$E$26,$D$23:$D$26)*(P199-LOOKUP(P199,$E$23:$E$26))/LOOKUP(P199,$E$23:$E$26,$C$23:$C$26)</f>
        <v>4.30886526065823</v>
      </c>
      <c r="AG199" s="16" t="n">
        <f aca="false">LOOKUP(Q199,$E$23:$E$26,$A$23:$A$26)+LOOKUP(Q199,$E$23:$E$26,$D$23:$D$26)*(Q199-LOOKUP(Q199,$E$23:$E$26))/LOOKUP(Q199,$E$23:$E$26,$C$23:$C$26)</f>
        <v>4.39325301358259</v>
      </c>
      <c r="AH199" s="16" t="n">
        <f aca="false">LOOKUP(R199,$E$23:$E$26,$A$23:$A$26)+LOOKUP(R199,$E$23:$E$26,$D$23:$D$26)*(R199-LOOKUP(R199,$E$23:$E$26))/LOOKUP(R199,$E$23:$E$26,$C$23:$C$26)</f>
        <v>5.25182139858973</v>
      </c>
      <c r="AI199" s="16" t="n">
        <f aca="false">LOOKUP(S199,$E$23:$E$26,$A$23:$A$26)+LOOKUP(S199,$E$23:$E$26,$D$23:$D$26)*(S199-LOOKUP(S199,$E$23:$E$26))/LOOKUP(S199,$E$23:$E$26,$C$23:$C$26)</f>
        <v>4.27370778968259</v>
      </c>
      <c r="AJ199" s="16" t="n">
        <f aca="false">SUM($T199:T199)</f>
        <v>5.2550553256918</v>
      </c>
      <c r="AK199" s="16" t="n">
        <f aca="false">SUM($T199:U199)</f>
        <v>10.0641488948457</v>
      </c>
      <c r="AL199" s="16" t="n">
        <f aca="false">SUM($T199:V199)</f>
        <v>15.0084056697057</v>
      </c>
      <c r="AM199" s="16" t="n">
        <f aca="false">SUM($T199:W199)</f>
        <v>19.9139782544129</v>
      </c>
      <c r="AN199" s="16" t="n">
        <f aca="false">SUM($T199:X199)</f>
        <v>24.3844845657884</v>
      </c>
      <c r="AO199" s="16" t="n">
        <f aca="false">SUM($T199:Y199)</f>
        <v>28.7963691503779</v>
      </c>
      <c r="AP199" s="16" t="n">
        <f aca="false">SUM($T199:Z199)</f>
        <v>33.5240910452578</v>
      </c>
      <c r="AQ199" s="16" t="n">
        <f aca="false">SUM($T199:AA199)</f>
        <v>38.3924990753944</v>
      </c>
      <c r="AR199" s="16" t="n">
        <f aca="false">SUM($T199:AB199)</f>
        <v>43.0888542704974</v>
      </c>
      <c r="AS199" s="16" t="n">
        <f aca="false">SUM($T199:AC199)</f>
        <v>48.2491500878846</v>
      </c>
      <c r="AT199" s="16" t="n">
        <f aca="false">SUM($T199:AD199)</f>
        <v>53.0222041571646</v>
      </c>
      <c r="AU199" s="16" t="n">
        <f aca="false">SUM($T199:AE199)</f>
        <v>57.9175338286701</v>
      </c>
      <c r="AV199" s="16" t="n">
        <f aca="false">SUM($T199:AF199)</f>
        <v>62.2263990893284</v>
      </c>
      <c r="AW199" s="16" t="n">
        <f aca="false">SUM($T199:AG199)</f>
        <v>66.6196521029109</v>
      </c>
      <c r="AX199" s="16" t="n">
        <f aca="false">SUM($T199:AH199)</f>
        <v>71.8714735015007</v>
      </c>
      <c r="AY199" s="16" t="n">
        <f aca="false">SUM($T199:AI199)</f>
        <v>76.1451812911833</v>
      </c>
      <c r="AZ199" s="16" t="n">
        <f aca="false">MAX(C199-AJ199,0)</f>
        <v>58.64604999238</v>
      </c>
      <c r="BA199" s="16" t="n">
        <f aca="false">MAX(C199-AK199,0)</f>
        <v>53.836956423226</v>
      </c>
      <c r="BB199" s="16" t="n">
        <f aca="false">MAX(C199-AL199,0)</f>
        <v>48.8926996483661</v>
      </c>
      <c r="BC199" s="16" t="n">
        <f aca="false">MAX(C199-AM199,0)</f>
        <v>43.9871270636588</v>
      </c>
      <c r="BD199" s="16" t="n">
        <f aca="false">MAX(C199-AN199,0)</f>
        <v>39.5166207522834</v>
      </c>
      <c r="BE199" s="16" t="n">
        <f aca="false">MAX(C199-AO199,0)</f>
        <v>35.1047361676938</v>
      </c>
      <c r="BF199" s="16" t="n">
        <f aca="false">MAX(C199-AP199,0)</f>
        <v>30.377014272814</v>
      </c>
      <c r="BG199" s="16" t="n">
        <f aca="false">MAX(C199-AQ199,0)</f>
        <v>25.5086062426774</v>
      </c>
      <c r="BH199" s="16" t="n">
        <f aca="false">MAX(C199-AR199,0)</f>
        <v>20.8122510475744</v>
      </c>
      <c r="BI199" s="16" t="n">
        <f aca="false">MAX(C199-AS199,0)</f>
        <v>15.6519552301872</v>
      </c>
      <c r="BJ199" s="16" t="n">
        <f aca="false">MAX(C199-AT199,0)</f>
        <v>10.8789011609072</v>
      </c>
      <c r="BK199" s="16" t="n">
        <f aca="false">MAX(C199-AU199,0)</f>
        <v>5.98357148940163</v>
      </c>
      <c r="BL199" s="16" t="n">
        <f aca="false">MAX(C199-AV199,0)</f>
        <v>1.6747062287434</v>
      </c>
      <c r="BM199" s="16" t="n">
        <f aca="false">MAX(C199-AW199,0)</f>
        <v>0</v>
      </c>
      <c r="BN199" s="16" t="n">
        <f aca="false">MAX(C199-AX199,0)</f>
        <v>0</v>
      </c>
      <c r="BO199" s="16" t="n">
        <f aca="false">MAX(C199-AY199,0)</f>
        <v>0</v>
      </c>
    </row>
    <row r="200" customFormat="false" ht="15" hidden="false" customHeight="false" outlineLevel="0" collapsed="false">
      <c r="A200" s="3" t="n">
        <v>170</v>
      </c>
      <c r="B200" s="15" t="n">
        <f aca="true">RAND()</f>
        <v>0.0237324314122394</v>
      </c>
      <c r="C200" s="16" t="n">
        <f aca="false">LOOKUP(B200,$E$12:$E$17,$A$12:$A$17)+LOOKUP(B200,$E$12:$E$17,$D$12:$D$17)*(B200-LOOKUP(B200,$E$12:$E$17))/LOOKUP(B200,$E$12:$E$17,$C$12:$C$17)</f>
        <v>51.186621570612</v>
      </c>
      <c r="D200" s="15" t="n">
        <f aca="true">RAND()</f>
        <v>0.547459224400062</v>
      </c>
      <c r="E200" s="15" t="n">
        <f aca="true">RAND()</f>
        <v>0.812924222982417</v>
      </c>
      <c r="F200" s="15" t="n">
        <f aca="true">RAND()</f>
        <v>0.472554205444354</v>
      </c>
      <c r="G200" s="15" t="n">
        <f aca="true">RAND()</f>
        <v>0.215595561733429</v>
      </c>
      <c r="H200" s="15" t="n">
        <f aca="true">RAND()</f>
        <v>0.0147566205098273</v>
      </c>
      <c r="I200" s="15" t="n">
        <f aca="true">RAND()</f>
        <v>0.334524769819983</v>
      </c>
      <c r="J200" s="15" t="n">
        <f aca="true">RAND()</f>
        <v>0.0406142496578336</v>
      </c>
      <c r="K200" s="15" t="n">
        <f aca="true">RAND()</f>
        <v>0.503618032872568</v>
      </c>
      <c r="L200" s="15" t="n">
        <f aca="true">RAND()</f>
        <v>0.384537655754283</v>
      </c>
      <c r="M200" s="15" t="n">
        <f aca="true">RAND()</f>
        <v>0.937860629201453</v>
      </c>
      <c r="N200" s="15" t="n">
        <f aca="true">RAND()</f>
        <v>0.770323618859879</v>
      </c>
      <c r="O200" s="15" t="n">
        <f aca="true">RAND()</f>
        <v>0.567652029739442</v>
      </c>
      <c r="P200" s="15" t="n">
        <f aca="true">RAND()</f>
        <v>0.327898121096468</v>
      </c>
      <c r="Q200" s="15" t="n">
        <f aca="true">RAND()</f>
        <v>0.271685764880381</v>
      </c>
      <c r="R200" s="15" t="n">
        <f aca="true">RAND()</f>
        <v>0.893539803188606</v>
      </c>
      <c r="S200" s="15" t="n">
        <f aca="true">RAND()</f>
        <v>0.0456162612579285</v>
      </c>
      <c r="T200" s="16" t="n">
        <f aca="false">LOOKUP(D200,$E$23:$E$26,$A$23:$A$26)+LOOKUP(D200,$E$23:$E$26,$D$23:$D$26)*(D200-LOOKUP(D200,$E$23:$E$26))/LOOKUP(D200,$E$23:$E$26,$C$23:$C$26)</f>
        <v>4.80932403050008</v>
      </c>
      <c r="U200" s="16" t="n">
        <f aca="false">LOOKUP(E200,$E$23:$E$26,$A$23:$A$26)+LOOKUP(E200,$E$23:$E$26,$D$23:$D$26)*(E200-LOOKUP(E200,$E$23:$E$26))/LOOKUP(E200,$E$23:$E$26,$C$23:$C$26)</f>
        <v>5.28231055745604</v>
      </c>
      <c r="V200" s="16" t="n">
        <f aca="false">LOOKUP(F200,$E$23:$E$26,$A$23:$A$26)+LOOKUP(F200,$E$23:$E$26,$D$23:$D$26)*(F200-LOOKUP(F200,$E$23:$E$26))/LOOKUP(F200,$E$23:$E$26,$C$23:$C$26)</f>
        <v>4.71569275680544</v>
      </c>
      <c r="W200" s="16" t="n">
        <f aca="false">LOOKUP(G200,$E$23:$E$26,$A$23:$A$26)+LOOKUP(G200,$E$23:$E$26,$D$23:$D$26)*(G200-LOOKUP(G200,$E$23:$E$26))/LOOKUP(G200,$E$23:$E$26,$C$23:$C$26)</f>
        <v>4.35932593622238</v>
      </c>
      <c r="X200" s="16" t="n">
        <f aca="false">LOOKUP(H200,$E$23:$E$26,$A$23:$A$26)+LOOKUP(H200,$E$23:$E$26,$D$23:$D$26)*(H200-LOOKUP(H200,$E$23:$E$26))/LOOKUP(H200,$E$23:$E$26,$C$23:$C$26)</f>
        <v>4.02459436751638</v>
      </c>
      <c r="Y200" s="16" t="n">
        <f aca="false">LOOKUP(I200,$E$23:$E$26,$A$23:$A$26)+LOOKUP(I200,$E$23:$E$26,$D$23:$D$26)*(I200-LOOKUP(I200,$E$23:$E$26))/LOOKUP(I200,$E$23:$E$26,$C$23:$C$26)</f>
        <v>4.54315596227498</v>
      </c>
      <c r="Z200" s="16" t="n">
        <f aca="false">LOOKUP(J200,$E$23:$E$26,$A$23:$A$26)+LOOKUP(J200,$E$23:$E$26,$D$23:$D$26)*(J200-LOOKUP(J200,$E$23:$E$26))/LOOKUP(J200,$E$23:$E$26,$C$23:$C$26)</f>
        <v>4.06769041609639</v>
      </c>
      <c r="AA200" s="16" t="n">
        <f aca="false">LOOKUP(K200,$E$23:$E$26,$A$23:$A$26)+LOOKUP(K200,$E$23:$E$26,$D$23:$D$26)*(K200-LOOKUP(K200,$E$23:$E$26))/LOOKUP(K200,$E$23:$E$26,$C$23:$C$26)</f>
        <v>4.75452254109071</v>
      </c>
      <c r="AB200" s="16" t="n">
        <f aca="false">LOOKUP(L200,$E$23:$E$26,$A$23:$A$26)+LOOKUP(L200,$E$23:$E$26,$D$23:$D$26)*(L200-LOOKUP(L200,$E$23:$E$26))/LOOKUP(L200,$E$23:$E$26,$C$23:$C$26)</f>
        <v>4.60567206969285</v>
      </c>
      <c r="AC200" s="16" t="n">
        <f aca="false">LOOKUP(M200,$E$23:$E$26,$A$23:$A$26)+LOOKUP(M200,$E$23:$E$26,$D$23:$D$26)*(M200-LOOKUP(M200,$E$23:$E$26))/LOOKUP(M200,$E$23:$E$26,$C$23:$C$26)</f>
        <v>5.68930314600726</v>
      </c>
      <c r="AD200" s="16" t="n">
        <f aca="false">LOOKUP(N200,$E$23:$E$26,$A$23:$A$26)+LOOKUP(N200,$E$23:$E$26,$D$23:$D$26)*(N200-LOOKUP(N200,$E$23:$E$26))/LOOKUP(N200,$E$23:$E$26,$C$23:$C$26)</f>
        <v>5.1758090471497</v>
      </c>
      <c r="AE200" s="16" t="n">
        <f aca="false">LOOKUP(O200,$E$23:$E$26,$A$23:$A$26)+LOOKUP(O200,$E$23:$E$26,$D$23:$D$26)*(O200-LOOKUP(O200,$E$23:$E$26))/LOOKUP(O200,$E$23:$E$26,$C$23:$C$26)</f>
        <v>4.8345650371743</v>
      </c>
      <c r="AF200" s="16" t="n">
        <f aca="false">LOOKUP(P200,$E$23:$E$26,$A$23:$A$26)+LOOKUP(P200,$E$23:$E$26,$D$23:$D$26)*(P200-LOOKUP(P200,$E$23:$E$26))/LOOKUP(P200,$E$23:$E$26,$C$23:$C$26)</f>
        <v>4.53487265137059</v>
      </c>
      <c r="AG200" s="16" t="n">
        <f aca="false">LOOKUP(Q200,$E$23:$E$26,$A$23:$A$26)+LOOKUP(Q200,$E$23:$E$26,$D$23:$D$26)*(Q200-LOOKUP(Q200,$E$23:$E$26))/LOOKUP(Q200,$E$23:$E$26,$C$23:$C$26)</f>
        <v>4.45280960813397</v>
      </c>
      <c r="AH200" s="16" t="n">
        <f aca="false">LOOKUP(R200,$E$23:$E$26,$A$23:$A$26)+LOOKUP(R200,$E$23:$E$26,$D$23:$D$26)*(R200-LOOKUP(R200,$E$23:$E$26))/LOOKUP(R200,$E$23:$E$26,$C$23:$C$26)</f>
        <v>5.48384950797152</v>
      </c>
      <c r="AI200" s="16" t="n">
        <f aca="false">LOOKUP(S200,$E$23:$E$26,$A$23:$A$26)+LOOKUP(S200,$E$23:$E$26,$D$23:$D$26)*(S200-LOOKUP(S200,$E$23:$E$26))/LOOKUP(S200,$E$23:$E$26,$C$23:$C$26)</f>
        <v>4.07602710209655</v>
      </c>
      <c r="AJ200" s="16" t="n">
        <f aca="false">SUM($T200:T200)</f>
        <v>4.80932403050008</v>
      </c>
      <c r="AK200" s="16" t="n">
        <f aca="false">SUM($T200:U200)</f>
        <v>10.0916345879561</v>
      </c>
      <c r="AL200" s="16" t="n">
        <f aca="false">SUM($T200:V200)</f>
        <v>14.8073273447616</v>
      </c>
      <c r="AM200" s="16" t="n">
        <f aca="false">SUM($T200:W200)</f>
        <v>19.1666532809839</v>
      </c>
      <c r="AN200" s="16" t="n">
        <f aca="false">SUM($T200:X200)</f>
        <v>23.1912476485003</v>
      </c>
      <c r="AO200" s="16" t="n">
        <f aca="false">SUM($T200:Y200)</f>
        <v>27.7344036107753</v>
      </c>
      <c r="AP200" s="16" t="n">
        <f aca="false">SUM($T200:Z200)</f>
        <v>31.8020940268717</v>
      </c>
      <c r="AQ200" s="16" t="n">
        <f aca="false">SUM($T200:AA200)</f>
        <v>36.5566165679624</v>
      </c>
      <c r="AR200" s="16" t="n">
        <f aca="false">SUM($T200:AB200)</f>
        <v>41.1622886376553</v>
      </c>
      <c r="AS200" s="16" t="n">
        <f aca="false">SUM($T200:AC200)</f>
        <v>46.8515917836625</v>
      </c>
      <c r="AT200" s="16" t="n">
        <f aca="false">SUM($T200:AD200)</f>
        <v>52.0274008308122</v>
      </c>
      <c r="AU200" s="16" t="n">
        <f aca="false">SUM($T200:AE200)</f>
        <v>56.8619658679865</v>
      </c>
      <c r="AV200" s="16" t="n">
        <f aca="false">SUM($T200:AF200)</f>
        <v>61.3968385193571</v>
      </c>
      <c r="AW200" s="16" t="n">
        <f aca="false">SUM($T200:AG200)</f>
        <v>65.8496481274911</v>
      </c>
      <c r="AX200" s="16" t="n">
        <f aca="false">SUM($T200:AH200)</f>
        <v>71.3334976354626</v>
      </c>
      <c r="AY200" s="16" t="n">
        <f aca="false">SUM($T200:AI200)</f>
        <v>75.4095247375591</v>
      </c>
      <c r="AZ200" s="16" t="n">
        <f aca="false">MAX(C200-AJ200,0)</f>
        <v>46.3772975401119</v>
      </c>
      <c r="BA200" s="16" t="n">
        <f aca="false">MAX(C200-AK200,0)</f>
        <v>41.0949869826559</v>
      </c>
      <c r="BB200" s="16" t="n">
        <f aca="false">MAX(C200-AL200,0)</f>
        <v>36.3792942258504</v>
      </c>
      <c r="BC200" s="16" t="n">
        <f aca="false">MAX(C200-AM200,0)</f>
        <v>32.019968289628</v>
      </c>
      <c r="BD200" s="16" t="n">
        <f aca="false">MAX(C200-AN200,0)</f>
        <v>27.9953739221116</v>
      </c>
      <c r="BE200" s="16" t="n">
        <f aca="false">MAX(C200-AO200,0)</f>
        <v>23.4522179598367</v>
      </c>
      <c r="BF200" s="16" t="n">
        <f aca="false">MAX(C200-AP200,0)</f>
        <v>19.3845275437403</v>
      </c>
      <c r="BG200" s="16" t="n">
        <f aca="false">MAX(C200-AQ200,0)</f>
        <v>14.6300050026496</v>
      </c>
      <c r="BH200" s="16" t="n">
        <f aca="false">MAX(C200-AR200,0)</f>
        <v>10.0243329329567</v>
      </c>
      <c r="BI200" s="16" t="n">
        <f aca="false">MAX(C200-AS200,0)</f>
        <v>4.33502978694946</v>
      </c>
      <c r="BJ200" s="16" t="n">
        <f aca="false">MAX(C200-AT200,0)</f>
        <v>0</v>
      </c>
      <c r="BK200" s="16" t="n">
        <f aca="false">MAX(C200-AU200,0)</f>
        <v>0</v>
      </c>
      <c r="BL200" s="16" t="n">
        <f aca="false">MAX(C200-AV200,0)</f>
        <v>0</v>
      </c>
      <c r="BM200" s="16" t="n">
        <f aca="false">MAX(C200-AW200,0)</f>
        <v>0</v>
      </c>
      <c r="BN200" s="16" t="n">
        <f aca="false">MAX(C200-AX200,0)</f>
        <v>0</v>
      </c>
      <c r="BO200" s="16" t="n">
        <f aca="false">MAX(C200-AY200,0)</f>
        <v>0</v>
      </c>
    </row>
    <row r="201" customFormat="false" ht="15" hidden="false" customHeight="false" outlineLevel="0" collapsed="false">
      <c r="A201" s="3" t="n">
        <v>171</v>
      </c>
      <c r="B201" s="15" t="n">
        <f aca="true">RAND()</f>
        <v>0.79975058558593</v>
      </c>
      <c r="C201" s="16" t="n">
        <f aca="false">LOOKUP(B201,$E$12:$E$17,$A$12:$A$17)+LOOKUP(B201,$E$12:$E$17,$D$12:$D$17)*(B201-LOOKUP(B201,$E$12:$E$17))/LOOKUP(B201,$E$12:$E$17,$C$12:$C$17)</f>
        <v>68.5678655083704</v>
      </c>
      <c r="D201" s="15" t="n">
        <f aca="true">RAND()</f>
        <v>0.372109123637385</v>
      </c>
      <c r="E201" s="15" t="n">
        <f aca="true">RAND()</f>
        <v>0.64027165176762</v>
      </c>
      <c r="F201" s="15" t="n">
        <f aca="true">RAND()</f>
        <v>0.539871083157003</v>
      </c>
      <c r="G201" s="15" t="n">
        <f aca="true">RAND()</f>
        <v>0.214929112351317</v>
      </c>
      <c r="H201" s="15" t="n">
        <f aca="true">RAND()</f>
        <v>0.174276287475866</v>
      </c>
      <c r="I201" s="15" t="n">
        <f aca="true">RAND()</f>
        <v>0.483350823212261</v>
      </c>
      <c r="J201" s="15" t="n">
        <f aca="true">RAND()</f>
        <v>0.608782483995303</v>
      </c>
      <c r="K201" s="15" t="n">
        <f aca="true">RAND()</f>
        <v>0.910836702498605</v>
      </c>
      <c r="L201" s="15" t="n">
        <f aca="true">RAND()</f>
        <v>0.550386976124377</v>
      </c>
      <c r="M201" s="15" t="n">
        <f aca="true">RAND()</f>
        <v>0.784129187282802</v>
      </c>
      <c r="N201" s="15" t="n">
        <f aca="true">RAND()</f>
        <v>0.889689821523887</v>
      </c>
      <c r="O201" s="15" t="n">
        <f aca="true">RAND()</f>
        <v>0.197031086776294</v>
      </c>
      <c r="P201" s="15" t="n">
        <f aca="true">RAND()</f>
        <v>0.988098563497677</v>
      </c>
      <c r="Q201" s="15" t="n">
        <f aca="true">RAND()</f>
        <v>0.460193485961087</v>
      </c>
      <c r="R201" s="15" t="n">
        <f aca="true">RAND()</f>
        <v>0.842037040281463</v>
      </c>
      <c r="S201" s="15" t="n">
        <f aca="true">RAND()</f>
        <v>0.660701934023645</v>
      </c>
      <c r="T201" s="16" t="n">
        <f aca="false">LOOKUP(D201,$E$23:$E$26,$A$23:$A$26)+LOOKUP(D201,$E$23:$E$26,$D$23:$D$26)*(D201-LOOKUP(D201,$E$23:$E$26))/LOOKUP(D201,$E$23:$E$26,$C$23:$C$26)</f>
        <v>4.59013640454673</v>
      </c>
      <c r="U201" s="16" t="n">
        <f aca="false">LOOKUP(E201,$E$23:$E$26,$A$23:$A$26)+LOOKUP(E201,$E$23:$E$26,$D$23:$D$26)*(E201-LOOKUP(E201,$E$23:$E$26))/LOOKUP(E201,$E$23:$E$26,$C$23:$C$26)</f>
        <v>4.92533956470953</v>
      </c>
      <c r="V201" s="16" t="n">
        <f aca="false">LOOKUP(F201,$E$23:$E$26,$A$23:$A$26)+LOOKUP(F201,$E$23:$E$26,$D$23:$D$26)*(F201-LOOKUP(F201,$E$23:$E$26))/LOOKUP(F201,$E$23:$E$26,$C$23:$C$26)</f>
        <v>4.79983885394625</v>
      </c>
      <c r="W201" s="16" t="n">
        <f aca="false">LOOKUP(G201,$E$23:$E$26,$A$23:$A$26)+LOOKUP(G201,$E$23:$E$26,$D$23:$D$26)*(G201-LOOKUP(G201,$E$23:$E$26))/LOOKUP(G201,$E$23:$E$26,$C$23:$C$26)</f>
        <v>4.3582151872522</v>
      </c>
      <c r="X201" s="16" t="n">
        <f aca="false">LOOKUP(H201,$E$23:$E$26,$A$23:$A$26)+LOOKUP(H201,$E$23:$E$26,$D$23:$D$26)*(H201-LOOKUP(H201,$E$23:$E$26))/LOOKUP(H201,$E$23:$E$26,$C$23:$C$26)</f>
        <v>4.29046047912644</v>
      </c>
      <c r="Y201" s="16" t="n">
        <f aca="false">LOOKUP(I201,$E$23:$E$26,$A$23:$A$26)+LOOKUP(I201,$E$23:$E$26,$D$23:$D$26)*(I201-LOOKUP(I201,$E$23:$E$26))/LOOKUP(I201,$E$23:$E$26,$C$23:$C$26)</f>
        <v>4.72918852901533</v>
      </c>
      <c r="Z201" s="16" t="n">
        <f aca="false">LOOKUP(J201,$E$23:$E$26,$A$23:$A$26)+LOOKUP(J201,$E$23:$E$26,$D$23:$D$26)*(J201-LOOKUP(J201,$E$23:$E$26))/LOOKUP(J201,$E$23:$E$26,$C$23:$C$26)</f>
        <v>4.88597810499413</v>
      </c>
      <c r="AA201" s="16" t="n">
        <f aca="false">LOOKUP(K201,$E$23:$E$26,$A$23:$A$26)+LOOKUP(K201,$E$23:$E$26,$D$23:$D$26)*(K201-LOOKUP(K201,$E$23:$E$26))/LOOKUP(K201,$E$23:$E$26,$C$23:$C$26)</f>
        <v>5.55418351249302</v>
      </c>
      <c r="AB201" s="16" t="n">
        <f aca="false">LOOKUP(L201,$E$23:$E$26,$A$23:$A$26)+LOOKUP(L201,$E$23:$E$26,$D$23:$D$26)*(L201-LOOKUP(L201,$E$23:$E$26))/LOOKUP(L201,$E$23:$E$26,$C$23:$C$26)</f>
        <v>4.81298372015547</v>
      </c>
      <c r="AC201" s="16" t="n">
        <f aca="false">LOOKUP(M201,$E$23:$E$26,$A$23:$A$26)+LOOKUP(M201,$E$23:$E$26,$D$23:$D$26)*(M201-LOOKUP(M201,$E$23:$E$26))/LOOKUP(M201,$E$23:$E$26,$C$23:$C$26)</f>
        <v>5.21032296820701</v>
      </c>
      <c r="AD201" s="16" t="n">
        <f aca="false">LOOKUP(N201,$E$23:$E$26,$A$23:$A$26)+LOOKUP(N201,$E$23:$E$26,$D$23:$D$26)*(N201-LOOKUP(N201,$E$23:$E$26))/LOOKUP(N201,$E$23:$E$26,$C$23:$C$26)</f>
        <v>5.47422455380972</v>
      </c>
      <c r="AE201" s="16" t="n">
        <f aca="false">LOOKUP(O201,$E$23:$E$26,$A$23:$A$26)+LOOKUP(O201,$E$23:$E$26,$D$23:$D$26)*(O201-LOOKUP(O201,$E$23:$E$26))/LOOKUP(O201,$E$23:$E$26,$C$23:$C$26)</f>
        <v>4.32838514462716</v>
      </c>
      <c r="AF201" s="16" t="n">
        <f aca="false">LOOKUP(P201,$E$23:$E$26,$A$23:$A$26)+LOOKUP(P201,$E$23:$E$26,$D$23:$D$26)*(P201-LOOKUP(P201,$E$23:$E$26))/LOOKUP(P201,$E$23:$E$26,$C$23:$C$26)</f>
        <v>5.94049281748839</v>
      </c>
      <c r="AG201" s="16" t="n">
        <f aca="false">LOOKUP(Q201,$E$23:$E$26,$A$23:$A$26)+LOOKUP(Q201,$E$23:$E$26,$D$23:$D$26)*(Q201-LOOKUP(Q201,$E$23:$E$26))/LOOKUP(Q201,$E$23:$E$26,$C$23:$C$26)</f>
        <v>4.70024185745136</v>
      </c>
      <c r="AH201" s="16" t="n">
        <f aca="false">LOOKUP(R201,$E$23:$E$26,$A$23:$A$26)+LOOKUP(R201,$E$23:$E$26,$D$23:$D$26)*(R201-LOOKUP(R201,$E$23:$E$26))/LOOKUP(R201,$E$23:$E$26,$C$23:$C$26)</f>
        <v>5.35509260070366</v>
      </c>
      <c r="AI201" s="16" t="n">
        <f aca="false">LOOKUP(S201,$E$23:$E$26,$A$23:$A$26)+LOOKUP(S201,$E$23:$E$26,$D$23:$D$26)*(S201-LOOKUP(S201,$E$23:$E$26))/LOOKUP(S201,$E$23:$E$26,$C$23:$C$26)</f>
        <v>4.95087741752956</v>
      </c>
      <c r="AJ201" s="16" t="n">
        <f aca="false">SUM($T201:T201)</f>
        <v>4.59013640454673</v>
      </c>
      <c r="AK201" s="16" t="n">
        <f aca="false">SUM($T201:U201)</f>
        <v>9.51547596925626</v>
      </c>
      <c r="AL201" s="16" t="n">
        <f aca="false">SUM($T201:V201)</f>
        <v>14.3153148232025</v>
      </c>
      <c r="AM201" s="16" t="n">
        <f aca="false">SUM($T201:W201)</f>
        <v>18.6735300104547</v>
      </c>
      <c r="AN201" s="16" t="n">
        <f aca="false">SUM($T201:X201)</f>
        <v>22.9639904895812</v>
      </c>
      <c r="AO201" s="16" t="n">
        <f aca="false">SUM($T201:Y201)</f>
        <v>27.6931790185965</v>
      </c>
      <c r="AP201" s="16" t="n">
        <f aca="false">SUM($T201:Z201)</f>
        <v>32.5791571235906</v>
      </c>
      <c r="AQ201" s="16" t="n">
        <f aca="false">SUM($T201:AA201)</f>
        <v>38.1333406360836</v>
      </c>
      <c r="AR201" s="16" t="n">
        <f aca="false">SUM($T201:AB201)</f>
        <v>42.9463243562391</v>
      </c>
      <c r="AS201" s="16" t="n">
        <f aca="false">SUM($T201:AC201)</f>
        <v>48.1566473244461</v>
      </c>
      <c r="AT201" s="16" t="n">
        <f aca="false">SUM($T201:AD201)</f>
        <v>53.6308718782558</v>
      </c>
      <c r="AU201" s="16" t="n">
        <f aca="false">SUM($T201:AE201)</f>
        <v>57.959257022883</v>
      </c>
      <c r="AV201" s="16" t="n">
        <f aca="false">SUM($T201:AF201)</f>
        <v>63.8997498403714</v>
      </c>
      <c r="AW201" s="16" t="n">
        <f aca="false">SUM($T201:AG201)</f>
        <v>68.5999916978227</v>
      </c>
      <c r="AX201" s="16" t="n">
        <f aca="false">SUM($T201:AH201)</f>
        <v>73.9550842985264</v>
      </c>
      <c r="AY201" s="16" t="n">
        <f aca="false">SUM($T201:AI201)</f>
        <v>78.9059617160559</v>
      </c>
      <c r="AZ201" s="16" t="n">
        <f aca="false">MAX(C201-AJ201,0)</f>
        <v>63.9777291038237</v>
      </c>
      <c r="BA201" s="16" t="n">
        <f aca="false">MAX(C201-AK201,0)</f>
        <v>59.0523895391142</v>
      </c>
      <c r="BB201" s="16" t="n">
        <f aca="false">MAX(C201-AL201,0)</f>
        <v>54.2525506851679</v>
      </c>
      <c r="BC201" s="16" t="n">
        <f aca="false">MAX(C201-AM201,0)</f>
        <v>49.8943354979157</v>
      </c>
      <c r="BD201" s="16" t="n">
        <f aca="false">MAX(C201-AN201,0)</f>
        <v>45.6038750187893</v>
      </c>
      <c r="BE201" s="16" t="n">
        <f aca="false">MAX(C201-AO201,0)</f>
        <v>40.8746864897739</v>
      </c>
      <c r="BF201" s="16" t="n">
        <f aca="false">MAX(C201-AP201,0)</f>
        <v>35.9887083847798</v>
      </c>
      <c r="BG201" s="16" t="n">
        <f aca="false">MAX(C201-AQ201,0)</f>
        <v>30.4345248722868</v>
      </c>
      <c r="BH201" s="16" t="n">
        <f aca="false">MAX(C201-AR201,0)</f>
        <v>25.6215411521313</v>
      </c>
      <c r="BI201" s="16" t="n">
        <f aca="false">MAX(C201-AS201,0)</f>
        <v>20.4112181839243</v>
      </c>
      <c r="BJ201" s="16" t="n">
        <f aca="false">MAX(C201-AT201,0)</f>
        <v>14.9369936301146</v>
      </c>
      <c r="BK201" s="16" t="n">
        <f aca="false">MAX(C201-AU201,0)</f>
        <v>10.6086084854874</v>
      </c>
      <c r="BL201" s="16" t="n">
        <f aca="false">MAX(C201-AV201,0)</f>
        <v>4.66811566799905</v>
      </c>
      <c r="BM201" s="16" t="n">
        <f aca="false">MAX(C201-AW201,0)</f>
        <v>0</v>
      </c>
      <c r="BN201" s="16" t="n">
        <f aca="false">MAX(C201-AX201,0)</f>
        <v>0</v>
      </c>
      <c r="BO201" s="16" t="n">
        <f aca="false">MAX(C201-AY201,0)</f>
        <v>0</v>
      </c>
    </row>
    <row r="202" customFormat="false" ht="15" hidden="false" customHeight="false" outlineLevel="0" collapsed="false">
      <c r="A202" s="3" t="n">
        <v>172</v>
      </c>
      <c r="B202" s="15" t="n">
        <f aca="true">RAND()</f>
        <v>0.435974885661312</v>
      </c>
      <c r="C202" s="16" t="n">
        <f aca="false">LOOKUP(B202,$E$12:$E$17,$A$12:$A$17)+LOOKUP(B202,$E$12:$E$17,$D$12:$D$17)*(B202-LOOKUP(B202,$E$12:$E$17))/LOOKUP(B202,$E$12:$E$17,$C$12:$C$17)</f>
        <v>63.0995814276885</v>
      </c>
      <c r="D202" s="15" t="n">
        <f aca="true">RAND()</f>
        <v>0.993153923562508</v>
      </c>
      <c r="E202" s="15" t="n">
        <f aca="true">RAND()</f>
        <v>0.168510216624419</v>
      </c>
      <c r="F202" s="15" t="n">
        <f aca="true">RAND()</f>
        <v>0.253092135325744</v>
      </c>
      <c r="G202" s="15" t="n">
        <f aca="true">RAND()</f>
        <v>0.933432601587257</v>
      </c>
      <c r="H202" s="15" t="n">
        <f aca="true">RAND()</f>
        <v>0.807685457506624</v>
      </c>
      <c r="I202" s="15" t="n">
        <f aca="true">RAND()</f>
        <v>0.674663962954888</v>
      </c>
      <c r="J202" s="15" t="n">
        <f aca="true">RAND()</f>
        <v>0.42890459049649</v>
      </c>
      <c r="K202" s="15" t="n">
        <f aca="true">RAND()</f>
        <v>0.111441917292702</v>
      </c>
      <c r="L202" s="15" t="n">
        <f aca="true">RAND()</f>
        <v>0.61651740174136</v>
      </c>
      <c r="M202" s="15" t="n">
        <f aca="true">RAND()</f>
        <v>0.0970475150547824</v>
      </c>
      <c r="N202" s="15" t="n">
        <f aca="true">RAND()</f>
        <v>0.437810395137359</v>
      </c>
      <c r="O202" s="15" t="n">
        <f aca="true">RAND()</f>
        <v>0.655828189733225</v>
      </c>
      <c r="P202" s="15" t="n">
        <f aca="true">RAND()</f>
        <v>0.58277280212713</v>
      </c>
      <c r="Q202" s="15" t="n">
        <f aca="true">RAND()</f>
        <v>0.933425765985005</v>
      </c>
      <c r="R202" s="15" t="n">
        <f aca="true">RAND()</f>
        <v>0.904634275539049</v>
      </c>
      <c r="S202" s="15" t="n">
        <f aca="true">RAND()</f>
        <v>0.721275083568785</v>
      </c>
      <c r="T202" s="16" t="n">
        <f aca="false">LOOKUP(D202,$E$23:$E$26,$A$23:$A$26)+LOOKUP(D202,$E$23:$E$26,$D$23:$D$26)*(D202-LOOKUP(D202,$E$23:$E$26))/LOOKUP(D202,$E$23:$E$26,$C$23:$C$26)</f>
        <v>5.96576961781254</v>
      </c>
      <c r="U202" s="16" t="n">
        <f aca="false">LOOKUP(E202,$E$23:$E$26,$A$23:$A$26)+LOOKUP(E202,$E$23:$E$26,$D$23:$D$26)*(E202-LOOKUP(E202,$E$23:$E$26))/LOOKUP(E202,$E$23:$E$26,$C$23:$C$26)</f>
        <v>4.2808503610407</v>
      </c>
      <c r="V202" s="16" t="n">
        <f aca="false">LOOKUP(F202,$E$23:$E$26,$A$23:$A$26)+LOOKUP(F202,$E$23:$E$26,$D$23:$D$26)*(F202-LOOKUP(F202,$E$23:$E$26))/LOOKUP(F202,$E$23:$E$26,$C$23:$C$26)</f>
        <v>4.42182022554291</v>
      </c>
      <c r="W202" s="16" t="n">
        <f aca="false">LOOKUP(G202,$E$23:$E$26,$A$23:$A$26)+LOOKUP(G202,$E$23:$E$26,$D$23:$D$26)*(G202-LOOKUP(G202,$E$23:$E$26))/LOOKUP(G202,$E$23:$E$26,$C$23:$C$26)</f>
        <v>5.66716300793629</v>
      </c>
      <c r="X202" s="16" t="n">
        <f aca="false">LOOKUP(H202,$E$23:$E$26,$A$23:$A$26)+LOOKUP(H202,$E$23:$E$26,$D$23:$D$26)*(H202-LOOKUP(H202,$E$23:$E$26))/LOOKUP(H202,$E$23:$E$26,$C$23:$C$26)</f>
        <v>5.26921364376656</v>
      </c>
      <c r="Y202" s="16" t="n">
        <f aca="false">LOOKUP(I202,$E$23:$E$26,$A$23:$A$26)+LOOKUP(I202,$E$23:$E$26,$D$23:$D$26)*(I202-LOOKUP(I202,$E$23:$E$26))/LOOKUP(I202,$E$23:$E$26,$C$23:$C$26)</f>
        <v>4.96832995369361</v>
      </c>
      <c r="Z202" s="16" t="n">
        <f aca="false">LOOKUP(J202,$E$23:$E$26,$A$23:$A$26)+LOOKUP(J202,$E$23:$E$26,$D$23:$D$26)*(J202-LOOKUP(J202,$E$23:$E$26))/LOOKUP(J202,$E$23:$E$26,$C$23:$C$26)</f>
        <v>4.66113073812061</v>
      </c>
      <c r="AA202" s="16" t="n">
        <f aca="false">LOOKUP(K202,$E$23:$E$26,$A$23:$A$26)+LOOKUP(K202,$E$23:$E$26,$D$23:$D$26)*(K202-LOOKUP(K202,$E$23:$E$26))/LOOKUP(K202,$E$23:$E$26,$C$23:$C$26)</f>
        <v>4.18573652882117</v>
      </c>
      <c r="AB202" s="16" t="n">
        <f aca="false">LOOKUP(L202,$E$23:$E$26,$A$23:$A$26)+LOOKUP(L202,$E$23:$E$26,$D$23:$D$26)*(L202-LOOKUP(L202,$E$23:$E$26))/LOOKUP(L202,$E$23:$E$26,$C$23:$C$26)</f>
        <v>4.8956467521767</v>
      </c>
      <c r="AC202" s="16" t="n">
        <f aca="false">LOOKUP(M202,$E$23:$E$26,$A$23:$A$26)+LOOKUP(M202,$E$23:$E$26,$D$23:$D$26)*(M202-LOOKUP(M202,$E$23:$E$26))/LOOKUP(M202,$E$23:$E$26,$C$23:$C$26)</f>
        <v>4.16174585842464</v>
      </c>
      <c r="AD202" s="16" t="n">
        <f aca="false">LOOKUP(N202,$E$23:$E$26,$A$23:$A$26)+LOOKUP(N202,$E$23:$E$26,$D$23:$D$26)*(N202-LOOKUP(N202,$E$23:$E$26))/LOOKUP(N202,$E$23:$E$26,$C$23:$C$26)</f>
        <v>4.6722629939217</v>
      </c>
      <c r="AE202" s="16" t="n">
        <f aca="false">LOOKUP(O202,$E$23:$E$26,$A$23:$A$26)+LOOKUP(O202,$E$23:$E$26,$D$23:$D$26)*(O202-LOOKUP(O202,$E$23:$E$26))/LOOKUP(O202,$E$23:$E$26,$C$23:$C$26)</f>
        <v>4.94478523716653</v>
      </c>
      <c r="AF202" s="16" t="n">
        <f aca="false">LOOKUP(P202,$E$23:$E$26,$A$23:$A$26)+LOOKUP(P202,$E$23:$E$26,$D$23:$D$26)*(P202-LOOKUP(P202,$E$23:$E$26))/LOOKUP(P202,$E$23:$E$26,$C$23:$C$26)</f>
        <v>4.85346600265891</v>
      </c>
      <c r="AG202" s="16" t="n">
        <f aca="false">LOOKUP(Q202,$E$23:$E$26,$A$23:$A$26)+LOOKUP(Q202,$E$23:$E$26,$D$23:$D$26)*(Q202-LOOKUP(Q202,$E$23:$E$26))/LOOKUP(Q202,$E$23:$E$26,$C$23:$C$26)</f>
        <v>5.66712882992502</v>
      </c>
      <c r="AH202" s="16" t="n">
        <f aca="false">LOOKUP(R202,$E$23:$E$26,$A$23:$A$26)+LOOKUP(R202,$E$23:$E$26,$D$23:$D$26)*(R202-LOOKUP(R202,$E$23:$E$26))/LOOKUP(R202,$E$23:$E$26,$C$23:$C$26)</f>
        <v>5.52317137769524</v>
      </c>
      <c r="AI202" s="16" t="n">
        <f aca="false">LOOKUP(S202,$E$23:$E$26,$A$23:$A$26)+LOOKUP(S202,$E$23:$E$26,$D$23:$D$26)*(S202-LOOKUP(S202,$E$23:$E$26))/LOOKUP(S202,$E$23:$E$26,$C$23:$C$26)</f>
        <v>5.05318770892196</v>
      </c>
      <c r="AJ202" s="16" t="n">
        <f aca="false">SUM($T202:T202)</f>
        <v>5.96576961781254</v>
      </c>
      <c r="AK202" s="16" t="n">
        <f aca="false">SUM($T202:U202)</f>
        <v>10.2466199788532</v>
      </c>
      <c r="AL202" s="16" t="n">
        <f aca="false">SUM($T202:V202)</f>
        <v>14.6684402043961</v>
      </c>
      <c r="AM202" s="16" t="n">
        <f aca="false">SUM($T202:W202)</f>
        <v>20.3356032123324</v>
      </c>
      <c r="AN202" s="16" t="n">
        <f aca="false">SUM($T202:X202)</f>
        <v>25.604816856099</v>
      </c>
      <c r="AO202" s="16" t="n">
        <f aca="false">SUM($T202:Y202)</f>
        <v>30.5731468097926</v>
      </c>
      <c r="AP202" s="16" t="n">
        <f aca="false">SUM($T202:Z202)</f>
        <v>35.2342775479132</v>
      </c>
      <c r="AQ202" s="16" t="n">
        <f aca="false">SUM($T202:AA202)</f>
        <v>39.4200140767344</v>
      </c>
      <c r="AR202" s="16" t="n">
        <f aca="false">SUM($T202:AB202)</f>
        <v>44.3156608289111</v>
      </c>
      <c r="AS202" s="16" t="n">
        <f aca="false">SUM($T202:AC202)</f>
        <v>48.4774066873357</v>
      </c>
      <c r="AT202" s="16" t="n">
        <f aca="false">SUM($T202:AD202)</f>
        <v>53.1496696812574</v>
      </c>
      <c r="AU202" s="16" t="n">
        <f aca="false">SUM($T202:AE202)</f>
        <v>58.094454918424</v>
      </c>
      <c r="AV202" s="16" t="n">
        <f aca="false">SUM($T202:AF202)</f>
        <v>62.9479209210829</v>
      </c>
      <c r="AW202" s="16" t="n">
        <f aca="false">SUM($T202:AG202)</f>
        <v>68.6150497510079</v>
      </c>
      <c r="AX202" s="16" t="n">
        <f aca="false">SUM($T202:AH202)</f>
        <v>74.1382211287031</v>
      </c>
      <c r="AY202" s="16" t="n">
        <f aca="false">SUM($T202:AI202)</f>
        <v>79.1914088376251</v>
      </c>
      <c r="AZ202" s="16" t="n">
        <f aca="false">MAX(C202-AJ202,0)</f>
        <v>57.133811809876</v>
      </c>
      <c r="BA202" s="16" t="n">
        <f aca="false">MAX(C202-AK202,0)</f>
        <v>52.8529614488353</v>
      </c>
      <c r="BB202" s="16" t="n">
        <f aca="false">MAX(C202-AL202,0)</f>
        <v>48.4311412232924</v>
      </c>
      <c r="BC202" s="16" t="n">
        <f aca="false">MAX(C202-AM202,0)</f>
        <v>42.7639782153561</v>
      </c>
      <c r="BD202" s="16" t="n">
        <f aca="false">MAX(C202-AN202,0)</f>
        <v>37.4947645715895</v>
      </c>
      <c r="BE202" s="16" t="n">
        <f aca="false">MAX(C202-AO202,0)</f>
        <v>32.5264346178959</v>
      </c>
      <c r="BF202" s="16" t="n">
        <f aca="false">MAX(C202-AP202,0)</f>
        <v>27.8653038797753</v>
      </c>
      <c r="BG202" s="16" t="n">
        <f aca="false">MAX(C202-AQ202,0)</f>
        <v>23.6795673509542</v>
      </c>
      <c r="BH202" s="16" t="n">
        <f aca="false">MAX(C202-AR202,0)</f>
        <v>18.7839205987775</v>
      </c>
      <c r="BI202" s="16" t="n">
        <f aca="false">MAX(C202-AS202,0)</f>
        <v>14.6221747403528</v>
      </c>
      <c r="BJ202" s="16" t="n">
        <f aca="false">MAX(C202-AT202,0)</f>
        <v>9.94991174643112</v>
      </c>
      <c r="BK202" s="16" t="n">
        <f aca="false">MAX(C202-AU202,0)</f>
        <v>5.00512650926458</v>
      </c>
      <c r="BL202" s="16" t="n">
        <f aca="false">MAX(C202-AV202,0)</f>
        <v>0.151660506605673</v>
      </c>
      <c r="BM202" s="16" t="n">
        <f aca="false">MAX(C202-AW202,0)</f>
        <v>0</v>
      </c>
      <c r="BN202" s="16" t="n">
        <f aca="false">MAX(C202-AX202,0)</f>
        <v>0</v>
      </c>
      <c r="BO202" s="16" t="n">
        <f aca="false">MAX(C202-AY202,0)</f>
        <v>0</v>
      </c>
    </row>
    <row r="203" customFormat="false" ht="15" hidden="false" customHeight="false" outlineLevel="0" collapsed="false">
      <c r="A203" s="3" t="n">
        <v>173</v>
      </c>
      <c r="B203" s="15" t="n">
        <f aca="true">RAND()</f>
        <v>0.334658195667674</v>
      </c>
      <c r="C203" s="16" t="n">
        <f aca="false">LOOKUP(B203,$E$12:$E$17,$A$12:$A$17)+LOOKUP(B203,$E$12:$E$17,$D$12:$D$17)*(B203-LOOKUP(B203,$E$12:$E$17))/LOOKUP(B203,$E$12:$E$17,$C$12:$C$17)</f>
        <v>61.4109699277946</v>
      </c>
      <c r="D203" s="15" t="n">
        <f aca="true">RAND()</f>
        <v>0.0327124160996105</v>
      </c>
      <c r="E203" s="15" t="n">
        <f aca="true">RAND()</f>
        <v>0.468373440337102</v>
      </c>
      <c r="F203" s="15" t="n">
        <f aca="true">RAND()</f>
        <v>0.369447973534015</v>
      </c>
      <c r="G203" s="15" t="n">
        <f aca="true">RAND()</f>
        <v>0.910198963140574</v>
      </c>
      <c r="H203" s="15" t="n">
        <f aca="true">RAND()</f>
        <v>0.889072356245926</v>
      </c>
      <c r="I203" s="15" t="n">
        <f aca="true">RAND()</f>
        <v>0.642190488383782</v>
      </c>
      <c r="J203" s="15" t="n">
        <f aca="true">RAND()</f>
        <v>0.165781444841991</v>
      </c>
      <c r="K203" s="15" t="n">
        <f aca="true">RAND()</f>
        <v>0.838120646364037</v>
      </c>
      <c r="L203" s="15" t="n">
        <f aca="true">RAND()</f>
        <v>0.521667582170697</v>
      </c>
      <c r="M203" s="15" t="n">
        <f aca="true">RAND()</f>
        <v>0.268186573871215</v>
      </c>
      <c r="N203" s="15" t="n">
        <f aca="true">RAND()</f>
        <v>0.597955701222931</v>
      </c>
      <c r="O203" s="15" t="n">
        <f aca="true">RAND()</f>
        <v>0.348140990076181</v>
      </c>
      <c r="P203" s="15" t="n">
        <f aca="true">RAND()</f>
        <v>0.942319043747779</v>
      </c>
      <c r="Q203" s="15" t="n">
        <f aca="true">RAND()</f>
        <v>0.809582391444278</v>
      </c>
      <c r="R203" s="15" t="n">
        <f aca="true">RAND()</f>
        <v>0.475388219748462</v>
      </c>
      <c r="S203" s="15" t="n">
        <f aca="true">RAND()</f>
        <v>0.606360636291984</v>
      </c>
      <c r="T203" s="16" t="n">
        <f aca="false">LOOKUP(D203,$E$23:$E$26,$A$23:$A$26)+LOOKUP(D203,$E$23:$E$26,$D$23:$D$26)*(D203-LOOKUP(D203,$E$23:$E$26))/LOOKUP(D203,$E$23:$E$26,$C$23:$C$26)</f>
        <v>4.05452069349935</v>
      </c>
      <c r="U203" s="16" t="n">
        <f aca="false">LOOKUP(E203,$E$23:$E$26,$A$23:$A$26)+LOOKUP(E203,$E$23:$E$26,$D$23:$D$26)*(E203-LOOKUP(E203,$E$23:$E$26))/LOOKUP(E203,$E$23:$E$26,$C$23:$C$26)</f>
        <v>4.71046680042138</v>
      </c>
      <c r="V203" s="16" t="n">
        <f aca="false">LOOKUP(F203,$E$23:$E$26,$A$23:$A$26)+LOOKUP(F203,$E$23:$E$26,$D$23:$D$26)*(F203-LOOKUP(F203,$E$23:$E$26))/LOOKUP(F203,$E$23:$E$26,$C$23:$C$26)</f>
        <v>4.58680996691752</v>
      </c>
      <c r="W203" s="16" t="n">
        <f aca="false">LOOKUP(G203,$E$23:$E$26,$A$23:$A$26)+LOOKUP(G203,$E$23:$E$26,$D$23:$D$26)*(G203-LOOKUP(G203,$E$23:$E$26))/LOOKUP(G203,$E$23:$E$26,$C$23:$C$26)</f>
        <v>5.55099481570287</v>
      </c>
      <c r="X203" s="16" t="n">
        <f aca="false">LOOKUP(H203,$E$23:$E$26,$A$23:$A$26)+LOOKUP(H203,$E$23:$E$26,$D$23:$D$26)*(H203-LOOKUP(H203,$E$23:$E$26))/LOOKUP(H203,$E$23:$E$26,$C$23:$C$26)</f>
        <v>5.47268089061482</v>
      </c>
      <c r="Y203" s="16" t="n">
        <f aca="false">LOOKUP(I203,$E$23:$E$26,$A$23:$A$26)+LOOKUP(I203,$E$23:$E$26,$D$23:$D$26)*(I203-LOOKUP(I203,$E$23:$E$26))/LOOKUP(I203,$E$23:$E$26,$C$23:$C$26)</f>
        <v>4.92773811047973</v>
      </c>
      <c r="Z203" s="16" t="n">
        <f aca="false">LOOKUP(J203,$E$23:$E$26,$A$23:$A$26)+LOOKUP(J203,$E$23:$E$26,$D$23:$D$26)*(J203-LOOKUP(J203,$E$23:$E$26))/LOOKUP(J203,$E$23:$E$26,$C$23:$C$26)</f>
        <v>4.27630240806999</v>
      </c>
      <c r="AA203" s="16" t="n">
        <f aca="false">LOOKUP(K203,$E$23:$E$26,$A$23:$A$26)+LOOKUP(K203,$E$23:$E$26,$D$23:$D$26)*(K203-LOOKUP(K203,$E$23:$E$26))/LOOKUP(K203,$E$23:$E$26,$C$23:$C$26)</f>
        <v>5.34530161591009</v>
      </c>
      <c r="AB203" s="16" t="n">
        <f aca="false">LOOKUP(L203,$E$23:$E$26,$A$23:$A$26)+LOOKUP(L203,$E$23:$E$26,$D$23:$D$26)*(L203-LOOKUP(L203,$E$23:$E$26))/LOOKUP(L203,$E$23:$E$26,$C$23:$C$26)</f>
        <v>4.77708447771337</v>
      </c>
      <c r="AC203" s="16" t="n">
        <f aca="false">LOOKUP(M203,$E$23:$E$26,$A$23:$A$26)+LOOKUP(M203,$E$23:$E$26,$D$23:$D$26)*(M203-LOOKUP(M203,$E$23:$E$26))/LOOKUP(M203,$E$23:$E$26,$C$23:$C$26)</f>
        <v>4.44697762311869</v>
      </c>
      <c r="AD203" s="16" t="n">
        <f aca="false">LOOKUP(N203,$E$23:$E$26,$A$23:$A$26)+LOOKUP(N203,$E$23:$E$26,$D$23:$D$26)*(N203-LOOKUP(N203,$E$23:$E$26))/LOOKUP(N203,$E$23:$E$26,$C$23:$C$26)</f>
        <v>4.87244462652866</v>
      </c>
      <c r="AE203" s="16" t="n">
        <f aca="false">LOOKUP(O203,$E$23:$E$26,$A$23:$A$26)+LOOKUP(O203,$E$23:$E$26,$D$23:$D$26)*(O203-LOOKUP(O203,$E$23:$E$26))/LOOKUP(O203,$E$23:$E$26,$C$23:$C$26)</f>
        <v>4.56017623759523</v>
      </c>
      <c r="AF203" s="16" t="n">
        <f aca="false">LOOKUP(P203,$E$23:$E$26,$A$23:$A$26)+LOOKUP(P203,$E$23:$E$26,$D$23:$D$26)*(P203-LOOKUP(P203,$E$23:$E$26))/LOOKUP(P203,$E$23:$E$26,$C$23:$C$26)</f>
        <v>5.7115952187389</v>
      </c>
      <c r="AG203" s="16" t="n">
        <f aca="false">LOOKUP(Q203,$E$23:$E$26,$A$23:$A$26)+LOOKUP(Q203,$E$23:$E$26,$D$23:$D$26)*(Q203-LOOKUP(Q203,$E$23:$E$26))/LOOKUP(Q203,$E$23:$E$26,$C$23:$C$26)</f>
        <v>5.2739559786107</v>
      </c>
      <c r="AH203" s="16" t="n">
        <f aca="false">LOOKUP(R203,$E$23:$E$26,$A$23:$A$26)+LOOKUP(R203,$E$23:$E$26,$D$23:$D$26)*(R203-LOOKUP(R203,$E$23:$E$26))/LOOKUP(R203,$E$23:$E$26,$C$23:$C$26)</f>
        <v>4.71923527468558</v>
      </c>
      <c r="AI203" s="16" t="n">
        <f aca="false">LOOKUP(S203,$E$23:$E$26,$A$23:$A$26)+LOOKUP(S203,$E$23:$E$26,$D$23:$D$26)*(S203-LOOKUP(S203,$E$23:$E$26))/LOOKUP(S203,$E$23:$E$26,$C$23:$C$26)</f>
        <v>4.88295079536498</v>
      </c>
      <c r="AJ203" s="16" t="n">
        <f aca="false">SUM($T203:T203)</f>
        <v>4.05452069349935</v>
      </c>
      <c r="AK203" s="16" t="n">
        <f aca="false">SUM($T203:U203)</f>
        <v>8.76498749392073</v>
      </c>
      <c r="AL203" s="16" t="n">
        <f aca="false">SUM($T203:V203)</f>
        <v>13.3517974608382</v>
      </c>
      <c r="AM203" s="16" t="n">
        <f aca="false">SUM($T203:W203)</f>
        <v>18.9027922765411</v>
      </c>
      <c r="AN203" s="16" t="n">
        <f aca="false">SUM($T203:X203)</f>
        <v>24.3754731671559</v>
      </c>
      <c r="AO203" s="16" t="n">
        <f aca="false">SUM($T203:Y203)</f>
        <v>29.3032112776357</v>
      </c>
      <c r="AP203" s="16" t="n">
        <f aca="false">SUM($T203:Z203)</f>
        <v>33.5795136857057</v>
      </c>
      <c r="AQ203" s="16" t="n">
        <f aca="false">SUM($T203:AA203)</f>
        <v>38.9248153016157</v>
      </c>
      <c r="AR203" s="16" t="n">
        <f aca="false">SUM($T203:AB203)</f>
        <v>43.7018997793291</v>
      </c>
      <c r="AS203" s="16" t="n">
        <f aca="false">SUM($T203:AC203)</f>
        <v>48.1488774024478</v>
      </c>
      <c r="AT203" s="16" t="n">
        <f aca="false">SUM($T203:AD203)</f>
        <v>53.0213220289765</v>
      </c>
      <c r="AU203" s="16" t="n">
        <f aca="false">SUM($T203:AE203)</f>
        <v>57.5814982665717</v>
      </c>
      <c r="AV203" s="16" t="n">
        <f aca="false">SUM($T203:AF203)</f>
        <v>63.2930934853106</v>
      </c>
      <c r="AW203" s="16" t="n">
        <f aca="false">SUM($T203:AG203)</f>
        <v>68.5670494639213</v>
      </c>
      <c r="AX203" s="16" t="n">
        <f aca="false">SUM($T203:AH203)</f>
        <v>73.2862847386069</v>
      </c>
      <c r="AY203" s="16" t="n">
        <f aca="false">SUM($T203:AI203)</f>
        <v>78.1692355339718</v>
      </c>
      <c r="AZ203" s="16" t="n">
        <f aca="false">MAX(C203-AJ203,0)</f>
        <v>57.3564492342952</v>
      </c>
      <c r="BA203" s="16" t="n">
        <f aca="false">MAX(C203-AK203,0)</f>
        <v>52.6459824338738</v>
      </c>
      <c r="BB203" s="16" t="n">
        <f aca="false">MAX(C203-AL203,0)</f>
        <v>48.0591724669563</v>
      </c>
      <c r="BC203" s="16" t="n">
        <f aca="false">MAX(C203-AM203,0)</f>
        <v>42.5081776512535</v>
      </c>
      <c r="BD203" s="16" t="n">
        <f aca="false">MAX(C203-AN203,0)</f>
        <v>37.0354967606386</v>
      </c>
      <c r="BE203" s="16" t="n">
        <f aca="false">MAX(C203-AO203,0)</f>
        <v>32.1077586501589</v>
      </c>
      <c r="BF203" s="16" t="n">
        <f aca="false">MAX(C203-AP203,0)</f>
        <v>27.8314562420889</v>
      </c>
      <c r="BG203" s="16" t="n">
        <f aca="false">MAX(C203-AQ203,0)</f>
        <v>22.4861546261788</v>
      </c>
      <c r="BH203" s="16" t="n">
        <f aca="false">MAX(C203-AR203,0)</f>
        <v>17.7090701484655</v>
      </c>
      <c r="BI203" s="16" t="n">
        <f aca="false">MAX(C203-AS203,0)</f>
        <v>13.2620925253468</v>
      </c>
      <c r="BJ203" s="16" t="n">
        <f aca="false">MAX(C203-AT203,0)</f>
        <v>8.3896478988181</v>
      </c>
      <c r="BK203" s="16" t="n">
        <f aca="false">MAX(C203-AU203,0)</f>
        <v>3.82947166122288</v>
      </c>
      <c r="BL203" s="16" t="n">
        <f aca="false">MAX(C203-AV203,0)</f>
        <v>0</v>
      </c>
      <c r="BM203" s="16" t="n">
        <f aca="false">MAX(C203-AW203,0)</f>
        <v>0</v>
      </c>
      <c r="BN203" s="16" t="n">
        <f aca="false">MAX(C203-AX203,0)</f>
        <v>0</v>
      </c>
      <c r="BO203" s="16" t="n">
        <f aca="false">MAX(C203-AY203,0)</f>
        <v>0</v>
      </c>
    </row>
    <row r="204" customFormat="false" ht="15" hidden="false" customHeight="false" outlineLevel="0" collapsed="false">
      <c r="A204" s="3" t="n">
        <v>174</v>
      </c>
      <c r="B204" s="15" t="n">
        <f aca="true">RAND()</f>
        <v>0.683187671108028</v>
      </c>
      <c r="C204" s="16" t="n">
        <f aca="false">LOOKUP(B204,$E$12:$E$17,$A$12:$A$17)+LOOKUP(B204,$E$12:$E$17,$D$12:$D$17)*(B204-LOOKUP(B204,$E$12:$E$17))/LOOKUP(B204,$E$12:$E$17,$C$12:$C$17)</f>
        <v>66.902681015829</v>
      </c>
      <c r="D204" s="15" t="n">
        <f aca="true">RAND()</f>
        <v>0.64349212431737</v>
      </c>
      <c r="E204" s="15" t="n">
        <f aca="true">RAND()</f>
        <v>0.805503320207684</v>
      </c>
      <c r="F204" s="15" t="n">
        <f aca="true">RAND()</f>
        <v>0.888314936607573</v>
      </c>
      <c r="G204" s="15" t="n">
        <f aca="true">RAND()</f>
        <v>0.803107840008088</v>
      </c>
      <c r="H204" s="15" t="n">
        <f aca="true">RAND()</f>
        <v>0.93508131162026</v>
      </c>
      <c r="I204" s="15" t="n">
        <f aca="true">RAND()</f>
        <v>0.783215936535714</v>
      </c>
      <c r="J204" s="15" t="n">
        <f aca="true">RAND()</f>
        <v>0.990223439505241</v>
      </c>
      <c r="K204" s="15" t="n">
        <f aca="true">RAND()</f>
        <v>0.512520993134462</v>
      </c>
      <c r="L204" s="15" t="n">
        <f aca="true">RAND()</f>
        <v>0.187375977037931</v>
      </c>
      <c r="M204" s="15" t="n">
        <f aca="true">RAND()</f>
        <v>0.919293545990213</v>
      </c>
      <c r="N204" s="15" t="n">
        <f aca="true">RAND()</f>
        <v>0.197221076613634</v>
      </c>
      <c r="O204" s="15" t="n">
        <f aca="true">RAND()</f>
        <v>0.466159766916242</v>
      </c>
      <c r="P204" s="15" t="n">
        <f aca="true">RAND()</f>
        <v>0.526306248451889</v>
      </c>
      <c r="Q204" s="15" t="n">
        <f aca="true">RAND()</f>
        <v>0.46391611983864</v>
      </c>
      <c r="R204" s="15" t="n">
        <f aca="true">RAND()</f>
        <v>0.748491286941959</v>
      </c>
      <c r="S204" s="15" t="n">
        <f aca="true">RAND()</f>
        <v>0.671030649910984</v>
      </c>
      <c r="T204" s="16" t="n">
        <f aca="false">LOOKUP(D204,$E$23:$E$26,$A$23:$A$26)+LOOKUP(D204,$E$23:$E$26,$D$23:$D$26)*(D204-LOOKUP(D204,$E$23:$E$26))/LOOKUP(D204,$E$23:$E$26,$C$23:$C$26)</f>
        <v>4.92936515539671</v>
      </c>
      <c r="U204" s="16" t="n">
        <f aca="false">LOOKUP(E204,$E$23:$E$26,$A$23:$A$26)+LOOKUP(E204,$E$23:$E$26,$D$23:$D$26)*(E204-LOOKUP(E204,$E$23:$E$26))/LOOKUP(E204,$E$23:$E$26,$C$23:$C$26)</f>
        <v>5.26375830051921</v>
      </c>
      <c r="V204" s="16" t="n">
        <f aca="false">LOOKUP(F204,$E$23:$E$26,$A$23:$A$26)+LOOKUP(F204,$E$23:$E$26,$D$23:$D$26)*(F204-LOOKUP(F204,$E$23:$E$26))/LOOKUP(F204,$E$23:$E$26,$C$23:$C$26)</f>
        <v>5.47078734151893</v>
      </c>
      <c r="W204" s="16" t="n">
        <f aca="false">LOOKUP(G204,$E$23:$E$26,$A$23:$A$26)+LOOKUP(G204,$E$23:$E$26,$D$23:$D$26)*(G204-LOOKUP(G204,$E$23:$E$26))/LOOKUP(G204,$E$23:$E$26,$C$23:$C$26)</f>
        <v>5.25776960002022</v>
      </c>
      <c r="X204" s="16" t="n">
        <f aca="false">LOOKUP(H204,$E$23:$E$26,$A$23:$A$26)+LOOKUP(H204,$E$23:$E$26,$D$23:$D$26)*(H204-LOOKUP(H204,$E$23:$E$26))/LOOKUP(H204,$E$23:$E$26,$C$23:$C$26)</f>
        <v>5.6754065581013</v>
      </c>
      <c r="Y204" s="16" t="n">
        <f aca="false">LOOKUP(I204,$E$23:$E$26,$A$23:$A$26)+LOOKUP(I204,$E$23:$E$26,$D$23:$D$26)*(I204-LOOKUP(I204,$E$23:$E$26))/LOOKUP(I204,$E$23:$E$26,$C$23:$C$26)</f>
        <v>5.20803984133928</v>
      </c>
      <c r="Z204" s="16" t="n">
        <f aca="false">LOOKUP(J204,$E$23:$E$26,$A$23:$A$26)+LOOKUP(J204,$E$23:$E$26,$D$23:$D$26)*(J204-LOOKUP(J204,$E$23:$E$26))/LOOKUP(J204,$E$23:$E$26,$C$23:$C$26)</f>
        <v>5.95111719752621</v>
      </c>
      <c r="AA204" s="16" t="n">
        <f aca="false">LOOKUP(K204,$E$23:$E$26,$A$23:$A$26)+LOOKUP(K204,$E$23:$E$26,$D$23:$D$26)*(K204-LOOKUP(K204,$E$23:$E$26))/LOOKUP(K204,$E$23:$E$26,$C$23:$C$26)</f>
        <v>4.76565124141808</v>
      </c>
      <c r="AB204" s="16" t="n">
        <f aca="false">LOOKUP(L204,$E$23:$E$26,$A$23:$A$26)+LOOKUP(L204,$E$23:$E$26,$D$23:$D$26)*(L204-LOOKUP(L204,$E$23:$E$26))/LOOKUP(L204,$E$23:$E$26,$C$23:$C$26)</f>
        <v>4.31229329506322</v>
      </c>
      <c r="AC204" s="16" t="n">
        <f aca="false">LOOKUP(M204,$E$23:$E$26,$A$23:$A$26)+LOOKUP(M204,$E$23:$E$26,$D$23:$D$26)*(M204-LOOKUP(M204,$E$23:$E$26))/LOOKUP(M204,$E$23:$E$26,$C$23:$C$26)</f>
        <v>5.59646772995107</v>
      </c>
      <c r="AD204" s="16" t="n">
        <f aca="false">LOOKUP(N204,$E$23:$E$26,$A$23:$A$26)+LOOKUP(N204,$E$23:$E$26,$D$23:$D$26)*(N204-LOOKUP(N204,$E$23:$E$26))/LOOKUP(N204,$E$23:$E$26,$C$23:$C$26)</f>
        <v>4.32870179435606</v>
      </c>
      <c r="AE204" s="16" t="n">
        <f aca="false">LOOKUP(O204,$E$23:$E$26,$A$23:$A$26)+LOOKUP(O204,$E$23:$E$26,$D$23:$D$26)*(O204-LOOKUP(O204,$E$23:$E$26))/LOOKUP(O204,$E$23:$E$26,$C$23:$C$26)</f>
        <v>4.7076997086453</v>
      </c>
      <c r="AF204" s="16" t="n">
        <f aca="false">LOOKUP(P204,$E$23:$E$26,$A$23:$A$26)+LOOKUP(P204,$E$23:$E$26,$D$23:$D$26)*(P204-LOOKUP(P204,$E$23:$E$26))/LOOKUP(P204,$E$23:$E$26,$C$23:$C$26)</f>
        <v>4.78288281056486</v>
      </c>
      <c r="AG204" s="16" t="n">
        <f aca="false">LOOKUP(Q204,$E$23:$E$26,$A$23:$A$26)+LOOKUP(Q204,$E$23:$E$26,$D$23:$D$26)*(Q204-LOOKUP(Q204,$E$23:$E$26))/LOOKUP(Q204,$E$23:$E$26,$C$23:$C$26)</f>
        <v>4.7048951497983</v>
      </c>
      <c r="AH204" s="16" t="n">
        <f aca="false">LOOKUP(R204,$E$23:$E$26,$A$23:$A$26)+LOOKUP(R204,$E$23:$E$26,$D$23:$D$26)*(R204-LOOKUP(R204,$E$23:$E$26))/LOOKUP(R204,$E$23:$E$26,$C$23:$C$26)</f>
        <v>5.1212282173549</v>
      </c>
      <c r="AI204" s="16" t="n">
        <f aca="false">LOOKUP(S204,$E$23:$E$26,$A$23:$A$26)+LOOKUP(S204,$E$23:$E$26,$D$23:$D$26)*(S204-LOOKUP(S204,$E$23:$E$26))/LOOKUP(S204,$E$23:$E$26,$C$23:$C$26)</f>
        <v>4.96378831238873</v>
      </c>
      <c r="AJ204" s="16" t="n">
        <f aca="false">SUM($T204:T204)</f>
        <v>4.92936515539671</v>
      </c>
      <c r="AK204" s="16" t="n">
        <f aca="false">SUM($T204:U204)</f>
        <v>10.1931234559159</v>
      </c>
      <c r="AL204" s="16" t="n">
        <f aca="false">SUM($T204:V204)</f>
        <v>15.6639107974349</v>
      </c>
      <c r="AM204" s="16" t="n">
        <f aca="false">SUM($T204:W204)</f>
        <v>20.9216803974551</v>
      </c>
      <c r="AN204" s="16" t="n">
        <f aca="false">SUM($T204:X204)</f>
        <v>26.5970869555564</v>
      </c>
      <c r="AO204" s="16" t="n">
        <f aca="false">SUM($T204:Y204)</f>
        <v>31.8051267968957</v>
      </c>
      <c r="AP204" s="16" t="n">
        <f aca="false">SUM($T204:Z204)</f>
        <v>37.7562439944219</v>
      </c>
      <c r="AQ204" s="16" t="n">
        <f aca="false">SUM($T204:AA204)</f>
        <v>42.5218952358399</v>
      </c>
      <c r="AR204" s="16" t="n">
        <f aca="false">SUM($T204:AB204)</f>
        <v>46.8341885309032</v>
      </c>
      <c r="AS204" s="16" t="n">
        <f aca="false">SUM($T204:AC204)</f>
        <v>52.4306562608542</v>
      </c>
      <c r="AT204" s="16" t="n">
        <f aca="false">SUM($T204:AD204)</f>
        <v>56.7593580552103</v>
      </c>
      <c r="AU204" s="16" t="n">
        <f aca="false">SUM($T204:AE204)</f>
        <v>61.4670577638556</v>
      </c>
      <c r="AV204" s="16" t="n">
        <f aca="false">SUM($T204:AF204)</f>
        <v>66.2499405744205</v>
      </c>
      <c r="AW204" s="16" t="n">
        <f aca="false">SUM($T204:AG204)</f>
        <v>70.9548357242188</v>
      </c>
      <c r="AX204" s="16" t="n">
        <f aca="false">SUM($T204:AH204)</f>
        <v>76.0760639415737</v>
      </c>
      <c r="AY204" s="16" t="n">
        <f aca="false">SUM($T204:AI204)</f>
        <v>81.0398522539624</v>
      </c>
      <c r="AZ204" s="16" t="n">
        <f aca="false">MAX(C204-AJ204,0)</f>
        <v>61.9733158604323</v>
      </c>
      <c r="BA204" s="16" t="n">
        <f aca="false">MAX(C204-AK204,0)</f>
        <v>56.7095575599131</v>
      </c>
      <c r="BB204" s="16" t="n">
        <f aca="false">MAX(C204-AL204,0)</f>
        <v>51.2387702183941</v>
      </c>
      <c r="BC204" s="16" t="n">
        <f aca="false">MAX(C204-AM204,0)</f>
        <v>45.9810006183739</v>
      </c>
      <c r="BD204" s="16" t="n">
        <f aca="false">MAX(C204-AN204,0)</f>
        <v>40.3055940602726</v>
      </c>
      <c r="BE204" s="16" t="n">
        <f aca="false">MAX(C204-AO204,0)</f>
        <v>35.0975542189333</v>
      </c>
      <c r="BF204" s="16" t="n">
        <f aca="false">MAX(C204-AP204,0)</f>
        <v>29.1464370214071</v>
      </c>
      <c r="BG204" s="16" t="n">
        <f aca="false">MAX(C204-AQ204,0)</f>
        <v>24.380785779989</v>
      </c>
      <c r="BH204" s="16" t="n">
        <f aca="false">MAX(C204-AR204,0)</f>
        <v>20.0684924849258</v>
      </c>
      <c r="BI204" s="16" t="n">
        <f aca="false">MAX(C204-AS204,0)</f>
        <v>14.4720247549747</v>
      </c>
      <c r="BJ204" s="16" t="n">
        <f aca="false">MAX(C204-AT204,0)</f>
        <v>10.1433229606187</v>
      </c>
      <c r="BK204" s="16" t="n">
        <f aca="false">MAX(C204-AU204,0)</f>
        <v>5.43562325197339</v>
      </c>
      <c r="BL204" s="16" t="n">
        <f aca="false">MAX(C204-AV204,0)</f>
        <v>0.652740441408525</v>
      </c>
      <c r="BM204" s="16" t="n">
        <f aca="false">MAX(C204-AW204,0)</f>
        <v>0</v>
      </c>
      <c r="BN204" s="16" t="n">
        <f aca="false">MAX(C204-AX204,0)</f>
        <v>0</v>
      </c>
      <c r="BO204" s="16" t="n">
        <f aca="false">MAX(C204-AY204,0)</f>
        <v>0</v>
      </c>
    </row>
    <row r="205" customFormat="false" ht="15" hidden="false" customHeight="false" outlineLevel="0" collapsed="false">
      <c r="A205" s="3" t="n">
        <v>175</v>
      </c>
      <c r="B205" s="15" t="n">
        <f aca="true">RAND()</f>
        <v>0.153210272463616</v>
      </c>
      <c r="C205" s="16" t="n">
        <f aca="false">LOOKUP(B205,$E$12:$E$17,$A$12:$A$17)+LOOKUP(B205,$E$12:$E$17,$D$12:$D$17)*(B205-LOOKUP(B205,$E$12:$E$17))/LOOKUP(B205,$E$12:$E$17,$C$12:$C$17)</f>
        <v>56.7736757487872</v>
      </c>
      <c r="D205" s="15" t="n">
        <f aca="true">RAND()</f>
        <v>0.57659866161762</v>
      </c>
      <c r="E205" s="15" t="n">
        <f aca="true">RAND()</f>
        <v>0.406727111896096</v>
      </c>
      <c r="F205" s="15" t="n">
        <f aca="true">RAND()</f>
        <v>0.0559793447025366</v>
      </c>
      <c r="G205" s="15" t="n">
        <f aca="true">RAND()</f>
        <v>0.995821443494617</v>
      </c>
      <c r="H205" s="15" t="n">
        <f aca="true">RAND()</f>
        <v>0.705183684183486</v>
      </c>
      <c r="I205" s="15" t="n">
        <f aca="true">RAND()</f>
        <v>0.269660785434155</v>
      </c>
      <c r="J205" s="15" t="n">
        <f aca="true">RAND()</f>
        <v>0.71187619894433</v>
      </c>
      <c r="K205" s="15" t="n">
        <f aca="true">RAND()</f>
        <v>0.0181501541578737</v>
      </c>
      <c r="L205" s="15" t="n">
        <f aca="true">RAND()</f>
        <v>0.25880256692314</v>
      </c>
      <c r="M205" s="15" t="n">
        <f aca="true">RAND()</f>
        <v>0.529259205398053</v>
      </c>
      <c r="N205" s="15" t="n">
        <f aca="true">RAND()</f>
        <v>0.434238226667381</v>
      </c>
      <c r="O205" s="15" t="n">
        <f aca="true">RAND()</f>
        <v>0.570181173769052</v>
      </c>
      <c r="P205" s="15" t="n">
        <f aca="true">RAND()</f>
        <v>0.228885929291825</v>
      </c>
      <c r="Q205" s="15" t="n">
        <f aca="true">RAND()</f>
        <v>0.408052812127348</v>
      </c>
      <c r="R205" s="15" t="n">
        <f aca="true">RAND()</f>
        <v>0.757787738425329</v>
      </c>
      <c r="S205" s="15" t="n">
        <f aca="true">RAND()</f>
        <v>0.140480810629355</v>
      </c>
      <c r="T205" s="16" t="n">
        <f aca="false">LOOKUP(D205,$E$23:$E$26,$A$23:$A$26)+LOOKUP(D205,$E$23:$E$26,$D$23:$D$26)*(D205-LOOKUP(D205,$E$23:$E$26))/LOOKUP(D205,$E$23:$E$26,$C$23:$C$26)</f>
        <v>4.84574832702202</v>
      </c>
      <c r="U205" s="16" t="n">
        <f aca="false">LOOKUP(E205,$E$23:$E$26,$A$23:$A$26)+LOOKUP(E205,$E$23:$E$26,$D$23:$D$26)*(E205-LOOKUP(E205,$E$23:$E$26))/LOOKUP(E205,$E$23:$E$26,$C$23:$C$26)</f>
        <v>4.63340888987012</v>
      </c>
      <c r="V205" s="16" t="n">
        <f aca="false">LOOKUP(F205,$E$23:$E$26,$A$23:$A$26)+LOOKUP(F205,$E$23:$E$26,$D$23:$D$26)*(F205-LOOKUP(F205,$E$23:$E$26))/LOOKUP(F205,$E$23:$E$26,$C$23:$C$26)</f>
        <v>4.09329890783756</v>
      </c>
      <c r="W205" s="16" t="n">
        <f aca="false">LOOKUP(G205,$E$23:$E$26,$A$23:$A$26)+LOOKUP(G205,$E$23:$E$26,$D$23:$D$26)*(G205-LOOKUP(G205,$E$23:$E$26))/LOOKUP(G205,$E$23:$E$26,$C$23:$C$26)</f>
        <v>5.97910721747309</v>
      </c>
      <c r="X205" s="16" t="n">
        <f aca="false">LOOKUP(H205,$E$23:$E$26,$A$23:$A$26)+LOOKUP(H205,$E$23:$E$26,$D$23:$D$26)*(H205-LOOKUP(H205,$E$23:$E$26))/LOOKUP(H205,$E$23:$E$26,$C$23:$C$26)</f>
        <v>5.01295921045872</v>
      </c>
      <c r="Y205" s="16" t="n">
        <f aca="false">LOOKUP(I205,$E$23:$E$26,$A$23:$A$26)+LOOKUP(I205,$E$23:$E$26,$D$23:$D$26)*(I205-LOOKUP(I205,$E$23:$E$26))/LOOKUP(I205,$E$23:$E$26,$C$23:$C$26)</f>
        <v>4.44943464239026</v>
      </c>
      <c r="Z205" s="16" t="n">
        <f aca="false">LOOKUP(J205,$E$23:$E$26,$A$23:$A$26)+LOOKUP(J205,$E$23:$E$26,$D$23:$D$26)*(J205-LOOKUP(J205,$E$23:$E$26))/LOOKUP(J205,$E$23:$E$26,$C$23:$C$26)</f>
        <v>5.02969049736082</v>
      </c>
      <c r="AA205" s="16" t="n">
        <f aca="false">LOOKUP(K205,$E$23:$E$26,$A$23:$A$26)+LOOKUP(K205,$E$23:$E$26,$D$23:$D$26)*(K205-LOOKUP(K205,$E$23:$E$26))/LOOKUP(K205,$E$23:$E$26,$C$23:$C$26)</f>
        <v>4.03025025692979</v>
      </c>
      <c r="AB205" s="16" t="n">
        <f aca="false">LOOKUP(L205,$E$23:$E$26,$A$23:$A$26)+LOOKUP(L205,$E$23:$E$26,$D$23:$D$26)*(L205-LOOKUP(L205,$E$23:$E$26))/LOOKUP(L205,$E$23:$E$26,$C$23:$C$26)</f>
        <v>4.43133761153857</v>
      </c>
      <c r="AC205" s="16" t="n">
        <f aca="false">LOOKUP(M205,$E$23:$E$26,$A$23:$A$26)+LOOKUP(M205,$E$23:$E$26,$D$23:$D$26)*(M205-LOOKUP(M205,$E$23:$E$26))/LOOKUP(M205,$E$23:$E$26,$C$23:$C$26)</f>
        <v>4.78657400674757</v>
      </c>
      <c r="AD205" s="16" t="n">
        <f aca="false">LOOKUP(N205,$E$23:$E$26,$A$23:$A$26)+LOOKUP(N205,$E$23:$E$26,$D$23:$D$26)*(N205-LOOKUP(N205,$E$23:$E$26))/LOOKUP(N205,$E$23:$E$26,$C$23:$C$26)</f>
        <v>4.66779778333423</v>
      </c>
      <c r="AE205" s="16" t="n">
        <f aca="false">LOOKUP(O205,$E$23:$E$26,$A$23:$A$26)+LOOKUP(O205,$E$23:$E$26,$D$23:$D$26)*(O205-LOOKUP(O205,$E$23:$E$26))/LOOKUP(O205,$E$23:$E$26,$C$23:$C$26)</f>
        <v>4.83772646721132</v>
      </c>
      <c r="AF205" s="16" t="n">
        <f aca="false">LOOKUP(P205,$E$23:$E$26,$A$23:$A$26)+LOOKUP(P205,$E$23:$E$26,$D$23:$D$26)*(P205-LOOKUP(P205,$E$23:$E$26))/LOOKUP(P205,$E$23:$E$26,$C$23:$C$26)</f>
        <v>4.38147654881971</v>
      </c>
      <c r="AG205" s="16" t="n">
        <f aca="false">LOOKUP(Q205,$E$23:$E$26,$A$23:$A$26)+LOOKUP(Q205,$E$23:$E$26,$D$23:$D$26)*(Q205-LOOKUP(Q205,$E$23:$E$26))/LOOKUP(Q205,$E$23:$E$26,$C$23:$C$26)</f>
        <v>4.63506601515919</v>
      </c>
      <c r="AH205" s="16" t="n">
        <f aca="false">LOOKUP(R205,$E$23:$E$26,$A$23:$A$26)+LOOKUP(R205,$E$23:$E$26,$D$23:$D$26)*(R205-LOOKUP(R205,$E$23:$E$26))/LOOKUP(R205,$E$23:$E$26,$C$23:$C$26)</f>
        <v>5.14446934606332</v>
      </c>
      <c r="AI205" s="16" t="n">
        <f aca="false">LOOKUP(S205,$E$23:$E$26,$A$23:$A$26)+LOOKUP(S205,$E$23:$E$26,$D$23:$D$26)*(S205-LOOKUP(S205,$E$23:$E$26))/LOOKUP(S205,$E$23:$E$26,$C$23:$C$26)</f>
        <v>4.23413468438226</v>
      </c>
      <c r="AJ205" s="16" t="n">
        <f aca="false">SUM($T205:T205)</f>
        <v>4.84574832702202</v>
      </c>
      <c r="AK205" s="16" t="n">
        <f aca="false">SUM($T205:U205)</f>
        <v>9.47915721689214</v>
      </c>
      <c r="AL205" s="16" t="n">
        <f aca="false">SUM($T205:V205)</f>
        <v>13.5724561247297</v>
      </c>
      <c r="AM205" s="16" t="n">
        <f aca="false">SUM($T205:W205)</f>
        <v>19.5515633422028</v>
      </c>
      <c r="AN205" s="16" t="n">
        <f aca="false">SUM($T205:X205)</f>
        <v>24.5645225526615</v>
      </c>
      <c r="AO205" s="16" t="n">
        <f aca="false">SUM($T205:Y205)</f>
        <v>29.0139571950518</v>
      </c>
      <c r="AP205" s="16" t="n">
        <f aca="false">SUM($T205:Z205)</f>
        <v>34.0436476924126</v>
      </c>
      <c r="AQ205" s="16" t="n">
        <f aca="false">SUM($T205:AA205)</f>
        <v>38.0738979493424</v>
      </c>
      <c r="AR205" s="16" t="n">
        <f aca="false">SUM($T205:AB205)</f>
        <v>42.505235560881</v>
      </c>
      <c r="AS205" s="16" t="n">
        <f aca="false">SUM($T205:AC205)</f>
        <v>47.2918095676285</v>
      </c>
      <c r="AT205" s="16" t="n">
        <f aca="false">SUM($T205:AD205)</f>
        <v>51.9596073509627</v>
      </c>
      <c r="AU205" s="16" t="n">
        <f aca="false">SUM($T205:AE205)</f>
        <v>56.7973338181741</v>
      </c>
      <c r="AV205" s="16" t="n">
        <f aca="false">SUM($T205:AF205)</f>
        <v>61.1788103669938</v>
      </c>
      <c r="AW205" s="16" t="n">
        <f aca="false">SUM($T205:AG205)</f>
        <v>65.8138763821529</v>
      </c>
      <c r="AX205" s="16" t="n">
        <f aca="false">SUM($T205:AH205)</f>
        <v>70.9583457282163</v>
      </c>
      <c r="AY205" s="16" t="n">
        <f aca="false">SUM($T205:AI205)</f>
        <v>75.1924804125985</v>
      </c>
      <c r="AZ205" s="16" t="n">
        <f aca="false">MAX(C205-AJ205,0)</f>
        <v>51.9279274217652</v>
      </c>
      <c r="BA205" s="16" t="n">
        <f aca="false">MAX(C205-AK205,0)</f>
        <v>47.2945185318951</v>
      </c>
      <c r="BB205" s="16" t="n">
        <f aca="false">MAX(C205-AL205,0)</f>
        <v>43.2012196240575</v>
      </c>
      <c r="BC205" s="16" t="n">
        <f aca="false">MAX(C205-AM205,0)</f>
        <v>37.2221124065844</v>
      </c>
      <c r="BD205" s="16" t="n">
        <f aca="false">MAX(C205-AN205,0)</f>
        <v>32.2091531961257</v>
      </c>
      <c r="BE205" s="16" t="n">
        <f aca="false">MAX(C205-AO205,0)</f>
        <v>27.7597185537354</v>
      </c>
      <c r="BF205" s="16" t="n">
        <f aca="false">MAX(C205-AP205,0)</f>
        <v>22.7300280563746</v>
      </c>
      <c r="BG205" s="16" t="n">
        <f aca="false">MAX(C205-AQ205,0)</f>
        <v>18.6997777994448</v>
      </c>
      <c r="BH205" s="16" t="n">
        <f aca="false">MAX(C205-AR205,0)</f>
        <v>14.2684401879062</v>
      </c>
      <c r="BI205" s="16" t="n">
        <f aca="false">MAX(C205-AS205,0)</f>
        <v>9.48186618115868</v>
      </c>
      <c r="BJ205" s="16" t="n">
        <f aca="false">MAX(C205-AT205,0)</f>
        <v>4.81406839782446</v>
      </c>
      <c r="BK205" s="16" t="n">
        <f aca="false">MAX(C205-AU205,0)</f>
        <v>0</v>
      </c>
      <c r="BL205" s="16" t="n">
        <f aca="false">MAX(C205-AV205,0)</f>
        <v>0</v>
      </c>
      <c r="BM205" s="16" t="n">
        <f aca="false">MAX(C205-AW205,0)</f>
        <v>0</v>
      </c>
      <c r="BN205" s="16" t="n">
        <f aca="false">MAX(C205-AX205,0)</f>
        <v>0</v>
      </c>
      <c r="BO205" s="16" t="n">
        <f aca="false">MAX(C205-AY205,0)</f>
        <v>0</v>
      </c>
    </row>
    <row r="206" customFormat="false" ht="15" hidden="false" customHeight="false" outlineLevel="0" collapsed="false">
      <c r="A206" s="3" t="n">
        <v>176</v>
      </c>
      <c r="B206" s="15" t="n">
        <f aca="true">RAND()</f>
        <v>0.0374458112138043</v>
      </c>
      <c r="C206" s="16" t="n">
        <f aca="false">LOOKUP(B206,$E$12:$E$17,$A$12:$A$17)+LOOKUP(B206,$E$12:$E$17,$D$12:$D$17)*(B206-LOOKUP(B206,$E$12:$E$17))/LOOKUP(B206,$E$12:$E$17,$C$12:$C$17)</f>
        <v>51.8722905606902</v>
      </c>
      <c r="D206" s="15" t="n">
        <f aca="true">RAND()</f>
        <v>0.267898166965173</v>
      </c>
      <c r="E206" s="15" t="n">
        <f aca="true">RAND()</f>
        <v>0.951088372463613</v>
      </c>
      <c r="F206" s="15" t="n">
        <f aca="true">RAND()</f>
        <v>0.0231061442644264</v>
      </c>
      <c r="G206" s="15" t="n">
        <f aca="true">RAND()</f>
        <v>0.893862098403678</v>
      </c>
      <c r="H206" s="15" t="n">
        <f aca="true">RAND()</f>
        <v>0.509368182537969</v>
      </c>
      <c r="I206" s="15" t="n">
        <f aca="true">RAND()</f>
        <v>0.752966264827982</v>
      </c>
      <c r="J206" s="15" t="n">
        <f aca="true">RAND()</f>
        <v>0.768265496077149</v>
      </c>
      <c r="K206" s="15" t="n">
        <f aca="true">RAND()</f>
        <v>0.488630857744408</v>
      </c>
      <c r="L206" s="15" t="n">
        <f aca="true">RAND()</f>
        <v>0.468445888190283</v>
      </c>
      <c r="M206" s="15" t="n">
        <f aca="true">RAND()</f>
        <v>0.809123602003823</v>
      </c>
      <c r="N206" s="15" t="n">
        <f aca="true">RAND()</f>
        <v>0.589120998805113</v>
      </c>
      <c r="O206" s="15" t="n">
        <f aca="true">RAND()</f>
        <v>0.76602815752274</v>
      </c>
      <c r="P206" s="15" t="n">
        <f aca="true">RAND()</f>
        <v>0.0318521062474677</v>
      </c>
      <c r="Q206" s="15" t="n">
        <f aca="true">RAND()</f>
        <v>0.39149483108805</v>
      </c>
      <c r="R206" s="15" t="n">
        <f aca="true">RAND()</f>
        <v>0.496735754402469</v>
      </c>
      <c r="S206" s="15" t="n">
        <f aca="true">RAND()</f>
        <v>0.224014867365101</v>
      </c>
      <c r="T206" s="16" t="n">
        <f aca="false">LOOKUP(D206,$E$23:$E$26,$A$23:$A$26)+LOOKUP(D206,$E$23:$E$26,$D$23:$D$26)*(D206-LOOKUP(D206,$E$23:$E$26))/LOOKUP(D206,$E$23:$E$26,$C$23:$C$26)</f>
        <v>4.44649694494196</v>
      </c>
      <c r="U206" s="16" t="n">
        <f aca="false">LOOKUP(E206,$E$23:$E$26,$A$23:$A$26)+LOOKUP(E206,$E$23:$E$26,$D$23:$D$26)*(E206-LOOKUP(E206,$E$23:$E$26))/LOOKUP(E206,$E$23:$E$26,$C$23:$C$26)</f>
        <v>5.75544186231806</v>
      </c>
      <c r="V206" s="16" t="n">
        <f aca="false">LOOKUP(F206,$E$23:$E$26,$A$23:$A$26)+LOOKUP(F206,$E$23:$E$26,$D$23:$D$26)*(F206-LOOKUP(F206,$E$23:$E$26))/LOOKUP(F206,$E$23:$E$26,$C$23:$C$26)</f>
        <v>4.03851024044071</v>
      </c>
      <c r="W206" s="16" t="n">
        <f aca="false">LOOKUP(G206,$E$23:$E$26,$A$23:$A$26)+LOOKUP(G206,$E$23:$E$26,$D$23:$D$26)*(G206-LOOKUP(G206,$E$23:$E$26))/LOOKUP(G206,$E$23:$E$26,$C$23:$C$26)</f>
        <v>5.4846552460092</v>
      </c>
      <c r="X206" s="16" t="n">
        <f aca="false">LOOKUP(H206,$E$23:$E$26,$A$23:$A$26)+LOOKUP(H206,$E$23:$E$26,$D$23:$D$26)*(H206-LOOKUP(H206,$E$23:$E$26))/LOOKUP(H206,$E$23:$E$26,$C$23:$C$26)</f>
        <v>4.76171022817246</v>
      </c>
      <c r="Y206" s="16" t="n">
        <f aca="false">LOOKUP(I206,$E$23:$E$26,$A$23:$A$26)+LOOKUP(I206,$E$23:$E$26,$D$23:$D$26)*(I206-LOOKUP(I206,$E$23:$E$26))/LOOKUP(I206,$E$23:$E$26,$C$23:$C$26)</f>
        <v>5.13241566206996</v>
      </c>
      <c r="Z206" s="16" t="n">
        <f aca="false">LOOKUP(J206,$E$23:$E$26,$A$23:$A$26)+LOOKUP(J206,$E$23:$E$26,$D$23:$D$26)*(J206-LOOKUP(J206,$E$23:$E$26))/LOOKUP(J206,$E$23:$E$26,$C$23:$C$26)</f>
        <v>5.17066374019287</v>
      </c>
      <c r="AA206" s="16" t="n">
        <f aca="false">LOOKUP(K206,$E$23:$E$26,$A$23:$A$26)+LOOKUP(K206,$E$23:$E$26,$D$23:$D$26)*(K206-LOOKUP(K206,$E$23:$E$26))/LOOKUP(K206,$E$23:$E$26,$C$23:$C$26)</f>
        <v>4.73578857218051</v>
      </c>
      <c r="AB206" s="16" t="n">
        <f aca="false">LOOKUP(L206,$E$23:$E$26,$A$23:$A$26)+LOOKUP(L206,$E$23:$E$26,$D$23:$D$26)*(L206-LOOKUP(L206,$E$23:$E$26))/LOOKUP(L206,$E$23:$E$26,$C$23:$C$26)</f>
        <v>4.71055736023785</v>
      </c>
      <c r="AC206" s="16" t="n">
        <f aca="false">LOOKUP(M206,$E$23:$E$26,$A$23:$A$26)+LOOKUP(M206,$E$23:$E$26,$D$23:$D$26)*(M206-LOOKUP(M206,$E$23:$E$26))/LOOKUP(M206,$E$23:$E$26,$C$23:$C$26)</f>
        <v>5.27280900500956</v>
      </c>
      <c r="AD206" s="16" t="n">
        <f aca="false">LOOKUP(N206,$E$23:$E$26,$A$23:$A$26)+LOOKUP(N206,$E$23:$E$26,$D$23:$D$26)*(N206-LOOKUP(N206,$E$23:$E$26))/LOOKUP(N206,$E$23:$E$26,$C$23:$C$26)</f>
        <v>4.86140124850639</v>
      </c>
      <c r="AE206" s="16" t="n">
        <f aca="false">LOOKUP(O206,$E$23:$E$26,$A$23:$A$26)+LOOKUP(O206,$E$23:$E$26,$D$23:$D$26)*(O206-LOOKUP(O206,$E$23:$E$26))/LOOKUP(O206,$E$23:$E$26,$C$23:$C$26)</f>
        <v>5.16507039380685</v>
      </c>
      <c r="AF206" s="16" t="n">
        <f aca="false">LOOKUP(P206,$E$23:$E$26,$A$23:$A$26)+LOOKUP(P206,$E$23:$E$26,$D$23:$D$26)*(P206-LOOKUP(P206,$E$23:$E$26))/LOOKUP(P206,$E$23:$E$26,$C$23:$C$26)</f>
        <v>4.05308684374578</v>
      </c>
      <c r="AG206" s="16" t="n">
        <f aca="false">LOOKUP(Q206,$E$23:$E$26,$A$23:$A$26)+LOOKUP(Q206,$E$23:$E$26,$D$23:$D$26)*(Q206-LOOKUP(Q206,$E$23:$E$26))/LOOKUP(Q206,$E$23:$E$26,$C$23:$C$26)</f>
        <v>4.61436853886006</v>
      </c>
      <c r="AH206" s="16" t="n">
        <f aca="false">LOOKUP(R206,$E$23:$E$26,$A$23:$A$26)+LOOKUP(R206,$E$23:$E$26,$D$23:$D$26)*(R206-LOOKUP(R206,$E$23:$E$26))/LOOKUP(R206,$E$23:$E$26,$C$23:$C$26)</f>
        <v>4.74591969300309</v>
      </c>
      <c r="AI206" s="16" t="n">
        <f aca="false">LOOKUP(S206,$E$23:$E$26,$A$23:$A$26)+LOOKUP(S206,$E$23:$E$26,$D$23:$D$26)*(S206-LOOKUP(S206,$E$23:$E$26))/LOOKUP(S206,$E$23:$E$26,$C$23:$C$26)</f>
        <v>4.37335811227517</v>
      </c>
      <c r="AJ206" s="16" t="n">
        <f aca="false">SUM($T206:T206)</f>
        <v>4.44649694494196</v>
      </c>
      <c r="AK206" s="16" t="n">
        <f aca="false">SUM($T206:U206)</f>
        <v>10.20193880726</v>
      </c>
      <c r="AL206" s="16" t="n">
        <f aca="false">SUM($T206:V206)</f>
        <v>14.2404490477007</v>
      </c>
      <c r="AM206" s="16" t="n">
        <f aca="false">SUM($T206:W206)</f>
        <v>19.7251042937099</v>
      </c>
      <c r="AN206" s="16" t="n">
        <f aca="false">SUM($T206:X206)</f>
        <v>24.4868145218824</v>
      </c>
      <c r="AO206" s="16" t="n">
        <f aca="false">SUM($T206:Y206)</f>
        <v>29.6192301839523</v>
      </c>
      <c r="AP206" s="16" t="n">
        <f aca="false">SUM($T206:Z206)</f>
        <v>34.7898939241452</v>
      </c>
      <c r="AQ206" s="16" t="n">
        <f aca="false">SUM($T206:AA206)</f>
        <v>39.5256824963257</v>
      </c>
      <c r="AR206" s="16" t="n">
        <f aca="false">SUM($T206:AB206)</f>
        <v>44.2362398565636</v>
      </c>
      <c r="AS206" s="16" t="n">
        <f aca="false">SUM($T206:AC206)</f>
        <v>49.5090488615731</v>
      </c>
      <c r="AT206" s="16" t="n">
        <f aca="false">SUM($T206:AD206)</f>
        <v>54.3704501100795</v>
      </c>
      <c r="AU206" s="16" t="n">
        <f aca="false">SUM($T206:AE206)</f>
        <v>59.5355205038864</v>
      </c>
      <c r="AV206" s="16" t="n">
        <f aca="false">SUM($T206:AF206)</f>
        <v>63.5886073476322</v>
      </c>
      <c r="AW206" s="16" t="n">
        <f aca="false">SUM($T206:AG206)</f>
        <v>68.2029758864922</v>
      </c>
      <c r="AX206" s="16" t="n">
        <f aca="false">SUM($T206:AH206)</f>
        <v>72.9488955794953</v>
      </c>
      <c r="AY206" s="16" t="n">
        <f aca="false">SUM($T206:AI206)</f>
        <v>77.3222536917705</v>
      </c>
      <c r="AZ206" s="16" t="n">
        <f aca="false">MAX(C206-AJ206,0)</f>
        <v>47.4257936157483</v>
      </c>
      <c r="BA206" s="16" t="n">
        <f aca="false">MAX(C206-AK206,0)</f>
        <v>41.6703517534302</v>
      </c>
      <c r="BB206" s="16" t="n">
        <f aca="false">MAX(C206-AL206,0)</f>
        <v>37.6318415129895</v>
      </c>
      <c r="BC206" s="16" t="n">
        <f aca="false">MAX(C206-AM206,0)</f>
        <v>32.1471862669803</v>
      </c>
      <c r="BD206" s="16" t="n">
        <f aca="false">MAX(C206-AN206,0)</f>
        <v>27.3854760388078</v>
      </c>
      <c r="BE206" s="16" t="n">
        <f aca="false">MAX(C206-AO206,0)</f>
        <v>22.2530603767379</v>
      </c>
      <c r="BF206" s="16" t="n">
        <f aca="false">MAX(C206-AP206,0)</f>
        <v>17.082396636545</v>
      </c>
      <c r="BG206" s="16" t="n">
        <f aca="false">MAX(C206-AQ206,0)</f>
        <v>12.3466080643645</v>
      </c>
      <c r="BH206" s="16" t="n">
        <f aca="false">MAX(C206-AR206,0)</f>
        <v>7.63605070412663</v>
      </c>
      <c r="BI206" s="16" t="n">
        <f aca="false">MAX(C206-AS206,0)</f>
        <v>2.36324169911708</v>
      </c>
      <c r="BJ206" s="16" t="n">
        <f aca="false">MAX(C206-AT206,0)</f>
        <v>0</v>
      </c>
      <c r="BK206" s="16" t="n">
        <f aca="false">MAX(C206-AU206,0)</f>
        <v>0</v>
      </c>
      <c r="BL206" s="16" t="n">
        <f aca="false">MAX(C206-AV206,0)</f>
        <v>0</v>
      </c>
      <c r="BM206" s="16" t="n">
        <f aca="false">MAX(C206-AW206,0)</f>
        <v>0</v>
      </c>
      <c r="BN206" s="16" t="n">
        <f aca="false">MAX(C206-AX206,0)</f>
        <v>0</v>
      </c>
      <c r="BO206" s="16" t="n">
        <f aca="false">MAX(C206-AY206,0)</f>
        <v>0</v>
      </c>
    </row>
    <row r="207" customFormat="false" ht="15" hidden="false" customHeight="false" outlineLevel="0" collapsed="false">
      <c r="A207" s="3" t="n">
        <v>177</v>
      </c>
      <c r="B207" s="15" t="n">
        <f aca="true">RAND()</f>
        <v>0.879795206499951</v>
      </c>
      <c r="C207" s="16" t="n">
        <f aca="false">LOOKUP(B207,$E$12:$E$17,$A$12:$A$17)+LOOKUP(B207,$E$12:$E$17,$D$12:$D$17)*(B207-LOOKUP(B207,$E$12:$E$17))/LOOKUP(B207,$E$12:$E$17,$C$12:$C$17)</f>
        <v>69.7113600928564</v>
      </c>
      <c r="D207" s="15" t="n">
        <f aca="true">RAND()</f>
        <v>0.0948274246379984</v>
      </c>
      <c r="E207" s="15" t="n">
        <f aca="true">RAND()</f>
        <v>0.977640027390764</v>
      </c>
      <c r="F207" s="15" t="n">
        <f aca="true">RAND()</f>
        <v>0.304873175775848</v>
      </c>
      <c r="G207" s="15" t="n">
        <f aca="true">RAND()</f>
        <v>0.560909869438334</v>
      </c>
      <c r="H207" s="15" t="n">
        <f aca="true">RAND()</f>
        <v>0.280757340821995</v>
      </c>
      <c r="I207" s="15" t="n">
        <f aca="true">RAND()</f>
        <v>0.431645702859917</v>
      </c>
      <c r="J207" s="15" t="n">
        <f aca="true">RAND()</f>
        <v>0.193993784251446</v>
      </c>
      <c r="K207" s="15" t="n">
        <f aca="true">RAND()</f>
        <v>0.925930534982469</v>
      </c>
      <c r="L207" s="15" t="n">
        <f aca="true">RAND()</f>
        <v>0.660636181145265</v>
      </c>
      <c r="M207" s="15" t="n">
        <f aca="true">RAND()</f>
        <v>0.206466086627495</v>
      </c>
      <c r="N207" s="15" t="n">
        <f aca="true">RAND()</f>
        <v>0.507455338757735</v>
      </c>
      <c r="O207" s="15" t="n">
        <f aca="true">RAND()</f>
        <v>0.259392399278414</v>
      </c>
      <c r="P207" s="15" t="n">
        <f aca="true">RAND()</f>
        <v>0.671314676002043</v>
      </c>
      <c r="Q207" s="15" t="n">
        <f aca="true">RAND()</f>
        <v>0.00413299394502098</v>
      </c>
      <c r="R207" s="15" t="n">
        <f aca="true">RAND()</f>
        <v>0.666682212870133</v>
      </c>
      <c r="S207" s="15" t="n">
        <f aca="true">RAND()</f>
        <v>0.0517349536683502</v>
      </c>
      <c r="T207" s="16" t="n">
        <f aca="false">LOOKUP(D207,$E$23:$E$26,$A$23:$A$26)+LOOKUP(D207,$E$23:$E$26,$D$23:$D$26)*(D207-LOOKUP(D207,$E$23:$E$26))/LOOKUP(D207,$E$23:$E$26,$C$23:$C$26)</f>
        <v>4.15804570773</v>
      </c>
      <c r="U207" s="16" t="n">
        <f aca="false">LOOKUP(E207,$E$23:$E$26,$A$23:$A$26)+LOOKUP(E207,$E$23:$E$26,$D$23:$D$26)*(E207-LOOKUP(E207,$E$23:$E$26))/LOOKUP(E207,$E$23:$E$26,$C$23:$C$26)</f>
        <v>5.88820013695382</v>
      </c>
      <c r="V207" s="16" t="n">
        <f aca="false">LOOKUP(F207,$E$23:$E$26,$A$23:$A$26)+LOOKUP(F207,$E$23:$E$26,$D$23:$D$26)*(F207-LOOKUP(F207,$E$23:$E$26))/LOOKUP(F207,$E$23:$E$26,$C$23:$C$26)</f>
        <v>4.50609146971981</v>
      </c>
      <c r="W207" s="16" t="n">
        <f aca="false">LOOKUP(G207,$E$23:$E$26,$A$23:$A$26)+LOOKUP(G207,$E$23:$E$26,$D$23:$D$26)*(G207-LOOKUP(G207,$E$23:$E$26))/LOOKUP(G207,$E$23:$E$26,$C$23:$C$26)</f>
        <v>4.82613733679792</v>
      </c>
      <c r="X207" s="16" t="n">
        <f aca="false">LOOKUP(H207,$E$23:$E$26,$A$23:$A$26)+LOOKUP(H207,$E$23:$E$26,$D$23:$D$26)*(H207-LOOKUP(H207,$E$23:$E$26))/LOOKUP(H207,$E$23:$E$26,$C$23:$C$26)</f>
        <v>4.46792890136999</v>
      </c>
      <c r="Y207" s="16" t="n">
        <f aca="false">LOOKUP(I207,$E$23:$E$26,$A$23:$A$26)+LOOKUP(I207,$E$23:$E$26,$D$23:$D$26)*(I207-LOOKUP(I207,$E$23:$E$26))/LOOKUP(I207,$E$23:$E$26,$C$23:$C$26)</f>
        <v>4.6645571285749</v>
      </c>
      <c r="Z207" s="16" t="n">
        <f aca="false">LOOKUP(J207,$E$23:$E$26,$A$23:$A$26)+LOOKUP(J207,$E$23:$E$26,$D$23:$D$26)*(J207-LOOKUP(J207,$E$23:$E$26))/LOOKUP(J207,$E$23:$E$26,$C$23:$C$26)</f>
        <v>4.32332297375241</v>
      </c>
      <c r="AA207" s="16" t="n">
        <f aca="false">LOOKUP(K207,$E$23:$E$26,$A$23:$A$26)+LOOKUP(K207,$E$23:$E$26,$D$23:$D$26)*(K207-LOOKUP(K207,$E$23:$E$26))/LOOKUP(K207,$E$23:$E$26,$C$23:$C$26)</f>
        <v>5.62965267491235</v>
      </c>
      <c r="AB207" s="16" t="n">
        <f aca="false">LOOKUP(L207,$E$23:$E$26,$A$23:$A$26)+LOOKUP(L207,$E$23:$E$26,$D$23:$D$26)*(L207-LOOKUP(L207,$E$23:$E$26))/LOOKUP(L207,$E$23:$E$26,$C$23:$C$26)</f>
        <v>4.95079522643158</v>
      </c>
      <c r="AC207" s="16" t="n">
        <f aca="false">LOOKUP(M207,$E$23:$E$26,$A$23:$A$26)+LOOKUP(M207,$E$23:$E$26,$D$23:$D$26)*(M207-LOOKUP(M207,$E$23:$E$26))/LOOKUP(M207,$E$23:$E$26,$C$23:$C$26)</f>
        <v>4.34411014437916</v>
      </c>
      <c r="AD207" s="16" t="n">
        <f aca="false">LOOKUP(N207,$E$23:$E$26,$A$23:$A$26)+LOOKUP(N207,$E$23:$E$26,$D$23:$D$26)*(N207-LOOKUP(N207,$E$23:$E$26))/LOOKUP(N207,$E$23:$E$26,$C$23:$C$26)</f>
        <v>4.75931917344717</v>
      </c>
      <c r="AE207" s="16" t="n">
        <f aca="false">LOOKUP(O207,$E$23:$E$26,$A$23:$A$26)+LOOKUP(O207,$E$23:$E$26,$D$23:$D$26)*(O207-LOOKUP(O207,$E$23:$E$26))/LOOKUP(O207,$E$23:$E$26,$C$23:$C$26)</f>
        <v>4.43232066546402</v>
      </c>
      <c r="AF207" s="16" t="n">
        <f aca="false">LOOKUP(P207,$E$23:$E$26,$A$23:$A$26)+LOOKUP(P207,$E$23:$E$26,$D$23:$D$26)*(P207-LOOKUP(P207,$E$23:$E$26))/LOOKUP(P207,$E$23:$E$26,$C$23:$C$26)</f>
        <v>4.96414334500255</v>
      </c>
      <c r="AG207" s="16" t="n">
        <f aca="false">LOOKUP(Q207,$E$23:$E$26,$A$23:$A$26)+LOOKUP(Q207,$E$23:$E$26,$D$23:$D$26)*(Q207-LOOKUP(Q207,$E$23:$E$26))/LOOKUP(Q207,$E$23:$E$26,$C$23:$C$26)</f>
        <v>4.0068883232417</v>
      </c>
      <c r="AH207" s="16" t="n">
        <f aca="false">LOOKUP(R207,$E$23:$E$26,$A$23:$A$26)+LOOKUP(R207,$E$23:$E$26,$D$23:$D$26)*(R207-LOOKUP(R207,$E$23:$E$26))/LOOKUP(R207,$E$23:$E$26,$C$23:$C$26)</f>
        <v>4.95835276608767</v>
      </c>
      <c r="AI207" s="16" t="n">
        <f aca="false">LOOKUP(S207,$E$23:$E$26,$A$23:$A$26)+LOOKUP(S207,$E$23:$E$26,$D$23:$D$26)*(S207-LOOKUP(S207,$E$23:$E$26))/LOOKUP(S207,$E$23:$E$26,$C$23:$C$26)</f>
        <v>4.08622492278058</v>
      </c>
      <c r="AJ207" s="16" t="n">
        <f aca="false">SUM($T207:T207)</f>
        <v>4.15804570773</v>
      </c>
      <c r="AK207" s="16" t="n">
        <f aca="false">SUM($T207:U207)</f>
        <v>10.0462458446838</v>
      </c>
      <c r="AL207" s="16" t="n">
        <f aca="false">SUM($T207:V207)</f>
        <v>14.5523373144036</v>
      </c>
      <c r="AM207" s="16" t="n">
        <f aca="false">SUM($T207:W207)</f>
        <v>19.3784746512015</v>
      </c>
      <c r="AN207" s="16" t="n">
        <f aca="false">SUM($T207:X207)</f>
        <v>23.8464035525715</v>
      </c>
      <c r="AO207" s="16" t="n">
        <f aca="false">SUM($T207:Y207)</f>
        <v>28.5109606811464</v>
      </c>
      <c r="AP207" s="16" t="n">
        <f aca="false">SUM($T207:Z207)</f>
        <v>32.8342836548989</v>
      </c>
      <c r="AQ207" s="16" t="n">
        <f aca="false">SUM($T207:AA207)</f>
        <v>38.4639363298112</v>
      </c>
      <c r="AR207" s="16" t="n">
        <f aca="false">SUM($T207:AB207)</f>
        <v>43.4147315562428</v>
      </c>
      <c r="AS207" s="16" t="n">
        <f aca="false">SUM($T207:AC207)</f>
        <v>47.7588417006219</v>
      </c>
      <c r="AT207" s="16" t="n">
        <f aca="false">SUM($T207:AD207)</f>
        <v>52.5181608740691</v>
      </c>
      <c r="AU207" s="16" t="n">
        <f aca="false">SUM($T207:AE207)</f>
        <v>56.9504815395331</v>
      </c>
      <c r="AV207" s="16" t="n">
        <f aca="false">SUM($T207:AF207)</f>
        <v>61.9146248845357</v>
      </c>
      <c r="AW207" s="16" t="n">
        <f aca="false">SUM($T207:AG207)</f>
        <v>65.9215132077774</v>
      </c>
      <c r="AX207" s="16" t="n">
        <f aca="false">SUM($T207:AH207)</f>
        <v>70.8798659738651</v>
      </c>
      <c r="AY207" s="16" t="n">
        <f aca="false">SUM($T207:AI207)</f>
        <v>74.9660908966456</v>
      </c>
      <c r="AZ207" s="16" t="n">
        <f aca="false">MAX(C207-AJ207,0)</f>
        <v>65.5533143851264</v>
      </c>
      <c r="BA207" s="16" t="n">
        <f aca="false">MAX(C207-AK207,0)</f>
        <v>59.6651142481726</v>
      </c>
      <c r="BB207" s="16" t="n">
        <f aca="false">MAX(C207-AL207,0)</f>
        <v>55.1590227784528</v>
      </c>
      <c r="BC207" s="16" t="n">
        <f aca="false">MAX(C207-AM207,0)</f>
        <v>50.3328854416549</v>
      </c>
      <c r="BD207" s="16" t="n">
        <f aca="false">MAX(C207-AN207,0)</f>
        <v>45.8649565402849</v>
      </c>
      <c r="BE207" s="16" t="n">
        <f aca="false">MAX(C207-AO207,0)</f>
        <v>41.20039941171</v>
      </c>
      <c r="BF207" s="16" t="n">
        <f aca="false">MAX(C207-AP207,0)</f>
        <v>36.8770764379576</v>
      </c>
      <c r="BG207" s="16" t="n">
        <f aca="false">MAX(C207-AQ207,0)</f>
        <v>31.2474237630452</v>
      </c>
      <c r="BH207" s="16" t="n">
        <f aca="false">MAX(C207-AR207,0)</f>
        <v>26.2966285366137</v>
      </c>
      <c r="BI207" s="16" t="n">
        <f aca="false">MAX(C207-AS207,0)</f>
        <v>21.9525183922345</v>
      </c>
      <c r="BJ207" s="16" t="n">
        <f aca="false">MAX(C207-AT207,0)</f>
        <v>17.1931992187873</v>
      </c>
      <c r="BK207" s="16" t="n">
        <f aca="false">MAX(C207-AU207,0)</f>
        <v>12.7608785533233</v>
      </c>
      <c r="BL207" s="16" t="n">
        <f aca="false">MAX(C207-AV207,0)</f>
        <v>7.79673520832076</v>
      </c>
      <c r="BM207" s="16" t="n">
        <f aca="false">MAX(C207-AW207,0)</f>
        <v>3.78984688507906</v>
      </c>
      <c r="BN207" s="16" t="n">
        <f aca="false">MAX(C207-AX207,0)</f>
        <v>0</v>
      </c>
      <c r="BO207" s="16" t="n">
        <f aca="false">MAX(C207-AY207,0)</f>
        <v>0</v>
      </c>
    </row>
    <row r="208" customFormat="false" ht="15" hidden="false" customHeight="false" outlineLevel="0" collapsed="false">
      <c r="A208" s="3" t="n">
        <v>178</v>
      </c>
      <c r="B208" s="15" t="n">
        <f aca="true">RAND()</f>
        <v>0.502803762683925</v>
      </c>
      <c r="C208" s="16" t="n">
        <f aca="false">LOOKUP(B208,$E$12:$E$17,$A$12:$A$17)+LOOKUP(B208,$E$12:$E$17,$D$12:$D$17)*(B208-LOOKUP(B208,$E$12:$E$17))/LOOKUP(B208,$E$12:$E$17,$C$12:$C$17)</f>
        <v>64.2133960447321</v>
      </c>
      <c r="D208" s="15" t="n">
        <f aca="true">RAND()</f>
        <v>0.190099868032852</v>
      </c>
      <c r="E208" s="15" t="n">
        <f aca="true">RAND()</f>
        <v>0.217188285606958</v>
      </c>
      <c r="F208" s="15" t="n">
        <f aca="true">RAND()</f>
        <v>0.997521573246708</v>
      </c>
      <c r="G208" s="15" t="n">
        <f aca="true">RAND()</f>
        <v>0.466564457322662</v>
      </c>
      <c r="H208" s="15" t="n">
        <f aca="true">RAND()</f>
        <v>0.736335119435402</v>
      </c>
      <c r="I208" s="15" t="n">
        <f aca="true">RAND()</f>
        <v>0.968136495693954</v>
      </c>
      <c r="J208" s="15" t="n">
        <f aca="true">RAND()</f>
        <v>0.245235522623164</v>
      </c>
      <c r="K208" s="15" t="n">
        <f aca="true">RAND()</f>
        <v>0.301427931776064</v>
      </c>
      <c r="L208" s="15" t="n">
        <f aca="true">RAND()</f>
        <v>0.441929254611442</v>
      </c>
      <c r="M208" s="15" t="n">
        <f aca="true">RAND()</f>
        <v>0.468057258725845</v>
      </c>
      <c r="N208" s="15" t="n">
        <f aca="true">RAND()</f>
        <v>0.870301067689206</v>
      </c>
      <c r="O208" s="15" t="n">
        <f aca="true">RAND()</f>
        <v>0.826805946223095</v>
      </c>
      <c r="P208" s="15" t="n">
        <f aca="true">RAND()</f>
        <v>0.157306516904309</v>
      </c>
      <c r="Q208" s="15" t="n">
        <f aca="true">RAND()</f>
        <v>0.774290233013797</v>
      </c>
      <c r="R208" s="15" t="n">
        <f aca="true">RAND()</f>
        <v>0.112890332384254</v>
      </c>
      <c r="S208" s="15" t="n">
        <f aca="true">RAND()</f>
        <v>0.444194722498028</v>
      </c>
      <c r="T208" s="16" t="n">
        <f aca="false">LOOKUP(D208,$E$23:$E$26,$A$23:$A$26)+LOOKUP(D208,$E$23:$E$26,$D$23:$D$26)*(D208-LOOKUP(D208,$E$23:$E$26))/LOOKUP(D208,$E$23:$E$26,$C$23:$C$26)</f>
        <v>4.31683311338809</v>
      </c>
      <c r="U208" s="16" t="n">
        <f aca="false">LOOKUP(E208,$E$23:$E$26,$A$23:$A$26)+LOOKUP(E208,$E$23:$E$26,$D$23:$D$26)*(E208-LOOKUP(E208,$E$23:$E$26))/LOOKUP(E208,$E$23:$E$26,$C$23:$C$26)</f>
        <v>4.3619804760116</v>
      </c>
      <c r="V208" s="16" t="n">
        <f aca="false">LOOKUP(F208,$E$23:$E$26,$A$23:$A$26)+LOOKUP(F208,$E$23:$E$26,$D$23:$D$26)*(F208-LOOKUP(F208,$E$23:$E$26))/LOOKUP(F208,$E$23:$E$26,$C$23:$C$26)</f>
        <v>5.98760786623354</v>
      </c>
      <c r="W208" s="16" t="n">
        <f aca="false">LOOKUP(G208,$E$23:$E$26,$A$23:$A$26)+LOOKUP(G208,$E$23:$E$26,$D$23:$D$26)*(G208-LOOKUP(G208,$E$23:$E$26))/LOOKUP(G208,$E$23:$E$26,$C$23:$C$26)</f>
        <v>4.70820557165333</v>
      </c>
      <c r="X208" s="16" t="n">
        <f aca="false">LOOKUP(H208,$E$23:$E$26,$A$23:$A$26)+LOOKUP(H208,$E$23:$E$26,$D$23:$D$26)*(H208-LOOKUP(H208,$E$23:$E$26))/LOOKUP(H208,$E$23:$E$26,$C$23:$C$26)</f>
        <v>5.09083779858851</v>
      </c>
      <c r="Y208" s="16" t="n">
        <f aca="false">LOOKUP(I208,$E$23:$E$26,$A$23:$A$26)+LOOKUP(I208,$E$23:$E$26,$D$23:$D$26)*(I208-LOOKUP(I208,$E$23:$E$26))/LOOKUP(I208,$E$23:$E$26,$C$23:$C$26)</f>
        <v>5.84068247846977</v>
      </c>
      <c r="Z208" s="16" t="n">
        <f aca="false">LOOKUP(J208,$E$23:$E$26,$A$23:$A$26)+LOOKUP(J208,$E$23:$E$26,$D$23:$D$26)*(J208-LOOKUP(J208,$E$23:$E$26))/LOOKUP(J208,$E$23:$E$26,$C$23:$C$26)</f>
        <v>4.40872587103861</v>
      </c>
      <c r="AA208" s="16" t="n">
        <f aca="false">LOOKUP(K208,$E$23:$E$26,$A$23:$A$26)+LOOKUP(K208,$E$23:$E$26,$D$23:$D$26)*(K208-LOOKUP(K208,$E$23:$E$26))/LOOKUP(K208,$E$23:$E$26,$C$23:$C$26)</f>
        <v>4.50178491472008</v>
      </c>
      <c r="AB208" s="16" t="n">
        <f aca="false">LOOKUP(L208,$E$23:$E$26,$A$23:$A$26)+LOOKUP(L208,$E$23:$E$26,$D$23:$D$26)*(L208-LOOKUP(L208,$E$23:$E$26))/LOOKUP(L208,$E$23:$E$26,$C$23:$C$26)</f>
        <v>4.6774115682643</v>
      </c>
      <c r="AC208" s="16" t="n">
        <f aca="false">LOOKUP(M208,$E$23:$E$26,$A$23:$A$26)+LOOKUP(M208,$E$23:$E$26,$D$23:$D$26)*(M208-LOOKUP(M208,$E$23:$E$26))/LOOKUP(M208,$E$23:$E$26,$C$23:$C$26)</f>
        <v>4.71007157340731</v>
      </c>
      <c r="AD208" s="16" t="n">
        <f aca="false">LOOKUP(N208,$E$23:$E$26,$A$23:$A$26)+LOOKUP(N208,$E$23:$E$26,$D$23:$D$26)*(N208-LOOKUP(N208,$E$23:$E$26))/LOOKUP(N208,$E$23:$E$26,$C$23:$C$26)</f>
        <v>5.42575266922302</v>
      </c>
      <c r="AE208" s="16" t="n">
        <f aca="false">LOOKUP(O208,$E$23:$E$26,$A$23:$A$26)+LOOKUP(O208,$E$23:$E$26,$D$23:$D$26)*(O208-LOOKUP(O208,$E$23:$E$26))/LOOKUP(O208,$E$23:$E$26,$C$23:$C$26)</f>
        <v>5.31701486555774</v>
      </c>
      <c r="AF208" s="16" t="n">
        <f aca="false">LOOKUP(P208,$E$23:$E$26,$A$23:$A$26)+LOOKUP(P208,$E$23:$E$26,$D$23:$D$26)*(P208-LOOKUP(P208,$E$23:$E$26))/LOOKUP(P208,$E$23:$E$26,$C$23:$C$26)</f>
        <v>4.26217752817385</v>
      </c>
      <c r="AG208" s="16" t="n">
        <f aca="false">LOOKUP(Q208,$E$23:$E$26,$A$23:$A$26)+LOOKUP(Q208,$E$23:$E$26,$D$23:$D$26)*(Q208-LOOKUP(Q208,$E$23:$E$26))/LOOKUP(Q208,$E$23:$E$26,$C$23:$C$26)</f>
        <v>5.18572558253449</v>
      </c>
      <c r="AH208" s="16" t="n">
        <f aca="false">LOOKUP(R208,$E$23:$E$26,$A$23:$A$26)+LOOKUP(R208,$E$23:$E$26,$D$23:$D$26)*(R208-LOOKUP(R208,$E$23:$E$26))/LOOKUP(R208,$E$23:$E$26,$C$23:$C$26)</f>
        <v>4.18815055397376</v>
      </c>
      <c r="AI208" s="16" t="n">
        <f aca="false">LOOKUP(S208,$E$23:$E$26,$A$23:$A$26)+LOOKUP(S208,$E$23:$E$26,$D$23:$D$26)*(S208-LOOKUP(S208,$E$23:$E$26))/LOOKUP(S208,$E$23:$E$26,$C$23:$C$26)</f>
        <v>4.68024340312254</v>
      </c>
      <c r="AJ208" s="16" t="n">
        <f aca="false">SUM($T208:T208)</f>
        <v>4.31683311338809</v>
      </c>
      <c r="AK208" s="16" t="n">
        <f aca="false">SUM($T208:U208)</f>
        <v>8.67881358939969</v>
      </c>
      <c r="AL208" s="16" t="n">
        <f aca="false">SUM($T208:V208)</f>
        <v>14.6664214556332</v>
      </c>
      <c r="AM208" s="16" t="n">
        <f aca="false">SUM($T208:W208)</f>
        <v>19.3746270272866</v>
      </c>
      <c r="AN208" s="16" t="n">
        <f aca="false">SUM($T208:X208)</f>
        <v>24.4654648258751</v>
      </c>
      <c r="AO208" s="16" t="n">
        <f aca="false">SUM($T208:Y208)</f>
        <v>30.3061473043448</v>
      </c>
      <c r="AP208" s="16" t="n">
        <f aca="false">SUM($T208:Z208)</f>
        <v>34.7148731753834</v>
      </c>
      <c r="AQ208" s="16" t="n">
        <f aca="false">SUM($T208:AA208)</f>
        <v>39.2166580901035</v>
      </c>
      <c r="AR208" s="16" t="n">
        <f aca="false">SUM($T208:AB208)</f>
        <v>43.8940696583678</v>
      </c>
      <c r="AS208" s="16" t="n">
        <f aca="false">SUM($T208:AC208)</f>
        <v>48.6041412317751</v>
      </c>
      <c r="AT208" s="16" t="n">
        <f aca="false">SUM($T208:AD208)</f>
        <v>54.0298939009981</v>
      </c>
      <c r="AU208" s="16" t="n">
        <f aca="false">SUM($T208:AE208)</f>
        <v>59.3469087665559</v>
      </c>
      <c r="AV208" s="16" t="n">
        <f aca="false">SUM($T208:AF208)</f>
        <v>63.6090862947297</v>
      </c>
      <c r="AW208" s="16" t="n">
        <f aca="false">SUM($T208:AG208)</f>
        <v>68.7948118772642</v>
      </c>
      <c r="AX208" s="16" t="n">
        <f aca="false">SUM($T208:AH208)</f>
        <v>72.982962431238</v>
      </c>
      <c r="AY208" s="16" t="n">
        <f aca="false">SUM($T208:AI208)</f>
        <v>77.6632058343605</v>
      </c>
      <c r="AZ208" s="16" t="n">
        <f aca="false">MAX(C208-AJ208,0)</f>
        <v>59.896562931344</v>
      </c>
      <c r="BA208" s="16" t="n">
        <f aca="false">MAX(C208-AK208,0)</f>
        <v>55.5345824553324</v>
      </c>
      <c r="BB208" s="16" t="n">
        <f aca="false">MAX(C208-AL208,0)</f>
        <v>49.5469745890989</v>
      </c>
      <c r="BC208" s="16" t="n">
        <f aca="false">MAX(C208-AM208,0)</f>
        <v>44.8387690174455</v>
      </c>
      <c r="BD208" s="16" t="n">
        <f aca="false">MAX(C208-AN208,0)</f>
        <v>39.747931218857</v>
      </c>
      <c r="BE208" s="16" t="n">
        <f aca="false">MAX(C208-AO208,0)</f>
        <v>33.9072487403873</v>
      </c>
      <c r="BF208" s="16" t="n">
        <f aca="false">MAX(C208-AP208,0)</f>
        <v>29.4985228693487</v>
      </c>
      <c r="BG208" s="16" t="n">
        <f aca="false">MAX(C208-AQ208,0)</f>
        <v>24.9967379546286</v>
      </c>
      <c r="BH208" s="16" t="n">
        <f aca="false">MAX(C208-AR208,0)</f>
        <v>20.3193263863643</v>
      </c>
      <c r="BI208" s="16" t="n">
        <f aca="false">MAX(C208-AS208,0)</f>
        <v>15.609254812957</v>
      </c>
      <c r="BJ208" s="16" t="n">
        <f aca="false">MAX(C208-AT208,0)</f>
        <v>10.183502143734</v>
      </c>
      <c r="BK208" s="16" t="n">
        <f aca="false">MAX(C208-AU208,0)</f>
        <v>4.86648727817622</v>
      </c>
      <c r="BL208" s="16" t="n">
        <f aca="false">MAX(C208-AV208,0)</f>
        <v>0.604309750002372</v>
      </c>
      <c r="BM208" s="16" t="n">
        <f aca="false">MAX(C208-AW208,0)</f>
        <v>0</v>
      </c>
      <c r="BN208" s="16" t="n">
        <f aca="false">MAX(C208-AX208,0)</f>
        <v>0</v>
      </c>
      <c r="BO208" s="16" t="n">
        <f aca="false">MAX(C208-AY208,0)</f>
        <v>0</v>
      </c>
    </row>
    <row r="209" customFormat="false" ht="15" hidden="false" customHeight="false" outlineLevel="0" collapsed="false">
      <c r="A209" s="3" t="n">
        <v>179</v>
      </c>
      <c r="B209" s="15" t="n">
        <f aca="true">RAND()</f>
        <v>0.354563655469928</v>
      </c>
      <c r="C209" s="16" t="n">
        <f aca="false">LOOKUP(B209,$E$12:$E$17,$A$12:$A$17)+LOOKUP(B209,$E$12:$E$17,$D$12:$D$17)*(B209-LOOKUP(B209,$E$12:$E$17))/LOOKUP(B209,$E$12:$E$17,$C$12:$C$17)</f>
        <v>61.7427275911655</v>
      </c>
      <c r="D209" s="15" t="n">
        <f aca="true">RAND()</f>
        <v>0.45071374393331</v>
      </c>
      <c r="E209" s="15" t="n">
        <f aca="true">RAND()</f>
        <v>0.317692169985918</v>
      </c>
      <c r="F209" s="15" t="n">
        <f aca="true">RAND()</f>
        <v>0.00992537228008916</v>
      </c>
      <c r="G209" s="15" t="n">
        <f aca="true">RAND()</f>
        <v>0.0326593440718616</v>
      </c>
      <c r="H209" s="15" t="n">
        <f aca="true">RAND()</f>
        <v>0.167840701825466</v>
      </c>
      <c r="I209" s="15" t="n">
        <f aca="true">RAND()</f>
        <v>0.0375377526014061</v>
      </c>
      <c r="J209" s="15" t="n">
        <f aca="true">RAND()</f>
        <v>0.622539567260532</v>
      </c>
      <c r="K209" s="15" t="n">
        <f aca="true">RAND()</f>
        <v>0.644253751809768</v>
      </c>
      <c r="L209" s="15" t="n">
        <f aca="true">RAND()</f>
        <v>0.407874501418843</v>
      </c>
      <c r="M209" s="15" t="n">
        <f aca="true">RAND()</f>
        <v>0.758653678892541</v>
      </c>
      <c r="N209" s="15" t="n">
        <f aca="true">RAND()</f>
        <v>0.977796355908403</v>
      </c>
      <c r="O209" s="15" t="n">
        <f aca="true">RAND()</f>
        <v>0.285149685493072</v>
      </c>
      <c r="P209" s="15" t="n">
        <f aca="true">RAND()</f>
        <v>0.453604510957114</v>
      </c>
      <c r="Q209" s="15" t="n">
        <f aca="true">RAND()</f>
        <v>0.341892146806656</v>
      </c>
      <c r="R209" s="15" t="n">
        <f aca="true">RAND()</f>
        <v>0.982363618769301</v>
      </c>
      <c r="S209" s="15" t="n">
        <f aca="true">RAND()</f>
        <v>0.743680597611949</v>
      </c>
      <c r="T209" s="16" t="n">
        <f aca="false">LOOKUP(D209,$E$23:$E$26,$A$23:$A$26)+LOOKUP(D209,$E$23:$E$26,$D$23:$D$26)*(D209-LOOKUP(D209,$E$23:$E$26))/LOOKUP(D209,$E$23:$E$26,$C$23:$C$26)</f>
        <v>4.68839217991664</v>
      </c>
      <c r="U209" s="16" t="n">
        <f aca="false">LOOKUP(E209,$E$23:$E$26,$A$23:$A$26)+LOOKUP(E209,$E$23:$E$26,$D$23:$D$26)*(E209-LOOKUP(E209,$E$23:$E$26))/LOOKUP(E209,$E$23:$E$26,$C$23:$C$26)</f>
        <v>4.5221152124824</v>
      </c>
      <c r="V209" s="16" t="n">
        <f aca="false">LOOKUP(F209,$E$23:$E$26,$A$23:$A$26)+LOOKUP(F209,$E$23:$E$26,$D$23:$D$26)*(F209-LOOKUP(F209,$E$23:$E$26))/LOOKUP(F209,$E$23:$E$26,$C$23:$C$26)</f>
        <v>4.01654228713348</v>
      </c>
      <c r="W209" s="16" t="n">
        <f aca="false">LOOKUP(G209,$E$23:$E$26,$A$23:$A$26)+LOOKUP(G209,$E$23:$E$26,$D$23:$D$26)*(G209-LOOKUP(G209,$E$23:$E$26))/LOOKUP(G209,$E$23:$E$26,$C$23:$C$26)</f>
        <v>4.05443224011977</v>
      </c>
      <c r="X209" s="16" t="n">
        <f aca="false">LOOKUP(H209,$E$23:$E$26,$A$23:$A$26)+LOOKUP(H209,$E$23:$E$26,$D$23:$D$26)*(H209-LOOKUP(H209,$E$23:$E$26))/LOOKUP(H209,$E$23:$E$26,$C$23:$C$26)</f>
        <v>4.27973450304244</v>
      </c>
      <c r="Y209" s="16" t="n">
        <f aca="false">LOOKUP(I209,$E$23:$E$26,$A$23:$A$26)+LOOKUP(I209,$E$23:$E$26,$D$23:$D$26)*(I209-LOOKUP(I209,$E$23:$E$26))/LOOKUP(I209,$E$23:$E$26,$C$23:$C$26)</f>
        <v>4.06256292100234</v>
      </c>
      <c r="Z209" s="16" t="n">
        <f aca="false">LOOKUP(J209,$E$23:$E$26,$A$23:$A$26)+LOOKUP(J209,$E$23:$E$26,$D$23:$D$26)*(J209-LOOKUP(J209,$E$23:$E$26))/LOOKUP(J209,$E$23:$E$26,$C$23:$C$26)</f>
        <v>4.90317445907567</v>
      </c>
      <c r="AA209" s="16" t="n">
        <f aca="false">LOOKUP(K209,$E$23:$E$26,$A$23:$A$26)+LOOKUP(K209,$E$23:$E$26,$D$23:$D$26)*(K209-LOOKUP(K209,$E$23:$E$26))/LOOKUP(K209,$E$23:$E$26,$C$23:$C$26)</f>
        <v>4.93031718976221</v>
      </c>
      <c r="AB209" s="16" t="n">
        <f aca="false">LOOKUP(L209,$E$23:$E$26,$A$23:$A$26)+LOOKUP(L209,$E$23:$E$26,$D$23:$D$26)*(L209-LOOKUP(L209,$E$23:$E$26))/LOOKUP(L209,$E$23:$E$26,$C$23:$C$26)</f>
        <v>4.63484312677355</v>
      </c>
      <c r="AC209" s="16" t="n">
        <f aca="false">LOOKUP(M209,$E$23:$E$26,$A$23:$A$26)+LOOKUP(M209,$E$23:$E$26,$D$23:$D$26)*(M209-LOOKUP(M209,$E$23:$E$26))/LOOKUP(M209,$E$23:$E$26,$C$23:$C$26)</f>
        <v>5.14663419723135</v>
      </c>
      <c r="AD209" s="16" t="n">
        <f aca="false">LOOKUP(N209,$E$23:$E$26,$A$23:$A$26)+LOOKUP(N209,$E$23:$E$26,$D$23:$D$26)*(N209-LOOKUP(N209,$E$23:$E$26))/LOOKUP(N209,$E$23:$E$26,$C$23:$C$26)</f>
        <v>5.88898177954202</v>
      </c>
      <c r="AE209" s="16" t="n">
        <f aca="false">LOOKUP(O209,$E$23:$E$26,$A$23:$A$26)+LOOKUP(O209,$E$23:$E$26,$D$23:$D$26)*(O209-LOOKUP(O209,$E$23:$E$26))/LOOKUP(O209,$E$23:$E$26,$C$23:$C$26)</f>
        <v>4.47524947582179</v>
      </c>
      <c r="AF209" s="16" t="n">
        <f aca="false">LOOKUP(P209,$E$23:$E$26,$A$23:$A$26)+LOOKUP(P209,$E$23:$E$26,$D$23:$D$26)*(P209-LOOKUP(P209,$E$23:$E$26))/LOOKUP(P209,$E$23:$E$26,$C$23:$C$26)</f>
        <v>4.69200563869639</v>
      </c>
      <c r="AG209" s="16" t="n">
        <f aca="false">LOOKUP(Q209,$E$23:$E$26,$A$23:$A$26)+LOOKUP(Q209,$E$23:$E$26,$D$23:$D$26)*(Q209-LOOKUP(Q209,$E$23:$E$26))/LOOKUP(Q209,$E$23:$E$26,$C$23:$C$26)</f>
        <v>4.55236518350832</v>
      </c>
      <c r="AH209" s="16" t="n">
        <f aca="false">LOOKUP(R209,$E$23:$E$26,$A$23:$A$26)+LOOKUP(R209,$E$23:$E$26,$D$23:$D$26)*(R209-LOOKUP(R209,$E$23:$E$26))/LOOKUP(R209,$E$23:$E$26,$C$23:$C$26)</f>
        <v>5.91181809384651</v>
      </c>
      <c r="AI209" s="16" t="n">
        <f aca="false">LOOKUP(S209,$E$23:$E$26,$A$23:$A$26)+LOOKUP(S209,$E$23:$E$26,$D$23:$D$26)*(S209-LOOKUP(S209,$E$23:$E$26))/LOOKUP(S209,$E$23:$E$26,$C$23:$C$26)</f>
        <v>5.10920149402987</v>
      </c>
      <c r="AJ209" s="16" t="n">
        <f aca="false">SUM($T209:T209)</f>
        <v>4.68839217991664</v>
      </c>
      <c r="AK209" s="16" t="n">
        <f aca="false">SUM($T209:U209)</f>
        <v>9.21050739239903</v>
      </c>
      <c r="AL209" s="16" t="n">
        <f aca="false">SUM($T209:V209)</f>
        <v>13.2270496795325</v>
      </c>
      <c r="AM209" s="16" t="n">
        <f aca="false">SUM($T209:W209)</f>
        <v>17.2814819196523</v>
      </c>
      <c r="AN209" s="16" t="n">
        <f aca="false">SUM($T209:X209)</f>
        <v>21.5612164226947</v>
      </c>
      <c r="AO209" s="16" t="n">
        <f aca="false">SUM($T209:Y209)</f>
        <v>25.6237793436971</v>
      </c>
      <c r="AP209" s="16" t="n">
        <f aca="false">SUM($T209:Z209)</f>
        <v>30.5269538027727</v>
      </c>
      <c r="AQ209" s="16" t="n">
        <f aca="false">SUM($T209:AA209)</f>
        <v>35.4572709925349</v>
      </c>
      <c r="AR209" s="16" t="n">
        <f aca="false">SUM($T209:AB209)</f>
        <v>40.0921141193085</v>
      </c>
      <c r="AS209" s="16" t="n">
        <f aca="false">SUM($T209:AC209)</f>
        <v>45.2387483165399</v>
      </c>
      <c r="AT209" s="16" t="n">
        <f aca="false">SUM($T209:AD209)</f>
        <v>51.1277300960819</v>
      </c>
      <c r="AU209" s="16" t="n">
        <f aca="false">SUM($T209:AE209)</f>
        <v>55.6029795719037</v>
      </c>
      <c r="AV209" s="16" t="n">
        <f aca="false">SUM($T209:AF209)</f>
        <v>60.2949852106001</v>
      </c>
      <c r="AW209" s="16" t="n">
        <f aca="false">SUM($T209:AG209)</f>
        <v>64.8473503941084</v>
      </c>
      <c r="AX209" s="16" t="n">
        <f aca="false">SUM($T209:AH209)</f>
        <v>70.7591684879549</v>
      </c>
      <c r="AY209" s="16" t="n">
        <f aca="false">SUM($T209:AI209)</f>
        <v>75.8683699819848</v>
      </c>
      <c r="AZ209" s="16" t="n">
        <f aca="false">MAX(C209-AJ209,0)</f>
        <v>57.0543354112488</v>
      </c>
      <c r="BA209" s="16" t="n">
        <f aca="false">MAX(C209-AK209,0)</f>
        <v>52.5322201987664</v>
      </c>
      <c r="BB209" s="16" t="n">
        <f aca="false">MAX(C209-AL209,0)</f>
        <v>48.515677911633</v>
      </c>
      <c r="BC209" s="16" t="n">
        <f aca="false">MAX(C209-AM209,0)</f>
        <v>44.4612456715132</v>
      </c>
      <c r="BD209" s="16" t="n">
        <f aca="false">MAX(C209-AN209,0)</f>
        <v>40.1815111684707</v>
      </c>
      <c r="BE209" s="16" t="n">
        <f aca="false">MAX(C209-AO209,0)</f>
        <v>36.1189482474684</v>
      </c>
      <c r="BF209" s="16" t="n">
        <f aca="false">MAX(C209-AP209,0)</f>
        <v>31.2157737883927</v>
      </c>
      <c r="BG209" s="16" t="n">
        <f aca="false">MAX(C209-AQ209,0)</f>
        <v>26.2854565986305</v>
      </c>
      <c r="BH209" s="16" t="n">
        <f aca="false">MAX(C209-AR209,0)</f>
        <v>21.650613471857</v>
      </c>
      <c r="BI209" s="16" t="n">
        <f aca="false">MAX(C209-AS209,0)</f>
        <v>16.5039792746256</v>
      </c>
      <c r="BJ209" s="16" t="n">
        <f aca="false">MAX(C209-AT209,0)</f>
        <v>10.6149974950836</v>
      </c>
      <c r="BK209" s="16" t="n">
        <f aca="false">MAX(C209-AU209,0)</f>
        <v>6.13974801926181</v>
      </c>
      <c r="BL209" s="16" t="n">
        <f aca="false">MAX(C209-AV209,0)</f>
        <v>1.44774238056542</v>
      </c>
      <c r="BM209" s="16" t="n">
        <f aca="false">MAX(C209-AW209,0)</f>
        <v>0</v>
      </c>
      <c r="BN209" s="16" t="n">
        <f aca="false">MAX(C209-AX209,0)</f>
        <v>0</v>
      </c>
      <c r="BO209" s="16" t="n">
        <f aca="false">MAX(C209-AY209,0)</f>
        <v>0</v>
      </c>
    </row>
    <row r="210" customFormat="false" ht="15" hidden="false" customHeight="false" outlineLevel="0" collapsed="false">
      <c r="A210" s="3" t="n">
        <v>180</v>
      </c>
      <c r="B210" s="15" t="n">
        <f aca="true">RAND()</f>
        <v>0.778832590589432</v>
      </c>
      <c r="C210" s="16" t="n">
        <f aca="false">LOOKUP(B210,$E$12:$E$17,$A$12:$A$17)+LOOKUP(B210,$E$12:$E$17,$D$12:$D$17)*(B210-LOOKUP(B210,$E$12:$E$17))/LOOKUP(B210,$E$12:$E$17,$C$12:$C$17)</f>
        <v>68.2690370084205</v>
      </c>
      <c r="D210" s="15" t="n">
        <f aca="true">RAND()</f>
        <v>0.33203503332501</v>
      </c>
      <c r="E210" s="15" t="n">
        <f aca="true">RAND()</f>
        <v>0.481452831925614</v>
      </c>
      <c r="F210" s="15" t="n">
        <f aca="true">RAND()</f>
        <v>0.393647662044269</v>
      </c>
      <c r="G210" s="15" t="n">
        <f aca="true">RAND()</f>
        <v>0.151433016380259</v>
      </c>
      <c r="H210" s="15" t="n">
        <f aca="true">RAND()</f>
        <v>0.636332703716044</v>
      </c>
      <c r="I210" s="15" t="n">
        <f aca="true">RAND()</f>
        <v>0.473584890832524</v>
      </c>
      <c r="J210" s="15" t="n">
        <f aca="true">RAND()</f>
        <v>0.54413540014755</v>
      </c>
      <c r="K210" s="15" t="n">
        <f aca="true">RAND()</f>
        <v>0.0987940564168805</v>
      </c>
      <c r="L210" s="15" t="n">
        <f aca="true">RAND()</f>
        <v>0.196473652787706</v>
      </c>
      <c r="M210" s="15" t="n">
        <f aca="true">RAND()</f>
        <v>0.487282565195555</v>
      </c>
      <c r="N210" s="15" t="n">
        <f aca="true">RAND()</f>
        <v>0.248272209156855</v>
      </c>
      <c r="O210" s="15" t="n">
        <f aca="true">RAND()</f>
        <v>0.233335007419962</v>
      </c>
      <c r="P210" s="15" t="n">
        <f aca="true">RAND()</f>
        <v>0.459091719897014</v>
      </c>
      <c r="Q210" s="15" t="n">
        <f aca="true">RAND()</f>
        <v>0.735127200466597</v>
      </c>
      <c r="R210" s="15" t="n">
        <f aca="true">RAND()</f>
        <v>0.0408831144657667</v>
      </c>
      <c r="S210" s="15" t="n">
        <f aca="true">RAND()</f>
        <v>0.078014140770603</v>
      </c>
      <c r="T210" s="16" t="n">
        <f aca="false">LOOKUP(D210,$E$23:$E$26,$A$23:$A$26)+LOOKUP(D210,$E$23:$E$26,$D$23:$D$26)*(D210-LOOKUP(D210,$E$23:$E$26))/LOOKUP(D210,$E$23:$E$26,$C$23:$C$26)</f>
        <v>4.54004379165626</v>
      </c>
      <c r="U210" s="16" t="n">
        <f aca="false">LOOKUP(E210,$E$23:$E$26,$A$23:$A$26)+LOOKUP(E210,$E$23:$E$26,$D$23:$D$26)*(E210-LOOKUP(E210,$E$23:$E$26))/LOOKUP(E210,$E$23:$E$26,$C$23:$C$26)</f>
        <v>4.72681603990702</v>
      </c>
      <c r="V210" s="16" t="n">
        <f aca="false">LOOKUP(F210,$E$23:$E$26,$A$23:$A$26)+LOOKUP(F210,$E$23:$E$26,$D$23:$D$26)*(F210-LOOKUP(F210,$E$23:$E$26))/LOOKUP(F210,$E$23:$E$26,$C$23:$C$26)</f>
        <v>4.61705957755534</v>
      </c>
      <c r="W210" s="16" t="n">
        <f aca="false">LOOKUP(G210,$E$23:$E$26,$A$23:$A$26)+LOOKUP(G210,$E$23:$E$26,$D$23:$D$26)*(G210-LOOKUP(G210,$E$23:$E$26))/LOOKUP(G210,$E$23:$E$26,$C$23:$C$26)</f>
        <v>4.25238836063377</v>
      </c>
      <c r="X210" s="16" t="n">
        <f aca="false">LOOKUP(H210,$E$23:$E$26,$A$23:$A$26)+LOOKUP(H210,$E$23:$E$26,$D$23:$D$26)*(H210-LOOKUP(H210,$E$23:$E$26))/LOOKUP(H210,$E$23:$E$26,$C$23:$C$26)</f>
        <v>4.92041587964506</v>
      </c>
      <c r="Y210" s="16" t="n">
        <f aca="false">LOOKUP(I210,$E$23:$E$26,$A$23:$A$26)+LOOKUP(I210,$E$23:$E$26,$D$23:$D$26)*(I210-LOOKUP(I210,$E$23:$E$26))/LOOKUP(I210,$E$23:$E$26,$C$23:$C$26)</f>
        <v>4.71698111354066</v>
      </c>
      <c r="Z210" s="16" t="n">
        <f aca="false">LOOKUP(J210,$E$23:$E$26,$A$23:$A$26)+LOOKUP(J210,$E$23:$E$26,$D$23:$D$26)*(J210-LOOKUP(J210,$E$23:$E$26))/LOOKUP(J210,$E$23:$E$26,$C$23:$C$26)</f>
        <v>4.80516925018444</v>
      </c>
      <c r="AA210" s="16" t="n">
        <f aca="false">LOOKUP(K210,$E$23:$E$26,$A$23:$A$26)+LOOKUP(K210,$E$23:$E$26,$D$23:$D$26)*(K210-LOOKUP(K210,$E$23:$E$26))/LOOKUP(K210,$E$23:$E$26,$C$23:$C$26)</f>
        <v>4.1646567606948</v>
      </c>
      <c r="AB210" s="16" t="n">
        <f aca="false">LOOKUP(L210,$E$23:$E$26,$A$23:$A$26)+LOOKUP(L210,$E$23:$E$26,$D$23:$D$26)*(L210-LOOKUP(L210,$E$23:$E$26))/LOOKUP(L210,$E$23:$E$26,$C$23:$C$26)</f>
        <v>4.32745608797951</v>
      </c>
      <c r="AC210" s="16" t="n">
        <f aca="false">LOOKUP(M210,$E$23:$E$26,$A$23:$A$26)+LOOKUP(M210,$E$23:$E$26,$D$23:$D$26)*(M210-LOOKUP(M210,$E$23:$E$26))/LOOKUP(M210,$E$23:$E$26,$C$23:$C$26)</f>
        <v>4.73410320649444</v>
      </c>
      <c r="AD210" s="16" t="n">
        <f aca="false">LOOKUP(N210,$E$23:$E$26,$A$23:$A$26)+LOOKUP(N210,$E$23:$E$26,$D$23:$D$26)*(N210-LOOKUP(N210,$E$23:$E$26))/LOOKUP(N210,$E$23:$E$26,$C$23:$C$26)</f>
        <v>4.41378701526143</v>
      </c>
      <c r="AE210" s="16" t="n">
        <f aca="false">LOOKUP(O210,$E$23:$E$26,$A$23:$A$26)+LOOKUP(O210,$E$23:$E$26,$D$23:$D$26)*(O210-LOOKUP(O210,$E$23:$E$26))/LOOKUP(O210,$E$23:$E$26,$C$23:$C$26)</f>
        <v>4.38889167903327</v>
      </c>
      <c r="AF210" s="16" t="n">
        <f aca="false">LOOKUP(P210,$E$23:$E$26,$A$23:$A$26)+LOOKUP(P210,$E$23:$E$26,$D$23:$D$26)*(P210-LOOKUP(P210,$E$23:$E$26))/LOOKUP(P210,$E$23:$E$26,$C$23:$C$26)</f>
        <v>4.69886464987127</v>
      </c>
      <c r="AG210" s="16" t="n">
        <f aca="false">LOOKUP(Q210,$E$23:$E$26,$A$23:$A$26)+LOOKUP(Q210,$E$23:$E$26,$D$23:$D$26)*(Q210-LOOKUP(Q210,$E$23:$E$26))/LOOKUP(Q210,$E$23:$E$26,$C$23:$C$26)</f>
        <v>5.08781800116649</v>
      </c>
      <c r="AH210" s="16" t="n">
        <f aca="false">LOOKUP(R210,$E$23:$E$26,$A$23:$A$26)+LOOKUP(R210,$E$23:$E$26,$D$23:$D$26)*(R210-LOOKUP(R210,$E$23:$E$26))/LOOKUP(R210,$E$23:$E$26,$C$23:$C$26)</f>
        <v>4.06813852410961</v>
      </c>
      <c r="AI210" s="16" t="n">
        <f aca="false">LOOKUP(S210,$E$23:$E$26,$A$23:$A$26)+LOOKUP(S210,$E$23:$E$26,$D$23:$D$26)*(S210-LOOKUP(S210,$E$23:$E$26))/LOOKUP(S210,$E$23:$E$26,$C$23:$C$26)</f>
        <v>4.13002356795101</v>
      </c>
      <c r="AJ210" s="16" t="n">
        <f aca="false">SUM($T210:T210)</f>
        <v>4.54004379165626</v>
      </c>
      <c r="AK210" s="16" t="n">
        <f aca="false">SUM($T210:U210)</f>
        <v>9.26685983156328</v>
      </c>
      <c r="AL210" s="16" t="n">
        <f aca="false">SUM($T210:V210)</f>
        <v>13.8839194091186</v>
      </c>
      <c r="AM210" s="16" t="n">
        <f aca="false">SUM($T210:W210)</f>
        <v>18.1363077697524</v>
      </c>
      <c r="AN210" s="16" t="n">
        <f aca="false">SUM($T210:X210)</f>
        <v>23.0567236493974</v>
      </c>
      <c r="AO210" s="16" t="n">
        <f aca="false">SUM($T210:Y210)</f>
        <v>27.7737047629381</v>
      </c>
      <c r="AP210" s="16" t="n">
        <f aca="false">SUM($T210:Z210)</f>
        <v>32.5788740131225</v>
      </c>
      <c r="AQ210" s="16" t="n">
        <f aca="false">SUM($T210:AA210)</f>
        <v>36.7435307738173</v>
      </c>
      <c r="AR210" s="16" t="n">
        <f aca="false">SUM($T210:AB210)</f>
        <v>41.0709868617968</v>
      </c>
      <c r="AS210" s="16" t="n">
        <f aca="false">SUM($T210:AC210)</f>
        <v>45.8050900682913</v>
      </c>
      <c r="AT210" s="16" t="n">
        <f aca="false">SUM($T210:AD210)</f>
        <v>50.2188770835527</v>
      </c>
      <c r="AU210" s="16" t="n">
        <f aca="false">SUM($T210:AE210)</f>
        <v>54.607768762586</v>
      </c>
      <c r="AV210" s="16" t="n">
        <f aca="false">SUM($T210:AF210)</f>
        <v>59.3066334124572</v>
      </c>
      <c r="AW210" s="16" t="n">
        <f aca="false">SUM($T210:AG210)</f>
        <v>64.3944514136237</v>
      </c>
      <c r="AX210" s="16" t="n">
        <f aca="false">SUM($T210:AH210)</f>
        <v>68.4625899377334</v>
      </c>
      <c r="AY210" s="16" t="n">
        <f aca="false">SUM($T210:AI210)</f>
        <v>72.5926135056843</v>
      </c>
      <c r="AZ210" s="16" t="n">
        <f aca="false">MAX(C210-AJ210,0)</f>
        <v>63.7289932167642</v>
      </c>
      <c r="BA210" s="16" t="n">
        <f aca="false">MAX(C210-AK210,0)</f>
        <v>59.0021771768572</v>
      </c>
      <c r="BB210" s="16" t="n">
        <f aca="false">MAX(C210-AL210,0)</f>
        <v>54.3851175993018</v>
      </c>
      <c r="BC210" s="16" t="n">
        <f aca="false">MAX(C210-AM210,0)</f>
        <v>50.1327292386681</v>
      </c>
      <c r="BD210" s="16" t="n">
        <f aca="false">MAX(C210-AN210,0)</f>
        <v>45.212313359023</v>
      </c>
      <c r="BE210" s="16" t="n">
        <f aca="false">MAX(C210-AO210,0)</f>
        <v>40.4953322454824</v>
      </c>
      <c r="BF210" s="16" t="n">
        <f aca="false">MAX(C210-AP210,0)</f>
        <v>35.6901629952979</v>
      </c>
      <c r="BG210" s="16" t="n">
        <f aca="false">MAX(C210-AQ210,0)</f>
        <v>31.5255062346031</v>
      </c>
      <c r="BH210" s="16" t="n">
        <f aca="false">MAX(C210-AR210,0)</f>
        <v>27.1980501466236</v>
      </c>
      <c r="BI210" s="16" t="n">
        <f aca="false">MAX(C210-AS210,0)</f>
        <v>22.4639469401292</v>
      </c>
      <c r="BJ210" s="16" t="n">
        <f aca="false">MAX(C210-AT210,0)</f>
        <v>18.0501599248677</v>
      </c>
      <c r="BK210" s="16" t="n">
        <f aca="false">MAX(C210-AU210,0)</f>
        <v>13.6612682458345</v>
      </c>
      <c r="BL210" s="16" t="n">
        <f aca="false">MAX(C210-AV210,0)</f>
        <v>8.96240359596321</v>
      </c>
      <c r="BM210" s="16" t="n">
        <f aca="false">MAX(C210-AW210,0)</f>
        <v>3.87458559479671</v>
      </c>
      <c r="BN210" s="16" t="n">
        <f aca="false">MAX(C210-AX210,0)</f>
        <v>0</v>
      </c>
      <c r="BO210" s="16" t="n">
        <f aca="false">MAX(C210-AY210,0)</f>
        <v>0</v>
      </c>
    </row>
    <row r="211" customFormat="false" ht="15" hidden="false" customHeight="false" outlineLevel="0" collapsed="false">
      <c r="A211" s="3" t="n">
        <v>181</v>
      </c>
      <c r="B211" s="15" t="n">
        <f aca="true">RAND()</f>
        <v>0.485449237833506</v>
      </c>
      <c r="C211" s="16" t="n">
        <f aca="false">LOOKUP(B211,$E$12:$E$17,$A$12:$A$17)+LOOKUP(B211,$E$12:$E$17,$D$12:$D$17)*(B211-LOOKUP(B211,$E$12:$E$17))/LOOKUP(B211,$E$12:$E$17,$C$12:$C$17)</f>
        <v>63.9241539638918</v>
      </c>
      <c r="D211" s="15" t="n">
        <f aca="true">RAND()</f>
        <v>0.30952897583706</v>
      </c>
      <c r="E211" s="15" t="n">
        <f aca="true">RAND()</f>
        <v>0.967304481479636</v>
      </c>
      <c r="F211" s="15" t="n">
        <f aca="true">RAND()</f>
        <v>0.653350019223856</v>
      </c>
      <c r="G211" s="15" t="n">
        <f aca="true">RAND()</f>
        <v>0.0314449939297597</v>
      </c>
      <c r="H211" s="15" t="n">
        <f aca="true">RAND()</f>
        <v>0.121882144089583</v>
      </c>
      <c r="I211" s="15" t="n">
        <f aca="true">RAND()</f>
        <v>0.693571168673765</v>
      </c>
      <c r="J211" s="15" t="n">
        <f aca="true">RAND()</f>
        <v>0.923264154242414</v>
      </c>
      <c r="K211" s="15" t="n">
        <f aca="true">RAND()</f>
        <v>0.949956796854509</v>
      </c>
      <c r="L211" s="15" t="n">
        <f aca="true">RAND()</f>
        <v>0.264711082166897</v>
      </c>
      <c r="M211" s="15" t="n">
        <f aca="true">RAND()</f>
        <v>0.350062113781037</v>
      </c>
      <c r="N211" s="15" t="n">
        <f aca="true">RAND()</f>
        <v>0.251932507762502</v>
      </c>
      <c r="O211" s="15" t="n">
        <f aca="true">RAND()</f>
        <v>0.0321207491858034</v>
      </c>
      <c r="P211" s="15" t="n">
        <f aca="true">RAND()</f>
        <v>0.340046241300237</v>
      </c>
      <c r="Q211" s="15" t="n">
        <f aca="true">RAND()</f>
        <v>0.440310541876389</v>
      </c>
      <c r="R211" s="15" t="n">
        <f aca="true">RAND()</f>
        <v>0.270873612774066</v>
      </c>
      <c r="S211" s="15" t="n">
        <f aca="true">RAND()</f>
        <v>0.309356899725754</v>
      </c>
      <c r="T211" s="16" t="n">
        <f aca="false">LOOKUP(D211,$E$23:$E$26,$A$23:$A$26)+LOOKUP(D211,$E$23:$E$26,$D$23:$D$26)*(D211-LOOKUP(D211,$E$23:$E$26))/LOOKUP(D211,$E$23:$E$26,$C$23:$C$26)</f>
        <v>4.51191121979633</v>
      </c>
      <c r="U211" s="16" t="n">
        <f aca="false">LOOKUP(E211,$E$23:$E$26,$A$23:$A$26)+LOOKUP(E211,$E$23:$E$26,$D$23:$D$26)*(E211-LOOKUP(E211,$E$23:$E$26))/LOOKUP(E211,$E$23:$E$26,$C$23:$C$26)</f>
        <v>5.83652240739818</v>
      </c>
      <c r="V211" s="16" t="n">
        <f aca="false">LOOKUP(F211,$E$23:$E$26,$A$23:$A$26)+LOOKUP(F211,$E$23:$E$26,$D$23:$D$26)*(F211-LOOKUP(F211,$E$23:$E$26))/LOOKUP(F211,$E$23:$E$26,$C$23:$C$26)</f>
        <v>4.94168752402982</v>
      </c>
      <c r="W211" s="16" t="n">
        <f aca="false">LOOKUP(G211,$E$23:$E$26,$A$23:$A$26)+LOOKUP(G211,$E$23:$E$26,$D$23:$D$26)*(G211-LOOKUP(G211,$E$23:$E$26))/LOOKUP(G211,$E$23:$E$26,$C$23:$C$26)</f>
        <v>4.05240832321627</v>
      </c>
      <c r="X211" s="16" t="n">
        <f aca="false">LOOKUP(H211,$E$23:$E$26,$A$23:$A$26)+LOOKUP(H211,$E$23:$E$26,$D$23:$D$26)*(H211-LOOKUP(H211,$E$23:$E$26))/LOOKUP(H211,$E$23:$E$26,$C$23:$C$26)</f>
        <v>4.20313690681597</v>
      </c>
      <c r="Y211" s="16" t="n">
        <f aca="false">LOOKUP(I211,$E$23:$E$26,$A$23:$A$26)+LOOKUP(I211,$E$23:$E$26,$D$23:$D$26)*(I211-LOOKUP(I211,$E$23:$E$26))/LOOKUP(I211,$E$23:$E$26,$C$23:$C$26)</f>
        <v>4.99196396084221</v>
      </c>
      <c r="Z211" s="16" t="n">
        <f aca="false">LOOKUP(J211,$E$23:$E$26,$A$23:$A$26)+LOOKUP(J211,$E$23:$E$26,$D$23:$D$26)*(J211-LOOKUP(J211,$E$23:$E$26))/LOOKUP(J211,$E$23:$E$26,$C$23:$C$26)</f>
        <v>5.61632077121207</v>
      </c>
      <c r="AA211" s="16" t="n">
        <f aca="false">LOOKUP(K211,$E$23:$E$26,$A$23:$A$26)+LOOKUP(K211,$E$23:$E$26,$D$23:$D$26)*(K211-LOOKUP(K211,$E$23:$E$26))/LOOKUP(K211,$E$23:$E$26,$C$23:$C$26)</f>
        <v>5.74978398427255</v>
      </c>
      <c r="AB211" s="16" t="n">
        <f aca="false">LOOKUP(L211,$E$23:$E$26,$A$23:$A$26)+LOOKUP(L211,$E$23:$E$26,$D$23:$D$26)*(L211-LOOKUP(L211,$E$23:$E$26))/LOOKUP(L211,$E$23:$E$26,$C$23:$C$26)</f>
        <v>4.44118513694483</v>
      </c>
      <c r="AC211" s="16" t="n">
        <f aca="false">LOOKUP(M211,$E$23:$E$26,$A$23:$A$26)+LOOKUP(M211,$E$23:$E$26,$D$23:$D$26)*(M211-LOOKUP(M211,$E$23:$E$26))/LOOKUP(M211,$E$23:$E$26,$C$23:$C$26)</f>
        <v>4.5625776422263</v>
      </c>
      <c r="AD211" s="16" t="n">
        <f aca="false">LOOKUP(N211,$E$23:$E$26,$A$23:$A$26)+LOOKUP(N211,$E$23:$E$26,$D$23:$D$26)*(N211-LOOKUP(N211,$E$23:$E$26))/LOOKUP(N211,$E$23:$E$26,$C$23:$C$26)</f>
        <v>4.4198875129375</v>
      </c>
      <c r="AE211" s="16" t="n">
        <f aca="false">LOOKUP(O211,$E$23:$E$26,$A$23:$A$26)+LOOKUP(O211,$E$23:$E$26,$D$23:$D$26)*(O211-LOOKUP(O211,$E$23:$E$26))/LOOKUP(O211,$E$23:$E$26,$C$23:$C$26)</f>
        <v>4.05353458197634</v>
      </c>
      <c r="AF211" s="16" t="n">
        <f aca="false">LOOKUP(P211,$E$23:$E$26,$A$23:$A$26)+LOOKUP(P211,$E$23:$E$26,$D$23:$D$26)*(P211-LOOKUP(P211,$E$23:$E$26))/LOOKUP(P211,$E$23:$E$26,$C$23:$C$26)</f>
        <v>4.5500578016253</v>
      </c>
      <c r="AG211" s="16" t="n">
        <f aca="false">LOOKUP(Q211,$E$23:$E$26,$A$23:$A$26)+LOOKUP(Q211,$E$23:$E$26,$D$23:$D$26)*(Q211-LOOKUP(Q211,$E$23:$E$26))/LOOKUP(Q211,$E$23:$E$26,$C$23:$C$26)</f>
        <v>4.67538817734549</v>
      </c>
      <c r="AH211" s="16" t="n">
        <f aca="false">LOOKUP(R211,$E$23:$E$26,$A$23:$A$26)+LOOKUP(R211,$E$23:$E$26,$D$23:$D$26)*(R211-LOOKUP(R211,$E$23:$E$26))/LOOKUP(R211,$E$23:$E$26,$C$23:$C$26)</f>
        <v>4.45145602129011</v>
      </c>
      <c r="AI211" s="16" t="n">
        <f aca="false">LOOKUP(S211,$E$23:$E$26,$A$23:$A$26)+LOOKUP(S211,$E$23:$E$26,$D$23:$D$26)*(S211-LOOKUP(S211,$E$23:$E$26))/LOOKUP(S211,$E$23:$E$26,$C$23:$C$26)</f>
        <v>4.51169612465719</v>
      </c>
      <c r="AJ211" s="16" t="n">
        <f aca="false">SUM($T211:T211)</f>
        <v>4.51191121979633</v>
      </c>
      <c r="AK211" s="16" t="n">
        <f aca="false">SUM($T211:U211)</f>
        <v>10.3484336271945</v>
      </c>
      <c r="AL211" s="16" t="n">
        <f aca="false">SUM($T211:V211)</f>
        <v>15.2901211512243</v>
      </c>
      <c r="AM211" s="16" t="n">
        <f aca="false">SUM($T211:W211)</f>
        <v>19.3425294744406</v>
      </c>
      <c r="AN211" s="16" t="n">
        <f aca="false">SUM($T211:X211)</f>
        <v>23.5456663812566</v>
      </c>
      <c r="AO211" s="16" t="n">
        <f aca="false">SUM($T211:Y211)</f>
        <v>28.5376303420988</v>
      </c>
      <c r="AP211" s="16" t="n">
        <f aca="false">SUM($T211:Z211)</f>
        <v>34.1539511133108</v>
      </c>
      <c r="AQ211" s="16" t="n">
        <f aca="false">SUM($T211:AA211)</f>
        <v>39.9037350975834</v>
      </c>
      <c r="AR211" s="16" t="n">
        <f aca="false">SUM($T211:AB211)</f>
        <v>44.3449202345282</v>
      </c>
      <c r="AS211" s="16" t="n">
        <f aca="false">SUM($T211:AC211)</f>
        <v>48.9074978767545</v>
      </c>
      <c r="AT211" s="16" t="n">
        <f aca="false">SUM($T211:AD211)</f>
        <v>53.327385389692</v>
      </c>
      <c r="AU211" s="16" t="n">
        <f aca="false">SUM($T211:AE211)</f>
        <v>57.3809199716684</v>
      </c>
      <c r="AV211" s="16" t="n">
        <f aca="false">SUM($T211:AF211)</f>
        <v>61.9309777732937</v>
      </c>
      <c r="AW211" s="16" t="n">
        <f aca="false">SUM($T211:AG211)</f>
        <v>66.6063659506391</v>
      </c>
      <c r="AX211" s="16" t="n">
        <f aca="false">SUM($T211:AH211)</f>
        <v>71.0578219719292</v>
      </c>
      <c r="AY211" s="16" t="n">
        <f aca="false">SUM($T211:AI211)</f>
        <v>75.5695180965864</v>
      </c>
      <c r="AZ211" s="16" t="n">
        <f aca="false">MAX(C211-AJ211,0)</f>
        <v>59.4122427440954</v>
      </c>
      <c r="BA211" s="16" t="n">
        <f aca="false">MAX(C211-AK211,0)</f>
        <v>53.5757203366973</v>
      </c>
      <c r="BB211" s="16" t="n">
        <f aca="false">MAX(C211-AL211,0)</f>
        <v>48.6340328126674</v>
      </c>
      <c r="BC211" s="16" t="n">
        <f aca="false">MAX(C211-AM211,0)</f>
        <v>44.5816244894512</v>
      </c>
      <c r="BD211" s="16" t="n">
        <f aca="false">MAX(C211-AN211,0)</f>
        <v>40.3784875826352</v>
      </c>
      <c r="BE211" s="16" t="n">
        <f aca="false">MAX(C211-AO211,0)</f>
        <v>35.386523621793</v>
      </c>
      <c r="BF211" s="16" t="n">
        <f aca="false">MAX(C211-AP211,0)</f>
        <v>29.7702028505809</v>
      </c>
      <c r="BG211" s="16" t="n">
        <f aca="false">MAX(C211-AQ211,0)</f>
        <v>24.0204188663084</v>
      </c>
      <c r="BH211" s="16" t="n">
        <f aca="false">MAX(C211-AR211,0)</f>
        <v>19.5792337293636</v>
      </c>
      <c r="BI211" s="16" t="n">
        <f aca="false">MAX(C211-AS211,0)</f>
        <v>15.0166560871373</v>
      </c>
      <c r="BJ211" s="16" t="n">
        <f aca="false">MAX(C211-AT211,0)</f>
        <v>10.5967685741998</v>
      </c>
      <c r="BK211" s="16" t="n">
        <f aca="false">MAX(C211-AU211,0)</f>
        <v>6.54323399222342</v>
      </c>
      <c r="BL211" s="16" t="n">
        <f aca="false">MAX(C211-AV211,0)</f>
        <v>1.99317619059812</v>
      </c>
      <c r="BM211" s="16" t="n">
        <f aca="false">MAX(C211-AW211,0)</f>
        <v>0</v>
      </c>
      <c r="BN211" s="16" t="n">
        <f aca="false">MAX(C211-AX211,0)</f>
        <v>0</v>
      </c>
      <c r="BO211" s="16" t="n">
        <f aca="false">MAX(C211-AY211,0)</f>
        <v>0</v>
      </c>
    </row>
    <row r="212" customFormat="false" ht="15" hidden="false" customHeight="false" outlineLevel="0" collapsed="false">
      <c r="A212" s="3" t="n">
        <v>182</v>
      </c>
      <c r="B212" s="15" t="n">
        <f aca="true">RAND()</f>
        <v>0.0853914042585273</v>
      </c>
      <c r="C212" s="16" t="n">
        <f aca="false">LOOKUP(B212,$E$12:$E$17,$A$12:$A$17)+LOOKUP(B212,$E$12:$E$17,$D$12:$D$17)*(B212-LOOKUP(B212,$E$12:$E$17))/LOOKUP(B212,$E$12:$E$17,$C$12:$C$17)</f>
        <v>54.2695702129264</v>
      </c>
      <c r="D212" s="15" t="n">
        <f aca="true">RAND()</f>
        <v>0.358008128960327</v>
      </c>
      <c r="E212" s="15" t="n">
        <f aca="true">RAND()</f>
        <v>0.129630038832274</v>
      </c>
      <c r="F212" s="15" t="n">
        <f aca="true">RAND()</f>
        <v>0.0291296730638901</v>
      </c>
      <c r="G212" s="15" t="n">
        <f aca="true">RAND()</f>
        <v>0.789047450825637</v>
      </c>
      <c r="H212" s="15" t="n">
        <f aca="true">RAND()</f>
        <v>0.250309670556229</v>
      </c>
      <c r="I212" s="15" t="n">
        <f aca="true">RAND()</f>
        <v>0.456405139245397</v>
      </c>
      <c r="J212" s="15" t="n">
        <f aca="true">RAND()</f>
        <v>0.244820752040651</v>
      </c>
      <c r="K212" s="15" t="n">
        <f aca="true">RAND()</f>
        <v>0.15467727638495</v>
      </c>
      <c r="L212" s="15" t="n">
        <f aca="true">RAND()</f>
        <v>0.460078373488062</v>
      </c>
      <c r="M212" s="15" t="n">
        <f aca="true">RAND()</f>
        <v>0.624504529903182</v>
      </c>
      <c r="N212" s="15" t="n">
        <f aca="true">RAND()</f>
        <v>0.353905424799422</v>
      </c>
      <c r="O212" s="15" t="n">
        <f aca="true">RAND()</f>
        <v>0.659114685611394</v>
      </c>
      <c r="P212" s="15" t="n">
        <f aca="true">RAND()</f>
        <v>0.99995873797866</v>
      </c>
      <c r="Q212" s="15" t="n">
        <f aca="true">RAND()</f>
        <v>0.244651608481744</v>
      </c>
      <c r="R212" s="15" t="n">
        <f aca="true">RAND()</f>
        <v>0.557327655944157</v>
      </c>
      <c r="S212" s="15" t="n">
        <f aca="true">RAND()</f>
        <v>0.282908948904694</v>
      </c>
      <c r="T212" s="16" t="n">
        <f aca="false">LOOKUP(D212,$E$23:$E$26,$A$23:$A$26)+LOOKUP(D212,$E$23:$E$26,$D$23:$D$26)*(D212-LOOKUP(D212,$E$23:$E$26))/LOOKUP(D212,$E$23:$E$26,$C$23:$C$26)</f>
        <v>4.57251016120041</v>
      </c>
      <c r="U212" s="16" t="n">
        <f aca="false">LOOKUP(E212,$E$23:$E$26,$A$23:$A$26)+LOOKUP(E212,$E$23:$E$26,$D$23:$D$26)*(E212-LOOKUP(E212,$E$23:$E$26))/LOOKUP(E212,$E$23:$E$26,$C$23:$C$26)</f>
        <v>4.21605006472046</v>
      </c>
      <c r="V212" s="16" t="n">
        <f aca="false">LOOKUP(F212,$E$23:$E$26,$A$23:$A$26)+LOOKUP(F212,$E$23:$E$26,$D$23:$D$26)*(F212-LOOKUP(F212,$E$23:$E$26))/LOOKUP(F212,$E$23:$E$26,$C$23:$C$26)</f>
        <v>4.04854945510648</v>
      </c>
      <c r="W212" s="16" t="n">
        <f aca="false">LOOKUP(G212,$E$23:$E$26,$A$23:$A$26)+LOOKUP(G212,$E$23:$E$26,$D$23:$D$26)*(G212-LOOKUP(G212,$E$23:$E$26))/LOOKUP(G212,$E$23:$E$26,$C$23:$C$26)</f>
        <v>5.22261862706409</v>
      </c>
      <c r="X212" s="16" t="n">
        <f aca="false">LOOKUP(H212,$E$23:$E$26,$A$23:$A$26)+LOOKUP(H212,$E$23:$E$26,$D$23:$D$26)*(H212-LOOKUP(H212,$E$23:$E$26))/LOOKUP(H212,$E$23:$E$26,$C$23:$C$26)</f>
        <v>4.41718278426038</v>
      </c>
      <c r="Y212" s="16" t="n">
        <f aca="false">LOOKUP(I212,$E$23:$E$26,$A$23:$A$26)+LOOKUP(I212,$E$23:$E$26,$D$23:$D$26)*(I212-LOOKUP(I212,$E$23:$E$26))/LOOKUP(I212,$E$23:$E$26,$C$23:$C$26)</f>
        <v>4.69550642405675</v>
      </c>
      <c r="Z212" s="16" t="n">
        <f aca="false">LOOKUP(J212,$E$23:$E$26,$A$23:$A$26)+LOOKUP(J212,$E$23:$E$26,$D$23:$D$26)*(J212-LOOKUP(J212,$E$23:$E$26))/LOOKUP(J212,$E$23:$E$26,$C$23:$C$26)</f>
        <v>4.40803458673442</v>
      </c>
      <c r="AA212" s="16" t="n">
        <f aca="false">LOOKUP(K212,$E$23:$E$26,$A$23:$A$26)+LOOKUP(K212,$E$23:$E$26,$D$23:$D$26)*(K212-LOOKUP(K212,$E$23:$E$26))/LOOKUP(K212,$E$23:$E$26,$C$23:$C$26)</f>
        <v>4.25779546064158</v>
      </c>
      <c r="AB212" s="16" t="n">
        <f aca="false">LOOKUP(L212,$E$23:$E$26,$A$23:$A$26)+LOOKUP(L212,$E$23:$E$26,$D$23:$D$26)*(L212-LOOKUP(L212,$E$23:$E$26))/LOOKUP(L212,$E$23:$E$26,$C$23:$C$26)</f>
        <v>4.70009796686008</v>
      </c>
      <c r="AC212" s="16" t="n">
        <f aca="false">LOOKUP(M212,$E$23:$E$26,$A$23:$A$26)+LOOKUP(M212,$E$23:$E$26,$D$23:$D$26)*(M212-LOOKUP(M212,$E$23:$E$26))/LOOKUP(M212,$E$23:$E$26,$C$23:$C$26)</f>
        <v>4.90563066237898</v>
      </c>
      <c r="AD212" s="16" t="n">
        <f aca="false">LOOKUP(N212,$E$23:$E$26,$A$23:$A$26)+LOOKUP(N212,$E$23:$E$26,$D$23:$D$26)*(N212-LOOKUP(N212,$E$23:$E$26))/LOOKUP(N212,$E$23:$E$26,$C$23:$C$26)</f>
        <v>4.56738178099928</v>
      </c>
      <c r="AE212" s="16" t="n">
        <f aca="false">LOOKUP(O212,$E$23:$E$26,$A$23:$A$26)+LOOKUP(O212,$E$23:$E$26,$D$23:$D$26)*(O212-LOOKUP(O212,$E$23:$E$26))/LOOKUP(O212,$E$23:$E$26,$C$23:$C$26)</f>
        <v>4.94889335701424</v>
      </c>
      <c r="AF212" s="16" t="n">
        <f aca="false">LOOKUP(P212,$E$23:$E$26,$A$23:$A$26)+LOOKUP(P212,$E$23:$E$26,$D$23:$D$26)*(P212-LOOKUP(P212,$E$23:$E$26))/LOOKUP(P212,$E$23:$E$26,$C$23:$C$26)</f>
        <v>5.9997936898933</v>
      </c>
      <c r="AG212" s="16" t="n">
        <f aca="false">LOOKUP(Q212,$E$23:$E$26,$A$23:$A$26)+LOOKUP(Q212,$E$23:$E$26,$D$23:$D$26)*(Q212-LOOKUP(Q212,$E$23:$E$26))/LOOKUP(Q212,$E$23:$E$26,$C$23:$C$26)</f>
        <v>4.40775268080291</v>
      </c>
      <c r="AH212" s="16" t="n">
        <f aca="false">LOOKUP(R212,$E$23:$E$26,$A$23:$A$26)+LOOKUP(R212,$E$23:$E$26,$D$23:$D$26)*(R212-LOOKUP(R212,$E$23:$E$26))/LOOKUP(R212,$E$23:$E$26,$C$23:$C$26)</f>
        <v>4.8216595699302</v>
      </c>
      <c r="AI212" s="16" t="n">
        <f aca="false">LOOKUP(S212,$E$23:$E$26,$A$23:$A$26)+LOOKUP(S212,$E$23:$E$26,$D$23:$D$26)*(S212-LOOKUP(S212,$E$23:$E$26))/LOOKUP(S212,$E$23:$E$26,$C$23:$C$26)</f>
        <v>4.47151491484116</v>
      </c>
      <c r="AJ212" s="16" t="n">
        <f aca="false">SUM($T212:T212)</f>
        <v>4.57251016120041</v>
      </c>
      <c r="AK212" s="16" t="n">
        <f aca="false">SUM($T212:U212)</f>
        <v>8.78856022592087</v>
      </c>
      <c r="AL212" s="16" t="n">
        <f aca="false">SUM($T212:V212)</f>
        <v>12.8371096810273</v>
      </c>
      <c r="AM212" s="16" t="n">
        <f aca="false">SUM($T212:W212)</f>
        <v>18.0597283080914</v>
      </c>
      <c r="AN212" s="16" t="n">
        <f aca="false">SUM($T212:X212)</f>
        <v>22.4769110923518</v>
      </c>
      <c r="AO212" s="16" t="n">
        <f aca="false">SUM($T212:Y212)</f>
        <v>27.1724175164086</v>
      </c>
      <c r="AP212" s="16" t="n">
        <f aca="false">SUM($T212:Z212)</f>
        <v>31.580452103143</v>
      </c>
      <c r="AQ212" s="16" t="n">
        <f aca="false">SUM($T212:AA212)</f>
        <v>35.8382475637846</v>
      </c>
      <c r="AR212" s="16" t="n">
        <f aca="false">SUM($T212:AB212)</f>
        <v>40.5383455306447</v>
      </c>
      <c r="AS212" s="16" t="n">
        <f aca="false">SUM($T212:AC212)</f>
        <v>45.4439761930236</v>
      </c>
      <c r="AT212" s="16" t="n">
        <f aca="false">SUM($T212:AD212)</f>
        <v>50.0113579740229</v>
      </c>
      <c r="AU212" s="16" t="n">
        <f aca="false">SUM($T212:AE212)</f>
        <v>54.9602513310371</v>
      </c>
      <c r="AV212" s="16" t="n">
        <f aca="false">SUM($T212:AF212)</f>
        <v>60.9600450209304</v>
      </c>
      <c r="AW212" s="16" t="n">
        <f aca="false">SUM($T212:AG212)</f>
        <v>65.3677977017334</v>
      </c>
      <c r="AX212" s="16" t="n">
        <f aca="false">SUM($T212:AH212)</f>
        <v>70.1894572716635</v>
      </c>
      <c r="AY212" s="16" t="n">
        <f aca="false">SUM($T212:AI212)</f>
        <v>74.6609721865047</v>
      </c>
      <c r="AZ212" s="16" t="n">
        <f aca="false">MAX(C212-AJ212,0)</f>
        <v>49.697060051726</v>
      </c>
      <c r="BA212" s="16" t="n">
        <f aca="false">MAX(C212-AK212,0)</f>
        <v>45.4810099870055</v>
      </c>
      <c r="BB212" s="16" t="n">
        <f aca="false">MAX(C212-AL212,0)</f>
        <v>41.432460531899</v>
      </c>
      <c r="BC212" s="16" t="n">
        <f aca="false">MAX(C212-AM212,0)</f>
        <v>36.2098419048349</v>
      </c>
      <c r="BD212" s="16" t="n">
        <f aca="false">MAX(C212-AN212,0)</f>
        <v>31.7926591205745</v>
      </c>
      <c r="BE212" s="16" t="n">
        <f aca="false">MAX(C212-AO212,0)</f>
        <v>27.0971526965178</v>
      </c>
      <c r="BF212" s="16" t="n">
        <f aca="false">MAX(C212-AP212,0)</f>
        <v>22.6891181097834</v>
      </c>
      <c r="BG212" s="16" t="n">
        <f aca="false">MAX(C212-AQ212,0)</f>
        <v>18.4313226491418</v>
      </c>
      <c r="BH212" s="16" t="n">
        <f aca="false">MAX(C212-AR212,0)</f>
        <v>13.7312246822817</v>
      </c>
      <c r="BI212" s="16" t="n">
        <f aca="false">MAX(C212-AS212,0)</f>
        <v>8.82559401990275</v>
      </c>
      <c r="BJ212" s="16" t="n">
        <f aca="false">MAX(C212-AT212,0)</f>
        <v>4.25821223890347</v>
      </c>
      <c r="BK212" s="16" t="n">
        <f aca="false">MAX(C212-AU212,0)</f>
        <v>0</v>
      </c>
      <c r="BL212" s="16" t="n">
        <f aca="false">MAX(C212-AV212,0)</f>
        <v>0</v>
      </c>
      <c r="BM212" s="16" t="n">
        <f aca="false">MAX(C212-AW212,0)</f>
        <v>0</v>
      </c>
      <c r="BN212" s="16" t="n">
        <f aca="false">MAX(C212-AX212,0)</f>
        <v>0</v>
      </c>
      <c r="BO212" s="16" t="n">
        <f aca="false">MAX(C212-AY212,0)</f>
        <v>0</v>
      </c>
    </row>
    <row r="213" customFormat="false" ht="15" hidden="false" customHeight="false" outlineLevel="0" collapsed="false">
      <c r="A213" s="3" t="n">
        <v>183</v>
      </c>
      <c r="B213" s="15" t="n">
        <f aca="true">RAND()</f>
        <v>0.241093224700249</v>
      </c>
      <c r="C213" s="16" t="n">
        <f aca="false">LOOKUP(B213,$E$12:$E$17,$A$12:$A$17)+LOOKUP(B213,$E$12:$E$17,$D$12:$D$17)*(B213-LOOKUP(B213,$E$12:$E$17))/LOOKUP(B213,$E$12:$E$17,$C$12:$C$17)</f>
        <v>59.7031074900083</v>
      </c>
      <c r="D213" s="15" t="n">
        <f aca="true">RAND()</f>
        <v>0.657522304963032</v>
      </c>
      <c r="E213" s="15" t="n">
        <f aca="true">RAND()</f>
        <v>0.258521308980804</v>
      </c>
      <c r="F213" s="15" t="n">
        <f aca="true">RAND()</f>
        <v>0.316328964208792</v>
      </c>
      <c r="G213" s="15" t="n">
        <f aca="true">RAND()</f>
        <v>0.139666371388742</v>
      </c>
      <c r="H213" s="15" t="n">
        <f aca="true">RAND()</f>
        <v>0.737338123731694</v>
      </c>
      <c r="I213" s="15" t="n">
        <f aca="true">RAND()</f>
        <v>0.767139162340244</v>
      </c>
      <c r="J213" s="15" t="n">
        <f aca="true">RAND()</f>
        <v>0.226155135304943</v>
      </c>
      <c r="K213" s="15" t="n">
        <f aca="true">RAND()</f>
        <v>0.296189877090525</v>
      </c>
      <c r="L213" s="15" t="n">
        <f aca="true">RAND()</f>
        <v>0.184552102667536</v>
      </c>
      <c r="M213" s="15" t="n">
        <f aca="true">RAND()</f>
        <v>0.656160126804305</v>
      </c>
      <c r="N213" s="15" t="n">
        <f aca="true">RAND()</f>
        <v>0.487584477976624</v>
      </c>
      <c r="O213" s="15" t="n">
        <f aca="true">RAND()</f>
        <v>0.814143097921892</v>
      </c>
      <c r="P213" s="15" t="n">
        <f aca="true">RAND()</f>
        <v>0.610545229039342</v>
      </c>
      <c r="Q213" s="15" t="n">
        <f aca="true">RAND()</f>
        <v>0.228634585462314</v>
      </c>
      <c r="R213" s="15" t="n">
        <f aca="true">RAND()</f>
        <v>0.0673102164706231</v>
      </c>
      <c r="S213" s="15" t="n">
        <f aca="true">RAND()</f>
        <v>0.705384232524274</v>
      </c>
      <c r="T213" s="16" t="n">
        <f aca="false">LOOKUP(D213,$E$23:$E$26,$A$23:$A$26)+LOOKUP(D213,$E$23:$E$26,$D$23:$D$26)*(D213-LOOKUP(D213,$E$23:$E$26))/LOOKUP(D213,$E$23:$E$26,$C$23:$C$26)</f>
        <v>4.94690288120379</v>
      </c>
      <c r="U213" s="16" t="n">
        <f aca="false">LOOKUP(E213,$E$23:$E$26,$A$23:$A$26)+LOOKUP(E213,$E$23:$E$26,$D$23:$D$26)*(E213-LOOKUP(E213,$E$23:$E$26))/LOOKUP(E213,$E$23:$E$26,$C$23:$C$26)</f>
        <v>4.43086884830134</v>
      </c>
      <c r="V213" s="16" t="n">
        <f aca="false">LOOKUP(F213,$E$23:$E$26,$A$23:$A$26)+LOOKUP(F213,$E$23:$E$26,$D$23:$D$26)*(F213-LOOKUP(F213,$E$23:$E$26))/LOOKUP(F213,$E$23:$E$26,$C$23:$C$26)</f>
        <v>4.52041120526099</v>
      </c>
      <c r="W213" s="16" t="n">
        <f aca="false">LOOKUP(G213,$E$23:$E$26,$A$23:$A$26)+LOOKUP(G213,$E$23:$E$26,$D$23:$D$26)*(G213-LOOKUP(G213,$E$23:$E$26))/LOOKUP(G213,$E$23:$E$26,$C$23:$C$26)</f>
        <v>4.2327772856479</v>
      </c>
      <c r="X213" s="16" t="n">
        <f aca="false">LOOKUP(H213,$E$23:$E$26,$A$23:$A$26)+LOOKUP(H213,$E$23:$E$26,$D$23:$D$26)*(H213-LOOKUP(H213,$E$23:$E$26))/LOOKUP(H213,$E$23:$E$26,$C$23:$C$26)</f>
        <v>5.09334530932924</v>
      </c>
      <c r="Y213" s="16" t="n">
        <f aca="false">LOOKUP(I213,$E$23:$E$26,$A$23:$A$26)+LOOKUP(I213,$E$23:$E$26,$D$23:$D$26)*(I213-LOOKUP(I213,$E$23:$E$26))/LOOKUP(I213,$E$23:$E$26,$C$23:$C$26)</f>
        <v>5.16784790585061</v>
      </c>
      <c r="Z213" s="16" t="n">
        <f aca="false">LOOKUP(J213,$E$23:$E$26,$A$23:$A$26)+LOOKUP(J213,$E$23:$E$26,$D$23:$D$26)*(J213-LOOKUP(J213,$E$23:$E$26))/LOOKUP(J213,$E$23:$E$26,$C$23:$C$26)</f>
        <v>4.37692522550824</v>
      </c>
      <c r="AA213" s="16" t="n">
        <f aca="false">LOOKUP(K213,$E$23:$E$26,$A$23:$A$26)+LOOKUP(K213,$E$23:$E$26,$D$23:$D$26)*(K213-LOOKUP(K213,$E$23:$E$26))/LOOKUP(K213,$E$23:$E$26,$C$23:$C$26)</f>
        <v>4.49364979515087</v>
      </c>
      <c r="AB213" s="16" t="n">
        <f aca="false">LOOKUP(L213,$E$23:$E$26,$A$23:$A$26)+LOOKUP(L213,$E$23:$E$26,$D$23:$D$26)*(L213-LOOKUP(L213,$E$23:$E$26))/LOOKUP(L213,$E$23:$E$26,$C$23:$C$26)</f>
        <v>4.30758683777923</v>
      </c>
      <c r="AC213" s="16" t="n">
        <f aca="false">LOOKUP(M213,$E$23:$E$26,$A$23:$A$26)+LOOKUP(M213,$E$23:$E$26,$D$23:$D$26)*(M213-LOOKUP(M213,$E$23:$E$26))/LOOKUP(M213,$E$23:$E$26,$C$23:$C$26)</f>
        <v>4.94520015850538</v>
      </c>
      <c r="AD213" s="16" t="n">
        <f aca="false">LOOKUP(N213,$E$23:$E$26,$A$23:$A$26)+LOOKUP(N213,$E$23:$E$26,$D$23:$D$26)*(N213-LOOKUP(N213,$E$23:$E$26))/LOOKUP(N213,$E$23:$E$26,$C$23:$C$26)</f>
        <v>4.73448059747078</v>
      </c>
      <c r="AE213" s="16" t="n">
        <f aca="false">LOOKUP(O213,$E$23:$E$26,$A$23:$A$26)+LOOKUP(O213,$E$23:$E$26,$D$23:$D$26)*(O213-LOOKUP(O213,$E$23:$E$26))/LOOKUP(O213,$E$23:$E$26,$C$23:$C$26)</f>
        <v>5.28535774480473</v>
      </c>
      <c r="AF213" s="16" t="n">
        <f aca="false">LOOKUP(P213,$E$23:$E$26,$A$23:$A$26)+LOOKUP(P213,$E$23:$E$26,$D$23:$D$26)*(P213-LOOKUP(P213,$E$23:$E$26))/LOOKUP(P213,$E$23:$E$26,$C$23:$C$26)</f>
        <v>4.88818153629918</v>
      </c>
      <c r="AG213" s="16" t="n">
        <f aca="false">LOOKUP(Q213,$E$23:$E$26,$A$23:$A$26)+LOOKUP(Q213,$E$23:$E$26,$D$23:$D$26)*(Q213-LOOKUP(Q213,$E$23:$E$26))/LOOKUP(Q213,$E$23:$E$26,$C$23:$C$26)</f>
        <v>4.38105764243719</v>
      </c>
      <c r="AH213" s="16" t="n">
        <f aca="false">LOOKUP(R213,$E$23:$E$26,$A$23:$A$26)+LOOKUP(R213,$E$23:$E$26,$D$23:$D$26)*(R213-LOOKUP(R213,$E$23:$E$26))/LOOKUP(R213,$E$23:$E$26,$C$23:$C$26)</f>
        <v>4.11218369411771</v>
      </c>
      <c r="AI213" s="16" t="n">
        <f aca="false">LOOKUP(S213,$E$23:$E$26,$A$23:$A$26)+LOOKUP(S213,$E$23:$E$26,$D$23:$D$26)*(S213-LOOKUP(S213,$E$23:$E$26))/LOOKUP(S213,$E$23:$E$26,$C$23:$C$26)</f>
        <v>5.01346058131069</v>
      </c>
      <c r="AJ213" s="16" t="n">
        <f aca="false">SUM($T213:T213)</f>
        <v>4.94690288120379</v>
      </c>
      <c r="AK213" s="16" t="n">
        <f aca="false">SUM($T213:U213)</f>
        <v>9.37777172950513</v>
      </c>
      <c r="AL213" s="16" t="n">
        <f aca="false">SUM($T213:V213)</f>
        <v>13.8981829347661</v>
      </c>
      <c r="AM213" s="16" t="n">
        <f aca="false">SUM($T213:W213)</f>
        <v>18.130960220414</v>
      </c>
      <c r="AN213" s="16" t="n">
        <f aca="false">SUM($T213:X213)</f>
        <v>23.2243055297433</v>
      </c>
      <c r="AO213" s="16" t="n">
        <f aca="false">SUM($T213:Y213)</f>
        <v>28.3921534355939</v>
      </c>
      <c r="AP213" s="16" t="n">
        <f aca="false">SUM($T213:Z213)</f>
        <v>32.7690786611021</v>
      </c>
      <c r="AQ213" s="16" t="n">
        <f aca="false">SUM($T213:AA213)</f>
        <v>37.262728456253</v>
      </c>
      <c r="AR213" s="16" t="n">
        <f aca="false">SUM($T213:AB213)</f>
        <v>41.5703152940322</v>
      </c>
      <c r="AS213" s="16" t="n">
        <f aca="false">SUM($T213:AC213)</f>
        <v>46.5155154525376</v>
      </c>
      <c r="AT213" s="16" t="n">
        <f aca="false">SUM($T213:AD213)</f>
        <v>51.2499960500084</v>
      </c>
      <c r="AU213" s="16" t="n">
        <f aca="false">SUM($T213:AE213)</f>
        <v>56.5353537948131</v>
      </c>
      <c r="AV213" s="16" t="n">
        <f aca="false">SUM($T213:AF213)</f>
        <v>61.4235353311123</v>
      </c>
      <c r="AW213" s="16" t="n">
        <f aca="false">SUM($T213:AG213)</f>
        <v>65.8045929735495</v>
      </c>
      <c r="AX213" s="16" t="n">
        <f aca="false">SUM($T213:AH213)</f>
        <v>69.9167766676672</v>
      </c>
      <c r="AY213" s="16" t="n">
        <f aca="false">SUM($T213:AI213)</f>
        <v>74.9302372489779</v>
      </c>
      <c r="AZ213" s="16" t="n">
        <f aca="false">MAX(C213-AJ213,0)</f>
        <v>54.7562046088045</v>
      </c>
      <c r="BA213" s="16" t="n">
        <f aca="false">MAX(C213-AK213,0)</f>
        <v>50.3253357605032</v>
      </c>
      <c r="BB213" s="16" t="n">
        <f aca="false">MAX(C213-AL213,0)</f>
        <v>45.8049245552422</v>
      </c>
      <c r="BC213" s="16" t="n">
        <f aca="false">MAX(C213-AM213,0)</f>
        <v>41.5721472695943</v>
      </c>
      <c r="BD213" s="16" t="n">
        <f aca="false">MAX(C213-AN213,0)</f>
        <v>36.478801960265</v>
      </c>
      <c r="BE213" s="16" t="n">
        <f aca="false">MAX(C213-AO213,0)</f>
        <v>31.3109540544144</v>
      </c>
      <c r="BF213" s="16" t="n">
        <f aca="false">MAX(C213-AP213,0)</f>
        <v>26.9340288289062</v>
      </c>
      <c r="BG213" s="16" t="n">
        <f aca="false">MAX(C213-AQ213,0)</f>
        <v>22.4403790337553</v>
      </c>
      <c r="BH213" s="16" t="n">
        <f aca="false">MAX(C213-AR213,0)</f>
        <v>18.1327921959761</v>
      </c>
      <c r="BI213" s="16" t="n">
        <f aca="false">MAX(C213-AS213,0)</f>
        <v>13.1875920374707</v>
      </c>
      <c r="BJ213" s="16" t="n">
        <f aca="false">MAX(C213-AT213,0)</f>
        <v>8.45311143999992</v>
      </c>
      <c r="BK213" s="16" t="n">
        <f aca="false">MAX(C213-AU213,0)</f>
        <v>3.1677536951952</v>
      </c>
      <c r="BL213" s="16" t="n">
        <f aca="false">MAX(C213-AV213,0)</f>
        <v>0</v>
      </c>
      <c r="BM213" s="16" t="n">
        <f aca="false">MAX(C213-AW213,0)</f>
        <v>0</v>
      </c>
      <c r="BN213" s="16" t="n">
        <f aca="false">MAX(C213-AX213,0)</f>
        <v>0</v>
      </c>
      <c r="BO213" s="16" t="n">
        <f aca="false">MAX(C213-AY213,0)</f>
        <v>0</v>
      </c>
    </row>
    <row r="214" customFormat="false" ht="15" hidden="false" customHeight="false" outlineLevel="0" collapsed="false">
      <c r="A214" s="3" t="n">
        <v>184</v>
      </c>
      <c r="B214" s="15" t="n">
        <f aca="true">RAND()</f>
        <v>0.664138423509886</v>
      </c>
      <c r="C214" s="16" t="n">
        <f aca="false">LOOKUP(B214,$E$12:$E$17,$A$12:$A$17)+LOOKUP(B214,$E$12:$E$17,$D$12:$D$17)*(B214-LOOKUP(B214,$E$12:$E$17))/LOOKUP(B214,$E$12:$E$17,$C$12:$C$17)</f>
        <v>66.6305489072841</v>
      </c>
      <c r="D214" s="15" t="n">
        <f aca="true">RAND()</f>
        <v>0.260480991180949</v>
      </c>
      <c r="E214" s="15" t="n">
        <f aca="true">RAND()</f>
        <v>0.352997097605845</v>
      </c>
      <c r="F214" s="15" t="n">
        <f aca="true">RAND()</f>
        <v>0.897196686709377</v>
      </c>
      <c r="G214" s="15" t="n">
        <f aca="true">RAND()</f>
        <v>0.413812119751553</v>
      </c>
      <c r="H214" s="15" t="n">
        <f aca="true">RAND()</f>
        <v>0.695908154669393</v>
      </c>
      <c r="I214" s="15" t="n">
        <f aca="true">RAND()</f>
        <v>0.615090467061972</v>
      </c>
      <c r="J214" s="15" t="n">
        <f aca="true">RAND()</f>
        <v>0.313308594947091</v>
      </c>
      <c r="K214" s="15" t="n">
        <f aca="true">RAND()</f>
        <v>0.431506683196122</v>
      </c>
      <c r="L214" s="15" t="n">
        <f aca="true">RAND()</f>
        <v>0.703245638442019</v>
      </c>
      <c r="M214" s="15" t="n">
        <f aca="true">RAND()</f>
        <v>0.217943399363507</v>
      </c>
      <c r="N214" s="15" t="n">
        <f aca="true">RAND()</f>
        <v>0.793879253708189</v>
      </c>
      <c r="O214" s="15" t="n">
        <f aca="true">RAND()</f>
        <v>0.818574618956594</v>
      </c>
      <c r="P214" s="15" t="n">
        <f aca="true">RAND()</f>
        <v>0.512070400544432</v>
      </c>
      <c r="Q214" s="15" t="n">
        <f aca="true">RAND()</f>
        <v>0.978328357469189</v>
      </c>
      <c r="R214" s="15" t="n">
        <f aca="true">RAND()</f>
        <v>0.344525543440795</v>
      </c>
      <c r="S214" s="15" t="n">
        <f aca="true">RAND()</f>
        <v>0.407412020944566</v>
      </c>
      <c r="T214" s="16" t="n">
        <f aca="false">LOOKUP(D214,$E$23:$E$26,$A$23:$A$26)+LOOKUP(D214,$E$23:$E$26,$D$23:$D$26)*(D214-LOOKUP(D214,$E$23:$E$26))/LOOKUP(D214,$E$23:$E$26,$C$23:$C$26)</f>
        <v>4.43413498530158</v>
      </c>
      <c r="U214" s="16" t="n">
        <f aca="false">LOOKUP(E214,$E$23:$E$26,$A$23:$A$26)+LOOKUP(E214,$E$23:$E$26,$D$23:$D$26)*(E214-LOOKUP(E214,$E$23:$E$26))/LOOKUP(E214,$E$23:$E$26,$C$23:$C$26)</f>
        <v>4.56624637200731</v>
      </c>
      <c r="V214" s="16" t="n">
        <f aca="false">LOOKUP(F214,$E$23:$E$26,$A$23:$A$26)+LOOKUP(F214,$E$23:$E$26,$D$23:$D$26)*(F214-LOOKUP(F214,$E$23:$E$26))/LOOKUP(F214,$E$23:$E$26,$C$23:$C$26)</f>
        <v>5.49299171677344</v>
      </c>
      <c r="W214" s="16" t="n">
        <f aca="false">LOOKUP(G214,$E$23:$E$26,$A$23:$A$26)+LOOKUP(G214,$E$23:$E$26,$D$23:$D$26)*(G214-LOOKUP(G214,$E$23:$E$26))/LOOKUP(G214,$E$23:$E$26,$C$23:$C$26)</f>
        <v>4.64226514968944</v>
      </c>
      <c r="X214" s="16" t="n">
        <f aca="false">LOOKUP(H214,$E$23:$E$26,$A$23:$A$26)+LOOKUP(H214,$E$23:$E$26,$D$23:$D$26)*(H214-LOOKUP(H214,$E$23:$E$26))/LOOKUP(H214,$E$23:$E$26,$C$23:$C$26)</f>
        <v>4.99488519333674</v>
      </c>
      <c r="Y214" s="16" t="n">
        <f aca="false">LOOKUP(I214,$E$23:$E$26,$A$23:$A$26)+LOOKUP(I214,$E$23:$E$26,$D$23:$D$26)*(I214-LOOKUP(I214,$E$23:$E$26))/LOOKUP(I214,$E$23:$E$26,$C$23:$C$26)</f>
        <v>4.89386308382747</v>
      </c>
      <c r="Z214" s="16" t="n">
        <f aca="false">LOOKUP(J214,$E$23:$E$26,$A$23:$A$26)+LOOKUP(J214,$E$23:$E$26,$D$23:$D$26)*(J214-LOOKUP(J214,$E$23:$E$26))/LOOKUP(J214,$E$23:$E$26,$C$23:$C$26)</f>
        <v>4.51663574368386</v>
      </c>
      <c r="AA214" s="16" t="n">
        <f aca="false">LOOKUP(K214,$E$23:$E$26,$A$23:$A$26)+LOOKUP(K214,$E$23:$E$26,$D$23:$D$26)*(K214-LOOKUP(K214,$E$23:$E$26))/LOOKUP(K214,$E$23:$E$26,$C$23:$C$26)</f>
        <v>4.66438335399515</v>
      </c>
      <c r="AB214" s="16" t="n">
        <f aca="false">LOOKUP(L214,$E$23:$E$26,$A$23:$A$26)+LOOKUP(L214,$E$23:$E$26,$D$23:$D$26)*(L214-LOOKUP(L214,$E$23:$E$26))/LOOKUP(L214,$E$23:$E$26,$C$23:$C$26)</f>
        <v>5.00811409610505</v>
      </c>
      <c r="AC214" s="16" t="n">
        <f aca="false">LOOKUP(M214,$E$23:$E$26,$A$23:$A$26)+LOOKUP(M214,$E$23:$E$26,$D$23:$D$26)*(M214-LOOKUP(M214,$E$23:$E$26))/LOOKUP(M214,$E$23:$E$26,$C$23:$C$26)</f>
        <v>4.36323899893918</v>
      </c>
      <c r="AD214" s="16" t="n">
        <f aca="false">LOOKUP(N214,$E$23:$E$26,$A$23:$A$26)+LOOKUP(N214,$E$23:$E$26,$D$23:$D$26)*(N214-LOOKUP(N214,$E$23:$E$26))/LOOKUP(N214,$E$23:$E$26,$C$23:$C$26)</f>
        <v>5.23469813427047</v>
      </c>
      <c r="AE214" s="16" t="n">
        <f aca="false">LOOKUP(O214,$E$23:$E$26,$A$23:$A$26)+LOOKUP(O214,$E$23:$E$26,$D$23:$D$26)*(O214-LOOKUP(O214,$E$23:$E$26))/LOOKUP(O214,$E$23:$E$26,$C$23:$C$26)</f>
        <v>5.29643654739149</v>
      </c>
      <c r="AF214" s="16" t="n">
        <f aca="false">LOOKUP(P214,$E$23:$E$26,$A$23:$A$26)+LOOKUP(P214,$E$23:$E$26,$D$23:$D$26)*(P214-LOOKUP(P214,$E$23:$E$26))/LOOKUP(P214,$E$23:$E$26,$C$23:$C$26)</f>
        <v>4.76508800068054</v>
      </c>
      <c r="AG214" s="16" t="n">
        <f aca="false">LOOKUP(Q214,$E$23:$E$26,$A$23:$A$26)+LOOKUP(Q214,$E$23:$E$26,$D$23:$D$26)*(Q214-LOOKUP(Q214,$E$23:$E$26))/LOOKUP(Q214,$E$23:$E$26,$C$23:$C$26)</f>
        <v>5.89164178734595</v>
      </c>
      <c r="AH214" s="16" t="n">
        <f aca="false">LOOKUP(R214,$E$23:$E$26,$A$23:$A$26)+LOOKUP(R214,$E$23:$E$26,$D$23:$D$26)*(R214-LOOKUP(R214,$E$23:$E$26))/LOOKUP(R214,$E$23:$E$26,$C$23:$C$26)</f>
        <v>4.55565692930099</v>
      </c>
      <c r="AI214" s="16" t="n">
        <f aca="false">LOOKUP(S214,$E$23:$E$26,$A$23:$A$26)+LOOKUP(S214,$E$23:$E$26,$D$23:$D$26)*(S214-LOOKUP(S214,$E$23:$E$26))/LOOKUP(S214,$E$23:$E$26,$C$23:$C$26)</f>
        <v>4.63426502618071</v>
      </c>
      <c r="AJ214" s="16" t="n">
        <f aca="false">SUM($T214:T214)</f>
        <v>4.43413498530158</v>
      </c>
      <c r="AK214" s="16" t="n">
        <f aca="false">SUM($T214:U214)</f>
        <v>9.00038135730889</v>
      </c>
      <c r="AL214" s="16" t="n">
        <f aca="false">SUM($T214:V214)</f>
        <v>14.4933730740823</v>
      </c>
      <c r="AM214" s="16" t="n">
        <f aca="false">SUM($T214:W214)</f>
        <v>19.1356382237718</v>
      </c>
      <c r="AN214" s="16" t="n">
        <f aca="false">SUM($T214:X214)</f>
        <v>24.1305234171085</v>
      </c>
      <c r="AO214" s="16" t="n">
        <f aca="false">SUM($T214:Y214)</f>
        <v>29.024386500936</v>
      </c>
      <c r="AP214" s="16" t="n">
        <f aca="false">SUM($T214:Z214)</f>
        <v>33.5410222446198</v>
      </c>
      <c r="AQ214" s="16" t="n">
        <f aca="false">SUM($T214:AA214)</f>
        <v>38.205405598615</v>
      </c>
      <c r="AR214" s="16" t="n">
        <f aca="false">SUM($T214:AB214)</f>
        <v>43.21351969472</v>
      </c>
      <c r="AS214" s="16" t="n">
        <f aca="false">SUM($T214:AC214)</f>
        <v>47.5767586936592</v>
      </c>
      <c r="AT214" s="16" t="n">
        <f aca="false">SUM($T214:AD214)</f>
        <v>52.8114568279297</v>
      </c>
      <c r="AU214" s="16" t="n">
        <f aca="false">SUM($T214:AE214)</f>
        <v>58.1078933753212</v>
      </c>
      <c r="AV214" s="16" t="n">
        <f aca="false">SUM($T214:AF214)</f>
        <v>62.8729813760017</v>
      </c>
      <c r="AW214" s="16" t="n">
        <f aca="false">SUM($T214:AG214)</f>
        <v>68.7646231633477</v>
      </c>
      <c r="AX214" s="16" t="n">
        <f aca="false">SUM($T214:AH214)</f>
        <v>73.3202800926487</v>
      </c>
      <c r="AY214" s="16" t="n">
        <f aca="false">SUM($T214:AI214)</f>
        <v>77.9545451188294</v>
      </c>
      <c r="AZ214" s="16" t="n">
        <f aca="false">MAX(C214-AJ214,0)</f>
        <v>62.1964139219825</v>
      </c>
      <c r="BA214" s="16" t="n">
        <f aca="false">MAX(C214-AK214,0)</f>
        <v>57.6301675499752</v>
      </c>
      <c r="BB214" s="16" t="n">
        <f aca="false">MAX(C214-AL214,0)</f>
        <v>52.1371758332018</v>
      </c>
      <c r="BC214" s="16" t="n">
        <f aca="false">MAX(C214-AM214,0)</f>
        <v>47.4949106835123</v>
      </c>
      <c r="BD214" s="16" t="n">
        <f aca="false">MAX(C214-AN214,0)</f>
        <v>42.5000254901756</v>
      </c>
      <c r="BE214" s="16" t="n">
        <f aca="false">MAX(C214-AO214,0)</f>
        <v>37.6061624063481</v>
      </c>
      <c r="BF214" s="16" t="n">
        <f aca="false">MAX(C214-AP214,0)</f>
        <v>33.0895266626642</v>
      </c>
      <c r="BG214" s="16" t="n">
        <f aca="false">MAX(C214-AQ214,0)</f>
        <v>28.4251433086691</v>
      </c>
      <c r="BH214" s="16" t="n">
        <f aca="false">MAX(C214-AR214,0)</f>
        <v>23.417029212564</v>
      </c>
      <c r="BI214" s="16" t="n">
        <f aca="false">MAX(C214-AS214,0)</f>
        <v>19.0537902136249</v>
      </c>
      <c r="BJ214" s="16" t="n">
        <f aca="false">MAX(C214-AT214,0)</f>
        <v>13.8190920793544</v>
      </c>
      <c r="BK214" s="16" t="n">
        <f aca="false">MAX(C214-AU214,0)</f>
        <v>8.5226555319629</v>
      </c>
      <c r="BL214" s="16" t="n">
        <f aca="false">MAX(C214-AV214,0)</f>
        <v>3.75756753128236</v>
      </c>
      <c r="BM214" s="16" t="n">
        <f aca="false">MAX(C214-AW214,0)</f>
        <v>0</v>
      </c>
      <c r="BN214" s="16" t="n">
        <f aca="false">MAX(C214-AX214,0)</f>
        <v>0</v>
      </c>
      <c r="BO214" s="16" t="n">
        <f aca="false">MAX(C214-AY214,0)</f>
        <v>0</v>
      </c>
    </row>
    <row r="215" customFormat="false" ht="15" hidden="false" customHeight="false" outlineLevel="0" collapsed="false">
      <c r="A215" s="3" t="n">
        <v>185</v>
      </c>
      <c r="B215" s="15" t="n">
        <f aca="true">RAND()</f>
        <v>0.789720290130233</v>
      </c>
      <c r="C215" s="16" t="n">
        <f aca="false">LOOKUP(B215,$E$12:$E$17,$A$12:$A$17)+LOOKUP(B215,$E$12:$E$17,$D$12:$D$17)*(B215-LOOKUP(B215,$E$12:$E$17))/LOOKUP(B215,$E$12:$E$17,$C$12:$C$17)</f>
        <v>68.4245755732891</v>
      </c>
      <c r="D215" s="15" t="n">
        <f aca="true">RAND()</f>
        <v>0.302871826496803</v>
      </c>
      <c r="E215" s="15" t="n">
        <f aca="true">RAND()</f>
        <v>0.93500925088968</v>
      </c>
      <c r="F215" s="15" t="n">
        <f aca="true">RAND()</f>
        <v>0.403916605744855</v>
      </c>
      <c r="G215" s="15" t="n">
        <f aca="true">RAND()</f>
        <v>0.848567133084188</v>
      </c>
      <c r="H215" s="15" t="n">
        <f aca="true">RAND()</f>
        <v>0.492945978263367</v>
      </c>
      <c r="I215" s="15" t="n">
        <f aca="true">RAND()</f>
        <v>0.94336717446204</v>
      </c>
      <c r="J215" s="15" t="n">
        <f aca="true">RAND()</f>
        <v>0.587856895486027</v>
      </c>
      <c r="K215" s="15" t="n">
        <f aca="true">RAND()</f>
        <v>0.740133492930748</v>
      </c>
      <c r="L215" s="15" t="n">
        <f aca="true">RAND()</f>
        <v>0.194205002627947</v>
      </c>
      <c r="M215" s="15" t="n">
        <f aca="true">RAND()</f>
        <v>0.526062409292966</v>
      </c>
      <c r="N215" s="15" t="n">
        <f aca="true">RAND()</f>
        <v>0.808266689827535</v>
      </c>
      <c r="O215" s="15" t="n">
        <f aca="true">RAND()</f>
        <v>0.5449424872615</v>
      </c>
      <c r="P215" s="15" t="n">
        <f aca="true">RAND()</f>
        <v>0.395656139996883</v>
      </c>
      <c r="Q215" s="15" t="n">
        <f aca="true">RAND()</f>
        <v>0.895401341980848</v>
      </c>
      <c r="R215" s="15" t="n">
        <f aca="true">RAND()</f>
        <v>0.0605648337933743</v>
      </c>
      <c r="S215" s="15" t="n">
        <f aca="true">RAND()</f>
        <v>0.0248957170111798</v>
      </c>
      <c r="T215" s="16" t="n">
        <f aca="false">LOOKUP(D215,$E$23:$E$26,$A$23:$A$26)+LOOKUP(D215,$E$23:$E$26,$D$23:$D$26)*(D215-LOOKUP(D215,$E$23:$E$26))/LOOKUP(D215,$E$23:$E$26,$C$23:$C$26)</f>
        <v>4.503589783121</v>
      </c>
      <c r="U215" s="16" t="n">
        <f aca="false">LOOKUP(E215,$E$23:$E$26,$A$23:$A$26)+LOOKUP(E215,$E$23:$E$26,$D$23:$D$26)*(E215-LOOKUP(E215,$E$23:$E$26))/LOOKUP(E215,$E$23:$E$26,$C$23:$C$26)</f>
        <v>5.6750462544484</v>
      </c>
      <c r="V215" s="16" t="n">
        <f aca="false">LOOKUP(F215,$E$23:$E$26,$A$23:$A$26)+LOOKUP(F215,$E$23:$E$26,$D$23:$D$26)*(F215-LOOKUP(F215,$E$23:$E$26))/LOOKUP(F215,$E$23:$E$26,$C$23:$C$26)</f>
        <v>4.62989575718107</v>
      </c>
      <c r="W215" s="16" t="n">
        <f aca="false">LOOKUP(G215,$E$23:$E$26,$A$23:$A$26)+LOOKUP(G215,$E$23:$E$26,$D$23:$D$26)*(G215-LOOKUP(G215,$E$23:$E$26))/LOOKUP(G215,$E$23:$E$26,$C$23:$C$26)</f>
        <v>5.37141783271047</v>
      </c>
      <c r="X215" s="16" t="n">
        <f aca="false">LOOKUP(H215,$E$23:$E$26,$A$23:$A$26)+LOOKUP(H215,$E$23:$E$26,$D$23:$D$26)*(H215-LOOKUP(H215,$E$23:$E$26))/LOOKUP(H215,$E$23:$E$26,$C$23:$C$26)</f>
        <v>4.74118247282921</v>
      </c>
      <c r="Y215" s="16" t="n">
        <f aca="false">LOOKUP(I215,$E$23:$E$26,$A$23:$A$26)+LOOKUP(I215,$E$23:$E$26,$D$23:$D$26)*(I215-LOOKUP(I215,$E$23:$E$26))/LOOKUP(I215,$E$23:$E$26,$C$23:$C$26)</f>
        <v>5.7168358723102</v>
      </c>
      <c r="Z215" s="16" t="n">
        <f aca="false">LOOKUP(J215,$E$23:$E$26,$A$23:$A$26)+LOOKUP(J215,$E$23:$E$26,$D$23:$D$26)*(J215-LOOKUP(J215,$E$23:$E$26))/LOOKUP(J215,$E$23:$E$26,$C$23:$C$26)</f>
        <v>4.85982111935753</v>
      </c>
      <c r="AA215" s="16" t="n">
        <f aca="false">LOOKUP(K215,$E$23:$E$26,$A$23:$A$26)+LOOKUP(K215,$E$23:$E$26,$D$23:$D$26)*(K215-LOOKUP(K215,$E$23:$E$26))/LOOKUP(K215,$E$23:$E$26,$C$23:$C$26)</f>
        <v>5.10033373232687</v>
      </c>
      <c r="AB215" s="16" t="n">
        <f aca="false">LOOKUP(L215,$E$23:$E$26,$A$23:$A$26)+LOOKUP(L215,$E$23:$E$26,$D$23:$D$26)*(L215-LOOKUP(L215,$E$23:$E$26))/LOOKUP(L215,$E$23:$E$26,$C$23:$C$26)</f>
        <v>4.32367500437991</v>
      </c>
      <c r="AC215" s="16" t="n">
        <f aca="false">LOOKUP(M215,$E$23:$E$26,$A$23:$A$26)+LOOKUP(M215,$E$23:$E$26,$D$23:$D$26)*(M215-LOOKUP(M215,$E$23:$E$26))/LOOKUP(M215,$E$23:$E$26,$C$23:$C$26)</f>
        <v>4.78257801161621</v>
      </c>
      <c r="AD215" s="16" t="n">
        <f aca="false">LOOKUP(N215,$E$23:$E$26,$A$23:$A$26)+LOOKUP(N215,$E$23:$E$26,$D$23:$D$26)*(N215-LOOKUP(N215,$E$23:$E$26))/LOOKUP(N215,$E$23:$E$26,$C$23:$C$26)</f>
        <v>5.27066672456884</v>
      </c>
      <c r="AE215" s="16" t="n">
        <f aca="false">LOOKUP(O215,$E$23:$E$26,$A$23:$A$26)+LOOKUP(O215,$E$23:$E$26,$D$23:$D$26)*(O215-LOOKUP(O215,$E$23:$E$26))/LOOKUP(O215,$E$23:$E$26,$C$23:$C$26)</f>
        <v>4.80617810907688</v>
      </c>
      <c r="AF215" s="16" t="n">
        <f aca="false">LOOKUP(P215,$E$23:$E$26,$A$23:$A$26)+LOOKUP(P215,$E$23:$E$26,$D$23:$D$26)*(P215-LOOKUP(P215,$E$23:$E$26))/LOOKUP(P215,$E$23:$E$26,$C$23:$C$26)</f>
        <v>4.6195701749961</v>
      </c>
      <c r="AG215" s="16" t="n">
        <f aca="false">LOOKUP(Q215,$E$23:$E$26,$A$23:$A$26)+LOOKUP(Q215,$E$23:$E$26,$D$23:$D$26)*(Q215-LOOKUP(Q215,$E$23:$E$26))/LOOKUP(Q215,$E$23:$E$26,$C$23:$C$26)</f>
        <v>5.48850335495212</v>
      </c>
      <c r="AH215" s="16" t="n">
        <f aca="false">LOOKUP(R215,$E$23:$E$26,$A$23:$A$26)+LOOKUP(R215,$E$23:$E$26,$D$23:$D$26)*(R215-LOOKUP(R215,$E$23:$E$26))/LOOKUP(R215,$E$23:$E$26,$C$23:$C$26)</f>
        <v>4.10094138965562</v>
      </c>
      <c r="AI215" s="16" t="n">
        <f aca="false">LOOKUP(S215,$E$23:$E$26,$A$23:$A$26)+LOOKUP(S215,$E$23:$E$26,$D$23:$D$26)*(S215-LOOKUP(S215,$E$23:$E$26))/LOOKUP(S215,$E$23:$E$26,$C$23:$C$26)</f>
        <v>4.0414928616853</v>
      </c>
      <c r="AJ215" s="16" t="n">
        <f aca="false">SUM($T215:T215)</f>
        <v>4.503589783121</v>
      </c>
      <c r="AK215" s="16" t="n">
        <f aca="false">SUM($T215:U215)</f>
        <v>10.1786360375694</v>
      </c>
      <c r="AL215" s="16" t="n">
        <f aca="false">SUM($T215:V215)</f>
        <v>14.8085317947505</v>
      </c>
      <c r="AM215" s="16" t="n">
        <f aca="false">SUM($T215:W215)</f>
        <v>20.1799496274609</v>
      </c>
      <c r="AN215" s="16" t="n">
        <f aca="false">SUM($T215:X215)</f>
        <v>24.9211321002902</v>
      </c>
      <c r="AO215" s="16" t="n">
        <f aca="false">SUM($T215:Y215)</f>
        <v>30.6379679726003</v>
      </c>
      <c r="AP215" s="16" t="n">
        <f aca="false">SUM($T215:Z215)</f>
        <v>35.4977890919579</v>
      </c>
      <c r="AQ215" s="16" t="n">
        <f aca="false">SUM($T215:AA215)</f>
        <v>40.5981228242848</v>
      </c>
      <c r="AR215" s="16" t="n">
        <f aca="false">SUM($T215:AB215)</f>
        <v>44.9217978286647</v>
      </c>
      <c r="AS215" s="16" t="n">
        <f aca="false">SUM($T215:AC215)</f>
        <v>49.7043758402809</v>
      </c>
      <c r="AT215" s="16" t="n">
        <f aca="false">SUM($T215:AD215)</f>
        <v>54.9750425648497</v>
      </c>
      <c r="AU215" s="16" t="n">
        <f aca="false">SUM($T215:AE215)</f>
        <v>59.7812206739266</v>
      </c>
      <c r="AV215" s="16" t="n">
        <f aca="false">SUM($T215:AF215)</f>
        <v>64.4007908489227</v>
      </c>
      <c r="AW215" s="16" t="n">
        <f aca="false">SUM($T215:AG215)</f>
        <v>69.8892942038748</v>
      </c>
      <c r="AX215" s="16" t="n">
        <f aca="false">SUM($T215:AH215)</f>
        <v>73.9902355935304</v>
      </c>
      <c r="AY215" s="16" t="n">
        <f aca="false">SUM($T215:AI215)</f>
        <v>78.0317284552157</v>
      </c>
      <c r="AZ215" s="16" t="n">
        <f aca="false">MAX(C215-AJ215,0)</f>
        <v>63.9209857901681</v>
      </c>
      <c r="BA215" s="16" t="n">
        <f aca="false">MAX(C215-AK215,0)</f>
        <v>58.2459395357196</v>
      </c>
      <c r="BB215" s="16" t="n">
        <f aca="false">MAX(C215-AL215,0)</f>
        <v>53.6160437785386</v>
      </c>
      <c r="BC215" s="16" t="n">
        <f aca="false">MAX(C215-AM215,0)</f>
        <v>48.2446259458281</v>
      </c>
      <c r="BD215" s="16" t="n">
        <f aca="false">MAX(C215-AN215,0)</f>
        <v>43.5034434729989</v>
      </c>
      <c r="BE215" s="16" t="n">
        <f aca="false">MAX(C215-AO215,0)</f>
        <v>37.7866076006887</v>
      </c>
      <c r="BF215" s="16" t="n">
        <f aca="false">MAX(C215-AP215,0)</f>
        <v>32.9267864813312</v>
      </c>
      <c r="BG215" s="16" t="n">
        <f aca="false">MAX(C215-AQ215,0)</f>
        <v>27.8264527490043</v>
      </c>
      <c r="BH215" s="16" t="n">
        <f aca="false">MAX(C215-AR215,0)</f>
        <v>23.5027777446244</v>
      </c>
      <c r="BI215" s="16" t="n">
        <f aca="false">MAX(C215-AS215,0)</f>
        <v>18.7201997330082</v>
      </c>
      <c r="BJ215" s="16" t="n">
        <f aca="false">MAX(C215-AT215,0)</f>
        <v>13.4495330084393</v>
      </c>
      <c r="BK215" s="16" t="n">
        <f aca="false">MAX(C215-AU215,0)</f>
        <v>8.64335489936246</v>
      </c>
      <c r="BL215" s="16" t="n">
        <f aca="false">MAX(C215-AV215,0)</f>
        <v>4.02378472436637</v>
      </c>
      <c r="BM215" s="16" t="n">
        <f aca="false">MAX(C215-AW215,0)</f>
        <v>0</v>
      </c>
      <c r="BN215" s="16" t="n">
        <f aca="false">MAX(C215-AX215,0)</f>
        <v>0</v>
      </c>
      <c r="BO215" s="16" t="n">
        <f aca="false">MAX(C215-AY215,0)</f>
        <v>0</v>
      </c>
    </row>
    <row r="216" customFormat="false" ht="15" hidden="false" customHeight="false" outlineLevel="0" collapsed="false">
      <c r="A216" s="3" t="n">
        <v>186</v>
      </c>
      <c r="B216" s="15" t="n">
        <f aca="true">RAND()</f>
        <v>0.0453730914659133</v>
      </c>
      <c r="C216" s="16" t="n">
        <f aca="false">LOOKUP(B216,$E$12:$E$17,$A$12:$A$17)+LOOKUP(B216,$E$12:$E$17,$D$12:$D$17)*(B216-LOOKUP(B216,$E$12:$E$17))/LOOKUP(B216,$E$12:$E$17,$C$12:$C$17)</f>
        <v>52.2686545732957</v>
      </c>
      <c r="D216" s="15" t="n">
        <f aca="true">RAND()</f>
        <v>0.936362971726061</v>
      </c>
      <c r="E216" s="15" t="n">
        <f aca="true">RAND()</f>
        <v>0.173274475029267</v>
      </c>
      <c r="F216" s="15" t="n">
        <f aca="true">RAND()</f>
        <v>0.565762234656635</v>
      </c>
      <c r="G216" s="15" t="n">
        <f aca="true">RAND()</f>
        <v>0.483199602187428</v>
      </c>
      <c r="H216" s="15" t="n">
        <f aca="true">RAND()</f>
        <v>0.260272266169059</v>
      </c>
      <c r="I216" s="15" t="n">
        <f aca="true">RAND()</f>
        <v>0.0702488111360167</v>
      </c>
      <c r="J216" s="15" t="n">
        <f aca="true">RAND()</f>
        <v>0.109192696380982</v>
      </c>
      <c r="K216" s="15" t="n">
        <f aca="true">RAND()</f>
        <v>0.396889082597021</v>
      </c>
      <c r="L216" s="15" t="n">
        <f aca="true">RAND()</f>
        <v>0.717676851160329</v>
      </c>
      <c r="M216" s="15" t="n">
        <f aca="true">RAND()</f>
        <v>0.0320521290122022</v>
      </c>
      <c r="N216" s="15" t="n">
        <f aca="true">RAND()</f>
        <v>0.546940024742527</v>
      </c>
      <c r="O216" s="15" t="n">
        <f aca="true">RAND()</f>
        <v>0.661872009796724</v>
      </c>
      <c r="P216" s="15" t="n">
        <f aca="true">RAND()</f>
        <v>0.342675284718543</v>
      </c>
      <c r="Q216" s="15" t="n">
        <f aca="true">RAND()</f>
        <v>0.725481277904382</v>
      </c>
      <c r="R216" s="15" t="n">
        <f aca="true">RAND()</f>
        <v>0.973072437132117</v>
      </c>
      <c r="S216" s="15" t="n">
        <f aca="true">RAND()</f>
        <v>0.712498398716287</v>
      </c>
      <c r="T216" s="16" t="n">
        <f aca="false">LOOKUP(D216,$E$23:$E$26,$A$23:$A$26)+LOOKUP(D216,$E$23:$E$26,$D$23:$D$26)*(D216-LOOKUP(D216,$E$23:$E$26))/LOOKUP(D216,$E$23:$E$26,$C$23:$C$26)</f>
        <v>5.68181485863031</v>
      </c>
      <c r="U216" s="16" t="n">
        <f aca="false">LOOKUP(E216,$E$23:$E$26,$A$23:$A$26)+LOOKUP(E216,$E$23:$E$26,$D$23:$D$26)*(E216-LOOKUP(E216,$E$23:$E$26))/LOOKUP(E216,$E$23:$E$26,$C$23:$C$26)</f>
        <v>4.28879079171545</v>
      </c>
      <c r="V216" s="16" t="n">
        <f aca="false">LOOKUP(F216,$E$23:$E$26,$A$23:$A$26)+LOOKUP(F216,$E$23:$E$26,$D$23:$D$26)*(F216-LOOKUP(F216,$E$23:$E$26))/LOOKUP(F216,$E$23:$E$26,$C$23:$C$26)</f>
        <v>4.83220279332079</v>
      </c>
      <c r="W216" s="16" t="n">
        <f aca="false">LOOKUP(G216,$E$23:$E$26,$A$23:$A$26)+LOOKUP(G216,$E$23:$E$26,$D$23:$D$26)*(G216-LOOKUP(G216,$E$23:$E$26))/LOOKUP(G216,$E$23:$E$26,$C$23:$C$26)</f>
        <v>4.72899950273428</v>
      </c>
      <c r="X216" s="16" t="n">
        <f aca="false">LOOKUP(H216,$E$23:$E$26,$A$23:$A$26)+LOOKUP(H216,$E$23:$E$26,$D$23:$D$26)*(H216-LOOKUP(H216,$E$23:$E$26))/LOOKUP(H216,$E$23:$E$26,$C$23:$C$26)</f>
        <v>4.43378711028177</v>
      </c>
      <c r="Y216" s="16" t="n">
        <f aca="false">LOOKUP(I216,$E$23:$E$26,$A$23:$A$26)+LOOKUP(I216,$E$23:$E$26,$D$23:$D$26)*(I216-LOOKUP(I216,$E$23:$E$26))/LOOKUP(I216,$E$23:$E$26,$C$23:$C$26)</f>
        <v>4.11708135189336</v>
      </c>
      <c r="Z216" s="16" t="n">
        <f aca="false">LOOKUP(J216,$E$23:$E$26,$A$23:$A$26)+LOOKUP(J216,$E$23:$E$26,$D$23:$D$26)*(J216-LOOKUP(J216,$E$23:$E$26))/LOOKUP(J216,$E$23:$E$26,$C$23:$C$26)</f>
        <v>4.18198782730164</v>
      </c>
      <c r="AA216" s="16" t="n">
        <f aca="false">LOOKUP(K216,$E$23:$E$26,$A$23:$A$26)+LOOKUP(K216,$E$23:$E$26,$D$23:$D$26)*(K216-LOOKUP(K216,$E$23:$E$26))/LOOKUP(K216,$E$23:$E$26,$C$23:$C$26)</f>
        <v>4.62111135324628</v>
      </c>
      <c r="AB216" s="16" t="n">
        <f aca="false">LOOKUP(L216,$E$23:$E$26,$A$23:$A$26)+LOOKUP(L216,$E$23:$E$26,$D$23:$D$26)*(L216-LOOKUP(L216,$E$23:$E$26))/LOOKUP(L216,$E$23:$E$26,$C$23:$C$26)</f>
        <v>5.04419212790082</v>
      </c>
      <c r="AC216" s="16" t="n">
        <f aca="false">LOOKUP(M216,$E$23:$E$26,$A$23:$A$26)+LOOKUP(M216,$E$23:$E$26,$D$23:$D$26)*(M216-LOOKUP(M216,$E$23:$E$26))/LOOKUP(M216,$E$23:$E$26,$C$23:$C$26)</f>
        <v>4.05342021502034</v>
      </c>
      <c r="AD216" s="16" t="n">
        <f aca="false">LOOKUP(N216,$E$23:$E$26,$A$23:$A$26)+LOOKUP(N216,$E$23:$E$26,$D$23:$D$26)*(N216-LOOKUP(N216,$E$23:$E$26))/LOOKUP(N216,$E$23:$E$26,$C$23:$C$26)</f>
        <v>4.80867503092816</v>
      </c>
      <c r="AE216" s="16" t="n">
        <f aca="false">LOOKUP(O216,$E$23:$E$26,$A$23:$A$26)+LOOKUP(O216,$E$23:$E$26,$D$23:$D$26)*(O216-LOOKUP(O216,$E$23:$E$26))/LOOKUP(O216,$E$23:$E$26,$C$23:$C$26)</f>
        <v>4.95234001224591</v>
      </c>
      <c r="AF216" s="16" t="n">
        <f aca="false">LOOKUP(P216,$E$23:$E$26,$A$23:$A$26)+LOOKUP(P216,$E$23:$E$26,$D$23:$D$26)*(P216-LOOKUP(P216,$E$23:$E$26))/LOOKUP(P216,$E$23:$E$26,$C$23:$C$26)</f>
        <v>4.55334410589818</v>
      </c>
      <c r="AG216" s="16" t="n">
        <f aca="false">LOOKUP(Q216,$E$23:$E$26,$A$23:$A$26)+LOOKUP(Q216,$E$23:$E$26,$D$23:$D$26)*(Q216-LOOKUP(Q216,$E$23:$E$26))/LOOKUP(Q216,$E$23:$E$26,$C$23:$C$26)</f>
        <v>5.06370319476096</v>
      </c>
      <c r="AH216" s="16" t="n">
        <f aca="false">LOOKUP(R216,$E$23:$E$26,$A$23:$A$26)+LOOKUP(R216,$E$23:$E$26,$D$23:$D$26)*(R216-LOOKUP(R216,$E$23:$E$26))/LOOKUP(R216,$E$23:$E$26,$C$23:$C$26)</f>
        <v>5.86536218566059</v>
      </c>
      <c r="AI216" s="16" t="n">
        <f aca="false">LOOKUP(S216,$E$23:$E$26,$A$23:$A$26)+LOOKUP(S216,$E$23:$E$26,$D$23:$D$26)*(S216-LOOKUP(S216,$E$23:$E$26))/LOOKUP(S216,$E$23:$E$26,$C$23:$C$26)</f>
        <v>5.03124599679072</v>
      </c>
      <c r="AJ216" s="16" t="n">
        <f aca="false">SUM($T216:T216)</f>
        <v>5.68181485863031</v>
      </c>
      <c r="AK216" s="16" t="n">
        <f aca="false">SUM($T216:U216)</f>
        <v>9.97060565034575</v>
      </c>
      <c r="AL216" s="16" t="n">
        <f aca="false">SUM($T216:V216)</f>
        <v>14.8028084436665</v>
      </c>
      <c r="AM216" s="16" t="n">
        <f aca="false">SUM($T216:W216)</f>
        <v>19.5318079464008</v>
      </c>
      <c r="AN216" s="16" t="n">
        <f aca="false">SUM($T216:X216)</f>
        <v>23.9655950566826</v>
      </c>
      <c r="AO216" s="16" t="n">
        <f aca="false">SUM($T216:Y216)</f>
        <v>28.082676408576</v>
      </c>
      <c r="AP216" s="16" t="n">
        <f aca="false">SUM($T216:Z216)</f>
        <v>32.2646642358776</v>
      </c>
      <c r="AQ216" s="16" t="n">
        <f aca="false">SUM($T216:AA216)</f>
        <v>36.8857755891239</v>
      </c>
      <c r="AR216" s="16" t="n">
        <f aca="false">SUM($T216:AB216)</f>
        <v>41.9299677170247</v>
      </c>
      <c r="AS216" s="16" t="n">
        <f aca="false">SUM($T216:AC216)</f>
        <v>45.983387932045</v>
      </c>
      <c r="AT216" s="16" t="n">
        <f aca="false">SUM($T216:AD216)</f>
        <v>50.7920629629732</v>
      </c>
      <c r="AU216" s="16" t="n">
        <f aca="false">SUM($T216:AE216)</f>
        <v>55.7444029752191</v>
      </c>
      <c r="AV216" s="16" t="n">
        <f aca="false">SUM($T216:AF216)</f>
        <v>60.2977470811173</v>
      </c>
      <c r="AW216" s="16" t="n">
        <f aca="false">SUM($T216:AG216)</f>
        <v>65.3614502758782</v>
      </c>
      <c r="AX216" s="16" t="n">
        <f aca="false">SUM($T216:AH216)</f>
        <v>71.2268124615388</v>
      </c>
      <c r="AY216" s="16" t="n">
        <f aca="false">SUM($T216:AI216)</f>
        <v>76.2580584583295</v>
      </c>
      <c r="AZ216" s="16" t="n">
        <f aca="false">MAX(C216-AJ216,0)</f>
        <v>46.5868397146654</v>
      </c>
      <c r="BA216" s="16" t="n">
        <f aca="false">MAX(C216-AK216,0)</f>
        <v>42.2980489229499</v>
      </c>
      <c r="BB216" s="16" t="n">
        <f aca="false">MAX(C216-AL216,0)</f>
        <v>37.4658461296291</v>
      </c>
      <c r="BC216" s="16" t="n">
        <f aca="false">MAX(C216-AM216,0)</f>
        <v>32.7368466268948</v>
      </c>
      <c r="BD216" s="16" t="n">
        <f aca="false">MAX(C216-AN216,0)</f>
        <v>28.3030595166131</v>
      </c>
      <c r="BE216" s="16" t="n">
        <f aca="false">MAX(C216-AO216,0)</f>
        <v>24.1859781647197</v>
      </c>
      <c r="BF216" s="16" t="n">
        <f aca="false">MAX(C216-AP216,0)</f>
        <v>20.0039903374181</v>
      </c>
      <c r="BG216" s="16" t="n">
        <f aca="false">MAX(C216-AQ216,0)</f>
        <v>15.3828789841718</v>
      </c>
      <c r="BH216" s="16" t="n">
        <f aca="false">MAX(C216-AR216,0)</f>
        <v>10.338686856271</v>
      </c>
      <c r="BI216" s="16" t="n">
        <f aca="false">MAX(C216-AS216,0)</f>
        <v>6.28526664125063</v>
      </c>
      <c r="BJ216" s="16" t="n">
        <f aca="false">MAX(C216-AT216,0)</f>
        <v>1.47659161032248</v>
      </c>
      <c r="BK216" s="16" t="n">
        <f aca="false">MAX(C216-AU216,0)</f>
        <v>0</v>
      </c>
      <c r="BL216" s="16" t="n">
        <f aca="false">MAX(C216-AV216,0)</f>
        <v>0</v>
      </c>
      <c r="BM216" s="16" t="n">
        <f aca="false">MAX(C216-AW216,0)</f>
        <v>0</v>
      </c>
      <c r="BN216" s="16" t="n">
        <f aca="false">MAX(C216-AX216,0)</f>
        <v>0</v>
      </c>
      <c r="BO216" s="16" t="n">
        <f aca="false">MAX(C216-AY216,0)</f>
        <v>0</v>
      </c>
    </row>
    <row r="217" customFormat="false" ht="15" hidden="false" customHeight="false" outlineLevel="0" collapsed="false">
      <c r="A217" s="3" t="n">
        <v>187</v>
      </c>
      <c r="B217" s="15" t="n">
        <f aca="true">RAND()</f>
        <v>0.729911011561067</v>
      </c>
      <c r="C217" s="16" t="n">
        <f aca="false">LOOKUP(B217,$E$12:$E$17,$A$12:$A$17)+LOOKUP(B217,$E$12:$E$17,$D$12:$D$17)*(B217-LOOKUP(B217,$E$12:$E$17))/LOOKUP(B217,$E$12:$E$17,$C$12:$C$17)</f>
        <v>67.5701573080152</v>
      </c>
      <c r="D217" s="15" t="n">
        <f aca="true">RAND()</f>
        <v>0.934482523447331</v>
      </c>
      <c r="E217" s="15" t="n">
        <f aca="true">RAND()</f>
        <v>0.942256770934757</v>
      </c>
      <c r="F217" s="15" t="n">
        <f aca="true">RAND()</f>
        <v>0.959391120409552</v>
      </c>
      <c r="G217" s="15" t="n">
        <f aca="true">RAND()</f>
        <v>0.0525897572754256</v>
      </c>
      <c r="H217" s="15" t="n">
        <f aca="true">RAND()</f>
        <v>0.29114717035697</v>
      </c>
      <c r="I217" s="15" t="n">
        <f aca="true">RAND()</f>
        <v>0.540888578171464</v>
      </c>
      <c r="J217" s="15" t="n">
        <f aca="true">RAND()</f>
        <v>0.868815799419787</v>
      </c>
      <c r="K217" s="15" t="n">
        <f aca="true">RAND()</f>
        <v>0.886879290487901</v>
      </c>
      <c r="L217" s="15" t="n">
        <f aca="true">RAND()</f>
        <v>0.752091278126452</v>
      </c>
      <c r="M217" s="15" t="n">
        <f aca="true">RAND()</f>
        <v>0.3473198712046</v>
      </c>
      <c r="N217" s="15" t="n">
        <f aca="true">RAND()</f>
        <v>0.792460544550274</v>
      </c>
      <c r="O217" s="15" t="n">
        <f aca="true">RAND()</f>
        <v>0.0921642142125658</v>
      </c>
      <c r="P217" s="15" t="n">
        <f aca="true">RAND()</f>
        <v>0.413668802964372</v>
      </c>
      <c r="Q217" s="15" t="n">
        <f aca="true">RAND()</f>
        <v>0.288209449014027</v>
      </c>
      <c r="R217" s="15" t="n">
        <f aca="true">RAND()</f>
        <v>0.717277168975874</v>
      </c>
      <c r="S217" s="15" t="n">
        <f aca="true">RAND()</f>
        <v>0.932865343377311</v>
      </c>
      <c r="T217" s="16" t="n">
        <f aca="false">LOOKUP(D217,$E$23:$E$26,$A$23:$A$26)+LOOKUP(D217,$E$23:$E$26,$D$23:$D$26)*(D217-LOOKUP(D217,$E$23:$E$26))/LOOKUP(D217,$E$23:$E$26,$C$23:$C$26)</f>
        <v>5.67241261723666</v>
      </c>
      <c r="U217" s="16" t="n">
        <f aca="false">LOOKUP(E217,$E$23:$E$26,$A$23:$A$26)+LOOKUP(E217,$E$23:$E$26,$D$23:$D$26)*(E217-LOOKUP(E217,$E$23:$E$26))/LOOKUP(E217,$E$23:$E$26,$C$23:$C$26)</f>
        <v>5.71128385467378</v>
      </c>
      <c r="V217" s="16" t="n">
        <f aca="false">LOOKUP(F217,$E$23:$E$26,$A$23:$A$26)+LOOKUP(F217,$E$23:$E$26,$D$23:$D$26)*(F217-LOOKUP(F217,$E$23:$E$26))/LOOKUP(F217,$E$23:$E$26,$C$23:$C$26)</f>
        <v>5.79695560204776</v>
      </c>
      <c r="W217" s="16" t="n">
        <f aca="false">LOOKUP(G217,$E$23:$E$26,$A$23:$A$26)+LOOKUP(G217,$E$23:$E$26,$D$23:$D$26)*(G217-LOOKUP(G217,$E$23:$E$26))/LOOKUP(G217,$E$23:$E$26,$C$23:$C$26)</f>
        <v>4.08764959545904</v>
      </c>
      <c r="X217" s="16" t="n">
        <f aca="false">LOOKUP(H217,$E$23:$E$26,$A$23:$A$26)+LOOKUP(H217,$E$23:$E$26,$D$23:$D$26)*(H217-LOOKUP(H217,$E$23:$E$26))/LOOKUP(H217,$E$23:$E$26,$C$23:$C$26)</f>
        <v>4.48524528392828</v>
      </c>
      <c r="Y217" s="16" t="n">
        <f aca="false">LOOKUP(I217,$E$23:$E$26,$A$23:$A$26)+LOOKUP(I217,$E$23:$E$26,$D$23:$D$26)*(I217-LOOKUP(I217,$E$23:$E$26))/LOOKUP(I217,$E$23:$E$26,$C$23:$C$26)</f>
        <v>4.80111072271433</v>
      </c>
      <c r="Z217" s="16" t="n">
        <f aca="false">LOOKUP(J217,$E$23:$E$26,$A$23:$A$26)+LOOKUP(J217,$E$23:$E$26,$D$23:$D$26)*(J217-LOOKUP(J217,$E$23:$E$26))/LOOKUP(J217,$E$23:$E$26,$C$23:$C$26)</f>
        <v>5.42203949854947</v>
      </c>
      <c r="AA217" s="16" t="n">
        <f aca="false">LOOKUP(K217,$E$23:$E$26,$A$23:$A$26)+LOOKUP(K217,$E$23:$E$26,$D$23:$D$26)*(K217-LOOKUP(K217,$E$23:$E$26))/LOOKUP(K217,$E$23:$E$26,$C$23:$C$26)</f>
        <v>5.46719822621975</v>
      </c>
      <c r="AB217" s="16" t="n">
        <f aca="false">LOOKUP(L217,$E$23:$E$26,$A$23:$A$26)+LOOKUP(L217,$E$23:$E$26,$D$23:$D$26)*(L217-LOOKUP(L217,$E$23:$E$26))/LOOKUP(L217,$E$23:$E$26,$C$23:$C$26)</f>
        <v>5.13022819531613</v>
      </c>
      <c r="AC217" s="16" t="n">
        <f aca="false">LOOKUP(M217,$E$23:$E$26,$A$23:$A$26)+LOOKUP(M217,$E$23:$E$26,$D$23:$D$26)*(M217-LOOKUP(M217,$E$23:$E$26))/LOOKUP(M217,$E$23:$E$26,$C$23:$C$26)</f>
        <v>4.55914983900575</v>
      </c>
      <c r="AD217" s="16" t="n">
        <f aca="false">LOOKUP(N217,$E$23:$E$26,$A$23:$A$26)+LOOKUP(N217,$E$23:$E$26,$D$23:$D$26)*(N217-LOOKUP(N217,$E$23:$E$26))/LOOKUP(N217,$E$23:$E$26,$C$23:$C$26)</f>
        <v>5.23115136137568</v>
      </c>
      <c r="AE217" s="16" t="n">
        <f aca="false">LOOKUP(O217,$E$23:$E$26,$A$23:$A$26)+LOOKUP(O217,$E$23:$E$26,$D$23:$D$26)*(O217-LOOKUP(O217,$E$23:$E$26))/LOOKUP(O217,$E$23:$E$26,$C$23:$C$26)</f>
        <v>4.15360702368761</v>
      </c>
      <c r="AF217" s="16" t="n">
        <f aca="false">LOOKUP(P217,$E$23:$E$26,$A$23:$A$26)+LOOKUP(P217,$E$23:$E$26,$D$23:$D$26)*(P217-LOOKUP(P217,$E$23:$E$26))/LOOKUP(P217,$E$23:$E$26,$C$23:$C$26)</f>
        <v>4.64208600370546</v>
      </c>
      <c r="AG217" s="16" t="n">
        <f aca="false">LOOKUP(Q217,$E$23:$E$26,$A$23:$A$26)+LOOKUP(Q217,$E$23:$E$26,$D$23:$D$26)*(Q217-LOOKUP(Q217,$E$23:$E$26))/LOOKUP(Q217,$E$23:$E$26,$C$23:$C$26)</f>
        <v>4.48034908169005</v>
      </c>
      <c r="AH217" s="16" t="n">
        <f aca="false">LOOKUP(R217,$E$23:$E$26,$A$23:$A$26)+LOOKUP(R217,$E$23:$E$26,$D$23:$D$26)*(R217-LOOKUP(R217,$E$23:$E$26))/LOOKUP(R217,$E$23:$E$26,$C$23:$C$26)</f>
        <v>5.04319292243969</v>
      </c>
      <c r="AI217" s="16" t="n">
        <f aca="false">LOOKUP(S217,$E$23:$E$26,$A$23:$A$26)+LOOKUP(S217,$E$23:$E$26,$D$23:$D$26)*(S217-LOOKUP(S217,$E$23:$E$26))/LOOKUP(S217,$E$23:$E$26,$C$23:$C$26)</f>
        <v>5.66432671688655</v>
      </c>
      <c r="AJ217" s="16" t="n">
        <f aca="false">SUM($T217:T217)</f>
        <v>5.67241261723666</v>
      </c>
      <c r="AK217" s="16" t="n">
        <f aca="false">SUM($T217:U217)</f>
        <v>11.3836964719104</v>
      </c>
      <c r="AL217" s="16" t="n">
        <f aca="false">SUM($T217:V217)</f>
        <v>17.1806520739582</v>
      </c>
      <c r="AM217" s="16" t="n">
        <f aca="false">SUM($T217:W217)</f>
        <v>21.2683016694172</v>
      </c>
      <c r="AN217" s="16" t="n">
        <f aca="false">SUM($T217:X217)</f>
        <v>25.7535469533455</v>
      </c>
      <c r="AO217" s="16" t="n">
        <f aca="false">SUM($T217:Y217)</f>
        <v>30.5546576760599</v>
      </c>
      <c r="AP217" s="16" t="n">
        <f aca="false">SUM($T217:Z217)</f>
        <v>35.9766971746093</v>
      </c>
      <c r="AQ217" s="16" t="n">
        <f aca="false">SUM($T217:AA217)</f>
        <v>41.4438954008291</v>
      </c>
      <c r="AR217" s="16" t="n">
        <f aca="false">SUM($T217:AB217)</f>
        <v>46.5741235961452</v>
      </c>
      <c r="AS217" s="16" t="n">
        <f aca="false">SUM($T217:AC217)</f>
        <v>51.133273435151</v>
      </c>
      <c r="AT217" s="16" t="n">
        <f aca="false">SUM($T217:AD217)</f>
        <v>56.3644247965267</v>
      </c>
      <c r="AU217" s="16" t="n">
        <f aca="false">SUM($T217:AE217)</f>
        <v>60.5180318202143</v>
      </c>
      <c r="AV217" s="16" t="n">
        <f aca="false">SUM($T217:AF217)</f>
        <v>65.1601178239197</v>
      </c>
      <c r="AW217" s="16" t="n">
        <f aca="false">SUM($T217:AG217)</f>
        <v>69.6404669056098</v>
      </c>
      <c r="AX217" s="16" t="n">
        <f aca="false">SUM($T217:AH217)</f>
        <v>74.6836598280495</v>
      </c>
      <c r="AY217" s="16" t="n">
        <f aca="false">SUM($T217:AI217)</f>
        <v>80.347986544936</v>
      </c>
      <c r="AZ217" s="16" t="n">
        <f aca="false">MAX(C217-AJ217,0)</f>
        <v>61.8977446907786</v>
      </c>
      <c r="BA217" s="16" t="n">
        <f aca="false">MAX(C217-AK217,0)</f>
        <v>56.1864608361048</v>
      </c>
      <c r="BB217" s="16" t="n">
        <f aca="false">MAX(C217-AL217,0)</f>
        <v>50.389505234057</v>
      </c>
      <c r="BC217" s="16" t="n">
        <f aca="false">MAX(C217-AM217,0)</f>
        <v>46.301855638598</v>
      </c>
      <c r="BD217" s="16" t="n">
        <f aca="false">MAX(C217-AN217,0)</f>
        <v>41.8166103546697</v>
      </c>
      <c r="BE217" s="16" t="n">
        <f aca="false">MAX(C217-AO217,0)</f>
        <v>37.0154996319554</v>
      </c>
      <c r="BF217" s="16" t="n">
        <f aca="false">MAX(C217-AP217,0)</f>
        <v>31.5934601334059</v>
      </c>
      <c r="BG217" s="16" t="n">
        <f aca="false">MAX(C217-AQ217,0)</f>
        <v>26.1262619071862</v>
      </c>
      <c r="BH217" s="16" t="n">
        <f aca="false">MAX(C217-AR217,0)</f>
        <v>20.99603371187</v>
      </c>
      <c r="BI217" s="16" t="n">
        <f aca="false">MAX(C217-AS217,0)</f>
        <v>16.4368838728643</v>
      </c>
      <c r="BJ217" s="16" t="n">
        <f aca="false">MAX(C217-AT217,0)</f>
        <v>11.2057325114886</v>
      </c>
      <c r="BK217" s="16" t="n">
        <f aca="false">MAX(C217-AU217,0)</f>
        <v>7.05212548780099</v>
      </c>
      <c r="BL217" s="16" t="n">
        <f aca="false">MAX(C217-AV217,0)</f>
        <v>2.41003948409552</v>
      </c>
      <c r="BM217" s="16" t="n">
        <f aca="false">MAX(C217-AW217,0)</f>
        <v>0</v>
      </c>
      <c r="BN217" s="16" t="n">
        <f aca="false">MAX(C217-AX217,0)</f>
        <v>0</v>
      </c>
      <c r="BO217" s="16" t="n">
        <f aca="false">MAX(C217-AY217,0)</f>
        <v>0</v>
      </c>
    </row>
    <row r="218" customFormat="false" ht="15" hidden="false" customHeight="false" outlineLevel="0" collapsed="false">
      <c r="A218" s="3" t="n">
        <v>188</v>
      </c>
      <c r="B218" s="15" t="n">
        <f aca="true">RAND()</f>
        <v>0.632874142703439</v>
      </c>
      <c r="C218" s="16" t="n">
        <f aca="false">LOOKUP(B218,$E$12:$E$17,$A$12:$A$17)+LOOKUP(B218,$E$12:$E$17,$D$12:$D$17)*(B218-LOOKUP(B218,$E$12:$E$17))/LOOKUP(B218,$E$12:$E$17,$C$12:$C$17)</f>
        <v>66.1839163243349</v>
      </c>
      <c r="D218" s="15" t="n">
        <f aca="true">RAND()</f>
        <v>0.451670011799165</v>
      </c>
      <c r="E218" s="15" t="n">
        <f aca="true">RAND()</f>
        <v>0.0856332373934763</v>
      </c>
      <c r="F218" s="15" t="n">
        <f aca="true">RAND()</f>
        <v>0.232751446200471</v>
      </c>
      <c r="G218" s="15" t="n">
        <f aca="true">RAND()</f>
        <v>0.918031279402599</v>
      </c>
      <c r="H218" s="15" t="n">
        <f aca="true">RAND()</f>
        <v>0.756731133551445</v>
      </c>
      <c r="I218" s="15" t="n">
        <f aca="true">RAND()</f>
        <v>0.901343925385956</v>
      </c>
      <c r="J218" s="15" t="n">
        <f aca="true">RAND()</f>
        <v>0.800616368663083</v>
      </c>
      <c r="K218" s="15" t="n">
        <f aca="true">RAND()</f>
        <v>0.655527919543976</v>
      </c>
      <c r="L218" s="15" t="n">
        <f aca="true">RAND()</f>
        <v>0.766692018059325</v>
      </c>
      <c r="M218" s="15" t="n">
        <f aca="true">RAND()</f>
        <v>0.341752891607988</v>
      </c>
      <c r="N218" s="15" t="n">
        <f aca="true">RAND()</f>
        <v>0.476310931240815</v>
      </c>
      <c r="O218" s="15" t="n">
        <f aca="true">RAND()</f>
        <v>0.76867378752672</v>
      </c>
      <c r="P218" s="15" t="n">
        <f aca="true">RAND()</f>
        <v>0.542184121362647</v>
      </c>
      <c r="Q218" s="15" t="n">
        <f aca="true">RAND()</f>
        <v>0.842515390990663</v>
      </c>
      <c r="R218" s="15" t="n">
        <f aca="true">RAND()</f>
        <v>0.959116305236088</v>
      </c>
      <c r="S218" s="15" t="n">
        <f aca="true">RAND()</f>
        <v>0.205402761164471</v>
      </c>
      <c r="T218" s="16" t="n">
        <f aca="false">LOOKUP(D218,$E$23:$E$26,$A$23:$A$26)+LOOKUP(D218,$E$23:$E$26,$D$23:$D$26)*(D218-LOOKUP(D218,$E$23:$E$26))/LOOKUP(D218,$E$23:$E$26,$C$23:$C$26)</f>
        <v>4.68958751474896</v>
      </c>
      <c r="U218" s="16" t="n">
        <f aca="false">LOOKUP(E218,$E$23:$E$26,$A$23:$A$26)+LOOKUP(E218,$E$23:$E$26,$D$23:$D$26)*(E218-LOOKUP(E218,$E$23:$E$26))/LOOKUP(E218,$E$23:$E$26,$C$23:$C$26)</f>
        <v>4.14272206232246</v>
      </c>
      <c r="V218" s="16" t="n">
        <f aca="false">LOOKUP(F218,$E$23:$E$26,$A$23:$A$26)+LOOKUP(F218,$E$23:$E$26,$D$23:$D$26)*(F218-LOOKUP(F218,$E$23:$E$26))/LOOKUP(F218,$E$23:$E$26,$C$23:$C$26)</f>
        <v>4.38791907700079</v>
      </c>
      <c r="W218" s="16" t="n">
        <f aca="false">LOOKUP(G218,$E$23:$E$26,$A$23:$A$26)+LOOKUP(G218,$E$23:$E$26,$D$23:$D$26)*(G218-LOOKUP(G218,$E$23:$E$26))/LOOKUP(G218,$E$23:$E$26,$C$23:$C$26)</f>
        <v>5.59015639701299</v>
      </c>
      <c r="X218" s="16" t="n">
        <f aca="false">LOOKUP(H218,$E$23:$E$26,$A$23:$A$26)+LOOKUP(H218,$E$23:$E$26,$D$23:$D$26)*(H218-LOOKUP(H218,$E$23:$E$26))/LOOKUP(H218,$E$23:$E$26,$C$23:$C$26)</f>
        <v>5.14182783387861</v>
      </c>
      <c r="Y218" s="16" t="n">
        <f aca="false">LOOKUP(I218,$E$23:$E$26,$A$23:$A$26)+LOOKUP(I218,$E$23:$E$26,$D$23:$D$26)*(I218-LOOKUP(I218,$E$23:$E$26))/LOOKUP(I218,$E$23:$E$26,$C$23:$C$26)</f>
        <v>5.50671962692978</v>
      </c>
      <c r="Z218" s="16" t="n">
        <f aca="false">LOOKUP(J218,$E$23:$E$26,$A$23:$A$26)+LOOKUP(J218,$E$23:$E$26,$D$23:$D$26)*(J218-LOOKUP(J218,$E$23:$E$26))/LOOKUP(J218,$E$23:$E$26,$C$23:$C$26)</f>
        <v>5.25154092165771</v>
      </c>
      <c r="AA218" s="16" t="n">
        <f aca="false">LOOKUP(K218,$E$23:$E$26,$A$23:$A$26)+LOOKUP(K218,$E$23:$E$26,$D$23:$D$26)*(K218-LOOKUP(K218,$E$23:$E$26))/LOOKUP(K218,$E$23:$E$26,$C$23:$C$26)</f>
        <v>4.94440989942997</v>
      </c>
      <c r="AB218" s="16" t="n">
        <f aca="false">LOOKUP(L218,$E$23:$E$26,$A$23:$A$26)+LOOKUP(L218,$E$23:$E$26,$D$23:$D$26)*(L218-LOOKUP(L218,$E$23:$E$26))/LOOKUP(L218,$E$23:$E$26,$C$23:$C$26)</f>
        <v>5.16673004514831</v>
      </c>
      <c r="AC218" s="16" t="n">
        <f aca="false">LOOKUP(M218,$E$23:$E$26,$A$23:$A$26)+LOOKUP(M218,$E$23:$E$26,$D$23:$D$26)*(M218-LOOKUP(M218,$E$23:$E$26))/LOOKUP(M218,$E$23:$E$26,$C$23:$C$26)</f>
        <v>4.55219111450999</v>
      </c>
      <c r="AD218" s="16" t="n">
        <f aca="false">LOOKUP(N218,$E$23:$E$26,$A$23:$A$26)+LOOKUP(N218,$E$23:$E$26,$D$23:$D$26)*(N218-LOOKUP(N218,$E$23:$E$26))/LOOKUP(N218,$E$23:$E$26,$C$23:$C$26)</f>
        <v>4.72038866405102</v>
      </c>
      <c r="AE218" s="16" t="n">
        <f aca="false">LOOKUP(O218,$E$23:$E$26,$A$23:$A$26)+LOOKUP(O218,$E$23:$E$26,$D$23:$D$26)*(O218-LOOKUP(O218,$E$23:$E$26))/LOOKUP(O218,$E$23:$E$26,$C$23:$C$26)</f>
        <v>5.1716844688168</v>
      </c>
      <c r="AF218" s="16" t="n">
        <f aca="false">LOOKUP(P218,$E$23:$E$26,$A$23:$A$26)+LOOKUP(P218,$E$23:$E$26,$D$23:$D$26)*(P218-LOOKUP(P218,$E$23:$E$26))/LOOKUP(P218,$E$23:$E$26,$C$23:$C$26)</f>
        <v>4.80273015170331</v>
      </c>
      <c r="AG218" s="16" t="n">
        <f aca="false">LOOKUP(Q218,$E$23:$E$26,$A$23:$A$26)+LOOKUP(Q218,$E$23:$E$26,$D$23:$D$26)*(Q218-LOOKUP(Q218,$E$23:$E$26))/LOOKUP(Q218,$E$23:$E$26,$C$23:$C$26)</f>
        <v>5.35628847747666</v>
      </c>
      <c r="AH218" s="16" t="n">
        <f aca="false">LOOKUP(R218,$E$23:$E$26,$A$23:$A$26)+LOOKUP(R218,$E$23:$E$26,$D$23:$D$26)*(R218-LOOKUP(R218,$E$23:$E$26))/LOOKUP(R218,$E$23:$E$26,$C$23:$C$26)</f>
        <v>5.79558152618044</v>
      </c>
      <c r="AI218" s="16" t="n">
        <f aca="false">LOOKUP(S218,$E$23:$E$26,$A$23:$A$26)+LOOKUP(S218,$E$23:$E$26,$D$23:$D$26)*(S218-LOOKUP(S218,$E$23:$E$26))/LOOKUP(S218,$E$23:$E$26,$C$23:$C$26)</f>
        <v>4.34233793527412</v>
      </c>
      <c r="AJ218" s="16" t="n">
        <f aca="false">SUM($T218:T218)</f>
        <v>4.68958751474896</v>
      </c>
      <c r="AK218" s="16" t="n">
        <f aca="false">SUM($T218:U218)</f>
        <v>8.83230957707142</v>
      </c>
      <c r="AL218" s="16" t="n">
        <f aca="false">SUM($T218:V218)</f>
        <v>13.2202286540722</v>
      </c>
      <c r="AM218" s="16" t="n">
        <f aca="false">SUM($T218:W218)</f>
        <v>18.8103850510852</v>
      </c>
      <c r="AN218" s="16" t="n">
        <f aca="false">SUM($T218:X218)</f>
        <v>23.9522128849638</v>
      </c>
      <c r="AO218" s="16" t="n">
        <f aca="false">SUM($T218:Y218)</f>
        <v>29.4589325118936</v>
      </c>
      <c r="AP218" s="16" t="n">
        <f aca="false">SUM($T218:Z218)</f>
        <v>34.7104734335513</v>
      </c>
      <c r="AQ218" s="16" t="n">
        <f aca="false">SUM($T218:AA218)</f>
        <v>39.6548833329813</v>
      </c>
      <c r="AR218" s="16" t="n">
        <f aca="false">SUM($T218:AB218)</f>
        <v>44.8216133781296</v>
      </c>
      <c r="AS218" s="16" t="n">
        <f aca="false">SUM($T218:AC218)</f>
        <v>49.3738044926396</v>
      </c>
      <c r="AT218" s="16" t="n">
        <f aca="false">SUM($T218:AD218)</f>
        <v>54.0941931566906</v>
      </c>
      <c r="AU218" s="16" t="n">
        <f aca="false">SUM($T218:AE218)</f>
        <v>59.2658776255074</v>
      </c>
      <c r="AV218" s="16" t="n">
        <f aca="false">SUM($T218:AF218)</f>
        <v>64.0686077772107</v>
      </c>
      <c r="AW218" s="16" t="n">
        <f aca="false">SUM($T218:AG218)</f>
        <v>69.4248962546873</v>
      </c>
      <c r="AX218" s="16" t="n">
        <f aca="false">SUM($T218:AH218)</f>
        <v>75.2204777808678</v>
      </c>
      <c r="AY218" s="16" t="n">
        <f aca="false">SUM($T218:AI218)</f>
        <v>79.5628157161419</v>
      </c>
      <c r="AZ218" s="16" t="n">
        <f aca="false">MAX(C218-AJ218,0)</f>
        <v>61.4943288095859</v>
      </c>
      <c r="BA218" s="16" t="n">
        <f aca="false">MAX(C218-AK218,0)</f>
        <v>57.3516067472634</v>
      </c>
      <c r="BB218" s="16" t="n">
        <f aca="false">MAX(C218-AL218,0)</f>
        <v>52.9636876702626</v>
      </c>
      <c r="BC218" s="16" t="n">
        <f aca="false">MAX(C218-AM218,0)</f>
        <v>47.3735312732497</v>
      </c>
      <c r="BD218" s="16" t="n">
        <f aca="false">MAX(C218-AN218,0)</f>
        <v>42.231703439371</v>
      </c>
      <c r="BE218" s="16" t="n">
        <f aca="false">MAX(C218-AO218,0)</f>
        <v>36.7249838124413</v>
      </c>
      <c r="BF218" s="16" t="n">
        <f aca="false">MAX(C218-AP218,0)</f>
        <v>31.4734428907835</v>
      </c>
      <c r="BG218" s="16" t="n">
        <f aca="false">MAX(C218-AQ218,0)</f>
        <v>26.5290329913536</v>
      </c>
      <c r="BH218" s="16" t="n">
        <f aca="false">MAX(C218-AR218,0)</f>
        <v>21.3623029462053</v>
      </c>
      <c r="BI218" s="16" t="n">
        <f aca="false">MAX(C218-AS218,0)</f>
        <v>16.8101118316953</v>
      </c>
      <c r="BJ218" s="16" t="n">
        <f aca="false">MAX(C218-AT218,0)</f>
        <v>12.0897231676443</v>
      </c>
      <c r="BK218" s="16" t="n">
        <f aca="false">MAX(C218-AU218,0)</f>
        <v>6.91803869882746</v>
      </c>
      <c r="BL218" s="16" t="n">
        <f aca="false">MAX(C218-AV218,0)</f>
        <v>2.11530854712414</v>
      </c>
      <c r="BM218" s="16" t="n">
        <f aca="false">MAX(C218-AW218,0)</f>
        <v>0</v>
      </c>
      <c r="BN218" s="16" t="n">
        <f aca="false">MAX(C218-AX218,0)</f>
        <v>0</v>
      </c>
      <c r="BO218" s="16" t="n">
        <f aca="false">MAX(C218-AY218,0)</f>
        <v>0</v>
      </c>
    </row>
    <row r="219" customFormat="false" ht="15" hidden="false" customHeight="false" outlineLevel="0" collapsed="false">
      <c r="A219" s="3" t="n">
        <v>189</v>
      </c>
      <c r="B219" s="15" t="n">
        <f aca="true">RAND()</f>
        <v>0.853873862356614</v>
      </c>
      <c r="C219" s="16" t="n">
        <f aca="false">LOOKUP(B219,$E$12:$E$17,$A$12:$A$17)+LOOKUP(B219,$E$12:$E$17,$D$12:$D$17)*(B219-LOOKUP(B219,$E$12:$E$17))/LOOKUP(B219,$E$12:$E$17,$C$12:$C$17)</f>
        <v>69.3410551765231</v>
      </c>
      <c r="D219" s="15" t="n">
        <f aca="true">RAND()</f>
        <v>0.894029918957225</v>
      </c>
      <c r="E219" s="15" t="n">
        <f aca="true">RAND()</f>
        <v>0.909345025580621</v>
      </c>
      <c r="F219" s="15" t="n">
        <f aca="true">RAND()</f>
        <v>0.923306238930578</v>
      </c>
      <c r="G219" s="15" t="n">
        <f aca="true">RAND()</f>
        <v>0.548320362186302</v>
      </c>
      <c r="H219" s="15" t="n">
        <f aca="true">RAND()</f>
        <v>0.663369000032175</v>
      </c>
      <c r="I219" s="15" t="n">
        <f aca="true">RAND()</f>
        <v>0.453075015284566</v>
      </c>
      <c r="J219" s="15" t="n">
        <f aca="true">RAND()</f>
        <v>0.511227129075818</v>
      </c>
      <c r="K219" s="15" t="n">
        <f aca="true">RAND()</f>
        <v>0.787738094520116</v>
      </c>
      <c r="L219" s="15" t="n">
        <f aca="true">RAND()</f>
        <v>0.388589991662798</v>
      </c>
      <c r="M219" s="15" t="n">
        <f aca="true">RAND()</f>
        <v>0.824530674729786</v>
      </c>
      <c r="N219" s="15" t="n">
        <f aca="true">RAND()</f>
        <v>0.137555196148729</v>
      </c>
      <c r="O219" s="15" t="n">
        <f aca="true">RAND()</f>
        <v>0.609736392599535</v>
      </c>
      <c r="P219" s="15" t="n">
        <f aca="true">RAND()</f>
        <v>0.560468015011668</v>
      </c>
      <c r="Q219" s="15" t="n">
        <f aca="true">RAND()</f>
        <v>0.00348515136204372</v>
      </c>
      <c r="R219" s="15" t="n">
        <f aca="true">RAND()</f>
        <v>0.0562165055897185</v>
      </c>
      <c r="S219" s="15" t="n">
        <f aca="true">RAND()</f>
        <v>0.928391232025085</v>
      </c>
      <c r="T219" s="16" t="n">
        <f aca="false">LOOKUP(D219,$E$23:$E$26,$A$23:$A$26)+LOOKUP(D219,$E$23:$E$26,$D$23:$D$26)*(D219-LOOKUP(D219,$E$23:$E$26))/LOOKUP(D219,$E$23:$E$26,$C$23:$C$26)</f>
        <v>5.48507479739306</v>
      </c>
      <c r="U219" s="16" t="n">
        <f aca="false">LOOKUP(E219,$E$23:$E$26,$A$23:$A$26)+LOOKUP(E219,$E$23:$E$26,$D$23:$D$26)*(E219-LOOKUP(E219,$E$23:$E$26))/LOOKUP(E219,$E$23:$E$26,$C$23:$C$26)</f>
        <v>5.5467251279031</v>
      </c>
      <c r="V219" s="16" t="n">
        <f aca="false">LOOKUP(F219,$E$23:$E$26,$A$23:$A$26)+LOOKUP(F219,$E$23:$E$26,$D$23:$D$26)*(F219-LOOKUP(F219,$E$23:$E$26))/LOOKUP(F219,$E$23:$E$26,$C$23:$C$26)</f>
        <v>5.61653119465289</v>
      </c>
      <c r="W219" s="16" t="n">
        <f aca="false">LOOKUP(G219,$E$23:$E$26,$A$23:$A$26)+LOOKUP(G219,$E$23:$E$26,$D$23:$D$26)*(G219-LOOKUP(G219,$E$23:$E$26))/LOOKUP(G219,$E$23:$E$26,$C$23:$C$26)</f>
        <v>4.81040045273288</v>
      </c>
      <c r="X219" s="16" t="n">
        <f aca="false">LOOKUP(H219,$E$23:$E$26,$A$23:$A$26)+LOOKUP(H219,$E$23:$E$26,$D$23:$D$26)*(H219-LOOKUP(H219,$E$23:$E$26))/LOOKUP(H219,$E$23:$E$26,$C$23:$C$26)</f>
        <v>4.95421125004022</v>
      </c>
      <c r="Y219" s="16" t="n">
        <f aca="false">LOOKUP(I219,$E$23:$E$26,$A$23:$A$26)+LOOKUP(I219,$E$23:$E$26,$D$23:$D$26)*(I219-LOOKUP(I219,$E$23:$E$26))/LOOKUP(I219,$E$23:$E$26,$C$23:$C$26)</f>
        <v>4.69134376910571</v>
      </c>
      <c r="Z219" s="16" t="n">
        <f aca="false">LOOKUP(J219,$E$23:$E$26,$A$23:$A$26)+LOOKUP(J219,$E$23:$E$26,$D$23:$D$26)*(J219-LOOKUP(J219,$E$23:$E$26))/LOOKUP(J219,$E$23:$E$26,$C$23:$C$26)</f>
        <v>4.76403391134477</v>
      </c>
      <c r="AA219" s="16" t="n">
        <f aca="false">LOOKUP(K219,$E$23:$E$26,$A$23:$A$26)+LOOKUP(K219,$E$23:$E$26,$D$23:$D$26)*(K219-LOOKUP(K219,$E$23:$E$26))/LOOKUP(K219,$E$23:$E$26,$C$23:$C$26)</f>
        <v>5.21934523630029</v>
      </c>
      <c r="AB219" s="16" t="n">
        <f aca="false">LOOKUP(L219,$E$23:$E$26,$A$23:$A$26)+LOOKUP(L219,$E$23:$E$26,$D$23:$D$26)*(L219-LOOKUP(L219,$E$23:$E$26))/LOOKUP(L219,$E$23:$E$26,$C$23:$C$26)</f>
        <v>4.6107374895785</v>
      </c>
      <c r="AC219" s="16" t="n">
        <f aca="false">LOOKUP(M219,$E$23:$E$26,$A$23:$A$26)+LOOKUP(M219,$E$23:$E$26,$D$23:$D$26)*(M219-LOOKUP(M219,$E$23:$E$26))/LOOKUP(M219,$E$23:$E$26,$C$23:$C$26)</f>
        <v>5.31132668682447</v>
      </c>
      <c r="AD219" s="16" t="n">
        <f aca="false">LOOKUP(N219,$E$23:$E$26,$A$23:$A$26)+LOOKUP(N219,$E$23:$E$26,$D$23:$D$26)*(N219-LOOKUP(N219,$E$23:$E$26))/LOOKUP(N219,$E$23:$E$26,$C$23:$C$26)</f>
        <v>4.22925866024788</v>
      </c>
      <c r="AE219" s="16" t="n">
        <f aca="false">LOOKUP(O219,$E$23:$E$26,$A$23:$A$26)+LOOKUP(O219,$E$23:$E$26,$D$23:$D$26)*(O219-LOOKUP(O219,$E$23:$E$26))/LOOKUP(O219,$E$23:$E$26,$C$23:$C$26)</f>
        <v>4.88717049074942</v>
      </c>
      <c r="AF219" s="16" t="n">
        <f aca="false">LOOKUP(P219,$E$23:$E$26,$A$23:$A$26)+LOOKUP(P219,$E$23:$E$26,$D$23:$D$26)*(P219-LOOKUP(P219,$E$23:$E$26))/LOOKUP(P219,$E$23:$E$26,$C$23:$C$26)</f>
        <v>4.82558501876459</v>
      </c>
      <c r="AG219" s="16" t="n">
        <f aca="false">LOOKUP(Q219,$E$23:$E$26,$A$23:$A$26)+LOOKUP(Q219,$E$23:$E$26,$D$23:$D$26)*(Q219-LOOKUP(Q219,$E$23:$E$26))/LOOKUP(Q219,$E$23:$E$26,$C$23:$C$26)</f>
        <v>4.00580858560341</v>
      </c>
      <c r="AH219" s="16" t="n">
        <f aca="false">LOOKUP(R219,$E$23:$E$26,$A$23:$A$26)+LOOKUP(R219,$E$23:$E$26,$D$23:$D$26)*(R219-LOOKUP(R219,$E$23:$E$26))/LOOKUP(R219,$E$23:$E$26,$C$23:$C$26)</f>
        <v>4.09369417598286</v>
      </c>
      <c r="AI219" s="16" t="n">
        <f aca="false">LOOKUP(S219,$E$23:$E$26,$A$23:$A$26)+LOOKUP(S219,$E$23:$E$26,$D$23:$D$26)*(S219-LOOKUP(S219,$E$23:$E$26))/LOOKUP(S219,$E$23:$E$26,$C$23:$C$26)</f>
        <v>5.64195616012543</v>
      </c>
      <c r="AJ219" s="16" t="n">
        <f aca="false">SUM($T219:T219)</f>
        <v>5.48507479739306</v>
      </c>
      <c r="AK219" s="16" t="n">
        <f aca="false">SUM($T219:U219)</f>
        <v>11.0317999252962</v>
      </c>
      <c r="AL219" s="16" t="n">
        <f aca="false">SUM($T219:V219)</f>
        <v>16.6483311199491</v>
      </c>
      <c r="AM219" s="16" t="n">
        <f aca="false">SUM($T219:W219)</f>
        <v>21.4587315726819</v>
      </c>
      <c r="AN219" s="16" t="n">
        <f aca="false">SUM($T219:X219)</f>
        <v>26.4129428227222</v>
      </c>
      <c r="AO219" s="16" t="n">
        <f aca="false">SUM($T219:Y219)</f>
        <v>31.1042865918279</v>
      </c>
      <c r="AP219" s="16" t="n">
        <f aca="false">SUM($T219:Z219)</f>
        <v>35.8683205031726</v>
      </c>
      <c r="AQ219" s="16" t="n">
        <f aca="false">SUM($T219:AA219)</f>
        <v>41.0876657394729</v>
      </c>
      <c r="AR219" s="16" t="n">
        <f aca="false">SUM($T219:AB219)</f>
        <v>45.6984032290514</v>
      </c>
      <c r="AS219" s="16" t="n">
        <f aca="false">SUM($T219:AC219)</f>
        <v>51.0097299158759</v>
      </c>
      <c r="AT219" s="16" t="n">
        <f aca="false">SUM($T219:AD219)</f>
        <v>55.2389885761238</v>
      </c>
      <c r="AU219" s="16" t="n">
        <f aca="false">SUM($T219:AE219)</f>
        <v>60.1261590668732</v>
      </c>
      <c r="AV219" s="16" t="n">
        <f aca="false">SUM($T219:AF219)</f>
        <v>64.9517440856378</v>
      </c>
      <c r="AW219" s="16" t="n">
        <f aca="false">SUM($T219:AG219)</f>
        <v>68.9575526712412</v>
      </c>
      <c r="AX219" s="16" t="n">
        <f aca="false">SUM($T219:AH219)</f>
        <v>73.051246847224</v>
      </c>
      <c r="AY219" s="16" t="n">
        <f aca="false">SUM($T219:AI219)</f>
        <v>78.6932030073495</v>
      </c>
      <c r="AZ219" s="16" t="n">
        <f aca="false">MAX(C219-AJ219,0)</f>
        <v>63.85598037913</v>
      </c>
      <c r="BA219" s="16" t="n">
        <f aca="false">MAX(C219-AK219,0)</f>
        <v>58.3092552512269</v>
      </c>
      <c r="BB219" s="16" t="n">
        <f aca="false">MAX(C219-AL219,0)</f>
        <v>52.692724056574</v>
      </c>
      <c r="BC219" s="16" t="n">
        <f aca="false">MAX(C219-AM219,0)</f>
        <v>47.8823236038411</v>
      </c>
      <c r="BD219" s="16" t="n">
        <f aca="false">MAX(C219-AN219,0)</f>
        <v>42.9281123538009</v>
      </c>
      <c r="BE219" s="16" t="n">
        <f aca="false">MAX(C219-AO219,0)</f>
        <v>38.2367685846952</v>
      </c>
      <c r="BF219" s="16" t="n">
        <f aca="false">MAX(C219-AP219,0)</f>
        <v>33.4727346733504</v>
      </c>
      <c r="BG219" s="16" t="n">
        <f aca="false">MAX(C219-AQ219,0)</f>
        <v>28.2533894370501</v>
      </c>
      <c r="BH219" s="16" t="n">
        <f aca="false">MAX(C219-AR219,0)</f>
        <v>23.6426519474716</v>
      </c>
      <c r="BI219" s="16" t="n">
        <f aca="false">MAX(C219-AS219,0)</f>
        <v>18.3313252606472</v>
      </c>
      <c r="BJ219" s="16" t="n">
        <f aca="false">MAX(C219-AT219,0)</f>
        <v>14.1020666003993</v>
      </c>
      <c r="BK219" s="16" t="n">
        <f aca="false">MAX(C219-AU219,0)</f>
        <v>9.21489610964987</v>
      </c>
      <c r="BL219" s="16" t="n">
        <f aca="false">MAX(C219-AV219,0)</f>
        <v>4.38931109088529</v>
      </c>
      <c r="BM219" s="16" t="n">
        <f aca="false">MAX(C219-AW219,0)</f>
        <v>0.383502505281882</v>
      </c>
      <c r="BN219" s="16" t="n">
        <f aca="false">MAX(C219-AX219,0)</f>
        <v>0</v>
      </c>
      <c r="BO219" s="16" t="n">
        <f aca="false">MAX(C219-AY219,0)</f>
        <v>0</v>
      </c>
    </row>
    <row r="220" customFormat="false" ht="15" hidden="false" customHeight="false" outlineLevel="0" collapsed="false">
      <c r="A220" s="3" t="n">
        <v>190</v>
      </c>
      <c r="B220" s="15" t="n">
        <f aca="true">RAND()</f>
        <v>0.746918970487059</v>
      </c>
      <c r="C220" s="16" t="n">
        <f aca="false">LOOKUP(B220,$E$12:$E$17,$A$12:$A$17)+LOOKUP(B220,$E$12:$E$17,$D$12:$D$17)*(B220-LOOKUP(B220,$E$12:$E$17))/LOOKUP(B220,$E$12:$E$17,$C$12:$C$17)</f>
        <v>67.8131281498151</v>
      </c>
      <c r="D220" s="15" t="n">
        <f aca="true">RAND()</f>
        <v>0.212984007343982</v>
      </c>
      <c r="E220" s="15" t="n">
        <f aca="true">RAND()</f>
        <v>0.316153364026377</v>
      </c>
      <c r="F220" s="15" t="n">
        <f aca="true">RAND()</f>
        <v>0.458503732118268</v>
      </c>
      <c r="G220" s="15" t="n">
        <f aca="true">RAND()</f>
        <v>0.722281174877673</v>
      </c>
      <c r="H220" s="15" t="n">
        <f aca="true">RAND()</f>
        <v>0.642608204661326</v>
      </c>
      <c r="I220" s="15" t="n">
        <f aca="true">RAND()</f>
        <v>0.867626246681213</v>
      </c>
      <c r="J220" s="15" t="n">
        <f aca="true">RAND()</f>
        <v>0.794391165638268</v>
      </c>
      <c r="K220" s="15" t="n">
        <f aca="true">RAND()</f>
        <v>0.353677722300495</v>
      </c>
      <c r="L220" s="15" t="n">
        <f aca="true">RAND()</f>
        <v>0.168722298845089</v>
      </c>
      <c r="M220" s="15" t="n">
        <f aca="true">RAND()</f>
        <v>0.334386085615676</v>
      </c>
      <c r="N220" s="15" t="n">
        <f aca="true">RAND()</f>
        <v>0.893903689780151</v>
      </c>
      <c r="O220" s="15" t="n">
        <f aca="true">RAND()</f>
        <v>0.521323132081943</v>
      </c>
      <c r="P220" s="15" t="n">
        <f aca="true">RAND()</f>
        <v>0.0533269876030921</v>
      </c>
      <c r="Q220" s="15" t="n">
        <f aca="true">RAND()</f>
        <v>0.350689269810513</v>
      </c>
      <c r="R220" s="15" t="n">
        <f aca="true">RAND()</f>
        <v>0.367969864385558</v>
      </c>
      <c r="S220" s="15" t="n">
        <f aca="true">RAND()</f>
        <v>0.665892632598756</v>
      </c>
      <c r="T220" s="16" t="n">
        <f aca="false">LOOKUP(D220,$E$23:$E$26,$A$23:$A$26)+LOOKUP(D220,$E$23:$E$26,$D$23:$D$26)*(D220-LOOKUP(D220,$E$23:$E$26))/LOOKUP(D220,$E$23:$E$26,$C$23:$C$26)</f>
        <v>4.3549733455733</v>
      </c>
      <c r="U220" s="16" t="n">
        <f aca="false">LOOKUP(E220,$E$23:$E$26,$A$23:$A$26)+LOOKUP(E220,$E$23:$E$26,$D$23:$D$26)*(E220-LOOKUP(E220,$E$23:$E$26))/LOOKUP(E220,$E$23:$E$26,$C$23:$C$26)</f>
        <v>4.52019170503297</v>
      </c>
      <c r="V220" s="16" t="n">
        <f aca="false">LOOKUP(F220,$E$23:$E$26,$A$23:$A$26)+LOOKUP(F220,$E$23:$E$26,$D$23:$D$26)*(F220-LOOKUP(F220,$E$23:$E$26))/LOOKUP(F220,$E$23:$E$26,$C$23:$C$26)</f>
        <v>4.69812966514784</v>
      </c>
      <c r="W220" s="16" t="n">
        <f aca="false">LOOKUP(G220,$E$23:$E$26,$A$23:$A$26)+LOOKUP(G220,$E$23:$E$26,$D$23:$D$26)*(G220-LOOKUP(G220,$E$23:$E$26))/LOOKUP(G220,$E$23:$E$26,$C$23:$C$26)</f>
        <v>5.05570293719418</v>
      </c>
      <c r="X220" s="16" t="n">
        <f aca="false">LOOKUP(H220,$E$23:$E$26,$A$23:$A$26)+LOOKUP(H220,$E$23:$E$26,$D$23:$D$26)*(H220-LOOKUP(H220,$E$23:$E$26))/LOOKUP(H220,$E$23:$E$26,$C$23:$C$26)</f>
        <v>4.92826025582666</v>
      </c>
      <c r="Y220" s="16" t="n">
        <f aca="false">LOOKUP(I220,$E$23:$E$26,$A$23:$A$26)+LOOKUP(I220,$E$23:$E$26,$D$23:$D$26)*(I220-LOOKUP(I220,$E$23:$E$26))/LOOKUP(I220,$E$23:$E$26,$C$23:$C$26)</f>
        <v>5.41906561670303</v>
      </c>
      <c r="Z220" s="16" t="n">
        <f aca="false">LOOKUP(J220,$E$23:$E$26,$A$23:$A$26)+LOOKUP(J220,$E$23:$E$26,$D$23:$D$26)*(J220-LOOKUP(J220,$E$23:$E$26))/LOOKUP(J220,$E$23:$E$26,$C$23:$C$26)</f>
        <v>5.23597791409567</v>
      </c>
      <c r="AA220" s="16" t="n">
        <f aca="false">LOOKUP(K220,$E$23:$E$26,$A$23:$A$26)+LOOKUP(K220,$E$23:$E$26,$D$23:$D$26)*(K220-LOOKUP(K220,$E$23:$E$26))/LOOKUP(K220,$E$23:$E$26,$C$23:$C$26)</f>
        <v>4.56709715287562</v>
      </c>
      <c r="AB220" s="16" t="n">
        <f aca="false">LOOKUP(L220,$E$23:$E$26,$A$23:$A$26)+LOOKUP(L220,$E$23:$E$26,$D$23:$D$26)*(L220-LOOKUP(L220,$E$23:$E$26))/LOOKUP(L220,$E$23:$E$26,$C$23:$C$26)</f>
        <v>4.28120383140848</v>
      </c>
      <c r="AC220" s="16" t="n">
        <f aca="false">LOOKUP(M220,$E$23:$E$26,$A$23:$A$26)+LOOKUP(M220,$E$23:$E$26,$D$23:$D$26)*(M220-LOOKUP(M220,$E$23:$E$26))/LOOKUP(M220,$E$23:$E$26,$C$23:$C$26)</f>
        <v>4.5429826070196</v>
      </c>
      <c r="AD220" s="16" t="n">
        <f aca="false">LOOKUP(N220,$E$23:$E$26,$A$23:$A$26)+LOOKUP(N220,$E$23:$E$26,$D$23:$D$26)*(N220-LOOKUP(N220,$E$23:$E$26))/LOOKUP(N220,$E$23:$E$26,$C$23:$C$26)</f>
        <v>5.48475922445038</v>
      </c>
      <c r="AE220" s="16" t="n">
        <f aca="false">LOOKUP(O220,$E$23:$E$26,$A$23:$A$26)+LOOKUP(O220,$E$23:$E$26,$D$23:$D$26)*(O220-LOOKUP(O220,$E$23:$E$26))/LOOKUP(O220,$E$23:$E$26,$C$23:$C$26)</f>
        <v>4.77665391510243</v>
      </c>
      <c r="AF220" s="16" t="n">
        <f aca="false">LOOKUP(P220,$E$23:$E$26,$A$23:$A$26)+LOOKUP(P220,$E$23:$E$26,$D$23:$D$26)*(P220-LOOKUP(P220,$E$23:$E$26))/LOOKUP(P220,$E$23:$E$26,$C$23:$C$26)</f>
        <v>4.08887831267182</v>
      </c>
      <c r="AG220" s="16" t="n">
        <f aca="false">LOOKUP(Q220,$E$23:$E$26,$A$23:$A$26)+LOOKUP(Q220,$E$23:$E$26,$D$23:$D$26)*(Q220-LOOKUP(Q220,$E$23:$E$26))/LOOKUP(Q220,$E$23:$E$26,$C$23:$C$26)</f>
        <v>4.56336158726314</v>
      </c>
      <c r="AH220" s="16" t="n">
        <f aca="false">LOOKUP(R220,$E$23:$E$26,$A$23:$A$26)+LOOKUP(R220,$E$23:$E$26,$D$23:$D$26)*(R220-LOOKUP(R220,$E$23:$E$26))/LOOKUP(R220,$E$23:$E$26,$C$23:$C$26)</f>
        <v>4.58496233048195</v>
      </c>
      <c r="AI220" s="16" t="n">
        <f aca="false">LOOKUP(S220,$E$23:$E$26,$A$23:$A$26)+LOOKUP(S220,$E$23:$E$26,$D$23:$D$26)*(S220-LOOKUP(S220,$E$23:$E$26))/LOOKUP(S220,$E$23:$E$26,$C$23:$C$26)</f>
        <v>4.95736579074845</v>
      </c>
      <c r="AJ220" s="16" t="n">
        <f aca="false">SUM($T220:T220)</f>
        <v>4.3549733455733</v>
      </c>
      <c r="AK220" s="16" t="n">
        <f aca="false">SUM($T220:U220)</f>
        <v>8.87516505060627</v>
      </c>
      <c r="AL220" s="16" t="n">
        <f aca="false">SUM($T220:V220)</f>
        <v>13.5732947157541</v>
      </c>
      <c r="AM220" s="16" t="n">
        <f aca="false">SUM($T220:W220)</f>
        <v>18.6289976529483</v>
      </c>
      <c r="AN220" s="16" t="n">
        <f aca="false">SUM($T220:X220)</f>
        <v>23.557257908775</v>
      </c>
      <c r="AO220" s="16" t="n">
        <f aca="false">SUM($T220:Y220)</f>
        <v>28.976323525478</v>
      </c>
      <c r="AP220" s="16" t="n">
        <f aca="false">SUM($T220:Z220)</f>
        <v>34.2123014395737</v>
      </c>
      <c r="AQ220" s="16" t="n">
        <f aca="false">SUM($T220:AA220)</f>
        <v>38.7793985924493</v>
      </c>
      <c r="AR220" s="16" t="n">
        <f aca="false">SUM($T220:AB220)</f>
        <v>43.0606024238578</v>
      </c>
      <c r="AS220" s="16" t="n">
        <f aca="false">SUM($T220:AC220)</f>
        <v>47.6035850308774</v>
      </c>
      <c r="AT220" s="16" t="n">
        <f aca="false">SUM($T220:AD220)</f>
        <v>53.0883442553277</v>
      </c>
      <c r="AU220" s="16" t="n">
        <f aca="false">SUM($T220:AE220)</f>
        <v>57.8649981704302</v>
      </c>
      <c r="AV220" s="16" t="n">
        <f aca="false">SUM($T220:AF220)</f>
        <v>61.953876483102</v>
      </c>
      <c r="AW220" s="16" t="n">
        <f aca="false">SUM($T220:AG220)</f>
        <v>66.5172380703651</v>
      </c>
      <c r="AX220" s="16" t="n">
        <f aca="false">SUM($T220:AH220)</f>
        <v>71.1022004008471</v>
      </c>
      <c r="AY220" s="16" t="n">
        <f aca="false">SUM($T220:AI220)</f>
        <v>76.0595661915955</v>
      </c>
      <c r="AZ220" s="16" t="n">
        <f aca="false">MAX(C220-AJ220,0)</f>
        <v>63.4581548042418</v>
      </c>
      <c r="BA220" s="16" t="n">
        <f aca="false">MAX(C220-AK220,0)</f>
        <v>58.9379630992089</v>
      </c>
      <c r="BB220" s="16" t="n">
        <f aca="false">MAX(C220-AL220,0)</f>
        <v>54.239833434061</v>
      </c>
      <c r="BC220" s="16" t="n">
        <f aca="false">MAX(C220-AM220,0)</f>
        <v>49.1841304968668</v>
      </c>
      <c r="BD220" s="16" t="n">
        <f aca="false">MAX(C220-AN220,0)</f>
        <v>44.2558702410402</v>
      </c>
      <c r="BE220" s="16" t="n">
        <f aca="false">MAX(C220-AO220,0)</f>
        <v>38.8368046243372</v>
      </c>
      <c r="BF220" s="16" t="n">
        <f aca="false">MAX(C220-AP220,0)</f>
        <v>33.6008267102415</v>
      </c>
      <c r="BG220" s="16" t="n">
        <f aca="false">MAX(C220-AQ220,0)</f>
        <v>29.0337295573659</v>
      </c>
      <c r="BH220" s="16" t="n">
        <f aca="false">MAX(C220-AR220,0)</f>
        <v>24.7525257259574</v>
      </c>
      <c r="BI220" s="16" t="n">
        <f aca="false">MAX(C220-AS220,0)</f>
        <v>20.2095431189378</v>
      </c>
      <c r="BJ220" s="16" t="n">
        <f aca="false">MAX(C220-AT220,0)</f>
        <v>14.7247838944874</v>
      </c>
      <c r="BK220" s="16" t="n">
        <f aca="false">MAX(C220-AU220,0)</f>
        <v>9.94812997938497</v>
      </c>
      <c r="BL220" s="16" t="n">
        <f aca="false">MAX(C220-AV220,0)</f>
        <v>5.85925166671316</v>
      </c>
      <c r="BM220" s="16" t="n">
        <f aca="false">MAX(C220-AW220,0)</f>
        <v>1.29589007945002</v>
      </c>
      <c r="BN220" s="16" t="n">
        <f aca="false">MAX(C220-AX220,0)</f>
        <v>0</v>
      </c>
      <c r="BO220" s="16" t="n">
        <f aca="false">MAX(C220-AY220,0)</f>
        <v>0</v>
      </c>
    </row>
    <row r="221" customFormat="false" ht="15" hidden="false" customHeight="false" outlineLevel="0" collapsed="false">
      <c r="A221" s="3" t="n">
        <v>191</v>
      </c>
      <c r="B221" s="15" t="n">
        <f aca="true">RAND()</f>
        <v>0.232258955801581</v>
      </c>
      <c r="C221" s="16" t="n">
        <f aca="false">LOOKUP(B221,$E$12:$E$17,$A$12:$A$17)+LOOKUP(B221,$E$12:$E$17,$D$12:$D$17)*(B221-LOOKUP(B221,$E$12:$E$17))/LOOKUP(B221,$E$12:$E$17,$C$12:$C$17)</f>
        <v>59.4086318600527</v>
      </c>
      <c r="D221" s="15" t="n">
        <f aca="true">RAND()</f>
        <v>0.979133037201792</v>
      </c>
      <c r="E221" s="15" t="n">
        <f aca="true">RAND()</f>
        <v>0.786048664968461</v>
      </c>
      <c r="F221" s="15" t="n">
        <f aca="true">RAND()</f>
        <v>0.0703897488138285</v>
      </c>
      <c r="G221" s="15" t="n">
        <f aca="true">RAND()</f>
        <v>0.935142477412814</v>
      </c>
      <c r="H221" s="15" t="n">
        <f aca="true">RAND()</f>
        <v>0.666247809917388</v>
      </c>
      <c r="I221" s="15" t="n">
        <f aca="true">RAND()</f>
        <v>0.418594935027446</v>
      </c>
      <c r="J221" s="15" t="n">
        <f aca="true">RAND()</f>
        <v>0.0625940070420631</v>
      </c>
      <c r="K221" s="15" t="n">
        <f aca="true">RAND()</f>
        <v>0.104499291346445</v>
      </c>
      <c r="L221" s="15" t="n">
        <f aca="true">RAND()</f>
        <v>0.507180820909593</v>
      </c>
      <c r="M221" s="15" t="n">
        <f aca="true">RAND()</f>
        <v>0.583585369072857</v>
      </c>
      <c r="N221" s="15" t="n">
        <f aca="true">RAND()</f>
        <v>0.435755205523659</v>
      </c>
      <c r="O221" s="15" t="n">
        <f aca="true">RAND()</f>
        <v>0.0647136974364513</v>
      </c>
      <c r="P221" s="15" t="n">
        <f aca="true">RAND()</f>
        <v>0.237120708540962</v>
      </c>
      <c r="Q221" s="15" t="n">
        <f aca="true">RAND()</f>
        <v>0.757893314932495</v>
      </c>
      <c r="R221" s="15" t="n">
        <f aca="true">RAND()</f>
        <v>0.760492718221092</v>
      </c>
      <c r="S221" s="15" t="n">
        <f aca="true">RAND()</f>
        <v>0.161643253001154</v>
      </c>
      <c r="T221" s="16" t="n">
        <f aca="false">LOOKUP(D221,$E$23:$E$26,$A$23:$A$26)+LOOKUP(D221,$E$23:$E$26,$D$23:$D$26)*(D221-LOOKUP(D221,$E$23:$E$26))/LOOKUP(D221,$E$23:$E$26,$C$23:$C$26)</f>
        <v>5.89566518600896</v>
      </c>
      <c r="U221" s="16" t="n">
        <f aca="false">LOOKUP(E221,$E$23:$E$26,$A$23:$A$26)+LOOKUP(E221,$E$23:$E$26,$D$23:$D$26)*(E221-LOOKUP(E221,$E$23:$E$26))/LOOKUP(E221,$E$23:$E$26,$C$23:$C$26)</f>
        <v>5.21512166242115</v>
      </c>
      <c r="V221" s="16" t="n">
        <f aca="false">LOOKUP(F221,$E$23:$E$26,$A$23:$A$26)+LOOKUP(F221,$E$23:$E$26,$D$23:$D$26)*(F221-LOOKUP(F221,$E$23:$E$26))/LOOKUP(F221,$E$23:$E$26,$C$23:$C$26)</f>
        <v>4.11731624802305</v>
      </c>
      <c r="W221" s="16" t="n">
        <f aca="false">LOOKUP(G221,$E$23:$E$26,$A$23:$A$26)+LOOKUP(G221,$E$23:$E$26,$D$23:$D$26)*(G221-LOOKUP(G221,$E$23:$E$26))/LOOKUP(G221,$E$23:$E$26,$C$23:$C$26)</f>
        <v>5.67571238706407</v>
      </c>
      <c r="X221" s="16" t="n">
        <f aca="false">LOOKUP(H221,$E$23:$E$26,$A$23:$A$26)+LOOKUP(H221,$E$23:$E$26,$D$23:$D$26)*(H221-LOOKUP(H221,$E$23:$E$26))/LOOKUP(H221,$E$23:$E$26,$C$23:$C$26)</f>
        <v>4.95780976239674</v>
      </c>
      <c r="Y221" s="16" t="n">
        <f aca="false">LOOKUP(I221,$E$23:$E$26,$A$23:$A$26)+LOOKUP(I221,$E$23:$E$26,$D$23:$D$26)*(I221-LOOKUP(I221,$E$23:$E$26))/LOOKUP(I221,$E$23:$E$26,$C$23:$C$26)</f>
        <v>4.64824366878431</v>
      </c>
      <c r="Z221" s="16" t="n">
        <f aca="false">LOOKUP(J221,$E$23:$E$26,$A$23:$A$26)+LOOKUP(J221,$E$23:$E$26,$D$23:$D$26)*(J221-LOOKUP(J221,$E$23:$E$26))/LOOKUP(J221,$E$23:$E$26,$C$23:$C$26)</f>
        <v>4.10432334507011</v>
      </c>
      <c r="AA221" s="16" t="n">
        <f aca="false">LOOKUP(K221,$E$23:$E$26,$A$23:$A$26)+LOOKUP(K221,$E$23:$E$26,$D$23:$D$26)*(K221-LOOKUP(K221,$E$23:$E$26))/LOOKUP(K221,$E$23:$E$26,$C$23:$C$26)</f>
        <v>4.17416548557741</v>
      </c>
      <c r="AB221" s="16" t="n">
        <f aca="false">LOOKUP(L221,$E$23:$E$26,$A$23:$A$26)+LOOKUP(L221,$E$23:$E$26,$D$23:$D$26)*(L221-LOOKUP(L221,$E$23:$E$26))/LOOKUP(L221,$E$23:$E$26,$C$23:$C$26)</f>
        <v>4.75897602613699</v>
      </c>
      <c r="AC221" s="16" t="n">
        <f aca="false">LOOKUP(M221,$E$23:$E$26,$A$23:$A$26)+LOOKUP(M221,$E$23:$E$26,$D$23:$D$26)*(M221-LOOKUP(M221,$E$23:$E$26))/LOOKUP(M221,$E$23:$E$26,$C$23:$C$26)</f>
        <v>4.85448171134107</v>
      </c>
      <c r="AD221" s="16" t="n">
        <f aca="false">LOOKUP(N221,$E$23:$E$26,$A$23:$A$26)+LOOKUP(N221,$E$23:$E$26,$D$23:$D$26)*(N221-LOOKUP(N221,$E$23:$E$26))/LOOKUP(N221,$E$23:$E$26,$C$23:$C$26)</f>
        <v>4.66969400690457</v>
      </c>
      <c r="AE221" s="16" t="n">
        <f aca="false">LOOKUP(O221,$E$23:$E$26,$A$23:$A$26)+LOOKUP(O221,$E$23:$E$26,$D$23:$D$26)*(O221-LOOKUP(O221,$E$23:$E$26))/LOOKUP(O221,$E$23:$E$26,$C$23:$C$26)</f>
        <v>4.10785616239409</v>
      </c>
      <c r="AF221" s="16" t="n">
        <f aca="false">LOOKUP(P221,$E$23:$E$26,$A$23:$A$26)+LOOKUP(P221,$E$23:$E$26,$D$23:$D$26)*(P221-LOOKUP(P221,$E$23:$E$26))/LOOKUP(P221,$E$23:$E$26,$C$23:$C$26)</f>
        <v>4.3952011809016</v>
      </c>
      <c r="AG221" s="16" t="n">
        <f aca="false">LOOKUP(Q221,$E$23:$E$26,$A$23:$A$26)+LOOKUP(Q221,$E$23:$E$26,$D$23:$D$26)*(Q221-LOOKUP(Q221,$E$23:$E$26))/LOOKUP(Q221,$E$23:$E$26,$C$23:$C$26)</f>
        <v>5.14473328733124</v>
      </c>
      <c r="AH221" s="16" t="n">
        <f aca="false">LOOKUP(R221,$E$23:$E$26,$A$23:$A$26)+LOOKUP(R221,$E$23:$E$26,$D$23:$D$26)*(R221-LOOKUP(R221,$E$23:$E$26))/LOOKUP(R221,$E$23:$E$26,$C$23:$C$26)</f>
        <v>5.15123179555273</v>
      </c>
      <c r="AI221" s="16" t="n">
        <f aca="false">LOOKUP(S221,$E$23:$E$26,$A$23:$A$26)+LOOKUP(S221,$E$23:$E$26,$D$23:$D$26)*(S221-LOOKUP(S221,$E$23:$E$26))/LOOKUP(S221,$E$23:$E$26,$C$23:$C$26)</f>
        <v>4.26940542166859</v>
      </c>
      <c r="AJ221" s="16" t="n">
        <f aca="false">SUM($T221:T221)</f>
        <v>5.89566518600896</v>
      </c>
      <c r="AK221" s="16" t="n">
        <f aca="false">SUM($T221:U221)</f>
        <v>11.1107868484301</v>
      </c>
      <c r="AL221" s="16" t="n">
        <f aca="false">SUM($T221:V221)</f>
        <v>15.2281030964532</v>
      </c>
      <c r="AM221" s="16" t="n">
        <f aca="false">SUM($T221:W221)</f>
        <v>20.9038154835172</v>
      </c>
      <c r="AN221" s="16" t="n">
        <f aca="false">SUM($T221:X221)</f>
        <v>25.861625245914</v>
      </c>
      <c r="AO221" s="16" t="n">
        <f aca="false">SUM($T221:Y221)</f>
        <v>30.5098689146983</v>
      </c>
      <c r="AP221" s="16" t="n">
        <f aca="false">SUM($T221:Z221)</f>
        <v>34.6141922597684</v>
      </c>
      <c r="AQ221" s="16" t="n">
        <f aca="false">SUM($T221:AA221)</f>
        <v>38.7883577453458</v>
      </c>
      <c r="AR221" s="16" t="n">
        <f aca="false">SUM($T221:AB221)</f>
        <v>43.5473337714828</v>
      </c>
      <c r="AS221" s="16" t="n">
        <f aca="false">SUM($T221:AC221)</f>
        <v>48.4018154828239</v>
      </c>
      <c r="AT221" s="16" t="n">
        <f aca="false">SUM($T221:AD221)</f>
        <v>53.0715094897284</v>
      </c>
      <c r="AU221" s="16" t="n">
        <f aca="false">SUM($T221:AE221)</f>
        <v>57.1793656521225</v>
      </c>
      <c r="AV221" s="16" t="n">
        <f aca="false">SUM($T221:AF221)</f>
        <v>61.5745668330241</v>
      </c>
      <c r="AW221" s="16" t="n">
        <f aca="false">SUM($T221:AG221)</f>
        <v>66.7193001203554</v>
      </c>
      <c r="AX221" s="16" t="n">
        <f aca="false">SUM($T221:AH221)</f>
        <v>71.8705319159081</v>
      </c>
      <c r="AY221" s="16" t="n">
        <f aca="false">SUM($T221:AI221)</f>
        <v>76.1399373375767</v>
      </c>
      <c r="AZ221" s="16" t="n">
        <f aca="false">MAX(C221-AJ221,0)</f>
        <v>53.5129666740437</v>
      </c>
      <c r="BA221" s="16" t="n">
        <f aca="false">MAX(C221-AK221,0)</f>
        <v>48.2978450116226</v>
      </c>
      <c r="BB221" s="16" t="n">
        <f aca="false">MAX(C221-AL221,0)</f>
        <v>44.1805287635995</v>
      </c>
      <c r="BC221" s="16" t="n">
        <f aca="false">MAX(C221-AM221,0)</f>
        <v>38.5048163765355</v>
      </c>
      <c r="BD221" s="16" t="n">
        <f aca="false">MAX(C221-AN221,0)</f>
        <v>33.5470066141387</v>
      </c>
      <c r="BE221" s="16" t="n">
        <f aca="false">MAX(C221-AO221,0)</f>
        <v>28.8987629453544</v>
      </c>
      <c r="BF221" s="16" t="n">
        <f aca="false">MAX(C221-AP221,0)</f>
        <v>24.7944396002843</v>
      </c>
      <c r="BG221" s="16" t="n">
        <f aca="false">MAX(C221-AQ221,0)</f>
        <v>20.6202741147069</v>
      </c>
      <c r="BH221" s="16" t="n">
        <f aca="false">MAX(C221-AR221,0)</f>
        <v>15.8612980885699</v>
      </c>
      <c r="BI221" s="16" t="n">
        <f aca="false">MAX(C221-AS221,0)</f>
        <v>11.0068163772288</v>
      </c>
      <c r="BJ221" s="16" t="n">
        <f aca="false">MAX(C221-AT221,0)</f>
        <v>6.33712237032427</v>
      </c>
      <c r="BK221" s="16" t="n">
        <f aca="false">MAX(C221-AU221,0)</f>
        <v>2.22926620793019</v>
      </c>
      <c r="BL221" s="16" t="n">
        <f aca="false">MAX(C221-AV221,0)</f>
        <v>0</v>
      </c>
      <c r="BM221" s="16" t="n">
        <f aca="false">MAX(C221-AW221,0)</f>
        <v>0</v>
      </c>
      <c r="BN221" s="16" t="n">
        <f aca="false">MAX(C221-AX221,0)</f>
        <v>0</v>
      </c>
      <c r="BO221" s="16" t="n">
        <f aca="false">MAX(C221-AY221,0)</f>
        <v>0</v>
      </c>
    </row>
    <row r="222" customFormat="false" ht="15" hidden="false" customHeight="false" outlineLevel="0" collapsed="false">
      <c r="A222" s="3" t="n">
        <v>192</v>
      </c>
      <c r="B222" s="15" t="n">
        <f aca="true">RAND()</f>
        <v>0.123955436330599</v>
      </c>
      <c r="C222" s="16" t="n">
        <f aca="false">LOOKUP(B222,$E$12:$E$17,$A$12:$A$17)+LOOKUP(B222,$E$12:$E$17,$D$12:$D$17)*(B222-LOOKUP(B222,$E$12:$E$17))/LOOKUP(B222,$E$12:$E$17,$C$12:$C$17)</f>
        <v>55.7985145443533</v>
      </c>
      <c r="D222" s="15" t="n">
        <f aca="true">RAND()</f>
        <v>0.539935734252179</v>
      </c>
      <c r="E222" s="15" t="n">
        <f aca="true">RAND()</f>
        <v>0.520930046214742</v>
      </c>
      <c r="F222" s="15" t="n">
        <f aca="true">RAND()</f>
        <v>0.632014348502538</v>
      </c>
      <c r="G222" s="15" t="n">
        <f aca="true">RAND()</f>
        <v>0.468273989218423</v>
      </c>
      <c r="H222" s="15" t="n">
        <f aca="true">RAND()</f>
        <v>0.870095137453937</v>
      </c>
      <c r="I222" s="15" t="n">
        <f aca="true">RAND()</f>
        <v>0.557111141278293</v>
      </c>
      <c r="J222" s="15" t="n">
        <f aca="true">RAND()</f>
        <v>0.23241046348783</v>
      </c>
      <c r="K222" s="15" t="n">
        <f aca="true">RAND()</f>
        <v>0.147243935485447</v>
      </c>
      <c r="L222" s="15" t="n">
        <f aca="true">RAND()</f>
        <v>0.693250793220052</v>
      </c>
      <c r="M222" s="15" t="n">
        <f aca="true">RAND()</f>
        <v>0.172639869825373</v>
      </c>
      <c r="N222" s="15" t="n">
        <f aca="true">RAND()</f>
        <v>0.248801800194414</v>
      </c>
      <c r="O222" s="15" t="n">
        <f aca="true">RAND()</f>
        <v>0.800580292273128</v>
      </c>
      <c r="P222" s="15" t="n">
        <f aca="true">RAND()</f>
        <v>0.257711009862516</v>
      </c>
      <c r="Q222" s="15" t="n">
        <f aca="true">RAND()</f>
        <v>0.245657641766837</v>
      </c>
      <c r="R222" s="15" t="n">
        <f aca="true">RAND()</f>
        <v>0.541897249936462</v>
      </c>
      <c r="S222" s="15" t="n">
        <f aca="true">RAND()</f>
        <v>0.00186393836947777</v>
      </c>
      <c r="T222" s="16" t="n">
        <f aca="false">LOOKUP(D222,$E$23:$E$26,$A$23:$A$26)+LOOKUP(D222,$E$23:$E$26,$D$23:$D$26)*(D222-LOOKUP(D222,$E$23:$E$26))/LOOKUP(D222,$E$23:$E$26,$C$23:$C$26)</f>
        <v>4.79991966781522</v>
      </c>
      <c r="U222" s="16" t="n">
        <f aca="false">LOOKUP(E222,$E$23:$E$26,$A$23:$A$26)+LOOKUP(E222,$E$23:$E$26,$D$23:$D$26)*(E222-LOOKUP(E222,$E$23:$E$26))/LOOKUP(E222,$E$23:$E$26,$C$23:$C$26)</f>
        <v>4.77616255776843</v>
      </c>
      <c r="V222" s="16" t="n">
        <f aca="false">LOOKUP(F222,$E$23:$E$26,$A$23:$A$26)+LOOKUP(F222,$E$23:$E$26,$D$23:$D$26)*(F222-LOOKUP(F222,$E$23:$E$26))/LOOKUP(F222,$E$23:$E$26,$C$23:$C$26)</f>
        <v>4.91501793562817</v>
      </c>
      <c r="W222" s="16" t="n">
        <f aca="false">LOOKUP(G222,$E$23:$E$26,$A$23:$A$26)+LOOKUP(G222,$E$23:$E$26,$D$23:$D$26)*(G222-LOOKUP(G222,$E$23:$E$26))/LOOKUP(G222,$E$23:$E$26,$C$23:$C$26)</f>
        <v>4.71034248652303</v>
      </c>
      <c r="X222" s="16" t="n">
        <f aca="false">LOOKUP(H222,$E$23:$E$26,$A$23:$A$26)+LOOKUP(H222,$E$23:$E$26,$D$23:$D$26)*(H222-LOOKUP(H222,$E$23:$E$26))/LOOKUP(H222,$E$23:$E$26,$C$23:$C$26)</f>
        <v>5.42523784363484</v>
      </c>
      <c r="Y222" s="16" t="n">
        <f aca="false">LOOKUP(I222,$E$23:$E$26,$A$23:$A$26)+LOOKUP(I222,$E$23:$E$26,$D$23:$D$26)*(I222-LOOKUP(I222,$E$23:$E$26))/LOOKUP(I222,$E$23:$E$26,$C$23:$C$26)</f>
        <v>4.82138892659787</v>
      </c>
      <c r="Z222" s="16" t="n">
        <f aca="false">LOOKUP(J222,$E$23:$E$26,$A$23:$A$26)+LOOKUP(J222,$E$23:$E$26,$D$23:$D$26)*(J222-LOOKUP(J222,$E$23:$E$26))/LOOKUP(J222,$E$23:$E$26,$C$23:$C$26)</f>
        <v>4.38735077247972</v>
      </c>
      <c r="AA222" s="16" t="n">
        <f aca="false">LOOKUP(K222,$E$23:$E$26,$A$23:$A$26)+LOOKUP(K222,$E$23:$E$26,$D$23:$D$26)*(K222-LOOKUP(K222,$E$23:$E$26))/LOOKUP(K222,$E$23:$E$26,$C$23:$C$26)</f>
        <v>4.24540655914241</v>
      </c>
      <c r="AB222" s="16" t="n">
        <f aca="false">LOOKUP(L222,$E$23:$E$26,$A$23:$A$26)+LOOKUP(L222,$E$23:$E$26,$D$23:$D$26)*(L222-LOOKUP(L222,$E$23:$E$26))/LOOKUP(L222,$E$23:$E$26,$C$23:$C$26)</f>
        <v>4.99156349152507</v>
      </c>
      <c r="AC222" s="16" t="n">
        <f aca="false">LOOKUP(M222,$E$23:$E$26,$A$23:$A$26)+LOOKUP(M222,$E$23:$E$26,$D$23:$D$26)*(M222-LOOKUP(M222,$E$23:$E$26))/LOOKUP(M222,$E$23:$E$26,$C$23:$C$26)</f>
        <v>4.28773311637562</v>
      </c>
      <c r="AD222" s="16" t="n">
        <f aca="false">LOOKUP(N222,$E$23:$E$26,$A$23:$A$26)+LOOKUP(N222,$E$23:$E$26,$D$23:$D$26)*(N222-LOOKUP(N222,$E$23:$E$26))/LOOKUP(N222,$E$23:$E$26,$C$23:$C$26)</f>
        <v>4.41466966699069</v>
      </c>
      <c r="AE222" s="16" t="n">
        <f aca="false">LOOKUP(O222,$E$23:$E$26,$A$23:$A$26)+LOOKUP(O222,$E$23:$E$26,$D$23:$D$26)*(O222-LOOKUP(O222,$E$23:$E$26))/LOOKUP(O222,$E$23:$E$26,$C$23:$C$26)</f>
        <v>5.25145073068282</v>
      </c>
      <c r="AF222" s="16" t="n">
        <f aca="false">LOOKUP(P222,$E$23:$E$26,$A$23:$A$26)+LOOKUP(P222,$E$23:$E$26,$D$23:$D$26)*(P222-LOOKUP(P222,$E$23:$E$26))/LOOKUP(P222,$E$23:$E$26,$C$23:$C$26)</f>
        <v>4.42951834977086</v>
      </c>
      <c r="AG222" s="16" t="n">
        <f aca="false">LOOKUP(Q222,$E$23:$E$26,$A$23:$A$26)+LOOKUP(Q222,$E$23:$E$26,$D$23:$D$26)*(Q222-LOOKUP(Q222,$E$23:$E$26))/LOOKUP(Q222,$E$23:$E$26,$C$23:$C$26)</f>
        <v>4.40942940294473</v>
      </c>
      <c r="AH222" s="16" t="n">
        <f aca="false">LOOKUP(R222,$E$23:$E$26,$A$23:$A$26)+LOOKUP(R222,$E$23:$E$26,$D$23:$D$26)*(R222-LOOKUP(R222,$E$23:$E$26))/LOOKUP(R222,$E$23:$E$26,$C$23:$C$26)</f>
        <v>4.80237156242058</v>
      </c>
      <c r="AI222" s="16" t="n">
        <f aca="false">LOOKUP(S222,$E$23:$E$26,$A$23:$A$26)+LOOKUP(S222,$E$23:$E$26,$D$23:$D$26)*(S222-LOOKUP(S222,$E$23:$E$26))/LOOKUP(S222,$E$23:$E$26,$C$23:$C$26)</f>
        <v>4.00310656394913</v>
      </c>
      <c r="AJ222" s="16" t="n">
        <f aca="false">SUM($T222:T222)</f>
        <v>4.79991966781522</v>
      </c>
      <c r="AK222" s="16" t="n">
        <f aca="false">SUM($T222:U222)</f>
        <v>9.57608222558365</v>
      </c>
      <c r="AL222" s="16" t="n">
        <f aca="false">SUM($T222:V222)</f>
        <v>14.4911001612118</v>
      </c>
      <c r="AM222" s="16" t="n">
        <f aca="false">SUM($T222:W222)</f>
        <v>19.2014426477349</v>
      </c>
      <c r="AN222" s="16" t="n">
        <f aca="false">SUM($T222:X222)</f>
        <v>24.6266804913697</v>
      </c>
      <c r="AO222" s="16" t="n">
        <f aca="false">SUM($T222:Y222)</f>
        <v>29.4480694179676</v>
      </c>
      <c r="AP222" s="16" t="n">
        <f aca="false">SUM($T222:Z222)</f>
        <v>33.8354201904473</v>
      </c>
      <c r="AQ222" s="16" t="n">
        <f aca="false">SUM($T222:AA222)</f>
        <v>38.0808267495897</v>
      </c>
      <c r="AR222" s="16" t="n">
        <f aca="false">SUM($T222:AB222)</f>
        <v>43.0723902411148</v>
      </c>
      <c r="AS222" s="16" t="n">
        <f aca="false">SUM($T222:AC222)</f>
        <v>47.3601233574904</v>
      </c>
      <c r="AT222" s="16" t="n">
        <f aca="false">SUM($T222:AD222)</f>
        <v>51.7747930244811</v>
      </c>
      <c r="AU222" s="16" t="n">
        <f aca="false">SUM($T222:AE222)</f>
        <v>57.0262437551639</v>
      </c>
      <c r="AV222" s="16" t="n">
        <f aca="false">SUM($T222:AF222)</f>
        <v>61.4557621049348</v>
      </c>
      <c r="AW222" s="16" t="n">
        <f aca="false">SUM($T222:AG222)</f>
        <v>65.8651915078795</v>
      </c>
      <c r="AX222" s="16" t="n">
        <f aca="false">SUM($T222:AH222)</f>
        <v>70.6675630703001</v>
      </c>
      <c r="AY222" s="16" t="n">
        <f aca="false">SUM($T222:AI222)</f>
        <v>74.6706696342492</v>
      </c>
      <c r="AZ222" s="16" t="n">
        <f aca="false">MAX(C222-AJ222,0)</f>
        <v>50.9985948765381</v>
      </c>
      <c r="BA222" s="16" t="n">
        <f aca="false">MAX(C222-AK222,0)</f>
        <v>46.2224323187696</v>
      </c>
      <c r="BB222" s="16" t="n">
        <f aca="false">MAX(C222-AL222,0)</f>
        <v>41.3074143831415</v>
      </c>
      <c r="BC222" s="16" t="n">
        <f aca="false">MAX(C222-AM222,0)</f>
        <v>36.5970718966184</v>
      </c>
      <c r="BD222" s="16" t="n">
        <f aca="false">MAX(C222-AN222,0)</f>
        <v>31.1718340529836</v>
      </c>
      <c r="BE222" s="16" t="n">
        <f aca="false">MAX(C222-AO222,0)</f>
        <v>26.3504451263857</v>
      </c>
      <c r="BF222" s="16" t="n">
        <f aca="false">MAX(C222-AP222,0)</f>
        <v>21.963094353906</v>
      </c>
      <c r="BG222" s="16" t="n">
        <f aca="false">MAX(C222-AQ222,0)</f>
        <v>17.7176877947636</v>
      </c>
      <c r="BH222" s="16" t="n">
        <f aca="false">MAX(C222-AR222,0)</f>
        <v>12.7261243032385</v>
      </c>
      <c r="BI222" s="16" t="n">
        <f aca="false">MAX(C222-AS222,0)</f>
        <v>8.43839118686291</v>
      </c>
      <c r="BJ222" s="16" t="n">
        <f aca="false">MAX(C222-AT222,0)</f>
        <v>4.02372151987222</v>
      </c>
      <c r="BK222" s="16" t="n">
        <f aca="false">MAX(C222-AU222,0)</f>
        <v>0</v>
      </c>
      <c r="BL222" s="16" t="n">
        <f aca="false">MAX(C222-AV222,0)</f>
        <v>0</v>
      </c>
      <c r="BM222" s="16" t="n">
        <f aca="false">MAX(C222-AW222,0)</f>
        <v>0</v>
      </c>
      <c r="BN222" s="16" t="n">
        <f aca="false">MAX(C222-AX222,0)</f>
        <v>0</v>
      </c>
      <c r="BO222" s="16" t="n">
        <f aca="false">MAX(C222-AY222,0)</f>
        <v>0</v>
      </c>
    </row>
    <row r="223" customFormat="false" ht="15" hidden="false" customHeight="false" outlineLevel="0" collapsed="false">
      <c r="A223" s="3" t="n">
        <v>193</v>
      </c>
      <c r="B223" s="15" t="n">
        <f aca="true">RAND()</f>
        <v>0.426427276506358</v>
      </c>
      <c r="C223" s="16" t="n">
        <f aca="false">LOOKUP(B223,$E$12:$E$17,$A$12:$A$17)+LOOKUP(B223,$E$12:$E$17,$D$12:$D$17)*(B223-LOOKUP(B223,$E$12:$E$17))/LOOKUP(B223,$E$12:$E$17,$C$12:$C$17)</f>
        <v>62.9404546084393</v>
      </c>
      <c r="D223" s="15" t="n">
        <f aca="true">RAND()</f>
        <v>0.55242145358714</v>
      </c>
      <c r="E223" s="15" t="n">
        <f aca="true">RAND()</f>
        <v>0.481675396487141</v>
      </c>
      <c r="F223" s="15" t="n">
        <f aca="true">RAND()</f>
        <v>0.425852578617132</v>
      </c>
      <c r="G223" s="15" t="n">
        <f aca="true">RAND()</f>
        <v>0.16703786649563</v>
      </c>
      <c r="H223" s="15" t="n">
        <f aca="true">RAND()</f>
        <v>0.4320000304541</v>
      </c>
      <c r="I223" s="15" t="n">
        <f aca="true">RAND()</f>
        <v>0.921683844117789</v>
      </c>
      <c r="J223" s="15" t="n">
        <f aca="true">RAND()</f>
        <v>0.582060837451707</v>
      </c>
      <c r="K223" s="15" t="n">
        <f aca="true">RAND()</f>
        <v>0.376368709959148</v>
      </c>
      <c r="L223" s="15" t="n">
        <f aca="true">RAND()</f>
        <v>0.424537334469417</v>
      </c>
      <c r="M223" s="15" t="n">
        <f aca="true">RAND()</f>
        <v>0.959970818389871</v>
      </c>
      <c r="N223" s="15" t="n">
        <f aca="true">RAND()</f>
        <v>0.174831779804957</v>
      </c>
      <c r="O223" s="15" t="n">
        <f aca="true">RAND()</f>
        <v>0.349098854869459</v>
      </c>
      <c r="P223" s="15" t="n">
        <f aca="true">RAND()</f>
        <v>0.597275038965864</v>
      </c>
      <c r="Q223" s="15" t="n">
        <f aca="true">RAND()</f>
        <v>0.118862387711851</v>
      </c>
      <c r="R223" s="15" t="n">
        <f aca="true">RAND()</f>
        <v>0.841054618385748</v>
      </c>
      <c r="S223" s="15" t="n">
        <f aca="true">RAND()</f>
        <v>0.22688086666505</v>
      </c>
      <c r="T223" s="16" t="n">
        <f aca="false">LOOKUP(D223,$E$23:$E$26,$A$23:$A$26)+LOOKUP(D223,$E$23:$E$26,$D$23:$D$26)*(D223-LOOKUP(D223,$E$23:$E$26))/LOOKUP(D223,$E$23:$E$26,$C$23:$C$26)</f>
        <v>4.81552681698392</v>
      </c>
      <c r="U223" s="16" t="n">
        <f aca="false">LOOKUP(E223,$E$23:$E$26,$A$23:$A$26)+LOOKUP(E223,$E$23:$E$26,$D$23:$D$26)*(E223-LOOKUP(E223,$E$23:$E$26))/LOOKUP(E223,$E$23:$E$26,$C$23:$C$26)</f>
        <v>4.72709424560893</v>
      </c>
      <c r="V223" s="16" t="n">
        <f aca="false">LOOKUP(F223,$E$23:$E$26,$A$23:$A$26)+LOOKUP(F223,$E$23:$E$26,$D$23:$D$26)*(F223-LOOKUP(F223,$E$23:$E$26))/LOOKUP(F223,$E$23:$E$26,$C$23:$C$26)</f>
        <v>4.65731572327141</v>
      </c>
      <c r="W223" s="16" t="n">
        <f aca="false">LOOKUP(G223,$E$23:$E$26,$A$23:$A$26)+LOOKUP(G223,$E$23:$E$26,$D$23:$D$26)*(G223-LOOKUP(G223,$E$23:$E$26))/LOOKUP(G223,$E$23:$E$26,$C$23:$C$26)</f>
        <v>4.27839644415938</v>
      </c>
      <c r="X223" s="16" t="n">
        <f aca="false">LOOKUP(H223,$E$23:$E$26,$A$23:$A$26)+LOOKUP(H223,$E$23:$E$26,$D$23:$D$26)*(H223-LOOKUP(H223,$E$23:$E$26))/LOOKUP(H223,$E$23:$E$26,$C$23:$C$26)</f>
        <v>4.66500003806763</v>
      </c>
      <c r="Y223" s="16" t="n">
        <f aca="false">LOOKUP(I223,$E$23:$E$26,$A$23:$A$26)+LOOKUP(I223,$E$23:$E$26,$D$23:$D$26)*(I223-LOOKUP(I223,$E$23:$E$26))/LOOKUP(I223,$E$23:$E$26,$C$23:$C$26)</f>
        <v>5.60841922058895</v>
      </c>
      <c r="Z223" s="16" t="n">
        <f aca="false">LOOKUP(J223,$E$23:$E$26,$A$23:$A$26)+LOOKUP(J223,$E$23:$E$26,$D$23:$D$26)*(J223-LOOKUP(J223,$E$23:$E$26))/LOOKUP(J223,$E$23:$E$26,$C$23:$C$26)</f>
        <v>4.85257604681463</v>
      </c>
      <c r="AA223" s="16" t="n">
        <f aca="false">LOOKUP(K223,$E$23:$E$26,$A$23:$A$26)+LOOKUP(K223,$E$23:$E$26,$D$23:$D$26)*(K223-LOOKUP(K223,$E$23:$E$26))/LOOKUP(K223,$E$23:$E$26,$C$23:$C$26)</f>
        <v>4.59546088744894</v>
      </c>
      <c r="AB223" s="16" t="n">
        <f aca="false">LOOKUP(L223,$E$23:$E$26,$A$23:$A$26)+LOOKUP(L223,$E$23:$E$26,$D$23:$D$26)*(L223-LOOKUP(L223,$E$23:$E$26))/LOOKUP(L223,$E$23:$E$26,$C$23:$C$26)</f>
        <v>4.65567166808677</v>
      </c>
      <c r="AC223" s="16" t="n">
        <f aca="false">LOOKUP(M223,$E$23:$E$26,$A$23:$A$26)+LOOKUP(M223,$E$23:$E$26,$D$23:$D$26)*(M223-LOOKUP(M223,$E$23:$E$26))/LOOKUP(M223,$E$23:$E$26,$C$23:$C$26)</f>
        <v>5.79985409194935</v>
      </c>
      <c r="AD223" s="16" t="n">
        <f aca="false">LOOKUP(N223,$E$23:$E$26,$A$23:$A$26)+LOOKUP(N223,$E$23:$E$26,$D$23:$D$26)*(N223-LOOKUP(N223,$E$23:$E$26))/LOOKUP(N223,$E$23:$E$26,$C$23:$C$26)</f>
        <v>4.29138629967493</v>
      </c>
      <c r="AE223" s="16" t="n">
        <f aca="false">LOOKUP(O223,$E$23:$E$26,$A$23:$A$26)+LOOKUP(O223,$E$23:$E$26,$D$23:$D$26)*(O223-LOOKUP(O223,$E$23:$E$26))/LOOKUP(O223,$E$23:$E$26,$C$23:$C$26)</f>
        <v>4.56137356858682</v>
      </c>
      <c r="AF223" s="16" t="n">
        <f aca="false">LOOKUP(P223,$E$23:$E$26,$A$23:$A$26)+LOOKUP(P223,$E$23:$E$26,$D$23:$D$26)*(P223-LOOKUP(P223,$E$23:$E$26))/LOOKUP(P223,$E$23:$E$26,$C$23:$C$26)</f>
        <v>4.87159379870733</v>
      </c>
      <c r="AG223" s="16" t="n">
        <f aca="false">LOOKUP(Q223,$E$23:$E$26,$A$23:$A$26)+LOOKUP(Q223,$E$23:$E$26,$D$23:$D$26)*(Q223-LOOKUP(Q223,$E$23:$E$26))/LOOKUP(Q223,$E$23:$E$26,$C$23:$C$26)</f>
        <v>4.19810397951975</v>
      </c>
      <c r="AH223" s="16" t="n">
        <f aca="false">LOOKUP(R223,$E$23:$E$26,$A$23:$A$26)+LOOKUP(R223,$E$23:$E$26,$D$23:$D$26)*(R223-LOOKUP(R223,$E$23:$E$26))/LOOKUP(R223,$E$23:$E$26,$C$23:$C$26)</f>
        <v>5.35263654596437</v>
      </c>
      <c r="AI223" s="16" t="n">
        <f aca="false">LOOKUP(S223,$E$23:$E$26,$A$23:$A$26)+LOOKUP(S223,$E$23:$E$26,$D$23:$D$26)*(S223-LOOKUP(S223,$E$23:$E$26))/LOOKUP(S223,$E$23:$E$26,$C$23:$C$26)</f>
        <v>4.37813477777508</v>
      </c>
      <c r="AJ223" s="16" t="n">
        <f aca="false">SUM($T223:T223)</f>
        <v>4.81552681698392</v>
      </c>
      <c r="AK223" s="16" t="n">
        <f aca="false">SUM($T223:U223)</f>
        <v>9.54262106259285</v>
      </c>
      <c r="AL223" s="16" t="n">
        <f aca="false">SUM($T223:V223)</f>
        <v>14.1999367858643</v>
      </c>
      <c r="AM223" s="16" t="n">
        <f aca="false">SUM($T223:W223)</f>
        <v>18.4783332300236</v>
      </c>
      <c r="AN223" s="16" t="n">
        <f aca="false">SUM($T223:X223)</f>
        <v>23.1433332680913</v>
      </c>
      <c r="AO223" s="16" t="n">
        <f aca="false">SUM($T223:Y223)</f>
        <v>28.7517524886802</v>
      </c>
      <c r="AP223" s="16" t="n">
        <f aca="false">SUM($T223:Z223)</f>
        <v>33.6043285354949</v>
      </c>
      <c r="AQ223" s="16" t="n">
        <f aca="false">SUM($T223:AA223)</f>
        <v>38.1997894229438</v>
      </c>
      <c r="AR223" s="16" t="n">
        <f aca="false">SUM($T223:AB223)</f>
        <v>42.8554610910306</v>
      </c>
      <c r="AS223" s="16" t="n">
        <f aca="false">SUM($T223:AC223)</f>
        <v>48.6553151829799</v>
      </c>
      <c r="AT223" s="16" t="n">
        <f aca="false">SUM($T223:AD223)</f>
        <v>52.9467014826548</v>
      </c>
      <c r="AU223" s="16" t="n">
        <f aca="false">SUM($T223:AE223)</f>
        <v>57.5080750512417</v>
      </c>
      <c r="AV223" s="16" t="n">
        <f aca="false">SUM($T223:AF223)</f>
        <v>62.379668849949</v>
      </c>
      <c r="AW223" s="16" t="n">
        <f aca="false">SUM($T223:AG223)</f>
        <v>66.5777728294688</v>
      </c>
      <c r="AX223" s="16" t="n">
        <f aca="false">SUM($T223:AH223)</f>
        <v>71.9304093754331</v>
      </c>
      <c r="AY223" s="16" t="n">
        <f aca="false">SUM($T223:AI223)</f>
        <v>76.3085441532082</v>
      </c>
      <c r="AZ223" s="16" t="n">
        <f aca="false">MAX(C223-AJ223,0)</f>
        <v>58.1249277914554</v>
      </c>
      <c r="BA223" s="16" t="n">
        <f aca="false">MAX(C223-AK223,0)</f>
        <v>53.3978335458464</v>
      </c>
      <c r="BB223" s="16" t="n">
        <f aca="false">MAX(C223-AL223,0)</f>
        <v>48.740517822575</v>
      </c>
      <c r="BC223" s="16" t="n">
        <f aca="false">MAX(C223-AM223,0)</f>
        <v>44.4621213784156</v>
      </c>
      <c r="BD223" s="16" t="n">
        <f aca="false">MAX(C223-AN223,0)</f>
        <v>39.797121340348</v>
      </c>
      <c r="BE223" s="16" t="n">
        <f aca="false">MAX(C223-AO223,0)</f>
        <v>34.1887021197591</v>
      </c>
      <c r="BF223" s="16" t="n">
        <f aca="false">MAX(C223-AP223,0)</f>
        <v>29.3361260729444</v>
      </c>
      <c r="BG223" s="16" t="n">
        <f aca="false">MAX(C223-AQ223,0)</f>
        <v>24.7406651854955</v>
      </c>
      <c r="BH223" s="16" t="n">
        <f aca="false">MAX(C223-AR223,0)</f>
        <v>20.0849935174087</v>
      </c>
      <c r="BI223" s="16" t="n">
        <f aca="false">MAX(C223-AS223,0)</f>
        <v>14.2851394254594</v>
      </c>
      <c r="BJ223" s="16" t="n">
        <f aca="false">MAX(C223-AT223,0)</f>
        <v>9.99375312578446</v>
      </c>
      <c r="BK223" s="16" t="n">
        <f aca="false">MAX(C223-AU223,0)</f>
        <v>5.43237955719763</v>
      </c>
      <c r="BL223" s="16" t="n">
        <f aca="false">MAX(C223-AV223,0)</f>
        <v>0.560785758490297</v>
      </c>
      <c r="BM223" s="16" t="n">
        <f aca="false">MAX(C223-AW223,0)</f>
        <v>0</v>
      </c>
      <c r="BN223" s="16" t="n">
        <f aca="false">MAX(C223-AX223,0)</f>
        <v>0</v>
      </c>
      <c r="BO223" s="16" t="n">
        <f aca="false">MAX(C223-AY223,0)</f>
        <v>0</v>
      </c>
    </row>
    <row r="224" customFormat="false" ht="15" hidden="false" customHeight="false" outlineLevel="0" collapsed="false">
      <c r="A224" s="3" t="n">
        <v>194</v>
      </c>
      <c r="B224" s="15" t="n">
        <f aca="true">RAND()</f>
        <v>0.941603321044217</v>
      </c>
      <c r="C224" s="16" t="n">
        <f aca="false">LOOKUP(B224,$E$12:$E$17,$A$12:$A$17)+LOOKUP(B224,$E$12:$E$17,$D$12:$D$17)*(B224-LOOKUP(B224,$E$12:$E$17))/LOOKUP(B224,$E$12:$E$17,$C$12:$C$17)</f>
        <v>77.6002075652636</v>
      </c>
      <c r="D224" s="15" t="n">
        <f aca="true">RAND()</f>
        <v>0.126567434480244</v>
      </c>
      <c r="E224" s="15" t="n">
        <f aca="true">RAND()</f>
        <v>0.322981940708657</v>
      </c>
      <c r="F224" s="15" t="n">
        <f aca="true">RAND()</f>
        <v>0.0721521873718534</v>
      </c>
      <c r="G224" s="15" t="n">
        <f aca="true">RAND()</f>
        <v>0.24840040600165</v>
      </c>
      <c r="H224" s="15" t="n">
        <f aca="true">RAND()</f>
        <v>0.670373231888158</v>
      </c>
      <c r="I224" s="15" t="n">
        <f aca="true">RAND()</f>
        <v>0.671099047898071</v>
      </c>
      <c r="J224" s="15" t="n">
        <f aca="true">RAND()</f>
        <v>0.0292319519482317</v>
      </c>
      <c r="K224" s="15" t="n">
        <f aca="true">RAND()</f>
        <v>0.804704148038168</v>
      </c>
      <c r="L224" s="15" t="n">
        <f aca="true">RAND()</f>
        <v>0.711014693168483</v>
      </c>
      <c r="M224" s="15" t="n">
        <f aca="true">RAND()</f>
        <v>0.782065674959792</v>
      </c>
      <c r="N224" s="15" t="n">
        <f aca="true">RAND()</f>
        <v>0.734386778010412</v>
      </c>
      <c r="O224" s="15" t="n">
        <f aca="true">RAND()</f>
        <v>0.919306674443389</v>
      </c>
      <c r="P224" s="15" t="n">
        <f aca="true">RAND()</f>
        <v>0.92211192360604</v>
      </c>
      <c r="Q224" s="15" t="n">
        <f aca="true">RAND()</f>
        <v>0.919091941942606</v>
      </c>
      <c r="R224" s="15" t="n">
        <f aca="true">RAND()</f>
        <v>0.891113714626123</v>
      </c>
      <c r="S224" s="15" t="n">
        <f aca="true">RAND()</f>
        <v>0.446302512726021</v>
      </c>
      <c r="T224" s="16" t="n">
        <f aca="false">LOOKUP(D224,$E$23:$E$26,$A$23:$A$26)+LOOKUP(D224,$E$23:$E$26,$D$23:$D$26)*(D224-LOOKUP(D224,$E$23:$E$26))/LOOKUP(D224,$E$23:$E$26,$C$23:$C$26)</f>
        <v>4.21094572413374</v>
      </c>
      <c r="U224" s="16" t="n">
        <f aca="false">LOOKUP(E224,$E$23:$E$26,$A$23:$A$26)+LOOKUP(E224,$E$23:$E$26,$D$23:$D$26)*(E224-LOOKUP(E224,$E$23:$E$26))/LOOKUP(E224,$E$23:$E$26,$C$23:$C$26)</f>
        <v>4.52872742588582</v>
      </c>
      <c r="V224" s="16" t="n">
        <f aca="false">LOOKUP(F224,$E$23:$E$26,$A$23:$A$26)+LOOKUP(F224,$E$23:$E$26,$D$23:$D$26)*(F224-LOOKUP(F224,$E$23:$E$26))/LOOKUP(F224,$E$23:$E$26,$C$23:$C$26)</f>
        <v>4.12025364561976</v>
      </c>
      <c r="W224" s="16" t="n">
        <f aca="false">LOOKUP(G224,$E$23:$E$26,$A$23:$A$26)+LOOKUP(G224,$E$23:$E$26,$D$23:$D$26)*(G224-LOOKUP(G224,$E$23:$E$26))/LOOKUP(G224,$E$23:$E$26,$C$23:$C$26)</f>
        <v>4.41400067666942</v>
      </c>
      <c r="X224" s="16" t="n">
        <f aca="false">LOOKUP(H224,$E$23:$E$26,$A$23:$A$26)+LOOKUP(H224,$E$23:$E$26,$D$23:$D$26)*(H224-LOOKUP(H224,$E$23:$E$26))/LOOKUP(H224,$E$23:$E$26,$C$23:$C$26)</f>
        <v>4.9629665398602</v>
      </c>
      <c r="Y224" s="16" t="n">
        <f aca="false">LOOKUP(I224,$E$23:$E$26,$A$23:$A$26)+LOOKUP(I224,$E$23:$E$26,$D$23:$D$26)*(I224-LOOKUP(I224,$E$23:$E$26))/LOOKUP(I224,$E$23:$E$26,$C$23:$C$26)</f>
        <v>4.96387380987259</v>
      </c>
      <c r="Z224" s="16" t="n">
        <f aca="false">LOOKUP(J224,$E$23:$E$26,$A$23:$A$26)+LOOKUP(J224,$E$23:$E$26,$D$23:$D$26)*(J224-LOOKUP(J224,$E$23:$E$26))/LOOKUP(J224,$E$23:$E$26,$C$23:$C$26)</f>
        <v>4.04871991991372</v>
      </c>
      <c r="AA224" s="16" t="n">
        <f aca="false">LOOKUP(K224,$E$23:$E$26,$A$23:$A$26)+LOOKUP(K224,$E$23:$E$26,$D$23:$D$26)*(K224-LOOKUP(K224,$E$23:$E$26))/LOOKUP(K224,$E$23:$E$26,$C$23:$C$26)</f>
        <v>5.26176037009542</v>
      </c>
      <c r="AB224" s="16" t="n">
        <f aca="false">LOOKUP(L224,$E$23:$E$26,$A$23:$A$26)+LOOKUP(L224,$E$23:$E$26,$D$23:$D$26)*(L224-LOOKUP(L224,$E$23:$E$26))/LOOKUP(L224,$E$23:$E$26,$C$23:$C$26)</f>
        <v>5.02753673292121</v>
      </c>
      <c r="AC224" s="16" t="n">
        <f aca="false">LOOKUP(M224,$E$23:$E$26,$A$23:$A$26)+LOOKUP(M224,$E$23:$E$26,$D$23:$D$26)*(M224-LOOKUP(M224,$E$23:$E$26))/LOOKUP(M224,$E$23:$E$26,$C$23:$C$26)</f>
        <v>5.20516418739948</v>
      </c>
      <c r="AD224" s="16" t="n">
        <f aca="false">LOOKUP(N224,$E$23:$E$26,$A$23:$A$26)+LOOKUP(N224,$E$23:$E$26,$D$23:$D$26)*(N224-LOOKUP(N224,$E$23:$E$26))/LOOKUP(N224,$E$23:$E$26,$C$23:$C$26)</f>
        <v>5.08596694502603</v>
      </c>
      <c r="AE224" s="16" t="n">
        <f aca="false">LOOKUP(O224,$E$23:$E$26,$A$23:$A$26)+LOOKUP(O224,$E$23:$E$26,$D$23:$D$26)*(O224-LOOKUP(O224,$E$23:$E$26))/LOOKUP(O224,$E$23:$E$26,$C$23:$C$26)</f>
        <v>5.59653337221695</v>
      </c>
      <c r="AF224" s="16" t="n">
        <f aca="false">LOOKUP(P224,$E$23:$E$26,$A$23:$A$26)+LOOKUP(P224,$E$23:$E$26,$D$23:$D$26)*(P224-LOOKUP(P224,$E$23:$E$26))/LOOKUP(P224,$E$23:$E$26,$C$23:$C$26)</f>
        <v>5.6105596180302</v>
      </c>
      <c r="AG224" s="16" t="n">
        <f aca="false">LOOKUP(Q224,$E$23:$E$26,$A$23:$A$26)+LOOKUP(Q224,$E$23:$E$26,$D$23:$D$26)*(Q224-LOOKUP(Q224,$E$23:$E$26))/LOOKUP(Q224,$E$23:$E$26,$C$23:$C$26)</f>
        <v>5.59545970971303</v>
      </c>
      <c r="AH224" s="16" t="n">
        <f aca="false">LOOKUP(R224,$E$23:$E$26,$A$23:$A$26)+LOOKUP(R224,$E$23:$E$26,$D$23:$D$26)*(R224-LOOKUP(R224,$E$23:$E$26))/LOOKUP(R224,$E$23:$E$26,$C$23:$C$26)</f>
        <v>5.47778428656531</v>
      </c>
      <c r="AI224" s="16" t="n">
        <f aca="false">LOOKUP(S224,$E$23:$E$26,$A$23:$A$26)+LOOKUP(S224,$E$23:$E$26,$D$23:$D$26)*(S224-LOOKUP(S224,$E$23:$E$26))/LOOKUP(S224,$E$23:$E$26,$C$23:$C$26)</f>
        <v>4.68287814090753</v>
      </c>
      <c r="AJ224" s="16" t="n">
        <f aca="false">SUM($T224:T224)</f>
        <v>4.21094572413374</v>
      </c>
      <c r="AK224" s="16" t="n">
        <f aca="false">SUM($T224:U224)</f>
        <v>8.73967315001956</v>
      </c>
      <c r="AL224" s="16" t="n">
        <f aca="false">SUM($T224:V224)</f>
        <v>12.8599267956393</v>
      </c>
      <c r="AM224" s="16" t="n">
        <f aca="false">SUM($T224:W224)</f>
        <v>17.2739274723087</v>
      </c>
      <c r="AN224" s="16" t="n">
        <f aca="false">SUM($T224:X224)</f>
        <v>22.2368940121689</v>
      </c>
      <c r="AO224" s="16" t="n">
        <f aca="false">SUM($T224:Y224)</f>
        <v>27.2007678220415</v>
      </c>
      <c r="AP224" s="16" t="n">
        <f aca="false">SUM($T224:Z224)</f>
        <v>31.2494877419552</v>
      </c>
      <c r="AQ224" s="16" t="n">
        <f aca="false">SUM($T224:AA224)</f>
        <v>36.5112481120507</v>
      </c>
      <c r="AR224" s="16" t="n">
        <f aca="false">SUM($T224:AB224)</f>
        <v>41.5387848449719</v>
      </c>
      <c r="AS224" s="16" t="n">
        <f aca="false">SUM($T224:AC224)</f>
        <v>46.7439490323714</v>
      </c>
      <c r="AT224" s="16" t="n">
        <f aca="false">SUM($T224:AD224)</f>
        <v>51.8299159773974</v>
      </c>
      <c r="AU224" s="16" t="n">
        <f aca="false">SUM($T224:AE224)</f>
        <v>57.4264493496143</v>
      </c>
      <c r="AV224" s="16" t="n">
        <f aca="false">SUM($T224:AF224)</f>
        <v>63.0370089676445</v>
      </c>
      <c r="AW224" s="16" t="n">
        <f aca="false">SUM($T224:AG224)</f>
        <v>68.6324686773576</v>
      </c>
      <c r="AX224" s="16" t="n">
        <f aca="false">SUM($T224:AH224)</f>
        <v>74.1102529639229</v>
      </c>
      <c r="AY224" s="16" t="n">
        <f aca="false">SUM($T224:AI224)</f>
        <v>78.7931311048304</v>
      </c>
      <c r="AZ224" s="16" t="n">
        <f aca="false">MAX(C224-AJ224,0)</f>
        <v>73.3892618411298</v>
      </c>
      <c r="BA224" s="16" t="n">
        <f aca="false">MAX(C224-AK224,0)</f>
        <v>68.860534415244</v>
      </c>
      <c r="BB224" s="16" t="n">
        <f aca="false">MAX(C224-AL224,0)</f>
        <v>64.7402807696242</v>
      </c>
      <c r="BC224" s="16" t="n">
        <f aca="false">MAX(C224-AM224,0)</f>
        <v>60.3262800929548</v>
      </c>
      <c r="BD224" s="16" t="n">
        <f aca="false">MAX(C224-AN224,0)</f>
        <v>55.3633135530946</v>
      </c>
      <c r="BE224" s="16" t="n">
        <f aca="false">MAX(C224-AO224,0)</f>
        <v>50.399439743222</v>
      </c>
      <c r="BF224" s="16" t="n">
        <f aca="false">MAX(C224-AP224,0)</f>
        <v>46.3507198233083</v>
      </c>
      <c r="BG224" s="16" t="n">
        <f aca="false">MAX(C224-AQ224,0)</f>
        <v>41.0889594532129</v>
      </c>
      <c r="BH224" s="16" t="n">
        <f aca="false">MAX(C224-AR224,0)</f>
        <v>36.0614227202917</v>
      </c>
      <c r="BI224" s="16" t="n">
        <f aca="false">MAX(C224-AS224,0)</f>
        <v>30.8562585328922</v>
      </c>
      <c r="BJ224" s="16" t="n">
        <f aca="false">MAX(C224-AT224,0)</f>
        <v>25.7702915878662</v>
      </c>
      <c r="BK224" s="16" t="n">
        <f aca="false">MAX(C224-AU224,0)</f>
        <v>20.1737582156492</v>
      </c>
      <c r="BL224" s="16" t="n">
        <f aca="false">MAX(C224-AV224,0)</f>
        <v>14.563198597619</v>
      </c>
      <c r="BM224" s="16" t="n">
        <f aca="false">MAX(C224-AW224,0)</f>
        <v>8.967738887906</v>
      </c>
      <c r="BN224" s="16" t="n">
        <f aca="false">MAX(C224-AX224,0)</f>
        <v>3.48995460134069</v>
      </c>
      <c r="BO224" s="16" t="n">
        <f aca="false">MAX(C224-AY224,0)</f>
        <v>0</v>
      </c>
    </row>
    <row r="225" customFormat="false" ht="15" hidden="false" customHeight="false" outlineLevel="0" collapsed="false">
      <c r="A225" s="3" t="n">
        <v>195</v>
      </c>
      <c r="B225" s="15" t="n">
        <f aca="true">RAND()</f>
        <v>0.318924704721559</v>
      </c>
      <c r="C225" s="16" t="n">
        <f aca="false">LOOKUP(B225,$E$12:$E$17,$A$12:$A$17)+LOOKUP(B225,$E$12:$E$17,$D$12:$D$17)*(B225-LOOKUP(B225,$E$12:$E$17))/LOOKUP(B225,$E$12:$E$17,$C$12:$C$17)</f>
        <v>61.1487450786927</v>
      </c>
      <c r="D225" s="15" t="n">
        <f aca="true">RAND()</f>
        <v>0.298489591347091</v>
      </c>
      <c r="E225" s="15" t="n">
        <f aca="true">RAND()</f>
        <v>0.00217305770362621</v>
      </c>
      <c r="F225" s="15" t="n">
        <f aca="true">RAND()</f>
        <v>0.531522619777043</v>
      </c>
      <c r="G225" s="15" t="n">
        <f aca="true">RAND()</f>
        <v>0.984388623808374</v>
      </c>
      <c r="H225" s="15" t="n">
        <f aca="true">RAND()</f>
        <v>0.779181467586963</v>
      </c>
      <c r="I225" s="15" t="n">
        <f aca="true">RAND()</f>
        <v>0.839688538334728</v>
      </c>
      <c r="J225" s="15" t="n">
        <f aca="true">RAND()</f>
        <v>0.0649691738126649</v>
      </c>
      <c r="K225" s="15" t="n">
        <f aca="true">RAND()</f>
        <v>0.551990792228015</v>
      </c>
      <c r="L225" s="15" t="n">
        <f aca="true">RAND()</f>
        <v>0.676020291069253</v>
      </c>
      <c r="M225" s="15" t="n">
        <f aca="true">RAND()</f>
        <v>0.623252225031554</v>
      </c>
      <c r="N225" s="15" t="n">
        <f aca="true">RAND()</f>
        <v>0.899632078658116</v>
      </c>
      <c r="O225" s="15" t="n">
        <f aca="true">RAND()</f>
        <v>0.378723701280551</v>
      </c>
      <c r="P225" s="15" t="n">
        <f aca="true">RAND()</f>
        <v>0.570804519932035</v>
      </c>
      <c r="Q225" s="15" t="n">
        <f aca="true">RAND()</f>
        <v>0.650719295591586</v>
      </c>
      <c r="R225" s="15" t="n">
        <f aca="true">RAND()</f>
        <v>0.961146996907203</v>
      </c>
      <c r="S225" s="15" t="n">
        <f aca="true">RAND()</f>
        <v>0.869503575882622</v>
      </c>
      <c r="T225" s="16" t="n">
        <f aca="false">LOOKUP(D225,$E$23:$E$26,$A$23:$A$26)+LOOKUP(D225,$E$23:$E$26,$D$23:$D$26)*(D225-LOOKUP(D225,$E$23:$E$26))/LOOKUP(D225,$E$23:$E$26,$C$23:$C$26)</f>
        <v>4.49748265224515</v>
      </c>
      <c r="U225" s="16" t="n">
        <f aca="false">LOOKUP(E225,$E$23:$E$26,$A$23:$A$26)+LOOKUP(E225,$E$23:$E$26,$D$23:$D$26)*(E225-LOOKUP(E225,$E$23:$E$26))/LOOKUP(E225,$E$23:$E$26,$C$23:$C$26)</f>
        <v>4.00362176283938</v>
      </c>
      <c r="V225" s="16" t="n">
        <f aca="false">LOOKUP(F225,$E$23:$E$26,$A$23:$A$26)+LOOKUP(F225,$E$23:$E$26,$D$23:$D$26)*(F225-LOOKUP(F225,$E$23:$E$26))/LOOKUP(F225,$E$23:$E$26,$C$23:$C$26)</f>
        <v>4.7894032747213</v>
      </c>
      <c r="W225" s="16" t="n">
        <f aca="false">LOOKUP(G225,$E$23:$E$26,$A$23:$A$26)+LOOKUP(G225,$E$23:$E$26,$D$23:$D$26)*(G225-LOOKUP(G225,$E$23:$E$26))/LOOKUP(G225,$E$23:$E$26,$C$23:$C$26)</f>
        <v>5.92194311904187</v>
      </c>
      <c r="X225" s="16" t="n">
        <f aca="false">LOOKUP(H225,$E$23:$E$26,$A$23:$A$26)+LOOKUP(H225,$E$23:$E$26,$D$23:$D$26)*(H225-LOOKUP(H225,$E$23:$E$26))/LOOKUP(H225,$E$23:$E$26,$C$23:$C$26)</f>
        <v>5.19795366896741</v>
      </c>
      <c r="Y225" s="16" t="n">
        <f aca="false">LOOKUP(I225,$E$23:$E$26,$A$23:$A$26)+LOOKUP(I225,$E$23:$E$26,$D$23:$D$26)*(I225-LOOKUP(I225,$E$23:$E$26))/LOOKUP(I225,$E$23:$E$26,$C$23:$C$26)</f>
        <v>5.34922134583682</v>
      </c>
      <c r="Z225" s="16" t="n">
        <f aca="false">LOOKUP(J225,$E$23:$E$26,$A$23:$A$26)+LOOKUP(J225,$E$23:$E$26,$D$23:$D$26)*(J225-LOOKUP(J225,$E$23:$E$26))/LOOKUP(J225,$E$23:$E$26,$C$23:$C$26)</f>
        <v>4.10828195635444</v>
      </c>
      <c r="AA225" s="16" t="n">
        <f aca="false">LOOKUP(K225,$E$23:$E$26,$A$23:$A$26)+LOOKUP(K225,$E$23:$E$26,$D$23:$D$26)*(K225-LOOKUP(K225,$E$23:$E$26))/LOOKUP(K225,$E$23:$E$26,$C$23:$C$26)</f>
        <v>4.81498849028502</v>
      </c>
      <c r="AB225" s="16" t="n">
        <f aca="false">LOOKUP(L225,$E$23:$E$26,$A$23:$A$26)+LOOKUP(L225,$E$23:$E$26,$D$23:$D$26)*(L225-LOOKUP(L225,$E$23:$E$26))/LOOKUP(L225,$E$23:$E$26,$C$23:$C$26)</f>
        <v>4.97002536383657</v>
      </c>
      <c r="AC225" s="16" t="n">
        <f aca="false">LOOKUP(M225,$E$23:$E$26,$A$23:$A$26)+LOOKUP(M225,$E$23:$E$26,$D$23:$D$26)*(M225-LOOKUP(M225,$E$23:$E$26))/LOOKUP(M225,$E$23:$E$26,$C$23:$C$26)</f>
        <v>4.90406528128944</v>
      </c>
      <c r="AD225" s="16" t="n">
        <f aca="false">LOOKUP(N225,$E$23:$E$26,$A$23:$A$26)+LOOKUP(N225,$E$23:$E$26,$D$23:$D$26)*(N225-LOOKUP(N225,$E$23:$E$26))/LOOKUP(N225,$E$23:$E$26,$C$23:$C$26)</f>
        <v>5.49908019664529</v>
      </c>
      <c r="AE225" s="16" t="n">
        <f aca="false">LOOKUP(O225,$E$23:$E$26,$A$23:$A$26)+LOOKUP(O225,$E$23:$E$26,$D$23:$D$26)*(O225-LOOKUP(O225,$E$23:$E$26))/LOOKUP(O225,$E$23:$E$26,$C$23:$C$26)</f>
        <v>4.59840462660069</v>
      </c>
      <c r="AF225" s="16" t="n">
        <f aca="false">LOOKUP(P225,$E$23:$E$26,$A$23:$A$26)+LOOKUP(P225,$E$23:$E$26,$D$23:$D$26)*(P225-LOOKUP(P225,$E$23:$E$26))/LOOKUP(P225,$E$23:$E$26,$C$23:$C$26)</f>
        <v>4.83850564991504</v>
      </c>
      <c r="AG225" s="16" t="n">
        <f aca="false">LOOKUP(Q225,$E$23:$E$26,$A$23:$A$26)+LOOKUP(Q225,$E$23:$E$26,$D$23:$D$26)*(Q225-LOOKUP(Q225,$E$23:$E$26))/LOOKUP(Q225,$E$23:$E$26,$C$23:$C$26)</f>
        <v>4.93839911948948</v>
      </c>
      <c r="AH225" s="16" t="n">
        <f aca="false">LOOKUP(R225,$E$23:$E$26,$A$23:$A$26)+LOOKUP(R225,$E$23:$E$26,$D$23:$D$26)*(R225-LOOKUP(R225,$E$23:$E$26))/LOOKUP(R225,$E$23:$E$26,$C$23:$C$26)</f>
        <v>5.80573498453602</v>
      </c>
      <c r="AI225" s="16" t="n">
        <f aca="false">LOOKUP(S225,$E$23:$E$26,$A$23:$A$26)+LOOKUP(S225,$E$23:$E$26,$D$23:$D$26)*(S225-LOOKUP(S225,$E$23:$E$26))/LOOKUP(S225,$E$23:$E$26,$C$23:$C$26)</f>
        <v>5.42375893970656</v>
      </c>
      <c r="AJ225" s="16" t="n">
        <f aca="false">SUM($T225:T225)</f>
        <v>4.49748265224515</v>
      </c>
      <c r="AK225" s="16" t="n">
        <f aca="false">SUM($T225:U225)</f>
        <v>8.50110441508453</v>
      </c>
      <c r="AL225" s="16" t="n">
        <f aca="false">SUM($T225:V225)</f>
        <v>13.2905076898058</v>
      </c>
      <c r="AM225" s="16" t="n">
        <f aca="false">SUM($T225:W225)</f>
        <v>19.2124508088477</v>
      </c>
      <c r="AN225" s="16" t="n">
        <f aca="false">SUM($T225:X225)</f>
        <v>24.4104044778151</v>
      </c>
      <c r="AO225" s="16" t="n">
        <f aca="false">SUM($T225:Y225)</f>
        <v>29.7596258236519</v>
      </c>
      <c r="AP225" s="16" t="n">
        <f aca="false">SUM($T225:Z225)</f>
        <v>33.8679077800064</v>
      </c>
      <c r="AQ225" s="16" t="n">
        <f aca="false">SUM($T225:AA225)</f>
        <v>38.6828962702914</v>
      </c>
      <c r="AR225" s="16" t="n">
        <f aca="false">SUM($T225:AB225)</f>
        <v>43.652921634128</v>
      </c>
      <c r="AS225" s="16" t="n">
        <f aca="false">SUM($T225:AC225)</f>
        <v>48.5569869154174</v>
      </c>
      <c r="AT225" s="16" t="n">
        <f aca="false">SUM($T225:AD225)</f>
        <v>54.0560671120627</v>
      </c>
      <c r="AU225" s="16" t="n">
        <f aca="false">SUM($T225:AE225)</f>
        <v>58.6544717386634</v>
      </c>
      <c r="AV225" s="16" t="n">
        <f aca="false">SUM($T225:AF225)</f>
        <v>63.4929773885784</v>
      </c>
      <c r="AW225" s="16" t="n">
        <f aca="false">SUM($T225:AG225)</f>
        <v>68.4313765080679</v>
      </c>
      <c r="AX225" s="16" t="n">
        <f aca="false">SUM($T225:AH225)</f>
        <v>74.2371114926039</v>
      </c>
      <c r="AY225" s="16" t="n">
        <f aca="false">SUM($T225:AI225)</f>
        <v>79.6608704323105</v>
      </c>
      <c r="AZ225" s="16" t="n">
        <f aca="false">MAX(C225-AJ225,0)</f>
        <v>56.6512624264475</v>
      </c>
      <c r="BA225" s="16" t="n">
        <f aca="false">MAX(C225-AK225,0)</f>
        <v>52.6476406636081</v>
      </c>
      <c r="BB225" s="16" t="n">
        <f aca="false">MAX(C225-AL225,0)</f>
        <v>47.8582373888868</v>
      </c>
      <c r="BC225" s="16" t="n">
        <f aca="false">MAX(C225-AM225,0)</f>
        <v>41.936294269845</v>
      </c>
      <c r="BD225" s="16" t="n">
        <f aca="false">MAX(C225-AN225,0)</f>
        <v>36.7383406008776</v>
      </c>
      <c r="BE225" s="16" t="n">
        <f aca="false">MAX(C225-AO225,0)</f>
        <v>31.3891192550407</v>
      </c>
      <c r="BF225" s="16" t="n">
        <f aca="false">MAX(C225-AP225,0)</f>
        <v>27.2808372986863</v>
      </c>
      <c r="BG225" s="16" t="n">
        <f aca="false">MAX(C225-AQ225,0)</f>
        <v>22.4658488084013</v>
      </c>
      <c r="BH225" s="16" t="n">
        <f aca="false">MAX(C225-AR225,0)</f>
        <v>17.4958234445647</v>
      </c>
      <c r="BI225" s="16" t="n">
        <f aca="false">MAX(C225-AS225,0)</f>
        <v>12.5917581632753</v>
      </c>
      <c r="BJ225" s="16" t="n">
        <f aca="false">MAX(C225-AT225,0)</f>
        <v>7.09267796662997</v>
      </c>
      <c r="BK225" s="16" t="n">
        <f aca="false">MAX(C225-AU225,0)</f>
        <v>2.49427334002927</v>
      </c>
      <c r="BL225" s="16" t="n">
        <f aca="false">MAX(C225-AV225,0)</f>
        <v>0</v>
      </c>
      <c r="BM225" s="16" t="n">
        <f aca="false">MAX(C225-AW225,0)</f>
        <v>0</v>
      </c>
      <c r="BN225" s="16" t="n">
        <f aca="false">MAX(C225-AX225,0)</f>
        <v>0</v>
      </c>
      <c r="BO225" s="16" t="n">
        <f aca="false">MAX(C225-AY225,0)</f>
        <v>0</v>
      </c>
    </row>
    <row r="226" customFormat="false" ht="15" hidden="false" customHeight="false" outlineLevel="0" collapsed="false">
      <c r="A226" s="3" t="n">
        <v>196</v>
      </c>
      <c r="B226" s="15" t="n">
        <f aca="true">RAND()</f>
        <v>0.695988268656628</v>
      </c>
      <c r="C226" s="16" t="n">
        <f aca="false">LOOKUP(B226,$E$12:$E$17,$A$12:$A$17)+LOOKUP(B226,$E$12:$E$17,$D$12:$D$17)*(B226-LOOKUP(B226,$E$12:$E$17))/LOOKUP(B226,$E$12:$E$17,$C$12:$C$17)</f>
        <v>67.0855466950947</v>
      </c>
      <c r="D226" s="15" t="n">
        <f aca="true">RAND()</f>
        <v>0.736071815458177</v>
      </c>
      <c r="E226" s="15" t="n">
        <f aca="true">RAND()</f>
        <v>0.57396133438393</v>
      </c>
      <c r="F226" s="15" t="n">
        <f aca="true">RAND()</f>
        <v>0.066136301141162</v>
      </c>
      <c r="G226" s="15" t="n">
        <f aca="true">RAND()</f>
        <v>0.947249281616751</v>
      </c>
      <c r="H226" s="15" t="n">
        <f aca="true">RAND()</f>
        <v>0.078452587153187</v>
      </c>
      <c r="I226" s="15" t="n">
        <f aca="true">RAND()</f>
        <v>0.314093374383275</v>
      </c>
      <c r="J226" s="15" t="n">
        <f aca="true">RAND()</f>
        <v>0.0609809834424157</v>
      </c>
      <c r="K226" s="15" t="n">
        <f aca="true">RAND()</f>
        <v>0.69446275334801</v>
      </c>
      <c r="L226" s="15" t="n">
        <f aca="true">RAND()</f>
        <v>0.801838091851256</v>
      </c>
      <c r="M226" s="15" t="n">
        <f aca="true">RAND()</f>
        <v>0.0889696700043423</v>
      </c>
      <c r="N226" s="15" t="n">
        <f aca="true">RAND()</f>
        <v>0.527758924811281</v>
      </c>
      <c r="O226" s="15" t="n">
        <f aca="true">RAND()</f>
        <v>0.675386193005849</v>
      </c>
      <c r="P226" s="15" t="n">
        <f aca="true">RAND()</f>
        <v>0.198131343136767</v>
      </c>
      <c r="Q226" s="15" t="n">
        <f aca="true">RAND()</f>
        <v>0.649317298186093</v>
      </c>
      <c r="R226" s="15" t="n">
        <f aca="true">RAND()</f>
        <v>0.690341407680453</v>
      </c>
      <c r="S226" s="15" t="n">
        <f aca="true">RAND()</f>
        <v>0.700915001824239</v>
      </c>
      <c r="T226" s="16" t="n">
        <f aca="false">LOOKUP(D226,$E$23:$E$26,$A$23:$A$26)+LOOKUP(D226,$E$23:$E$26,$D$23:$D$26)*(D226-LOOKUP(D226,$E$23:$E$26))/LOOKUP(D226,$E$23:$E$26,$C$23:$C$26)</f>
        <v>5.09017953864544</v>
      </c>
      <c r="U226" s="16" t="n">
        <f aca="false">LOOKUP(E226,$E$23:$E$26,$A$23:$A$26)+LOOKUP(E226,$E$23:$E$26,$D$23:$D$26)*(E226-LOOKUP(E226,$E$23:$E$26))/LOOKUP(E226,$E$23:$E$26,$C$23:$C$26)</f>
        <v>4.84245166797991</v>
      </c>
      <c r="V226" s="16" t="n">
        <f aca="false">LOOKUP(F226,$E$23:$E$26,$A$23:$A$26)+LOOKUP(F226,$E$23:$E$26,$D$23:$D$26)*(F226-LOOKUP(F226,$E$23:$E$26))/LOOKUP(F226,$E$23:$E$26,$C$23:$C$26)</f>
        <v>4.1102271685686</v>
      </c>
      <c r="W226" s="16" t="n">
        <f aca="false">LOOKUP(G226,$E$23:$E$26,$A$23:$A$26)+LOOKUP(G226,$E$23:$E$26,$D$23:$D$26)*(G226-LOOKUP(G226,$E$23:$E$26))/LOOKUP(G226,$E$23:$E$26,$C$23:$C$26)</f>
        <v>5.73624640808375</v>
      </c>
      <c r="X226" s="16" t="n">
        <f aca="false">LOOKUP(H226,$E$23:$E$26,$A$23:$A$26)+LOOKUP(H226,$E$23:$E$26,$D$23:$D$26)*(H226-LOOKUP(H226,$E$23:$E$26))/LOOKUP(H226,$E$23:$E$26,$C$23:$C$26)</f>
        <v>4.13075431192198</v>
      </c>
      <c r="Y226" s="16" t="n">
        <f aca="false">LOOKUP(I226,$E$23:$E$26,$A$23:$A$26)+LOOKUP(I226,$E$23:$E$26,$D$23:$D$26)*(I226-LOOKUP(I226,$E$23:$E$26))/LOOKUP(I226,$E$23:$E$26,$C$23:$C$26)</f>
        <v>4.51761671797909</v>
      </c>
      <c r="Z226" s="16" t="n">
        <f aca="false">LOOKUP(J226,$E$23:$E$26,$A$23:$A$26)+LOOKUP(J226,$E$23:$E$26,$D$23:$D$26)*(J226-LOOKUP(J226,$E$23:$E$26))/LOOKUP(J226,$E$23:$E$26,$C$23:$C$26)</f>
        <v>4.10163497240403</v>
      </c>
      <c r="AA226" s="16" t="n">
        <f aca="false">LOOKUP(K226,$E$23:$E$26,$A$23:$A$26)+LOOKUP(K226,$E$23:$E$26,$D$23:$D$26)*(K226-LOOKUP(K226,$E$23:$E$26))/LOOKUP(K226,$E$23:$E$26,$C$23:$C$26)</f>
        <v>4.99307844168501</v>
      </c>
      <c r="AB226" s="16" t="n">
        <f aca="false">LOOKUP(L226,$E$23:$E$26,$A$23:$A$26)+LOOKUP(L226,$E$23:$E$26,$D$23:$D$26)*(L226-LOOKUP(L226,$E$23:$E$26))/LOOKUP(L226,$E$23:$E$26,$C$23:$C$26)</f>
        <v>5.25459522962814</v>
      </c>
      <c r="AC226" s="16" t="n">
        <f aca="false">LOOKUP(M226,$E$23:$E$26,$A$23:$A$26)+LOOKUP(M226,$E$23:$E$26,$D$23:$D$26)*(M226-LOOKUP(M226,$E$23:$E$26))/LOOKUP(M226,$E$23:$E$26,$C$23:$C$26)</f>
        <v>4.14828278334057</v>
      </c>
      <c r="AD226" s="16" t="n">
        <f aca="false">LOOKUP(N226,$E$23:$E$26,$A$23:$A$26)+LOOKUP(N226,$E$23:$E$26,$D$23:$D$26)*(N226-LOOKUP(N226,$E$23:$E$26))/LOOKUP(N226,$E$23:$E$26,$C$23:$C$26)</f>
        <v>4.7846986560141</v>
      </c>
      <c r="AE226" s="16" t="n">
        <f aca="false">LOOKUP(O226,$E$23:$E$26,$A$23:$A$26)+LOOKUP(O226,$E$23:$E$26,$D$23:$D$26)*(O226-LOOKUP(O226,$E$23:$E$26))/LOOKUP(O226,$E$23:$E$26,$C$23:$C$26)</f>
        <v>4.96923274125731</v>
      </c>
      <c r="AF226" s="16" t="n">
        <f aca="false">LOOKUP(P226,$E$23:$E$26,$A$23:$A$26)+LOOKUP(P226,$E$23:$E$26,$D$23:$D$26)*(P226-LOOKUP(P226,$E$23:$E$26))/LOOKUP(P226,$E$23:$E$26,$C$23:$C$26)</f>
        <v>4.33021890522794</v>
      </c>
      <c r="AG226" s="16" t="n">
        <f aca="false">LOOKUP(Q226,$E$23:$E$26,$A$23:$A$26)+LOOKUP(Q226,$E$23:$E$26,$D$23:$D$26)*(Q226-LOOKUP(Q226,$E$23:$E$26))/LOOKUP(Q226,$E$23:$E$26,$C$23:$C$26)</f>
        <v>4.93664662273262</v>
      </c>
      <c r="AH226" s="16" t="n">
        <f aca="false">LOOKUP(R226,$E$23:$E$26,$A$23:$A$26)+LOOKUP(R226,$E$23:$E$26,$D$23:$D$26)*(R226-LOOKUP(R226,$E$23:$E$26))/LOOKUP(R226,$E$23:$E$26,$C$23:$C$26)</f>
        <v>4.98792675960057</v>
      </c>
      <c r="AI226" s="16" t="n">
        <f aca="false">LOOKUP(S226,$E$23:$E$26,$A$23:$A$26)+LOOKUP(S226,$E$23:$E$26,$D$23:$D$26)*(S226-LOOKUP(S226,$E$23:$E$26))/LOOKUP(S226,$E$23:$E$26,$C$23:$C$26)</f>
        <v>5.0022875045606</v>
      </c>
      <c r="AJ226" s="16" t="n">
        <f aca="false">SUM($T226:T226)</f>
        <v>5.09017953864544</v>
      </c>
      <c r="AK226" s="16" t="n">
        <f aca="false">SUM($T226:U226)</f>
        <v>9.93263120662536</v>
      </c>
      <c r="AL226" s="16" t="n">
        <f aca="false">SUM($T226:V226)</f>
        <v>14.042858375194</v>
      </c>
      <c r="AM226" s="16" t="n">
        <f aca="false">SUM($T226:W226)</f>
        <v>19.7791047832777</v>
      </c>
      <c r="AN226" s="16" t="n">
        <f aca="false">SUM($T226:X226)</f>
        <v>23.9098590951997</v>
      </c>
      <c r="AO226" s="16" t="n">
        <f aca="false">SUM($T226:Y226)</f>
        <v>28.4274758131788</v>
      </c>
      <c r="AP226" s="16" t="n">
        <f aca="false">SUM($T226:Z226)</f>
        <v>32.5291107855828</v>
      </c>
      <c r="AQ226" s="16" t="n">
        <f aca="false">SUM($T226:AA226)</f>
        <v>37.5221892272678</v>
      </c>
      <c r="AR226" s="16" t="n">
        <f aca="false">SUM($T226:AB226)</f>
        <v>42.776784456896</v>
      </c>
      <c r="AS226" s="16" t="n">
        <f aca="false">SUM($T226:AC226)</f>
        <v>46.9250672402365</v>
      </c>
      <c r="AT226" s="16" t="n">
        <f aca="false">SUM($T226:AD226)</f>
        <v>51.7097658962506</v>
      </c>
      <c r="AU226" s="16" t="n">
        <f aca="false">SUM($T226:AE226)</f>
        <v>56.6789986375079</v>
      </c>
      <c r="AV226" s="16" t="n">
        <f aca="false">SUM($T226:AF226)</f>
        <v>61.0092175427359</v>
      </c>
      <c r="AW226" s="16" t="n">
        <f aca="false">SUM($T226:AG226)</f>
        <v>65.9458641654685</v>
      </c>
      <c r="AX226" s="16" t="n">
        <f aca="false">SUM($T226:AH226)</f>
        <v>70.9337909250691</v>
      </c>
      <c r="AY226" s="16" t="n">
        <f aca="false">SUM($T226:AI226)</f>
        <v>75.9360784296297</v>
      </c>
      <c r="AZ226" s="16" t="n">
        <f aca="false">MAX(C226-AJ226,0)</f>
        <v>61.9953671564492</v>
      </c>
      <c r="BA226" s="16" t="n">
        <f aca="false">MAX(C226-AK226,0)</f>
        <v>57.1529154884693</v>
      </c>
      <c r="BB226" s="16" t="n">
        <f aca="false">MAX(C226-AL226,0)</f>
        <v>53.0426883199007</v>
      </c>
      <c r="BC226" s="16" t="n">
        <f aca="false">MAX(C226-AM226,0)</f>
        <v>47.306441911817</v>
      </c>
      <c r="BD226" s="16" t="n">
        <f aca="false">MAX(C226-AN226,0)</f>
        <v>43.175687599895</v>
      </c>
      <c r="BE226" s="16" t="n">
        <f aca="false">MAX(C226-AO226,0)</f>
        <v>38.6580708819159</v>
      </c>
      <c r="BF226" s="16" t="n">
        <f aca="false">MAX(C226-AP226,0)</f>
        <v>34.5564359095119</v>
      </c>
      <c r="BG226" s="16" t="n">
        <f aca="false">MAX(C226-AQ226,0)</f>
        <v>29.5633574678269</v>
      </c>
      <c r="BH226" s="16" t="n">
        <f aca="false">MAX(C226-AR226,0)</f>
        <v>24.3087622381987</v>
      </c>
      <c r="BI226" s="16" t="n">
        <f aca="false">MAX(C226-AS226,0)</f>
        <v>20.1604794548581</v>
      </c>
      <c r="BJ226" s="16" t="n">
        <f aca="false">MAX(C226-AT226,0)</f>
        <v>15.375780798844</v>
      </c>
      <c r="BK226" s="16" t="n">
        <f aca="false">MAX(C226-AU226,0)</f>
        <v>10.4065480575867</v>
      </c>
      <c r="BL226" s="16" t="n">
        <f aca="false">MAX(C226-AV226,0)</f>
        <v>6.07632915235879</v>
      </c>
      <c r="BM226" s="16" t="n">
        <f aca="false">MAX(C226-AW226,0)</f>
        <v>1.13968252962617</v>
      </c>
      <c r="BN226" s="16" t="n">
        <f aca="false">MAX(C226-AX226,0)</f>
        <v>0</v>
      </c>
      <c r="BO226" s="16" t="n">
        <f aca="false">MAX(C226-AY226,0)</f>
        <v>0</v>
      </c>
    </row>
    <row r="227" customFormat="false" ht="15" hidden="false" customHeight="false" outlineLevel="0" collapsed="false">
      <c r="A227" s="3" t="n">
        <v>197</v>
      </c>
      <c r="B227" s="15" t="n">
        <f aca="true">RAND()</f>
        <v>0.343467444953815</v>
      </c>
      <c r="C227" s="16" t="n">
        <f aca="false">LOOKUP(B227,$E$12:$E$17,$A$12:$A$17)+LOOKUP(B227,$E$12:$E$17,$D$12:$D$17)*(B227-LOOKUP(B227,$E$12:$E$17))/LOOKUP(B227,$E$12:$E$17,$C$12:$C$17)</f>
        <v>61.5577907492303</v>
      </c>
      <c r="D227" s="15" t="n">
        <f aca="true">RAND()</f>
        <v>0.621956509324685</v>
      </c>
      <c r="E227" s="15" t="n">
        <f aca="true">RAND()</f>
        <v>0.832792594762344</v>
      </c>
      <c r="F227" s="15" t="n">
        <f aca="true">RAND()</f>
        <v>0.909814076949584</v>
      </c>
      <c r="G227" s="15" t="n">
        <f aca="true">RAND()</f>
        <v>0.738507250758271</v>
      </c>
      <c r="H227" s="15" t="n">
        <f aca="true">RAND()</f>
        <v>0.270163899537266</v>
      </c>
      <c r="I227" s="15" t="n">
        <f aca="true">RAND()</f>
        <v>0.988715013461187</v>
      </c>
      <c r="J227" s="15" t="n">
        <f aca="true">RAND()</f>
        <v>0.784629927301863</v>
      </c>
      <c r="K227" s="15" t="n">
        <f aca="true">RAND()</f>
        <v>0.996633632475871</v>
      </c>
      <c r="L227" s="15" t="n">
        <f aca="true">RAND()</f>
        <v>0.233499103900675</v>
      </c>
      <c r="M227" s="15" t="n">
        <f aca="true">RAND()</f>
        <v>0.546314438658184</v>
      </c>
      <c r="N227" s="15" t="n">
        <f aca="true">RAND()</f>
        <v>0.574335554508465</v>
      </c>
      <c r="O227" s="15" t="n">
        <f aca="true">RAND()</f>
        <v>0.395011885325258</v>
      </c>
      <c r="P227" s="15" t="n">
        <f aca="true">RAND()</f>
        <v>0.902764367024535</v>
      </c>
      <c r="Q227" s="15" t="n">
        <f aca="true">RAND()</f>
        <v>0.515327174314988</v>
      </c>
      <c r="R227" s="15" t="n">
        <f aca="true">RAND()</f>
        <v>0.848293891889092</v>
      </c>
      <c r="S227" s="15" t="n">
        <f aca="true">RAND()</f>
        <v>0.890197176113902</v>
      </c>
      <c r="T227" s="16" t="n">
        <f aca="false">LOOKUP(D227,$E$23:$E$26,$A$23:$A$26)+LOOKUP(D227,$E$23:$E$26,$D$23:$D$26)*(D227-LOOKUP(D227,$E$23:$E$26))/LOOKUP(D227,$E$23:$E$26,$C$23:$C$26)</f>
        <v>4.90244563665586</v>
      </c>
      <c r="U227" s="16" t="n">
        <f aca="false">LOOKUP(E227,$E$23:$E$26,$A$23:$A$26)+LOOKUP(E227,$E$23:$E$26,$D$23:$D$26)*(E227-LOOKUP(E227,$E$23:$E$26))/LOOKUP(E227,$E$23:$E$26,$C$23:$C$26)</f>
        <v>5.33198148690586</v>
      </c>
      <c r="V227" s="16" t="n">
        <f aca="false">LOOKUP(F227,$E$23:$E$26,$A$23:$A$26)+LOOKUP(F227,$E$23:$E$26,$D$23:$D$26)*(F227-LOOKUP(F227,$E$23:$E$26))/LOOKUP(F227,$E$23:$E$26,$C$23:$C$26)</f>
        <v>5.54907038474792</v>
      </c>
      <c r="W227" s="16" t="n">
        <f aca="false">LOOKUP(G227,$E$23:$E$26,$A$23:$A$26)+LOOKUP(G227,$E$23:$E$26,$D$23:$D$26)*(G227-LOOKUP(G227,$E$23:$E$26))/LOOKUP(G227,$E$23:$E$26,$C$23:$C$26)</f>
        <v>5.09626812689568</v>
      </c>
      <c r="X227" s="16" t="n">
        <f aca="false">LOOKUP(H227,$E$23:$E$26,$A$23:$A$26)+LOOKUP(H227,$E$23:$E$26,$D$23:$D$26)*(H227-LOOKUP(H227,$E$23:$E$26))/LOOKUP(H227,$E$23:$E$26,$C$23:$C$26)</f>
        <v>4.45027316589544</v>
      </c>
      <c r="Y227" s="16" t="n">
        <f aca="false">LOOKUP(I227,$E$23:$E$26,$A$23:$A$26)+LOOKUP(I227,$E$23:$E$26,$D$23:$D$26)*(I227-LOOKUP(I227,$E$23:$E$26))/LOOKUP(I227,$E$23:$E$26,$C$23:$C$26)</f>
        <v>5.94357506730594</v>
      </c>
      <c r="Z227" s="16" t="n">
        <f aca="false">LOOKUP(J227,$E$23:$E$26,$A$23:$A$26)+LOOKUP(J227,$E$23:$E$26,$D$23:$D$26)*(J227-LOOKUP(J227,$E$23:$E$26))/LOOKUP(J227,$E$23:$E$26,$C$23:$C$26)</f>
        <v>5.21157481825466</v>
      </c>
      <c r="AA227" s="16" t="n">
        <f aca="false">LOOKUP(K227,$E$23:$E$26,$A$23:$A$26)+LOOKUP(K227,$E$23:$E$26,$D$23:$D$26)*(K227-LOOKUP(K227,$E$23:$E$26))/LOOKUP(K227,$E$23:$E$26,$C$23:$C$26)</f>
        <v>5.98316816237936</v>
      </c>
      <c r="AB227" s="16" t="n">
        <f aca="false">LOOKUP(L227,$E$23:$E$26,$A$23:$A$26)+LOOKUP(L227,$E$23:$E$26,$D$23:$D$26)*(L227-LOOKUP(L227,$E$23:$E$26))/LOOKUP(L227,$E$23:$E$26,$C$23:$C$26)</f>
        <v>4.38916517316779</v>
      </c>
      <c r="AC227" s="16" t="n">
        <f aca="false">LOOKUP(M227,$E$23:$E$26,$A$23:$A$26)+LOOKUP(M227,$E$23:$E$26,$D$23:$D$26)*(M227-LOOKUP(M227,$E$23:$E$26))/LOOKUP(M227,$E$23:$E$26,$C$23:$C$26)</f>
        <v>4.80789304832273</v>
      </c>
      <c r="AD227" s="16" t="n">
        <f aca="false">LOOKUP(N227,$E$23:$E$26,$A$23:$A$26)+LOOKUP(N227,$E$23:$E$26,$D$23:$D$26)*(N227-LOOKUP(N227,$E$23:$E$26))/LOOKUP(N227,$E$23:$E$26,$C$23:$C$26)</f>
        <v>4.84291944313558</v>
      </c>
      <c r="AE227" s="16" t="n">
        <f aca="false">LOOKUP(O227,$E$23:$E$26,$A$23:$A$26)+LOOKUP(O227,$E$23:$E$26,$D$23:$D$26)*(O227-LOOKUP(O227,$E$23:$E$26))/LOOKUP(O227,$E$23:$E$26,$C$23:$C$26)</f>
        <v>4.61876485665657</v>
      </c>
      <c r="AF227" s="16" t="n">
        <f aca="false">LOOKUP(P227,$E$23:$E$26,$A$23:$A$26)+LOOKUP(P227,$E$23:$E$26,$D$23:$D$26)*(P227-LOOKUP(P227,$E$23:$E$26))/LOOKUP(P227,$E$23:$E$26,$C$23:$C$26)</f>
        <v>5.51382183512268</v>
      </c>
      <c r="AG227" s="16" t="n">
        <f aca="false">LOOKUP(Q227,$E$23:$E$26,$A$23:$A$26)+LOOKUP(Q227,$E$23:$E$26,$D$23:$D$26)*(Q227-LOOKUP(Q227,$E$23:$E$26))/LOOKUP(Q227,$E$23:$E$26,$C$23:$C$26)</f>
        <v>4.76915896789374</v>
      </c>
      <c r="AH227" s="16" t="n">
        <f aca="false">LOOKUP(R227,$E$23:$E$26,$A$23:$A$26)+LOOKUP(R227,$E$23:$E$26,$D$23:$D$26)*(R227-LOOKUP(R227,$E$23:$E$26))/LOOKUP(R227,$E$23:$E$26,$C$23:$C$26)</f>
        <v>5.37073472972273</v>
      </c>
      <c r="AI227" s="16" t="n">
        <f aca="false">LOOKUP(S227,$E$23:$E$26,$A$23:$A$26)+LOOKUP(S227,$E$23:$E$26,$D$23:$D$26)*(S227-LOOKUP(S227,$E$23:$E$26))/LOOKUP(S227,$E$23:$E$26,$C$23:$C$26)</f>
        <v>5.47549294028476</v>
      </c>
      <c r="AJ227" s="16" t="n">
        <f aca="false">SUM($T227:T227)</f>
        <v>4.90244563665586</v>
      </c>
      <c r="AK227" s="16" t="n">
        <f aca="false">SUM($T227:U227)</f>
        <v>10.2344271235617</v>
      </c>
      <c r="AL227" s="16" t="n">
        <f aca="false">SUM($T227:V227)</f>
        <v>15.7834975083096</v>
      </c>
      <c r="AM227" s="16" t="n">
        <f aca="false">SUM($T227:W227)</f>
        <v>20.8797656352053</v>
      </c>
      <c r="AN227" s="16" t="n">
        <f aca="false">SUM($T227:X227)</f>
        <v>25.3300388011008</v>
      </c>
      <c r="AO227" s="16" t="n">
        <f aca="false">SUM($T227:Y227)</f>
        <v>31.2736138684067</v>
      </c>
      <c r="AP227" s="16" t="n">
        <f aca="false">SUM($T227:Z227)</f>
        <v>36.4851886866614</v>
      </c>
      <c r="AQ227" s="16" t="n">
        <f aca="false">SUM($T227:AA227)</f>
        <v>42.4683568490407</v>
      </c>
      <c r="AR227" s="16" t="n">
        <f aca="false">SUM($T227:AB227)</f>
        <v>46.8575220222085</v>
      </c>
      <c r="AS227" s="16" t="n">
        <f aca="false">SUM($T227:AC227)</f>
        <v>51.6654150705312</v>
      </c>
      <c r="AT227" s="16" t="n">
        <f aca="false">SUM($T227:AD227)</f>
        <v>56.5083345136668</v>
      </c>
      <c r="AU227" s="16" t="n">
        <f aca="false">SUM($T227:AE227)</f>
        <v>61.1270993703234</v>
      </c>
      <c r="AV227" s="16" t="n">
        <f aca="false">SUM($T227:AF227)</f>
        <v>66.6409212054461</v>
      </c>
      <c r="AW227" s="16" t="n">
        <f aca="false">SUM($T227:AG227)</f>
        <v>71.4100801733398</v>
      </c>
      <c r="AX227" s="16" t="n">
        <f aca="false">SUM($T227:AH227)</f>
        <v>76.7808149030625</v>
      </c>
      <c r="AY227" s="16" t="n">
        <f aca="false">SUM($T227:AI227)</f>
        <v>82.2563078433473</v>
      </c>
      <c r="AZ227" s="16" t="n">
        <f aca="false">MAX(C227-AJ227,0)</f>
        <v>56.6553451125744</v>
      </c>
      <c r="BA227" s="16" t="n">
        <f aca="false">MAX(C227-AK227,0)</f>
        <v>51.3233636256685</v>
      </c>
      <c r="BB227" s="16" t="n">
        <f aca="false">MAX(C227-AL227,0)</f>
        <v>45.7742932409206</v>
      </c>
      <c r="BC227" s="16" t="n">
        <f aca="false">MAX(C227-AM227,0)</f>
        <v>40.6780251140249</v>
      </c>
      <c r="BD227" s="16" t="n">
        <f aca="false">MAX(C227-AN227,0)</f>
        <v>36.2277519481295</v>
      </c>
      <c r="BE227" s="16" t="n">
        <f aca="false">MAX(C227-AO227,0)</f>
        <v>30.2841768808236</v>
      </c>
      <c r="BF227" s="16" t="n">
        <f aca="false">MAX(C227-AP227,0)</f>
        <v>25.0726020625689</v>
      </c>
      <c r="BG227" s="16" t="n">
        <f aca="false">MAX(C227-AQ227,0)</f>
        <v>19.0894339001895</v>
      </c>
      <c r="BH227" s="16" t="n">
        <f aca="false">MAX(C227-AR227,0)</f>
        <v>14.7002687270218</v>
      </c>
      <c r="BI227" s="16" t="n">
        <f aca="false">MAX(C227-AS227,0)</f>
        <v>9.89237567869901</v>
      </c>
      <c r="BJ227" s="16" t="n">
        <f aca="false">MAX(C227-AT227,0)</f>
        <v>5.04945623556344</v>
      </c>
      <c r="BK227" s="16" t="n">
        <f aca="false">MAX(C227-AU227,0)</f>
        <v>0.430691378906857</v>
      </c>
      <c r="BL227" s="16" t="n">
        <f aca="false">MAX(C227-AV227,0)</f>
        <v>0</v>
      </c>
      <c r="BM227" s="16" t="n">
        <f aca="false">MAX(C227-AW227,0)</f>
        <v>0</v>
      </c>
      <c r="BN227" s="16" t="n">
        <f aca="false">MAX(C227-AX227,0)</f>
        <v>0</v>
      </c>
      <c r="BO227" s="16" t="n">
        <f aca="false">MAX(C227-AY227,0)</f>
        <v>0</v>
      </c>
    </row>
    <row r="228" customFormat="false" ht="15" hidden="false" customHeight="false" outlineLevel="0" collapsed="false">
      <c r="A228" s="3" t="n">
        <v>198</v>
      </c>
      <c r="B228" s="15" t="n">
        <f aca="true">RAND()</f>
        <v>0.339250625229147</v>
      </c>
      <c r="C228" s="16" t="n">
        <f aca="false">LOOKUP(B228,$E$12:$E$17,$A$12:$A$17)+LOOKUP(B228,$E$12:$E$17,$D$12:$D$17)*(B228-LOOKUP(B228,$E$12:$E$17))/LOOKUP(B228,$E$12:$E$17,$C$12:$C$17)</f>
        <v>61.4875104204858</v>
      </c>
      <c r="D228" s="15" t="n">
        <f aca="true">RAND()</f>
        <v>0.00488912742123811</v>
      </c>
      <c r="E228" s="15" t="n">
        <f aca="true">RAND()</f>
        <v>0.916242490582729</v>
      </c>
      <c r="F228" s="15" t="n">
        <f aca="true">RAND()</f>
        <v>0.0319633518772397</v>
      </c>
      <c r="G228" s="15" t="n">
        <f aca="true">RAND()</f>
        <v>0.974667185375803</v>
      </c>
      <c r="H228" s="15" t="n">
        <f aca="true">RAND()</f>
        <v>0.169472336656251</v>
      </c>
      <c r="I228" s="15" t="n">
        <f aca="true">RAND()</f>
        <v>0.13471277750362</v>
      </c>
      <c r="J228" s="15" t="n">
        <f aca="true">RAND()</f>
        <v>0.862618603589487</v>
      </c>
      <c r="K228" s="15" t="n">
        <f aca="true">RAND()</f>
        <v>0.475616944930099</v>
      </c>
      <c r="L228" s="15" t="n">
        <f aca="true">RAND()</f>
        <v>0.972290122671873</v>
      </c>
      <c r="M228" s="15" t="n">
        <f aca="true">RAND()</f>
        <v>0.990841471489971</v>
      </c>
      <c r="N228" s="15" t="n">
        <f aca="true">RAND()</f>
        <v>0.764217876933454</v>
      </c>
      <c r="O228" s="15" t="n">
        <f aca="true">RAND()</f>
        <v>0.305449430563045</v>
      </c>
      <c r="P228" s="15" t="n">
        <f aca="true">RAND()</f>
        <v>0.331812830927267</v>
      </c>
      <c r="Q228" s="15" t="n">
        <f aca="true">RAND()</f>
        <v>0.0712009325156281</v>
      </c>
      <c r="R228" s="15" t="n">
        <f aca="true">RAND()</f>
        <v>0.35526761136751</v>
      </c>
      <c r="S228" s="15" t="n">
        <f aca="true">RAND()</f>
        <v>0.676524018036786</v>
      </c>
      <c r="T228" s="16" t="n">
        <f aca="false">LOOKUP(D228,$E$23:$E$26,$A$23:$A$26)+LOOKUP(D228,$E$23:$E$26,$D$23:$D$26)*(D228-LOOKUP(D228,$E$23:$E$26))/LOOKUP(D228,$E$23:$E$26,$C$23:$C$26)</f>
        <v>4.00814854570206</v>
      </c>
      <c r="U228" s="16" t="n">
        <f aca="false">LOOKUP(E228,$E$23:$E$26,$A$23:$A$26)+LOOKUP(E228,$E$23:$E$26,$D$23:$D$26)*(E228-LOOKUP(E228,$E$23:$E$26))/LOOKUP(E228,$E$23:$E$26,$C$23:$C$26)</f>
        <v>5.58121245291365</v>
      </c>
      <c r="V228" s="16" t="n">
        <f aca="false">LOOKUP(F228,$E$23:$E$26,$A$23:$A$26)+LOOKUP(F228,$E$23:$E$26,$D$23:$D$26)*(F228-LOOKUP(F228,$E$23:$E$26))/LOOKUP(F228,$E$23:$E$26,$C$23:$C$26)</f>
        <v>4.05327225312873</v>
      </c>
      <c r="W228" s="16" t="n">
        <f aca="false">LOOKUP(G228,$E$23:$E$26,$A$23:$A$26)+LOOKUP(G228,$E$23:$E$26,$D$23:$D$26)*(G228-LOOKUP(G228,$E$23:$E$26))/LOOKUP(G228,$E$23:$E$26,$C$23:$C$26)</f>
        <v>5.87333592687901</v>
      </c>
      <c r="X228" s="16" t="n">
        <f aca="false">LOOKUP(H228,$E$23:$E$26,$A$23:$A$26)+LOOKUP(H228,$E$23:$E$26,$D$23:$D$26)*(H228-LOOKUP(H228,$E$23:$E$26))/LOOKUP(H228,$E$23:$E$26,$C$23:$C$26)</f>
        <v>4.28245389442709</v>
      </c>
      <c r="Y228" s="16" t="n">
        <f aca="false">LOOKUP(I228,$E$23:$E$26,$A$23:$A$26)+LOOKUP(I228,$E$23:$E$26,$D$23:$D$26)*(I228-LOOKUP(I228,$E$23:$E$26))/LOOKUP(I228,$E$23:$E$26,$C$23:$C$26)</f>
        <v>4.22452129583937</v>
      </c>
      <c r="Z228" s="16" t="n">
        <f aca="false">LOOKUP(J228,$E$23:$E$26,$A$23:$A$26)+LOOKUP(J228,$E$23:$E$26,$D$23:$D$26)*(J228-LOOKUP(J228,$E$23:$E$26))/LOOKUP(J228,$E$23:$E$26,$C$23:$C$26)</f>
        <v>5.40654650897372</v>
      </c>
      <c r="AA228" s="16" t="n">
        <f aca="false">LOOKUP(K228,$E$23:$E$26,$A$23:$A$26)+LOOKUP(K228,$E$23:$E$26,$D$23:$D$26)*(K228-LOOKUP(K228,$E$23:$E$26))/LOOKUP(K228,$E$23:$E$26,$C$23:$C$26)</f>
        <v>4.71952118116262</v>
      </c>
      <c r="AB228" s="16" t="n">
        <f aca="false">LOOKUP(L228,$E$23:$E$26,$A$23:$A$26)+LOOKUP(L228,$E$23:$E$26,$D$23:$D$26)*(L228-LOOKUP(L228,$E$23:$E$26))/LOOKUP(L228,$E$23:$E$26,$C$23:$C$26)</f>
        <v>5.86145061335937</v>
      </c>
      <c r="AC228" s="16" t="n">
        <f aca="false">LOOKUP(M228,$E$23:$E$26,$A$23:$A$26)+LOOKUP(M228,$E$23:$E$26,$D$23:$D$26)*(M228-LOOKUP(M228,$E$23:$E$26))/LOOKUP(M228,$E$23:$E$26,$C$23:$C$26)</f>
        <v>5.95420735744986</v>
      </c>
      <c r="AD228" s="16" t="n">
        <f aca="false">LOOKUP(N228,$E$23:$E$26,$A$23:$A$26)+LOOKUP(N228,$E$23:$E$26,$D$23:$D$26)*(N228-LOOKUP(N228,$E$23:$E$26))/LOOKUP(N228,$E$23:$E$26,$C$23:$C$26)</f>
        <v>5.16054469233363</v>
      </c>
      <c r="AE228" s="16" t="n">
        <f aca="false">LOOKUP(O228,$E$23:$E$26,$A$23:$A$26)+LOOKUP(O228,$E$23:$E$26,$D$23:$D$26)*(O228-LOOKUP(O228,$E$23:$E$26))/LOOKUP(O228,$E$23:$E$26,$C$23:$C$26)</f>
        <v>4.50681178820381</v>
      </c>
      <c r="AF228" s="16" t="n">
        <f aca="false">LOOKUP(P228,$E$23:$E$26,$A$23:$A$26)+LOOKUP(P228,$E$23:$E$26,$D$23:$D$26)*(P228-LOOKUP(P228,$E$23:$E$26))/LOOKUP(P228,$E$23:$E$26,$C$23:$C$26)</f>
        <v>4.53976603865908</v>
      </c>
      <c r="AG228" s="16" t="n">
        <f aca="false">LOOKUP(Q228,$E$23:$E$26,$A$23:$A$26)+LOOKUP(Q228,$E$23:$E$26,$D$23:$D$26)*(Q228-LOOKUP(Q228,$E$23:$E$26))/LOOKUP(Q228,$E$23:$E$26,$C$23:$C$26)</f>
        <v>4.11866822085938</v>
      </c>
      <c r="AH228" s="16" t="n">
        <f aca="false">LOOKUP(R228,$E$23:$E$26,$A$23:$A$26)+LOOKUP(R228,$E$23:$E$26,$D$23:$D$26)*(R228-LOOKUP(R228,$E$23:$E$26))/LOOKUP(R228,$E$23:$E$26,$C$23:$C$26)</f>
        <v>4.56908451420939</v>
      </c>
      <c r="AI228" s="16" t="n">
        <f aca="false">LOOKUP(S228,$E$23:$E$26,$A$23:$A$26)+LOOKUP(S228,$E$23:$E$26,$D$23:$D$26)*(S228-LOOKUP(S228,$E$23:$E$26))/LOOKUP(S228,$E$23:$E$26,$C$23:$C$26)</f>
        <v>4.97065502254598</v>
      </c>
      <c r="AJ228" s="16" t="n">
        <f aca="false">SUM($T228:T228)</f>
        <v>4.00814854570206</v>
      </c>
      <c r="AK228" s="16" t="n">
        <f aca="false">SUM($T228:U228)</f>
        <v>9.58936099861571</v>
      </c>
      <c r="AL228" s="16" t="n">
        <f aca="false">SUM($T228:V228)</f>
        <v>13.6426332517444</v>
      </c>
      <c r="AM228" s="16" t="n">
        <f aca="false">SUM($T228:W228)</f>
        <v>19.5159691786235</v>
      </c>
      <c r="AN228" s="16" t="n">
        <f aca="false">SUM($T228:X228)</f>
        <v>23.7984230730505</v>
      </c>
      <c r="AO228" s="16" t="n">
        <f aca="false">SUM($T228:Y228)</f>
        <v>28.0229443688899</v>
      </c>
      <c r="AP228" s="16" t="n">
        <f aca="false">SUM($T228:Z228)</f>
        <v>33.4294908778636</v>
      </c>
      <c r="AQ228" s="16" t="n">
        <f aca="false">SUM($T228:AA228)</f>
        <v>38.1490120590263</v>
      </c>
      <c r="AR228" s="16" t="n">
        <f aca="false">SUM($T228:AB228)</f>
        <v>44.0104626723856</v>
      </c>
      <c r="AS228" s="16" t="n">
        <f aca="false">SUM($T228:AC228)</f>
        <v>49.9646700298355</v>
      </c>
      <c r="AT228" s="16" t="n">
        <f aca="false">SUM($T228:AD228)</f>
        <v>55.1252147221691</v>
      </c>
      <c r="AU228" s="16" t="n">
        <f aca="false">SUM($T228:AE228)</f>
        <v>59.6320265103729</v>
      </c>
      <c r="AV228" s="16" t="n">
        <f aca="false">SUM($T228:AF228)</f>
        <v>64.171792549032</v>
      </c>
      <c r="AW228" s="16" t="n">
        <f aca="false">SUM($T228:AG228)</f>
        <v>68.2904607698914</v>
      </c>
      <c r="AX228" s="16" t="n">
        <f aca="false">SUM($T228:AH228)</f>
        <v>72.8595452841008</v>
      </c>
      <c r="AY228" s="16" t="n">
        <f aca="false">SUM($T228:AI228)</f>
        <v>77.8302003066467</v>
      </c>
      <c r="AZ228" s="16" t="n">
        <f aca="false">MAX(C228-AJ228,0)</f>
        <v>57.4793618747837</v>
      </c>
      <c r="BA228" s="16" t="n">
        <f aca="false">MAX(C228-AK228,0)</f>
        <v>51.8981494218701</v>
      </c>
      <c r="BB228" s="16" t="n">
        <f aca="false">MAX(C228-AL228,0)</f>
        <v>47.8448771687414</v>
      </c>
      <c r="BC228" s="16" t="n">
        <f aca="false">MAX(C228-AM228,0)</f>
        <v>41.9715412418623</v>
      </c>
      <c r="BD228" s="16" t="n">
        <f aca="false">MAX(C228-AN228,0)</f>
        <v>37.6890873474353</v>
      </c>
      <c r="BE228" s="16" t="n">
        <f aca="false">MAX(C228-AO228,0)</f>
        <v>33.4645660515959</v>
      </c>
      <c r="BF228" s="16" t="n">
        <f aca="false">MAX(C228-AP228,0)</f>
        <v>28.0580195426222</v>
      </c>
      <c r="BG228" s="16" t="n">
        <f aca="false">MAX(C228-AQ228,0)</f>
        <v>23.3384983614595</v>
      </c>
      <c r="BH228" s="16" t="n">
        <f aca="false">MAX(C228-AR228,0)</f>
        <v>17.4770477481002</v>
      </c>
      <c r="BI228" s="16" t="n">
        <f aca="false">MAX(C228-AS228,0)</f>
        <v>11.5228403906503</v>
      </c>
      <c r="BJ228" s="16" t="n">
        <f aca="false">MAX(C228-AT228,0)</f>
        <v>6.36229569831669</v>
      </c>
      <c r="BK228" s="16" t="n">
        <f aca="false">MAX(C228-AU228,0)</f>
        <v>1.85548391011288</v>
      </c>
      <c r="BL228" s="16" t="n">
        <f aca="false">MAX(C228-AV228,0)</f>
        <v>0</v>
      </c>
      <c r="BM228" s="16" t="n">
        <f aca="false">MAX(C228-AW228,0)</f>
        <v>0</v>
      </c>
      <c r="BN228" s="16" t="n">
        <f aca="false">MAX(C228-AX228,0)</f>
        <v>0</v>
      </c>
      <c r="BO228" s="16" t="n">
        <f aca="false">MAX(C228-AY228,0)</f>
        <v>0</v>
      </c>
    </row>
    <row r="229" customFormat="false" ht="15" hidden="false" customHeight="false" outlineLevel="0" collapsed="false">
      <c r="A229" s="3" t="n">
        <v>199</v>
      </c>
      <c r="B229" s="15" t="n">
        <f aca="true">RAND()</f>
        <v>0.745534613768561</v>
      </c>
      <c r="C229" s="16" t="n">
        <f aca="false">LOOKUP(B229,$E$12:$E$17,$A$12:$A$17)+LOOKUP(B229,$E$12:$E$17,$D$12:$D$17)*(B229-LOOKUP(B229,$E$12:$E$17))/LOOKUP(B229,$E$12:$E$17,$C$12:$C$17)</f>
        <v>67.7933516252652</v>
      </c>
      <c r="D229" s="15" t="n">
        <f aca="true">RAND()</f>
        <v>0.378407066186298</v>
      </c>
      <c r="E229" s="15" t="n">
        <f aca="true">RAND()</f>
        <v>0.396616157176984</v>
      </c>
      <c r="F229" s="15" t="n">
        <f aca="true">RAND()</f>
        <v>0.115885606592743</v>
      </c>
      <c r="G229" s="15" t="n">
        <f aca="true">RAND()</f>
        <v>0.760406325460992</v>
      </c>
      <c r="H229" s="15" t="n">
        <f aca="true">RAND()</f>
        <v>0.932022137797871</v>
      </c>
      <c r="I229" s="15" t="n">
        <f aca="true">RAND()</f>
        <v>0.460594237947488</v>
      </c>
      <c r="J229" s="15" t="n">
        <f aca="true">RAND()</f>
        <v>0.866290799703965</v>
      </c>
      <c r="K229" s="15" t="n">
        <f aca="true">RAND()</f>
        <v>0.34097550522906</v>
      </c>
      <c r="L229" s="15" t="n">
        <f aca="true">RAND()</f>
        <v>0.597120224482975</v>
      </c>
      <c r="M229" s="15" t="n">
        <f aca="true">RAND()</f>
        <v>0.228160938853441</v>
      </c>
      <c r="N229" s="15" t="n">
        <f aca="true">RAND()</f>
        <v>0.0704955106700792</v>
      </c>
      <c r="O229" s="15" t="n">
        <f aca="true">RAND()</f>
        <v>0.27737869752307</v>
      </c>
      <c r="P229" s="15" t="n">
        <f aca="true">RAND()</f>
        <v>0.901229434345376</v>
      </c>
      <c r="Q229" s="15" t="n">
        <f aca="true">RAND()</f>
        <v>0.942584623884728</v>
      </c>
      <c r="R229" s="15" t="n">
        <f aca="true">RAND()</f>
        <v>0.527032469215466</v>
      </c>
      <c r="S229" s="15" t="n">
        <f aca="true">RAND()</f>
        <v>0.411408433539192</v>
      </c>
      <c r="T229" s="16" t="n">
        <f aca="false">LOOKUP(D229,$E$23:$E$26,$A$23:$A$26)+LOOKUP(D229,$E$23:$E$26,$D$23:$D$26)*(D229-LOOKUP(D229,$E$23:$E$26))/LOOKUP(D229,$E$23:$E$26,$C$23:$C$26)</f>
        <v>4.59800883273287</v>
      </c>
      <c r="U229" s="16" t="n">
        <f aca="false">LOOKUP(E229,$E$23:$E$26,$A$23:$A$26)+LOOKUP(E229,$E$23:$E$26,$D$23:$D$26)*(E229-LOOKUP(E229,$E$23:$E$26))/LOOKUP(E229,$E$23:$E$26,$C$23:$C$26)</f>
        <v>4.62077019647123</v>
      </c>
      <c r="V229" s="16" t="n">
        <f aca="false">LOOKUP(F229,$E$23:$E$26,$A$23:$A$26)+LOOKUP(F229,$E$23:$E$26,$D$23:$D$26)*(F229-LOOKUP(F229,$E$23:$E$26))/LOOKUP(F229,$E$23:$E$26,$C$23:$C$26)</f>
        <v>4.19314267765457</v>
      </c>
      <c r="W229" s="16" t="n">
        <f aca="false">LOOKUP(G229,$E$23:$E$26,$A$23:$A$26)+LOOKUP(G229,$E$23:$E$26,$D$23:$D$26)*(G229-LOOKUP(G229,$E$23:$E$26))/LOOKUP(G229,$E$23:$E$26,$C$23:$C$26)</f>
        <v>5.15101581365248</v>
      </c>
      <c r="X229" s="16" t="n">
        <f aca="false">LOOKUP(H229,$E$23:$E$26,$A$23:$A$26)+LOOKUP(H229,$E$23:$E$26,$D$23:$D$26)*(H229-LOOKUP(H229,$E$23:$E$26))/LOOKUP(H229,$E$23:$E$26,$C$23:$C$26)</f>
        <v>5.66011068898936</v>
      </c>
      <c r="Y229" s="16" t="n">
        <f aca="false">LOOKUP(I229,$E$23:$E$26,$A$23:$A$26)+LOOKUP(I229,$E$23:$E$26,$D$23:$D$26)*(I229-LOOKUP(I229,$E$23:$E$26))/LOOKUP(I229,$E$23:$E$26,$C$23:$C$26)</f>
        <v>4.70074279743436</v>
      </c>
      <c r="Z229" s="16" t="n">
        <f aca="false">LOOKUP(J229,$E$23:$E$26,$A$23:$A$26)+LOOKUP(J229,$E$23:$E$26,$D$23:$D$26)*(J229-LOOKUP(J229,$E$23:$E$26))/LOOKUP(J229,$E$23:$E$26,$C$23:$C$26)</f>
        <v>5.41572699925991</v>
      </c>
      <c r="AA229" s="16" t="n">
        <f aca="false">LOOKUP(K229,$E$23:$E$26,$A$23:$A$26)+LOOKUP(K229,$E$23:$E$26,$D$23:$D$26)*(K229-LOOKUP(K229,$E$23:$E$26))/LOOKUP(K229,$E$23:$E$26,$C$23:$C$26)</f>
        <v>4.55121938153633</v>
      </c>
      <c r="AB229" s="16" t="n">
        <f aca="false">LOOKUP(L229,$E$23:$E$26,$A$23:$A$26)+LOOKUP(L229,$E$23:$E$26,$D$23:$D$26)*(L229-LOOKUP(L229,$E$23:$E$26))/LOOKUP(L229,$E$23:$E$26,$C$23:$C$26)</f>
        <v>4.87140028060372</v>
      </c>
      <c r="AC229" s="16" t="n">
        <f aca="false">LOOKUP(M229,$E$23:$E$26,$A$23:$A$26)+LOOKUP(M229,$E$23:$E$26,$D$23:$D$26)*(M229-LOOKUP(M229,$E$23:$E$26))/LOOKUP(M229,$E$23:$E$26,$C$23:$C$26)</f>
        <v>4.3802682314224</v>
      </c>
      <c r="AD229" s="16" t="n">
        <f aca="false">LOOKUP(N229,$E$23:$E$26,$A$23:$A$26)+LOOKUP(N229,$E$23:$E$26,$D$23:$D$26)*(N229-LOOKUP(N229,$E$23:$E$26))/LOOKUP(N229,$E$23:$E$26,$C$23:$C$26)</f>
        <v>4.11749251778347</v>
      </c>
      <c r="AE229" s="16" t="n">
        <f aca="false">LOOKUP(O229,$E$23:$E$26,$A$23:$A$26)+LOOKUP(O229,$E$23:$E$26,$D$23:$D$26)*(O229-LOOKUP(O229,$E$23:$E$26))/LOOKUP(O229,$E$23:$E$26,$C$23:$C$26)</f>
        <v>4.46229782920512</v>
      </c>
      <c r="AF229" s="16" t="n">
        <f aca="false">LOOKUP(P229,$E$23:$E$26,$A$23:$A$26)+LOOKUP(P229,$E$23:$E$26,$D$23:$D$26)*(P229-LOOKUP(P229,$E$23:$E$26))/LOOKUP(P229,$E$23:$E$26,$C$23:$C$26)</f>
        <v>5.50614717172688</v>
      </c>
      <c r="AG229" s="16" t="n">
        <f aca="false">LOOKUP(Q229,$E$23:$E$26,$A$23:$A$26)+LOOKUP(Q229,$E$23:$E$26,$D$23:$D$26)*(Q229-LOOKUP(Q229,$E$23:$E$26))/LOOKUP(Q229,$E$23:$E$26,$C$23:$C$26)</f>
        <v>5.71292311942364</v>
      </c>
      <c r="AH229" s="16" t="n">
        <f aca="false">LOOKUP(R229,$E$23:$E$26,$A$23:$A$26)+LOOKUP(R229,$E$23:$E$26,$D$23:$D$26)*(R229-LOOKUP(R229,$E$23:$E$26))/LOOKUP(R229,$E$23:$E$26,$C$23:$C$26)</f>
        <v>4.78379058651933</v>
      </c>
      <c r="AI229" s="16" t="n">
        <f aca="false">LOOKUP(S229,$E$23:$E$26,$A$23:$A$26)+LOOKUP(S229,$E$23:$E$26,$D$23:$D$26)*(S229-LOOKUP(S229,$E$23:$E$26))/LOOKUP(S229,$E$23:$E$26,$C$23:$C$26)</f>
        <v>4.63926054192399</v>
      </c>
      <c r="AJ229" s="16" t="n">
        <f aca="false">SUM($T229:T229)</f>
        <v>4.59800883273287</v>
      </c>
      <c r="AK229" s="16" t="n">
        <f aca="false">SUM($T229:U229)</f>
        <v>9.2187790292041</v>
      </c>
      <c r="AL229" s="16" t="n">
        <f aca="false">SUM($T229:V229)</f>
        <v>13.4119217068587</v>
      </c>
      <c r="AM229" s="16" t="n">
        <f aca="false">SUM($T229:W229)</f>
        <v>18.5629375205112</v>
      </c>
      <c r="AN229" s="16" t="n">
        <f aca="false">SUM($T229:X229)</f>
        <v>24.2230482095005</v>
      </c>
      <c r="AO229" s="16" t="n">
        <f aca="false">SUM($T229:Y229)</f>
        <v>28.9237910069349</v>
      </c>
      <c r="AP229" s="16" t="n">
        <f aca="false">SUM($T229:Z229)</f>
        <v>34.3395180061948</v>
      </c>
      <c r="AQ229" s="16" t="n">
        <f aca="false">SUM($T229:AA229)</f>
        <v>38.8907373877311</v>
      </c>
      <c r="AR229" s="16" t="n">
        <f aca="false">SUM($T229:AB229)</f>
        <v>43.7621376683348</v>
      </c>
      <c r="AS229" s="16" t="n">
        <f aca="false">SUM($T229:AC229)</f>
        <v>48.1424058997572</v>
      </c>
      <c r="AT229" s="16" t="n">
        <f aca="false">SUM($T229:AD229)</f>
        <v>52.2598984175407</v>
      </c>
      <c r="AU229" s="16" t="n">
        <f aca="false">SUM($T229:AE229)</f>
        <v>56.7221962467458</v>
      </c>
      <c r="AV229" s="16" t="n">
        <f aca="false">SUM($T229:AF229)</f>
        <v>62.2283434184727</v>
      </c>
      <c r="AW229" s="16" t="n">
        <f aca="false">SUM($T229:AG229)</f>
        <v>67.9412665378963</v>
      </c>
      <c r="AX229" s="16" t="n">
        <f aca="false">SUM($T229:AH229)</f>
        <v>72.7250571244157</v>
      </c>
      <c r="AY229" s="16" t="n">
        <f aca="false">SUM($T229:AI229)</f>
        <v>77.3643176663396</v>
      </c>
      <c r="AZ229" s="16" t="n">
        <f aca="false">MAX(C229-AJ229,0)</f>
        <v>63.1953427925323</v>
      </c>
      <c r="BA229" s="16" t="n">
        <f aca="false">MAX(C229-AK229,0)</f>
        <v>58.574572596061</v>
      </c>
      <c r="BB229" s="16" t="n">
        <f aca="false">MAX(C229-AL229,0)</f>
        <v>54.3814299184065</v>
      </c>
      <c r="BC229" s="16" t="n">
        <f aca="false">MAX(C229-AM229,0)</f>
        <v>49.230414104754</v>
      </c>
      <c r="BD229" s="16" t="n">
        <f aca="false">MAX(C229-AN229,0)</f>
        <v>43.5703034157646</v>
      </c>
      <c r="BE229" s="16" t="n">
        <f aca="false">MAX(C229-AO229,0)</f>
        <v>38.8695606183303</v>
      </c>
      <c r="BF229" s="16" t="n">
        <f aca="false">MAX(C229-AP229,0)</f>
        <v>33.4538336190704</v>
      </c>
      <c r="BG229" s="16" t="n">
        <f aca="false">MAX(C229-AQ229,0)</f>
        <v>28.902614237534</v>
      </c>
      <c r="BH229" s="16" t="n">
        <f aca="false">MAX(C229-AR229,0)</f>
        <v>24.0312139569303</v>
      </c>
      <c r="BI229" s="16" t="n">
        <f aca="false">MAX(C229-AS229,0)</f>
        <v>19.6509457255079</v>
      </c>
      <c r="BJ229" s="16" t="n">
        <f aca="false">MAX(C229-AT229,0)</f>
        <v>15.5334532077244</v>
      </c>
      <c r="BK229" s="16" t="n">
        <f aca="false">MAX(C229-AU229,0)</f>
        <v>11.0711553785193</v>
      </c>
      <c r="BL229" s="16" t="n">
        <f aca="false">MAX(C229-AV229,0)</f>
        <v>5.56500820679246</v>
      </c>
      <c r="BM229" s="16" t="n">
        <f aca="false">MAX(C229-AW229,0)</f>
        <v>0</v>
      </c>
      <c r="BN229" s="16" t="n">
        <f aca="false">MAX(C229-AX229,0)</f>
        <v>0</v>
      </c>
      <c r="BO229" s="16" t="n">
        <f aca="false">MAX(C229-AY229,0)</f>
        <v>0</v>
      </c>
    </row>
    <row r="230" customFormat="false" ht="15" hidden="false" customHeight="false" outlineLevel="0" collapsed="false">
      <c r="A230" s="3" t="n">
        <v>200</v>
      </c>
      <c r="B230" s="15" t="n">
        <f aca="true">RAND()</f>
        <v>0.883462923621778</v>
      </c>
      <c r="C230" s="16" t="n">
        <f aca="false">LOOKUP(B230,$E$12:$E$17,$A$12:$A$17)+LOOKUP(B230,$E$12:$E$17,$D$12:$D$17)*(B230-LOOKUP(B230,$E$12:$E$17))/LOOKUP(B230,$E$12:$E$17,$C$12:$C$17)</f>
        <v>69.7637560517397</v>
      </c>
      <c r="D230" s="15" t="n">
        <f aca="true">RAND()</f>
        <v>0.934129321775348</v>
      </c>
      <c r="E230" s="15" t="n">
        <f aca="true">RAND()</f>
        <v>0.422079407426735</v>
      </c>
      <c r="F230" s="15" t="n">
        <f aca="true">RAND()</f>
        <v>0.836196794262261</v>
      </c>
      <c r="G230" s="15" t="n">
        <f aca="true">RAND()</f>
        <v>0.118726109845907</v>
      </c>
      <c r="H230" s="15" t="n">
        <f aca="true">RAND()</f>
        <v>0.819107053217163</v>
      </c>
      <c r="I230" s="15" t="n">
        <f aca="true">RAND()</f>
        <v>0.114197939870608</v>
      </c>
      <c r="J230" s="15" t="n">
        <f aca="true">RAND()</f>
        <v>0.592770747666801</v>
      </c>
      <c r="K230" s="15" t="n">
        <f aca="true">RAND()</f>
        <v>0.337644654766999</v>
      </c>
      <c r="L230" s="15" t="n">
        <f aca="true">RAND()</f>
        <v>0.220150669384519</v>
      </c>
      <c r="M230" s="15" t="n">
        <f aca="true">RAND()</f>
        <v>0.953940566526343</v>
      </c>
      <c r="N230" s="15" t="n">
        <f aca="true">RAND()</f>
        <v>0.651366107652936</v>
      </c>
      <c r="O230" s="15" t="n">
        <f aca="true">RAND()</f>
        <v>0.195906492262629</v>
      </c>
      <c r="P230" s="15" t="n">
        <f aca="true">RAND()</f>
        <v>0.257705672374173</v>
      </c>
      <c r="Q230" s="15" t="n">
        <f aca="true">RAND()</f>
        <v>0.436371703230704</v>
      </c>
      <c r="R230" s="15" t="n">
        <f aca="true">RAND()</f>
        <v>0.313443812607087</v>
      </c>
      <c r="S230" s="15" t="n">
        <f aca="true">RAND()</f>
        <v>0.305546997830333</v>
      </c>
      <c r="T230" s="16" t="n">
        <f aca="false">LOOKUP(D230,$E$23:$E$26,$A$23:$A$26)+LOOKUP(D230,$E$23:$E$26,$D$23:$D$26)*(D230-LOOKUP(D230,$E$23:$E$26))/LOOKUP(D230,$E$23:$E$26,$C$23:$C$26)</f>
        <v>5.67064660887674</v>
      </c>
      <c r="U230" s="16" t="n">
        <f aca="false">LOOKUP(E230,$E$23:$E$26,$A$23:$A$26)+LOOKUP(E230,$E$23:$E$26,$D$23:$D$26)*(E230-LOOKUP(E230,$E$23:$E$26))/LOOKUP(E230,$E$23:$E$26,$C$23:$C$26)</f>
        <v>4.65259925928342</v>
      </c>
      <c r="V230" s="16" t="n">
        <f aca="false">LOOKUP(F230,$E$23:$E$26,$A$23:$A$26)+LOOKUP(F230,$E$23:$E$26,$D$23:$D$26)*(F230-LOOKUP(F230,$E$23:$E$26))/LOOKUP(F230,$E$23:$E$26,$C$23:$C$26)</f>
        <v>5.34049198565565</v>
      </c>
      <c r="W230" s="16" t="n">
        <f aca="false">LOOKUP(G230,$E$23:$E$26,$A$23:$A$26)+LOOKUP(G230,$E$23:$E$26,$D$23:$D$26)*(G230-LOOKUP(G230,$E$23:$E$26))/LOOKUP(G230,$E$23:$E$26,$C$23:$C$26)</f>
        <v>4.19787684974318</v>
      </c>
      <c r="X230" s="16" t="n">
        <f aca="false">LOOKUP(H230,$E$23:$E$26,$A$23:$A$26)+LOOKUP(H230,$E$23:$E$26,$D$23:$D$26)*(H230-LOOKUP(H230,$E$23:$E$26))/LOOKUP(H230,$E$23:$E$26,$C$23:$C$26)</f>
        <v>5.29776763304291</v>
      </c>
      <c r="Y230" s="16" t="n">
        <f aca="false">LOOKUP(I230,$E$23:$E$26,$A$23:$A$26)+LOOKUP(I230,$E$23:$E$26,$D$23:$D$26)*(I230-LOOKUP(I230,$E$23:$E$26))/LOOKUP(I230,$E$23:$E$26,$C$23:$C$26)</f>
        <v>4.19032989978435</v>
      </c>
      <c r="Z230" s="16" t="n">
        <f aca="false">LOOKUP(J230,$E$23:$E$26,$A$23:$A$26)+LOOKUP(J230,$E$23:$E$26,$D$23:$D$26)*(J230-LOOKUP(J230,$E$23:$E$26))/LOOKUP(J230,$E$23:$E$26,$C$23:$C$26)</f>
        <v>4.8659634345835</v>
      </c>
      <c r="AA230" s="16" t="n">
        <f aca="false">LOOKUP(K230,$E$23:$E$26,$A$23:$A$26)+LOOKUP(K230,$E$23:$E$26,$D$23:$D$26)*(K230-LOOKUP(K230,$E$23:$E$26))/LOOKUP(K230,$E$23:$E$26,$C$23:$C$26)</f>
        <v>4.54705581845875</v>
      </c>
      <c r="AB230" s="16" t="n">
        <f aca="false">LOOKUP(L230,$E$23:$E$26,$A$23:$A$26)+LOOKUP(L230,$E$23:$E$26,$D$23:$D$26)*(L230-LOOKUP(L230,$E$23:$E$26))/LOOKUP(L230,$E$23:$E$26,$C$23:$C$26)</f>
        <v>4.36691778230753</v>
      </c>
      <c r="AC230" s="16" t="n">
        <f aca="false">LOOKUP(M230,$E$23:$E$26,$A$23:$A$26)+LOOKUP(M230,$E$23:$E$26,$D$23:$D$26)*(M230-LOOKUP(M230,$E$23:$E$26))/LOOKUP(M230,$E$23:$E$26,$C$23:$C$26)</f>
        <v>5.76970283263172</v>
      </c>
      <c r="AD230" s="16" t="n">
        <f aca="false">LOOKUP(N230,$E$23:$E$26,$A$23:$A$26)+LOOKUP(N230,$E$23:$E$26,$D$23:$D$26)*(N230-LOOKUP(N230,$E$23:$E$26))/LOOKUP(N230,$E$23:$E$26,$C$23:$C$26)</f>
        <v>4.93920763456617</v>
      </c>
      <c r="AE230" s="16" t="n">
        <f aca="false">LOOKUP(O230,$E$23:$E$26,$A$23:$A$26)+LOOKUP(O230,$E$23:$E$26,$D$23:$D$26)*(O230-LOOKUP(O230,$E$23:$E$26))/LOOKUP(O230,$E$23:$E$26,$C$23:$C$26)</f>
        <v>4.32651082043772</v>
      </c>
      <c r="AF230" s="16" t="n">
        <f aca="false">LOOKUP(P230,$E$23:$E$26,$A$23:$A$26)+LOOKUP(P230,$E$23:$E$26,$D$23:$D$26)*(P230-LOOKUP(P230,$E$23:$E$26))/LOOKUP(P230,$E$23:$E$26,$C$23:$C$26)</f>
        <v>4.42950945395695</v>
      </c>
      <c r="AG230" s="16" t="n">
        <f aca="false">LOOKUP(Q230,$E$23:$E$26,$A$23:$A$26)+LOOKUP(Q230,$E$23:$E$26,$D$23:$D$26)*(Q230-LOOKUP(Q230,$E$23:$E$26))/LOOKUP(Q230,$E$23:$E$26,$C$23:$C$26)</f>
        <v>4.67046462903838</v>
      </c>
      <c r="AH230" s="16" t="n">
        <f aca="false">LOOKUP(R230,$E$23:$E$26,$A$23:$A$26)+LOOKUP(R230,$E$23:$E$26,$D$23:$D$26)*(R230-LOOKUP(R230,$E$23:$E$26))/LOOKUP(R230,$E$23:$E$26,$C$23:$C$26)</f>
        <v>4.51680476575886</v>
      </c>
      <c r="AI230" s="16" t="n">
        <f aca="false">LOOKUP(S230,$E$23:$E$26,$A$23:$A$26)+LOOKUP(S230,$E$23:$E$26,$D$23:$D$26)*(S230-LOOKUP(S230,$E$23:$E$26))/LOOKUP(S230,$E$23:$E$26,$C$23:$C$26)</f>
        <v>4.50693374728792</v>
      </c>
      <c r="AJ230" s="16" t="n">
        <f aca="false">SUM($T230:T230)</f>
        <v>5.67064660887674</v>
      </c>
      <c r="AK230" s="16" t="n">
        <f aca="false">SUM($T230:U230)</f>
        <v>10.3232458681602</v>
      </c>
      <c r="AL230" s="16" t="n">
        <f aca="false">SUM($T230:V230)</f>
        <v>15.6637378538158</v>
      </c>
      <c r="AM230" s="16" t="n">
        <f aca="false">SUM($T230:W230)</f>
        <v>19.861614703559</v>
      </c>
      <c r="AN230" s="16" t="n">
        <f aca="false">SUM($T230:X230)</f>
        <v>25.1593823366019</v>
      </c>
      <c r="AO230" s="16" t="n">
        <f aca="false">SUM($T230:Y230)</f>
        <v>29.3497122363862</v>
      </c>
      <c r="AP230" s="16" t="n">
        <f aca="false">SUM($T230:Z230)</f>
        <v>34.2156756709697</v>
      </c>
      <c r="AQ230" s="16" t="n">
        <f aca="false">SUM($T230:AA230)</f>
        <v>38.7627314894285</v>
      </c>
      <c r="AR230" s="16" t="n">
        <f aca="false">SUM($T230:AB230)</f>
        <v>43.129649271736</v>
      </c>
      <c r="AS230" s="16" t="n">
        <f aca="false">SUM($T230:AC230)</f>
        <v>48.8993521043677</v>
      </c>
      <c r="AT230" s="16" t="n">
        <f aca="false">SUM($T230:AD230)</f>
        <v>53.8385597389339</v>
      </c>
      <c r="AU230" s="16" t="n">
        <f aca="false">SUM($T230:AE230)</f>
        <v>58.1650705593716</v>
      </c>
      <c r="AV230" s="16" t="n">
        <f aca="false">SUM($T230:AF230)</f>
        <v>62.5945800133286</v>
      </c>
      <c r="AW230" s="16" t="n">
        <f aca="false">SUM($T230:AG230)</f>
        <v>67.265044642367</v>
      </c>
      <c r="AX230" s="16" t="n">
        <f aca="false">SUM($T230:AH230)</f>
        <v>71.7818494081258</v>
      </c>
      <c r="AY230" s="16" t="n">
        <f aca="false">SUM($T230:AI230)</f>
        <v>76.2887831554137</v>
      </c>
      <c r="AZ230" s="16" t="n">
        <f aca="false">MAX(C230-AJ230,0)</f>
        <v>64.0931094428629</v>
      </c>
      <c r="BA230" s="16" t="n">
        <f aca="false">MAX(C230-AK230,0)</f>
        <v>59.4405101835795</v>
      </c>
      <c r="BB230" s="16" t="n">
        <f aca="false">MAX(C230-AL230,0)</f>
        <v>54.1000181979239</v>
      </c>
      <c r="BC230" s="16" t="n">
        <f aca="false">MAX(C230-AM230,0)</f>
        <v>49.9021413481807</v>
      </c>
      <c r="BD230" s="16" t="n">
        <f aca="false">MAX(C230-AN230,0)</f>
        <v>44.6043737151378</v>
      </c>
      <c r="BE230" s="16" t="n">
        <f aca="false">MAX(C230-AO230,0)</f>
        <v>40.4140438153534</v>
      </c>
      <c r="BF230" s="16" t="n">
        <f aca="false">MAX(C230-AP230,0)</f>
        <v>35.5480803807699</v>
      </c>
      <c r="BG230" s="16" t="n">
        <f aca="false">MAX(C230-AQ230,0)</f>
        <v>31.0010245623112</v>
      </c>
      <c r="BH230" s="16" t="n">
        <f aca="false">MAX(C230-AR230,0)</f>
        <v>26.6341067800037</v>
      </c>
      <c r="BI230" s="16" t="n">
        <f aca="false">MAX(C230-AS230,0)</f>
        <v>20.8644039473719</v>
      </c>
      <c r="BJ230" s="16" t="n">
        <f aca="false">MAX(C230-AT230,0)</f>
        <v>15.9251963128058</v>
      </c>
      <c r="BK230" s="16" t="n">
        <f aca="false">MAX(C230-AU230,0)</f>
        <v>11.598685492368</v>
      </c>
      <c r="BL230" s="16" t="n">
        <f aca="false">MAX(C230-AV230,0)</f>
        <v>7.1691760384111</v>
      </c>
      <c r="BM230" s="16" t="n">
        <f aca="false">MAX(C230-AW230,0)</f>
        <v>2.49871140937272</v>
      </c>
      <c r="BN230" s="16" t="n">
        <f aca="false">MAX(C230-AX230,0)</f>
        <v>0</v>
      </c>
      <c r="BO230" s="16" t="n">
        <f aca="false">MAX(C230-AY230,0)</f>
        <v>0</v>
      </c>
    </row>
    <row r="231" customFormat="false" ht="15" hidden="false" customHeight="false" outlineLevel="0" collapsed="false">
      <c r="A231" s="3" t="n">
        <v>201</v>
      </c>
      <c r="B231" s="15" t="n">
        <f aca="true">RAND()</f>
        <v>0.152654436086369</v>
      </c>
      <c r="C231" s="16" t="n">
        <f aca="false">LOOKUP(B231,$E$12:$E$17,$A$12:$A$17)+LOOKUP(B231,$E$12:$E$17,$D$12:$D$17)*(B231-LOOKUP(B231,$E$12:$E$17))/LOOKUP(B231,$E$12:$E$17,$C$12:$C$17)</f>
        <v>56.7551478695456</v>
      </c>
      <c r="D231" s="15" t="n">
        <f aca="true">RAND()</f>
        <v>0.34727525303561</v>
      </c>
      <c r="E231" s="15" t="n">
        <f aca="true">RAND()</f>
        <v>0.414596834852501</v>
      </c>
      <c r="F231" s="15" t="n">
        <f aca="true">RAND()</f>
        <v>0.135522097756742</v>
      </c>
      <c r="G231" s="15" t="n">
        <f aca="true">RAND()</f>
        <v>0.631590119467684</v>
      </c>
      <c r="H231" s="15" t="n">
        <f aca="true">RAND()</f>
        <v>0.891597297037522</v>
      </c>
      <c r="I231" s="15" t="n">
        <f aca="true">RAND()</f>
        <v>0.886552241328726</v>
      </c>
      <c r="J231" s="15" t="n">
        <f aca="true">RAND()</f>
        <v>0.896357976504469</v>
      </c>
      <c r="K231" s="15" t="n">
        <f aca="true">RAND()</f>
        <v>0.857577537506732</v>
      </c>
      <c r="L231" s="15" t="n">
        <f aca="true">RAND()</f>
        <v>0.90573705386671</v>
      </c>
      <c r="M231" s="15" t="n">
        <f aca="true">RAND()</f>
        <v>0.043069803688349</v>
      </c>
      <c r="N231" s="15" t="n">
        <f aca="true">RAND()</f>
        <v>0.207275809658033</v>
      </c>
      <c r="O231" s="15" t="n">
        <f aca="true">RAND()</f>
        <v>0.500445439433443</v>
      </c>
      <c r="P231" s="15" t="n">
        <f aca="true">RAND()</f>
        <v>0.703827213774452</v>
      </c>
      <c r="Q231" s="15" t="n">
        <f aca="true">RAND()</f>
        <v>0.71915926078399</v>
      </c>
      <c r="R231" s="15" t="n">
        <f aca="true">RAND()</f>
        <v>0.762352138634197</v>
      </c>
      <c r="S231" s="15" t="n">
        <f aca="true">RAND()</f>
        <v>0.446094035928207</v>
      </c>
      <c r="T231" s="16" t="n">
        <f aca="false">LOOKUP(D231,$E$23:$E$26,$A$23:$A$26)+LOOKUP(D231,$E$23:$E$26,$D$23:$D$26)*(D231-LOOKUP(D231,$E$23:$E$26))/LOOKUP(D231,$E$23:$E$26,$C$23:$C$26)</f>
        <v>4.55909406629451</v>
      </c>
      <c r="U231" s="16" t="n">
        <f aca="false">LOOKUP(E231,$E$23:$E$26,$A$23:$A$26)+LOOKUP(E231,$E$23:$E$26,$D$23:$D$26)*(E231-LOOKUP(E231,$E$23:$E$26))/LOOKUP(E231,$E$23:$E$26,$C$23:$C$26)</f>
        <v>4.64324604356563</v>
      </c>
      <c r="V231" s="16" t="n">
        <f aca="false">LOOKUP(F231,$E$23:$E$26,$A$23:$A$26)+LOOKUP(F231,$E$23:$E$26,$D$23:$D$26)*(F231-LOOKUP(F231,$E$23:$E$26))/LOOKUP(F231,$E$23:$E$26,$C$23:$C$26)</f>
        <v>4.2258701629279</v>
      </c>
      <c r="W231" s="16" t="n">
        <f aca="false">LOOKUP(G231,$E$23:$E$26,$A$23:$A$26)+LOOKUP(G231,$E$23:$E$26,$D$23:$D$26)*(G231-LOOKUP(G231,$E$23:$E$26))/LOOKUP(G231,$E$23:$E$26,$C$23:$C$26)</f>
        <v>4.9144876493346</v>
      </c>
      <c r="X231" s="16" t="n">
        <f aca="false">LOOKUP(H231,$E$23:$E$26,$A$23:$A$26)+LOOKUP(H231,$E$23:$E$26,$D$23:$D$26)*(H231-LOOKUP(H231,$E$23:$E$26))/LOOKUP(H231,$E$23:$E$26,$C$23:$C$26)</f>
        <v>5.47899324259381</v>
      </c>
      <c r="Y231" s="16" t="n">
        <f aca="false">LOOKUP(I231,$E$23:$E$26,$A$23:$A$26)+LOOKUP(I231,$E$23:$E$26,$D$23:$D$26)*(I231-LOOKUP(I231,$E$23:$E$26))/LOOKUP(I231,$E$23:$E$26,$C$23:$C$26)</f>
        <v>5.46638060332182</v>
      </c>
      <c r="Z231" s="16" t="n">
        <f aca="false">LOOKUP(J231,$E$23:$E$26,$A$23:$A$26)+LOOKUP(J231,$E$23:$E$26,$D$23:$D$26)*(J231-LOOKUP(J231,$E$23:$E$26))/LOOKUP(J231,$E$23:$E$26,$C$23:$C$26)</f>
        <v>5.49089494126117</v>
      </c>
      <c r="AA231" s="16" t="n">
        <f aca="false">LOOKUP(K231,$E$23:$E$26,$A$23:$A$26)+LOOKUP(K231,$E$23:$E$26,$D$23:$D$26)*(K231-LOOKUP(K231,$E$23:$E$26))/LOOKUP(K231,$E$23:$E$26,$C$23:$C$26)</f>
        <v>5.39394384376683</v>
      </c>
      <c r="AB231" s="16" t="n">
        <f aca="false">LOOKUP(L231,$E$23:$E$26,$A$23:$A$26)+LOOKUP(L231,$E$23:$E$26,$D$23:$D$26)*(L231-LOOKUP(L231,$E$23:$E$26))/LOOKUP(L231,$E$23:$E$26,$C$23:$C$26)</f>
        <v>5.52868526933355</v>
      </c>
      <c r="AC231" s="16" t="n">
        <f aca="false">LOOKUP(M231,$E$23:$E$26,$A$23:$A$26)+LOOKUP(M231,$E$23:$E$26,$D$23:$D$26)*(M231-LOOKUP(M231,$E$23:$E$26))/LOOKUP(M231,$E$23:$E$26,$C$23:$C$26)</f>
        <v>4.07178300614725</v>
      </c>
      <c r="AD231" s="16" t="n">
        <f aca="false">LOOKUP(N231,$E$23:$E$26,$A$23:$A$26)+LOOKUP(N231,$E$23:$E$26,$D$23:$D$26)*(N231-LOOKUP(N231,$E$23:$E$26))/LOOKUP(N231,$E$23:$E$26,$C$23:$C$26)</f>
        <v>4.34545968276339</v>
      </c>
      <c r="AE231" s="16" t="n">
        <f aca="false">LOOKUP(O231,$E$23:$E$26,$A$23:$A$26)+LOOKUP(O231,$E$23:$E$26,$D$23:$D$26)*(O231-LOOKUP(O231,$E$23:$E$26))/LOOKUP(O231,$E$23:$E$26,$C$23:$C$26)</f>
        <v>4.7505567992918</v>
      </c>
      <c r="AF231" s="16" t="n">
        <f aca="false">LOOKUP(P231,$E$23:$E$26,$A$23:$A$26)+LOOKUP(P231,$E$23:$E$26,$D$23:$D$26)*(P231-LOOKUP(P231,$E$23:$E$26))/LOOKUP(P231,$E$23:$E$26,$C$23:$C$26)</f>
        <v>5.00956803443613</v>
      </c>
      <c r="AG231" s="16" t="n">
        <f aca="false">LOOKUP(Q231,$E$23:$E$26,$A$23:$A$26)+LOOKUP(Q231,$E$23:$E$26,$D$23:$D$26)*(Q231-LOOKUP(Q231,$E$23:$E$26))/LOOKUP(Q231,$E$23:$E$26,$C$23:$C$26)</f>
        <v>5.04789815195998</v>
      </c>
      <c r="AH231" s="16" t="n">
        <f aca="false">LOOKUP(R231,$E$23:$E$26,$A$23:$A$26)+LOOKUP(R231,$E$23:$E$26,$D$23:$D$26)*(R231-LOOKUP(R231,$E$23:$E$26))/LOOKUP(R231,$E$23:$E$26,$C$23:$C$26)</f>
        <v>5.15588034658549</v>
      </c>
      <c r="AI231" s="16" t="n">
        <f aca="false">LOOKUP(S231,$E$23:$E$26,$A$23:$A$26)+LOOKUP(S231,$E$23:$E$26,$D$23:$D$26)*(S231-LOOKUP(S231,$E$23:$E$26))/LOOKUP(S231,$E$23:$E$26,$C$23:$C$26)</f>
        <v>4.68261754491026</v>
      </c>
      <c r="AJ231" s="16" t="n">
        <f aca="false">SUM($T231:T231)</f>
        <v>4.55909406629451</v>
      </c>
      <c r="AK231" s="16" t="n">
        <f aca="false">SUM($T231:U231)</f>
        <v>9.20234010986014</v>
      </c>
      <c r="AL231" s="16" t="n">
        <f aca="false">SUM($T231:V231)</f>
        <v>13.428210272788</v>
      </c>
      <c r="AM231" s="16" t="n">
        <f aca="false">SUM($T231:W231)</f>
        <v>18.3426979221226</v>
      </c>
      <c r="AN231" s="16" t="n">
        <f aca="false">SUM($T231:X231)</f>
        <v>23.8216911647165</v>
      </c>
      <c r="AO231" s="16" t="n">
        <f aca="false">SUM($T231:Y231)</f>
        <v>29.2880717680383</v>
      </c>
      <c r="AP231" s="16" t="n">
        <f aca="false">SUM($T231:Z231)</f>
        <v>34.7789667092994</v>
      </c>
      <c r="AQ231" s="16" t="n">
        <f aca="false">SUM($T231:AA231)</f>
        <v>40.1729105530663</v>
      </c>
      <c r="AR231" s="16" t="n">
        <f aca="false">SUM($T231:AB231)</f>
        <v>45.7015958223998</v>
      </c>
      <c r="AS231" s="16" t="n">
        <f aca="false">SUM($T231:AC231)</f>
        <v>49.7733788285471</v>
      </c>
      <c r="AT231" s="16" t="n">
        <f aca="false">SUM($T231:AD231)</f>
        <v>54.1188385113105</v>
      </c>
      <c r="AU231" s="16" t="n">
        <f aca="false">SUM($T231:AE231)</f>
        <v>58.8693953106023</v>
      </c>
      <c r="AV231" s="16" t="n">
        <f aca="false">SUM($T231:AF231)</f>
        <v>63.8789633450384</v>
      </c>
      <c r="AW231" s="16" t="n">
        <f aca="false">SUM($T231:AG231)</f>
        <v>68.9268614969984</v>
      </c>
      <c r="AX231" s="16" t="n">
        <f aca="false">SUM($T231:AH231)</f>
        <v>74.0827418435839</v>
      </c>
      <c r="AY231" s="16" t="n">
        <f aca="false">SUM($T231:AI231)</f>
        <v>78.7653593884941</v>
      </c>
      <c r="AZ231" s="16" t="n">
        <f aca="false">MAX(C231-AJ231,0)</f>
        <v>52.1960538032511</v>
      </c>
      <c r="BA231" s="16" t="n">
        <f aca="false">MAX(C231-AK231,0)</f>
        <v>47.5528077596855</v>
      </c>
      <c r="BB231" s="16" t="n">
        <f aca="false">MAX(C231-AL231,0)</f>
        <v>43.3269375967576</v>
      </c>
      <c r="BC231" s="16" t="n">
        <f aca="false">MAX(C231-AM231,0)</f>
        <v>38.412449947423</v>
      </c>
      <c r="BD231" s="16" t="n">
        <f aca="false">MAX(C231-AN231,0)</f>
        <v>32.9334567048292</v>
      </c>
      <c r="BE231" s="16" t="n">
        <f aca="false">MAX(C231-AO231,0)</f>
        <v>27.4670761015074</v>
      </c>
      <c r="BF231" s="16" t="n">
        <f aca="false">MAX(C231-AP231,0)</f>
        <v>21.9761811602462</v>
      </c>
      <c r="BG231" s="16" t="n">
        <f aca="false">MAX(C231-AQ231,0)</f>
        <v>16.5822373164794</v>
      </c>
      <c r="BH231" s="16" t="n">
        <f aca="false">MAX(C231-AR231,0)</f>
        <v>11.0535520471458</v>
      </c>
      <c r="BI231" s="16" t="n">
        <f aca="false">MAX(C231-AS231,0)</f>
        <v>6.98176904099857</v>
      </c>
      <c r="BJ231" s="16" t="n">
        <f aca="false">MAX(C231-AT231,0)</f>
        <v>2.63630935823519</v>
      </c>
      <c r="BK231" s="16" t="n">
        <f aca="false">MAX(C231-AU231,0)</f>
        <v>0</v>
      </c>
      <c r="BL231" s="16" t="n">
        <f aca="false">MAX(C231-AV231,0)</f>
        <v>0</v>
      </c>
      <c r="BM231" s="16" t="n">
        <f aca="false">MAX(C231-AW231,0)</f>
        <v>0</v>
      </c>
      <c r="BN231" s="16" t="n">
        <f aca="false">MAX(C231-AX231,0)</f>
        <v>0</v>
      </c>
      <c r="BO231" s="16" t="n">
        <f aca="false">MAX(C231-AY231,0)</f>
        <v>0</v>
      </c>
    </row>
    <row r="232" customFormat="false" ht="15" hidden="false" customHeight="false" outlineLevel="0" collapsed="false">
      <c r="A232" s="3" t="n">
        <v>202</v>
      </c>
      <c r="B232" s="15" t="n">
        <f aca="true">RAND()</f>
        <v>0.664488359621974</v>
      </c>
      <c r="C232" s="16" t="n">
        <f aca="false">LOOKUP(B232,$E$12:$E$17,$A$12:$A$17)+LOOKUP(B232,$E$12:$E$17,$D$12:$D$17)*(B232-LOOKUP(B232,$E$12:$E$17))/LOOKUP(B232,$E$12:$E$17,$C$12:$C$17)</f>
        <v>66.6355479945996</v>
      </c>
      <c r="D232" s="15" t="n">
        <f aca="true">RAND()</f>
        <v>0.31473566404407</v>
      </c>
      <c r="E232" s="15" t="n">
        <f aca="true">RAND()</f>
        <v>0.886215520869802</v>
      </c>
      <c r="F232" s="15" t="n">
        <f aca="true">RAND()</f>
        <v>0.287796595453162</v>
      </c>
      <c r="G232" s="15" t="n">
        <f aca="true">RAND()</f>
        <v>0.894797123748212</v>
      </c>
      <c r="H232" s="15" t="n">
        <f aca="true">RAND()</f>
        <v>0.588684102116278</v>
      </c>
      <c r="I232" s="15" t="n">
        <f aca="true">RAND()</f>
        <v>0.998859176979637</v>
      </c>
      <c r="J232" s="15" t="n">
        <f aca="true">RAND()</f>
        <v>0.450994579644231</v>
      </c>
      <c r="K232" s="15" t="n">
        <f aca="true">RAND()</f>
        <v>0.0675933124335029</v>
      </c>
      <c r="L232" s="15" t="n">
        <f aca="true">RAND()</f>
        <v>0.909346265325193</v>
      </c>
      <c r="M232" s="15" t="n">
        <f aca="true">RAND()</f>
        <v>0.758005204157365</v>
      </c>
      <c r="N232" s="15" t="n">
        <f aca="true">RAND()</f>
        <v>0.415444211775783</v>
      </c>
      <c r="O232" s="15" t="n">
        <f aca="true">RAND()</f>
        <v>0.137790153260992</v>
      </c>
      <c r="P232" s="15" t="n">
        <f aca="true">RAND()</f>
        <v>0.321298215258272</v>
      </c>
      <c r="Q232" s="15" t="n">
        <f aca="true">RAND()</f>
        <v>0.0137362747423894</v>
      </c>
      <c r="R232" s="15" t="n">
        <f aca="true">RAND()</f>
        <v>0.279028099314246</v>
      </c>
      <c r="S232" s="15" t="n">
        <f aca="true">RAND()</f>
        <v>0.771056141401561</v>
      </c>
      <c r="T232" s="16" t="n">
        <f aca="false">LOOKUP(D232,$E$23:$E$26,$A$23:$A$26)+LOOKUP(D232,$E$23:$E$26,$D$23:$D$26)*(D232-LOOKUP(D232,$E$23:$E$26))/LOOKUP(D232,$E$23:$E$26,$C$23:$C$26)</f>
        <v>4.51841958005509</v>
      </c>
      <c r="U232" s="16" t="n">
        <f aca="false">LOOKUP(E232,$E$23:$E$26,$A$23:$A$26)+LOOKUP(E232,$E$23:$E$26,$D$23:$D$26)*(E232-LOOKUP(E232,$E$23:$E$26))/LOOKUP(E232,$E$23:$E$26,$C$23:$C$26)</f>
        <v>5.46553880217451</v>
      </c>
      <c r="V232" s="16" t="n">
        <f aca="false">LOOKUP(F232,$E$23:$E$26,$A$23:$A$26)+LOOKUP(F232,$E$23:$E$26,$D$23:$D$26)*(F232-LOOKUP(F232,$E$23:$E$26))/LOOKUP(F232,$E$23:$E$26,$C$23:$C$26)</f>
        <v>4.47966099242194</v>
      </c>
      <c r="W232" s="16" t="n">
        <f aca="false">LOOKUP(G232,$E$23:$E$26,$A$23:$A$26)+LOOKUP(G232,$E$23:$E$26,$D$23:$D$26)*(G232-LOOKUP(G232,$E$23:$E$26))/LOOKUP(G232,$E$23:$E$26,$C$23:$C$26)</f>
        <v>5.48699280937053</v>
      </c>
      <c r="X232" s="16" t="n">
        <f aca="false">LOOKUP(H232,$E$23:$E$26,$A$23:$A$26)+LOOKUP(H232,$E$23:$E$26,$D$23:$D$26)*(H232-LOOKUP(H232,$E$23:$E$26))/LOOKUP(H232,$E$23:$E$26,$C$23:$C$26)</f>
        <v>4.86085512764535</v>
      </c>
      <c r="Y232" s="16" t="n">
        <f aca="false">LOOKUP(I232,$E$23:$E$26,$A$23:$A$26)+LOOKUP(I232,$E$23:$E$26,$D$23:$D$26)*(I232-LOOKUP(I232,$E$23:$E$26))/LOOKUP(I232,$E$23:$E$26,$C$23:$C$26)</f>
        <v>5.99429588489818</v>
      </c>
      <c r="Z232" s="16" t="n">
        <f aca="false">LOOKUP(J232,$E$23:$E$26,$A$23:$A$26)+LOOKUP(J232,$E$23:$E$26,$D$23:$D$26)*(J232-LOOKUP(J232,$E$23:$E$26))/LOOKUP(J232,$E$23:$E$26,$C$23:$C$26)</f>
        <v>4.68874322455529</v>
      </c>
      <c r="AA232" s="16" t="n">
        <f aca="false">LOOKUP(K232,$E$23:$E$26,$A$23:$A$26)+LOOKUP(K232,$E$23:$E$26,$D$23:$D$26)*(K232-LOOKUP(K232,$E$23:$E$26))/LOOKUP(K232,$E$23:$E$26,$C$23:$C$26)</f>
        <v>4.11265552072251</v>
      </c>
      <c r="AB232" s="16" t="n">
        <f aca="false">LOOKUP(L232,$E$23:$E$26,$A$23:$A$26)+LOOKUP(L232,$E$23:$E$26,$D$23:$D$26)*(L232-LOOKUP(L232,$E$23:$E$26))/LOOKUP(L232,$E$23:$E$26,$C$23:$C$26)</f>
        <v>5.54673132662596</v>
      </c>
      <c r="AC232" s="16" t="n">
        <f aca="false">LOOKUP(M232,$E$23:$E$26,$A$23:$A$26)+LOOKUP(M232,$E$23:$E$26,$D$23:$D$26)*(M232-LOOKUP(M232,$E$23:$E$26))/LOOKUP(M232,$E$23:$E$26,$C$23:$C$26)</f>
        <v>5.14501301039341</v>
      </c>
      <c r="AD232" s="16" t="n">
        <f aca="false">LOOKUP(N232,$E$23:$E$26,$A$23:$A$26)+LOOKUP(N232,$E$23:$E$26,$D$23:$D$26)*(N232-LOOKUP(N232,$E$23:$E$26))/LOOKUP(N232,$E$23:$E$26,$C$23:$C$26)</f>
        <v>4.64430526471973</v>
      </c>
      <c r="AE232" s="16" t="n">
        <f aca="false">LOOKUP(O232,$E$23:$E$26,$A$23:$A$26)+LOOKUP(O232,$E$23:$E$26,$D$23:$D$26)*(O232-LOOKUP(O232,$E$23:$E$26))/LOOKUP(O232,$E$23:$E$26,$C$23:$C$26)</f>
        <v>4.22965025543499</v>
      </c>
      <c r="AF232" s="16" t="n">
        <f aca="false">LOOKUP(P232,$E$23:$E$26,$A$23:$A$26)+LOOKUP(P232,$E$23:$E$26,$D$23:$D$26)*(P232-LOOKUP(P232,$E$23:$E$26))/LOOKUP(P232,$E$23:$E$26,$C$23:$C$26)</f>
        <v>4.52662276907284</v>
      </c>
      <c r="AG232" s="16" t="n">
        <f aca="false">LOOKUP(Q232,$E$23:$E$26,$A$23:$A$26)+LOOKUP(Q232,$E$23:$E$26,$D$23:$D$26)*(Q232-LOOKUP(Q232,$E$23:$E$26))/LOOKUP(Q232,$E$23:$E$26,$C$23:$C$26)</f>
        <v>4.02289379123732</v>
      </c>
      <c r="AH232" s="16" t="n">
        <f aca="false">LOOKUP(R232,$E$23:$E$26,$A$23:$A$26)+LOOKUP(R232,$E$23:$E$26,$D$23:$D$26)*(R232-LOOKUP(R232,$E$23:$E$26))/LOOKUP(R232,$E$23:$E$26,$C$23:$C$26)</f>
        <v>4.46504683219041</v>
      </c>
      <c r="AI232" s="16" t="n">
        <f aca="false">LOOKUP(S232,$E$23:$E$26,$A$23:$A$26)+LOOKUP(S232,$E$23:$E$26,$D$23:$D$26)*(S232-LOOKUP(S232,$E$23:$E$26))/LOOKUP(S232,$E$23:$E$26,$C$23:$C$26)</f>
        <v>5.1776403535039</v>
      </c>
      <c r="AJ232" s="16" t="n">
        <f aca="false">SUM($T232:T232)</f>
        <v>4.51841958005509</v>
      </c>
      <c r="AK232" s="16" t="n">
        <f aca="false">SUM($T232:U232)</f>
        <v>9.9839583822296</v>
      </c>
      <c r="AL232" s="16" t="n">
        <f aca="false">SUM($T232:V232)</f>
        <v>14.4636193746515</v>
      </c>
      <c r="AM232" s="16" t="n">
        <f aca="false">SUM($T232:W232)</f>
        <v>19.9506121840221</v>
      </c>
      <c r="AN232" s="16" t="n">
        <f aca="false">SUM($T232:X232)</f>
        <v>24.8114673116674</v>
      </c>
      <c r="AO232" s="16" t="n">
        <f aca="false">SUM($T232:Y232)</f>
        <v>30.8057631965656</v>
      </c>
      <c r="AP232" s="16" t="n">
        <f aca="false">SUM($T232:Z232)</f>
        <v>35.4945064211209</v>
      </c>
      <c r="AQ232" s="16" t="n">
        <f aca="false">SUM($T232:AA232)</f>
        <v>39.6071619418434</v>
      </c>
      <c r="AR232" s="16" t="n">
        <f aca="false">SUM($T232:AB232)</f>
        <v>45.1538932684694</v>
      </c>
      <c r="AS232" s="16" t="n">
        <f aca="false">SUM($T232:AC232)</f>
        <v>50.2989062788628</v>
      </c>
      <c r="AT232" s="16" t="n">
        <f aca="false">SUM($T232:AD232)</f>
        <v>54.9432115435825</v>
      </c>
      <c r="AU232" s="16" t="n">
        <f aca="false">SUM($T232:AE232)</f>
        <v>59.1728617990175</v>
      </c>
      <c r="AV232" s="16" t="n">
        <f aca="false">SUM($T232:AF232)</f>
        <v>63.6994845680903</v>
      </c>
      <c r="AW232" s="16" t="n">
        <f aca="false">SUM($T232:AG232)</f>
        <v>67.7223783593276</v>
      </c>
      <c r="AX232" s="16" t="n">
        <f aca="false">SUM($T232:AH232)</f>
        <v>72.1874251915181</v>
      </c>
      <c r="AY232" s="16" t="n">
        <f aca="false">SUM($T232:AI232)</f>
        <v>77.365065545022</v>
      </c>
      <c r="AZ232" s="16" t="n">
        <f aca="false">MAX(C232-AJ232,0)</f>
        <v>62.1171284145445</v>
      </c>
      <c r="BA232" s="16" t="n">
        <f aca="false">MAX(C232-AK232,0)</f>
        <v>56.65158961237</v>
      </c>
      <c r="BB232" s="16" t="n">
        <f aca="false">MAX(C232-AL232,0)</f>
        <v>52.1719286199481</v>
      </c>
      <c r="BC232" s="16" t="n">
        <f aca="false">MAX(C232-AM232,0)</f>
        <v>46.6849358105776</v>
      </c>
      <c r="BD232" s="16" t="n">
        <f aca="false">MAX(C232-AN232,0)</f>
        <v>41.8240806829322</v>
      </c>
      <c r="BE232" s="16" t="n">
        <f aca="false">MAX(C232-AO232,0)</f>
        <v>35.829784798034</v>
      </c>
      <c r="BF232" s="16" t="n">
        <f aca="false">MAX(C232-AP232,0)</f>
        <v>31.1410415734788</v>
      </c>
      <c r="BG232" s="16" t="n">
        <f aca="false">MAX(C232-AQ232,0)</f>
        <v>27.0283860527563</v>
      </c>
      <c r="BH232" s="16" t="n">
        <f aca="false">MAX(C232-AR232,0)</f>
        <v>21.4816547261303</v>
      </c>
      <c r="BI232" s="16" t="n">
        <f aca="false">MAX(C232-AS232,0)</f>
        <v>16.3366417157369</v>
      </c>
      <c r="BJ232" s="16" t="n">
        <f aca="false">MAX(C232-AT232,0)</f>
        <v>11.6923364510171</v>
      </c>
      <c r="BK232" s="16" t="n">
        <f aca="false">MAX(C232-AU232,0)</f>
        <v>7.46268619558217</v>
      </c>
      <c r="BL232" s="16" t="n">
        <f aca="false">MAX(C232-AV232,0)</f>
        <v>2.93606342650932</v>
      </c>
      <c r="BM232" s="16" t="n">
        <f aca="false">MAX(C232-AW232,0)</f>
        <v>0</v>
      </c>
      <c r="BN232" s="16" t="n">
        <f aca="false">MAX(C232-AX232,0)</f>
        <v>0</v>
      </c>
      <c r="BO232" s="16" t="n">
        <f aca="false">MAX(C232-AY232,0)</f>
        <v>0</v>
      </c>
    </row>
    <row r="233" customFormat="false" ht="15" hidden="false" customHeight="false" outlineLevel="0" collapsed="false">
      <c r="A233" s="3" t="n">
        <v>203</v>
      </c>
      <c r="B233" s="15" t="n">
        <f aca="true">RAND()</f>
        <v>0.629593430127999</v>
      </c>
      <c r="C233" s="16" t="n">
        <f aca="false">LOOKUP(B233,$E$12:$E$17,$A$12:$A$17)+LOOKUP(B233,$E$12:$E$17,$D$12:$D$17)*(B233-LOOKUP(B233,$E$12:$E$17))/LOOKUP(B233,$E$12:$E$17,$C$12:$C$17)</f>
        <v>66.1370490018286</v>
      </c>
      <c r="D233" s="15" t="n">
        <f aca="true">RAND()</f>
        <v>0.584926941539121</v>
      </c>
      <c r="E233" s="15" t="n">
        <f aca="true">RAND()</f>
        <v>0.339757422668096</v>
      </c>
      <c r="F233" s="15" t="n">
        <f aca="true">RAND()</f>
        <v>0.237938713670374</v>
      </c>
      <c r="G233" s="15" t="n">
        <f aca="true">RAND()</f>
        <v>0.895091518853936</v>
      </c>
      <c r="H233" s="15" t="n">
        <f aca="true">RAND()</f>
        <v>0.209360773977528</v>
      </c>
      <c r="I233" s="15" t="n">
        <f aca="true">RAND()</f>
        <v>0.714090378775801</v>
      </c>
      <c r="J233" s="15" t="n">
        <f aca="true">RAND()</f>
        <v>0.73983054031626</v>
      </c>
      <c r="K233" s="15" t="n">
        <f aca="true">RAND()</f>
        <v>0.0724886707598456</v>
      </c>
      <c r="L233" s="15" t="n">
        <f aca="true">RAND()</f>
        <v>0.225198351731878</v>
      </c>
      <c r="M233" s="15" t="n">
        <f aca="true">RAND()</f>
        <v>0.578623473728793</v>
      </c>
      <c r="N233" s="15" t="n">
        <f aca="true">RAND()</f>
        <v>0.430388833722475</v>
      </c>
      <c r="O233" s="15" t="n">
        <f aca="true">RAND()</f>
        <v>0.528978186948054</v>
      </c>
      <c r="P233" s="15" t="n">
        <f aca="true">RAND()</f>
        <v>0.447222109370285</v>
      </c>
      <c r="Q233" s="15" t="n">
        <f aca="true">RAND()</f>
        <v>0.867796273759228</v>
      </c>
      <c r="R233" s="15" t="n">
        <f aca="true">RAND()</f>
        <v>0.974819113106428</v>
      </c>
      <c r="S233" s="15" t="n">
        <f aca="true">RAND()</f>
        <v>0.448813253335382</v>
      </c>
      <c r="T233" s="16" t="n">
        <f aca="false">LOOKUP(D233,$E$23:$E$26,$A$23:$A$26)+LOOKUP(D233,$E$23:$E$26,$D$23:$D$26)*(D233-LOOKUP(D233,$E$23:$E$26))/LOOKUP(D233,$E$23:$E$26,$C$23:$C$26)</f>
        <v>4.8561586769239</v>
      </c>
      <c r="U233" s="16" t="n">
        <f aca="false">LOOKUP(E233,$E$23:$E$26,$A$23:$A$26)+LOOKUP(E233,$E$23:$E$26,$D$23:$D$26)*(E233-LOOKUP(E233,$E$23:$E$26))/LOOKUP(E233,$E$23:$E$26,$C$23:$C$26)</f>
        <v>4.54969677833512</v>
      </c>
      <c r="V233" s="16" t="n">
        <f aca="false">LOOKUP(F233,$E$23:$E$26,$A$23:$A$26)+LOOKUP(F233,$E$23:$E$26,$D$23:$D$26)*(F233-LOOKUP(F233,$E$23:$E$26))/LOOKUP(F233,$E$23:$E$26,$C$23:$C$26)</f>
        <v>4.39656452278396</v>
      </c>
      <c r="W233" s="16" t="n">
        <f aca="false">LOOKUP(G233,$E$23:$E$26,$A$23:$A$26)+LOOKUP(G233,$E$23:$E$26,$D$23:$D$26)*(G233-LOOKUP(G233,$E$23:$E$26))/LOOKUP(G233,$E$23:$E$26,$C$23:$C$26)</f>
        <v>5.48772879713484</v>
      </c>
      <c r="X233" s="16" t="n">
        <f aca="false">LOOKUP(H233,$E$23:$E$26,$A$23:$A$26)+LOOKUP(H233,$E$23:$E$26,$D$23:$D$26)*(H233-LOOKUP(H233,$E$23:$E$26))/LOOKUP(H233,$E$23:$E$26,$C$23:$C$26)</f>
        <v>4.34893462329588</v>
      </c>
      <c r="Y233" s="16" t="n">
        <f aca="false">LOOKUP(I233,$E$23:$E$26,$A$23:$A$26)+LOOKUP(I233,$E$23:$E$26,$D$23:$D$26)*(I233-LOOKUP(I233,$E$23:$E$26))/LOOKUP(I233,$E$23:$E$26,$C$23:$C$26)</f>
        <v>5.0352259469395</v>
      </c>
      <c r="Z233" s="16" t="n">
        <f aca="false">LOOKUP(J233,$E$23:$E$26,$A$23:$A$26)+LOOKUP(J233,$E$23:$E$26,$D$23:$D$26)*(J233-LOOKUP(J233,$E$23:$E$26))/LOOKUP(J233,$E$23:$E$26,$C$23:$C$26)</f>
        <v>5.09957635079065</v>
      </c>
      <c r="AA233" s="16" t="n">
        <f aca="false">LOOKUP(K233,$E$23:$E$26,$A$23:$A$26)+LOOKUP(K233,$E$23:$E$26,$D$23:$D$26)*(K233-LOOKUP(K233,$E$23:$E$26))/LOOKUP(K233,$E$23:$E$26,$C$23:$C$26)</f>
        <v>4.12081445126641</v>
      </c>
      <c r="AB233" s="16" t="n">
        <f aca="false">LOOKUP(L233,$E$23:$E$26,$A$23:$A$26)+LOOKUP(L233,$E$23:$E$26,$D$23:$D$26)*(L233-LOOKUP(L233,$E$23:$E$26))/LOOKUP(L233,$E$23:$E$26,$C$23:$C$26)</f>
        <v>4.3753305862198</v>
      </c>
      <c r="AC233" s="16" t="n">
        <f aca="false">LOOKUP(M233,$E$23:$E$26,$A$23:$A$26)+LOOKUP(M233,$E$23:$E$26,$D$23:$D$26)*(M233-LOOKUP(M233,$E$23:$E$26))/LOOKUP(M233,$E$23:$E$26,$C$23:$C$26)</f>
        <v>4.84827934216099</v>
      </c>
      <c r="AD233" s="16" t="n">
        <f aca="false">LOOKUP(N233,$E$23:$E$26,$A$23:$A$26)+LOOKUP(N233,$E$23:$E$26,$D$23:$D$26)*(N233-LOOKUP(N233,$E$23:$E$26))/LOOKUP(N233,$E$23:$E$26,$C$23:$C$26)</f>
        <v>4.66298604215309</v>
      </c>
      <c r="AE233" s="16" t="n">
        <f aca="false">LOOKUP(O233,$E$23:$E$26,$A$23:$A$26)+LOOKUP(O233,$E$23:$E$26,$D$23:$D$26)*(O233-LOOKUP(O233,$E$23:$E$26))/LOOKUP(O233,$E$23:$E$26,$C$23:$C$26)</f>
        <v>4.78622273368507</v>
      </c>
      <c r="AF233" s="16" t="n">
        <f aca="false">LOOKUP(P233,$E$23:$E$26,$A$23:$A$26)+LOOKUP(P233,$E$23:$E$26,$D$23:$D$26)*(P233-LOOKUP(P233,$E$23:$E$26))/LOOKUP(P233,$E$23:$E$26,$C$23:$C$26)</f>
        <v>4.68402763671286</v>
      </c>
      <c r="AG233" s="16" t="n">
        <f aca="false">LOOKUP(Q233,$E$23:$E$26,$A$23:$A$26)+LOOKUP(Q233,$E$23:$E$26,$D$23:$D$26)*(Q233-LOOKUP(Q233,$E$23:$E$26))/LOOKUP(Q233,$E$23:$E$26,$C$23:$C$26)</f>
        <v>5.41949068439807</v>
      </c>
      <c r="AH233" s="16" t="n">
        <f aca="false">LOOKUP(R233,$E$23:$E$26,$A$23:$A$26)+LOOKUP(R233,$E$23:$E$26,$D$23:$D$26)*(R233-LOOKUP(R233,$E$23:$E$26))/LOOKUP(R233,$E$23:$E$26,$C$23:$C$26)</f>
        <v>5.87409556553214</v>
      </c>
      <c r="AI233" s="16" t="n">
        <f aca="false">LOOKUP(S233,$E$23:$E$26,$A$23:$A$26)+LOOKUP(S233,$E$23:$E$26,$D$23:$D$26)*(S233-LOOKUP(S233,$E$23:$E$26))/LOOKUP(S233,$E$23:$E$26,$C$23:$C$26)</f>
        <v>4.68601656666923</v>
      </c>
      <c r="AJ233" s="16" t="n">
        <f aca="false">SUM($T233:T233)</f>
        <v>4.8561586769239</v>
      </c>
      <c r="AK233" s="16" t="n">
        <f aca="false">SUM($T233:U233)</f>
        <v>9.40585545525902</v>
      </c>
      <c r="AL233" s="16" t="n">
        <f aca="false">SUM($T233:V233)</f>
        <v>13.802419978043</v>
      </c>
      <c r="AM233" s="16" t="n">
        <f aca="false">SUM($T233:W233)</f>
        <v>19.2901487751778</v>
      </c>
      <c r="AN233" s="16" t="n">
        <f aca="false">SUM($T233:X233)</f>
        <v>23.6390833984737</v>
      </c>
      <c r="AO233" s="16" t="n">
        <f aca="false">SUM($T233:Y233)</f>
        <v>28.6743093454132</v>
      </c>
      <c r="AP233" s="16" t="n">
        <f aca="false">SUM($T233:Z233)</f>
        <v>33.7738856962039</v>
      </c>
      <c r="AQ233" s="16" t="n">
        <f aca="false">SUM($T233:AA233)</f>
        <v>37.8947001474703</v>
      </c>
      <c r="AR233" s="16" t="n">
        <f aca="false">SUM($T233:AB233)</f>
        <v>42.2700307336901</v>
      </c>
      <c r="AS233" s="16" t="n">
        <f aca="false">SUM($T233:AC233)</f>
        <v>47.1183100758511</v>
      </c>
      <c r="AT233" s="16" t="n">
        <f aca="false">SUM($T233:AD233)</f>
        <v>51.7812961180041</v>
      </c>
      <c r="AU233" s="16" t="n">
        <f aca="false">SUM($T233:AE233)</f>
        <v>56.5675188516892</v>
      </c>
      <c r="AV233" s="16" t="n">
        <f aca="false">SUM($T233:AF233)</f>
        <v>61.2515464884021</v>
      </c>
      <c r="AW233" s="16" t="n">
        <f aca="false">SUM($T233:AG233)</f>
        <v>66.6710371728001</v>
      </c>
      <c r="AX233" s="16" t="n">
        <f aca="false">SUM($T233:AH233)</f>
        <v>72.5451327383323</v>
      </c>
      <c r="AY233" s="16" t="n">
        <f aca="false">SUM($T233:AI233)</f>
        <v>77.2311493050015</v>
      </c>
      <c r="AZ233" s="16" t="n">
        <f aca="false">MAX(C233-AJ233,0)</f>
        <v>61.2808903249047</v>
      </c>
      <c r="BA233" s="16" t="n">
        <f aca="false">MAX(C233-AK233,0)</f>
        <v>56.7311935465695</v>
      </c>
      <c r="BB233" s="16" t="n">
        <f aca="false">MAX(C233-AL233,0)</f>
        <v>52.3346290237856</v>
      </c>
      <c r="BC233" s="16" t="n">
        <f aca="false">MAX(C233-AM233,0)</f>
        <v>46.8469002266507</v>
      </c>
      <c r="BD233" s="16" t="n">
        <f aca="false">MAX(C233-AN233,0)</f>
        <v>42.4979656033549</v>
      </c>
      <c r="BE233" s="16" t="n">
        <f aca="false">MAX(C233-AO233,0)</f>
        <v>37.4627396564154</v>
      </c>
      <c r="BF233" s="16" t="n">
        <f aca="false">MAX(C233-AP233,0)</f>
        <v>32.3631633056247</v>
      </c>
      <c r="BG233" s="16" t="n">
        <f aca="false">MAX(C233-AQ233,0)</f>
        <v>28.2423488543583</v>
      </c>
      <c r="BH233" s="16" t="n">
        <f aca="false">MAX(C233-AR233,0)</f>
        <v>23.8670182681385</v>
      </c>
      <c r="BI233" s="16" t="n">
        <f aca="false">MAX(C233-AS233,0)</f>
        <v>19.0187389259775</v>
      </c>
      <c r="BJ233" s="16" t="n">
        <f aca="false">MAX(C233-AT233,0)</f>
        <v>14.3557528838244</v>
      </c>
      <c r="BK233" s="16" t="n">
        <f aca="false">MAX(C233-AU233,0)</f>
        <v>9.56953015013936</v>
      </c>
      <c r="BL233" s="16" t="n">
        <f aca="false">MAX(C233-AV233,0)</f>
        <v>4.8855025134265</v>
      </c>
      <c r="BM233" s="16" t="n">
        <f aca="false">MAX(C233-AW233,0)</f>
        <v>0</v>
      </c>
      <c r="BN233" s="16" t="n">
        <f aca="false">MAX(C233-AX233,0)</f>
        <v>0</v>
      </c>
      <c r="BO233" s="16" t="n">
        <f aca="false">MAX(C233-AY233,0)</f>
        <v>0</v>
      </c>
    </row>
    <row r="234" customFormat="false" ht="15" hidden="false" customHeight="false" outlineLevel="0" collapsed="false">
      <c r="A234" s="3" t="n">
        <v>204</v>
      </c>
      <c r="B234" s="15" t="n">
        <f aca="true">RAND()</f>
        <v>0.030297312476183</v>
      </c>
      <c r="C234" s="16" t="n">
        <f aca="false">LOOKUP(B234,$E$12:$E$17,$A$12:$A$17)+LOOKUP(B234,$E$12:$E$17,$D$12:$D$17)*(B234-LOOKUP(B234,$E$12:$E$17))/LOOKUP(B234,$E$12:$E$17,$C$12:$C$17)</f>
        <v>51.5148656238092</v>
      </c>
      <c r="D234" s="15" t="n">
        <f aca="true">RAND()</f>
        <v>0.315646154509293</v>
      </c>
      <c r="E234" s="15" t="n">
        <f aca="true">RAND()</f>
        <v>0.690276722857822</v>
      </c>
      <c r="F234" s="15" t="n">
        <f aca="true">RAND()</f>
        <v>0.154918970436351</v>
      </c>
      <c r="G234" s="15" t="n">
        <f aca="true">RAND()</f>
        <v>0.987815827121821</v>
      </c>
      <c r="H234" s="15" t="n">
        <f aca="true">RAND()</f>
        <v>0.892255125793251</v>
      </c>
      <c r="I234" s="15" t="n">
        <f aca="true">RAND()</f>
        <v>0.783427745228779</v>
      </c>
      <c r="J234" s="15" t="n">
        <f aca="true">RAND()</f>
        <v>0.900531434794775</v>
      </c>
      <c r="K234" s="15" t="n">
        <f aca="true">RAND()</f>
        <v>0.14603315838695</v>
      </c>
      <c r="L234" s="15" t="n">
        <f aca="true">RAND()</f>
        <v>0.448960532505201</v>
      </c>
      <c r="M234" s="15" t="n">
        <f aca="true">RAND()</f>
        <v>0.0190892431986937</v>
      </c>
      <c r="N234" s="15" t="n">
        <f aca="true">RAND()</f>
        <v>0.940923738793654</v>
      </c>
      <c r="O234" s="15" t="n">
        <f aca="true">RAND()</f>
        <v>0.567490679895929</v>
      </c>
      <c r="P234" s="15" t="n">
        <f aca="true">RAND()</f>
        <v>0.151577752538303</v>
      </c>
      <c r="Q234" s="15" t="n">
        <f aca="true">RAND()</f>
        <v>0.0446855314791061</v>
      </c>
      <c r="R234" s="15" t="n">
        <f aca="true">RAND()</f>
        <v>0.716672264238438</v>
      </c>
      <c r="S234" s="15" t="n">
        <f aca="true">RAND()</f>
        <v>0.610678275924909</v>
      </c>
      <c r="T234" s="16" t="n">
        <f aca="false">LOOKUP(D234,$E$23:$E$26,$A$23:$A$26)+LOOKUP(D234,$E$23:$E$26,$D$23:$D$26)*(D234-LOOKUP(D234,$E$23:$E$26))/LOOKUP(D234,$E$23:$E$26,$C$23:$C$26)</f>
        <v>4.51955769313662</v>
      </c>
      <c r="U234" s="16" t="n">
        <f aca="false">LOOKUP(E234,$E$23:$E$26,$A$23:$A$26)+LOOKUP(E234,$E$23:$E$26,$D$23:$D$26)*(E234-LOOKUP(E234,$E$23:$E$26))/LOOKUP(E234,$E$23:$E$26,$C$23:$C$26)</f>
        <v>4.98784590357228</v>
      </c>
      <c r="V234" s="16" t="n">
        <f aca="false">LOOKUP(F234,$E$23:$E$26,$A$23:$A$26)+LOOKUP(F234,$E$23:$E$26,$D$23:$D$26)*(F234-LOOKUP(F234,$E$23:$E$26))/LOOKUP(F234,$E$23:$E$26,$C$23:$C$26)</f>
        <v>4.25819828406058</v>
      </c>
      <c r="W234" s="16" t="n">
        <f aca="false">LOOKUP(G234,$E$23:$E$26,$A$23:$A$26)+LOOKUP(G234,$E$23:$E$26,$D$23:$D$26)*(G234-LOOKUP(G234,$E$23:$E$26))/LOOKUP(G234,$E$23:$E$26,$C$23:$C$26)</f>
        <v>5.93907913560911</v>
      </c>
      <c r="X234" s="16" t="n">
        <f aca="false">LOOKUP(H234,$E$23:$E$26,$A$23:$A$26)+LOOKUP(H234,$E$23:$E$26,$D$23:$D$26)*(H234-LOOKUP(H234,$E$23:$E$26))/LOOKUP(H234,$E$23:$E$26,$C$23:$C$26)</f>
        <v>5.48063781448313</v>
      </c>
      <c r="Y234" s="16" t="n">
        <f aca="false">LOOKUP(I234,$E$23:$E$26,$A$23:$A$26)+LOOKUP(I234,$E$23:$E$26,$D$23:$D$26)*(I234-LOOKUP(I234,$E$23:$E$26))/LOOKUP(I234,$E$23:$E$26,$C$23:$C$26)</f>
        <v>5.20856936307195</v>
      </c>
      <c r="Z234" s="16" t="n">
        <f aca="false">LOOKUP(J234,$E$23:$E$26,$A$23:$A$26)+LOOKUP(J234,$E$23:$E$26,$D$23:$D$26)*(J234-LOOKUP(J234,$E$23:$E$26))/LOOKUP(J234,$E$23:$E$26,$C$23:$C$26)</f>
        <v>5.50265717397387</v>
      </c>
      <c r="AA234" s="16" t="n">
        <f aca="false">LOOKUP(K234,$E$23:$E$26,$A$23:$A$26)+LOOKUP(K234,$E$23:$E$26,$D$23:$D$26)*(K234-LOOKUP(K234,$E$23:$E$26))/LOOKUP(K234,$E$23:$E$26,$C$23:$C$26)</f>
        <v>4.24338859731158</v>
      </c>
      <c r="AB234" s="16" t="n">
        <f aca="false">LOOKUP(L234,$E$23:$E$26,$A$23:$A$26)+LOOKUP(L234,$E$23:$E$26,$D$23:$D$26)*(L234-LOOKUP(L234,$E$23:$E$26))/LOOKUP(L234,$E$23:$E$26,$C$23:$C$26)</f>
        <v>4.6862006656315</v>
      </c>
      <c r="AC234" s="16" t="n">
        <f aca="false">LOOKUP(M234,$E$23:$E$26,$A$23:$A$26)+LOOKUP(M234,$E$23:$E$26,$D$23:$D$26)*(M234-LOOKUP(M234,$E$23:$E$26))/LOOKUP(M234,$E$23:$E$26,$C$23:$C$26)</f>
        <v>4.03181540533116</v>
      </c>
      <c r="AD234" s="16" t="n">
        <f aca="false">LOOKUP(N234,$E$23:$E$26,$A$23:$A$26)+LOOKUP(N234,$E$23:$E$26,$D$23:$D$26)*(N234-LOOKUP(N234,$E$23:$E$26))/LOOKUP(N234,$E$23:$E$26,$C$23:$C$26)</f>
        <v>5.70461869396827</v>
      </c>
      <c r="AE234" s="16" t="n">
        <f aca="false">LOOKUP(O234,$E$23:$E$26,$A$23:$A$26)+LOOKUP(O234,$E$23:$E$26,$D$23:$D$26)*(O234-LOOKUP(O234,$E$23:$E$26))/LOOKUP(O234,$E$23:$E$26,$C$23:$C$26)</f>
        <v>4.83436334986991</v>
      </c>
      <c r="AF234" s="16" t="n">
        <f aca="false">LOOKUP(P234,$E$23:$E$26,$A$23:$A$26)+LOOKUP(P234,$E$23:$E$26,$D$23:$D$26)*(P234-LOOKUP(P234,$E$23:$E$26))/LOOKUP(P234,$E$23:$E$26,$C$23:$C$26)</f>
        <v>4.25262958756384</v>
      </c>
      <c r="AG234" s="16" t="n">
        <f aca="false">LOOKUP(Q234,$E$23:$E$26,$A$23:$A$26)+LOOKUP(Q234,$E$23:$E$26,$D$23:$D$26)*(Q234-LOOKUP(Q234,$E$23:$E$26))/LOOKUP(Q234,$E$23:$E$26,$C$23:$C$26)</f>
        <v>4.07447588579851</v>
      </c>
      <c r="AH234" s="16" t="n">
        <f aca="false">LOOKUP(R234,$E$23:$E$26,$A$23:$A$26)+LOOKUP(R234,$E$23:$E$26,$D$23:$D$26)*(R234-LOOKUP(R234,$E$23:$E$26))/LOOKUP(R234,$E$23:$E$26,$C$23:$C$26)</f>
        <v>5.0416806605961</v>
      </c>
      <c r="AI234" s="16" t="n">
        <f aca="false">LOOKUP(S234,$E$23:$E$26,$A$23:$A$26)+LOOKUP(S234,$E$23:$E$26,$D$23:$D$26)*(S234-LOOKUP(S234,$E$23:$E$26))/LOOKUP(S234,$E$23:$E$26,$C$23:$C$26)</f>
        <v>4.88834784490614</v>
      </c>
      <c r="AJ234" s="16" t="n">
        <f aca="false">SUM($T234:T234)</f>
        <v>4.51955769313662</v>
      </c>
      <c r="AK234" s="16" t="n">
        <f aca="false">SUM($T234:U234)</f>
        <v>9.50740359670889</v>
      </c>
      <c r="AL234" s="16" t="n">
        <f aca="false">SUM($T234:V234)</f>
        <v>13.7656018807695</v>
      </c>
      <c r="AM234" s="16" t="n">
        <f aca="false">SUM($T234:W234)</f>
        <v>19.7046810163786</v>
      </c>
      <c r="AN234" s="16" t="n">
        <f aca="false">SUM($T234:X234)</f>
        <v>25.1853188308617</v>
      </c>
      <c r="AO234" s="16" t="n">
        <f aca="false">SUM($T234:Y234)</f>
        <v>30.3938881939337</v>
      </c>
      <c r="AP234" s="16" t="n">
        <f aca="false">SUM($T234:Z234)</f>
        <v>35.8965453679075</v>
      </c>
      <c r="AQ234" s="16" t="n">
        <f aca="false">SUM($T234:AA234)</f>
        <v>40.1399339652191</v>
      </c>
      <c r="AR234" s="16" t="n">
        <f aca="false">SUM($T234:AB234)</f>
        <v>44.8261346308506</v>
      </c>
      <c r="AS234" s="16" t="n">
        <f aca="false">SUM($T234:AC234)</f>
        <v>48.8579500361818</v>
      </c>
      <c r="AT234" s="16" t="n">
        <f aca="false">SUM($T234:AD234)</f>
        <v>54.56256873015</v>
      </c>
      <c r="AU234" s="16" t="n">
        <f aca="false">SUM($T234:AE234)</f>
        <v>59.39693208002</v>
      </c>
      <c r="AV234" s="16" t="n">
        <f aca="false">SUM($T234:AF234)</f>
        <v>63.6495616675838</v>
      </c>
      <c r="AW234" s="16" t="n">
        <f aca="false">SUM($T234:AG234)</f>
        <v>67.7240375533823</v>
      </c>
      <c r="AX234" s="16" t="n">
        <f aca="false">SUM($T234:AH234)</f>
        <v>72.7657182139784</v>
      </c>
      <c r="AY234" s="16" t="n">
        <f aca="false">SUM($T234:AI234)</f>
        <v>77.6540660588845</v>
      </c>
      <c r="AZ234" s="16" t="n">
        <f aca="false">MAX(C234-AJ234,0)</f>
        <v>46.9953079306725</v>
      </c>
      <c r="BA234" s="16" t="n">
        <f aca="false">MAX(C234-AK234,0)</f>
        <v>42.0074620271003</v>
      </c>
      <c r="BB234" s="16" t="n">
        <f aca="false">MAX(C234-AL234,0)</f>
        <v>37.7492637430397</v>
      </c>
      <c r="BC234" s="16" t="n">
        <f aca="false">MAX(C234-AM234,0)</f>
        <v>31.8101846074306</v>
      </c>
      <c r="BD234" s="16" t="n">
        <f aca="false">MAX(C234-AN234,0)</f>
        <v>26.3295467929474</v>
      </c>
      <c r="BE234" s="16" t="n">
        <f aca="false">MAX(C234-AO234,0)</f>
        <v>21.1209774298755</v>
      </c>
      <c r="BF234" s="16" t="n">
        <f aca="false">MAX(C234-AP234,0)</f>
        <v>15.6183202559016</v>
      </c>
      <c r="BG234" s="16" t="n">
        <f aca="false">MAX(C234-AQ234,0)</f>
        <v>11.37493165859</v>
      </c>
      <c r="BH234" s="16" t="n">
        <f aca="false">MAX(C234-AR234,0)</f>
        <v>6.68873099295853</v>
      </c>
      <c r="BI234" s="16" t="n">
        <f aca="false">MAX(C234-AS234,0)</f>
        <v>2.65691558762737</v>
      </c>
      <c r="BJ234" s="16" t="n">
        <f aca="false">MAX(C234-AT234,0)</f>
        <v>0</v>
      </c>
      <c r="BK234" s="16" t="n">
        <f aca="false">MAX(C234-AU234,0)</f>
        <v>0</v>
      </c>
      <c r="BL234" s="16" t="n">
        <f aca="false">MAX(C234-AV234,0)</f>
        <v>0</v>
      </c>
      <c r="BM234" s="16" t="n">
        <f aca="false">MAX(C234-AW234,0)</f>
        <v>0</v>
      </c>
      <c r="BN234" s="16" t="n">
        <f aca="false">MAX(C234-AX234,0)</f>
        <v>0</v>
      </c>
      <c r="BO234" s="16" t="n">
        <f aca="false">MAX(C234-AY234,0)</f>
        <v>0</v>
      </c>
    </row>
    <row r="235" customFormat="false" ht="15" hidden="false" customHeight="false" outlineLevel="0" collapsed="false">
      <c r="A235" s="3" t="n">
        <v>205</v>
      </c>
      <c r="B235" s="15" t="n">
        <f aca="true">RAND()</f>
        <v>0.00657482503891544</v>
      </c>
      <c r="C235" s="16" t="n">
        <f aca="false">LOOKUP(B235,$E$12:$E$17,$A$12:$A$17)+LOOKUP(B235,$E$12:$E$17,$D$12:$D$17)*(B235-LOOKUP(B235,$E$12:$E$17))/LOOKUP(B235,$E$12:$E$17,$C$12:$C$17)</f>
        <v>50.3287412519458</v>
      </c>
      <c r="D235" s="15" t="n">
        <f aca="true">RAND()</f>
        <v>0.315143776979842</v>
      </c>
      <c r="E235" s="15" t="n">
        <f aca="true">RAND()</f>
        <v>0.353536462627007</v>
      </c>
      <c r="F235" s="15" t="n">
        <f aca="true">RAND()</f>
        <v>0.386183739315016</v>
      </c>
      <c r="G235" s="15" t="n">
        <f aca="true">RAND()</f>
        <v>0.897842884894722</v>
      </c>
      <c r="H235" s="15" t="n">
        <f aca="true">RAND()</f>
        <v>0.851680366445069</v>
      </c>
      <c r="I235" s="15" t="n">
        <f aca="true">RAND()</f>
        <v>0.328390761980901</v>
      </c>
      <c r="J235" s="15" t="n">
        <f aca="true">RAND()</f>
        <v>0.457480071335735</v>
      </c>
      <c r="K235" s="15" t="n">
        <f aca="true">RAND()</f>
        <v>0.218854879064739</v>
      </c>
      <c r="L235" s="15" t="n">
        <f aca="true">RAND()</f>
        <v>0.147208526352732</v>
      </c>
      <c r="M235" s="15" t="n">
        <f aca="true">RAND()</f>
        <v>0.428610042408356</v>
      </c>
      <c r="N235" s="15" t="n">
        <f aca="true">RAND()</f>
        <v>0.812581974067714</v>
      </c>
      <c r="O235" s="15" t="n">
        <f aca="true">RAND()</f>
        <v>0.513079199097483</v>
      </c>
      <c r="P235" s="15" t="n">
        <f aca="true">RAND()</f>
        <v>0.15083690585963</v>
      </c>
      <c r="Q235" s="15" t="n">
        <f aca="true">RAND()</f>
        <v>0.923097777074395</v>
      </c>
      <c r="R235" s="15" t="n">
        <f aca="true">RAND()</f>
        <v>0.0611228214635949</v>
      </c>
      <c r="S235" s="15" t="n">
        <f aca="true">RAND()</f>
        <v>0.231368646681942</v>
      </c>
      <c r="T235" s="16" t="n">
        <f aca="false">LOOKUP(D235,$E$23:$E$26,$A$23:$A$26)+LOOKUP(D235,$E$23:$E$26,$D$23:$D$26)*(D235-LOOKUP(D235,$E$23:$E$26))/LOOKUP(D235,$E$23:$E$26,$C$23:$C$26)</f>
        <v>4.5189297212248</v>
      </c>
      <c r="U235" s="16" t="n">
        <f aca="false">LOOKUP(E235,$E$23:$E$26,$A$23:$A$26)+LOOKUP(E235,$E$23:$E$26,$D$23:$D$26)*(E235-LOOKUP(E235,$E$23:$E$26))/LOOKUP(E235,$E$23:$E$26,$C$23:$C$26)</f>
        <v>4.56692057828376</v>
      </c>
      <c r="V235" s="16" t="n">
        <f aca="false">LOOKUP(F235,$E$23:$E$26,$A$23:$A$26)+LOOKUP(F235,$E$23:$E$26,$D$23:$D$26)*(F235-LOOKUP(F235,$E$23:$E$26))/LOOKUP(F235,$E$23:$E$26,$C$23:$C$26)</f>
        <v>4.60772967414377</v>
      </c>
      <c r="W235" s="16" t="n">
        <f aca="false">LOOKUP(G235,$E$23:$E$26,$A$23:$A$26)+LOOKUP(G235,$E$23:$E$26,$D$23:$D$26)*(G235-LOOKUP(G235,$E$23:$E$26))/LOOKUP(G235,$E$23:$E$26,$C$23:$C$26)</f>
        <v>5.4946072122368</v>
      </c>
      <c r="X235" s="16" t="n">
        <f aca="false">LOOKUP(H235,$E$23:$E$26,$A$23:$A$26)+LOOKUP(H235,$E$23:$E$26,$D$23:$D$26)*(H235-LOOKUP(H235,$E$23:$E$26))/LOOKUP(H235,$E$23:$E$26,$C$23:$C$26)</f>
        <v>5.37920091611267</v>
      </c>
      <c r="Y235" s="16" t="n">
        <f aca="false">LOOKUP(I235,$E$23:$E$26,$A$23:$A$26)+LOOKUP(I235,$E$23:$E$26,$D$23:$D$26)*(I235-LOOKUP(I235,$E$23:$E$26))/LOOKUP(I235,$E$23:$E$26,$C$23:$C$26)</f>
        <v>4.53548845247613</v>
      </c>
      <c r="Z235" s="16" t="n">
        <f aca="false">LOOKUP(J235,$E$23:$E$26,$A$23:$A$26)+LOOKUP(J235,$E$23:$E$26,$D$23:$D$26)*(J235-LOOKUP(J235,$E$23:$E$26))/LOOKUP(J235,$E$23:$E$26,$C$23:$C$26)</f>
        <v>4.69685008916967</v>
      </c>
      <c r="AA235" s="16" t="n">
        <f aca="false">LOOKUP(K235,$E$23:$E$26,$A$23:$A$26)+LOOKUP(K235,$E$23:$E$26,$D$23:$D$26)*(K235-LOOKUP(K235,$E$23:$E$26))/LOOKUP(K235,$E$23:$E$26,$C$23:$C$26)</f>
        <v>4.36475813177457</v>
      </c>
      <c r="AB235" s="16" t="n">
        <f aca="false">LOOKUP(L235,$E$23:$E$26,$A$23:$A$26)+LOOKUP(L235,$E$23:$E$26,$D$23:$D$26)*(L235-LOOKUP(L235,$E$23:$E$26))/LOOKUP(L235,$E$23:$E$26,$C$23:$C$26)</f>
        <v>4.24534754392122</v>
      </c>
      <c r="AC235" s="16" t="n">
        <f aca="false">LOOKUP(M235,$E$23:$E$26,$A$23:$A$26)+LOOKUP(M235,$E$23:$E$26,$D$23:$D$26)*(M235-LOOKUP(M235,$E$23:$E$26))/LOOKUP(M235,$E$23:$E$26,$C$23:$C$26)</f>
        <v>4.66076255301045</v>
      </c>
      <c r="AD235" s="16" t="n">
        <f aca="false">LOOKUP(N235,$E$23:$E$26,$A$23:$A$26)+LOOKUP(N235,$E$23:$E$26,$D$23:$D$26)*(N235-LOOKUP(N235,$E$23:$E$26))/LOOKUP(N235,$E$23:$E$26,$C$23:$C$26)</f>
        <v>5.28145493516929</v>
      </c>
      <c r="AE235" s="16" t="n">
        <f aca="false">LOOKUP(O235,$E$23:$E$26,$A$23:$A$26)+LOOKUP(O235,$E$23:$E$26,$D$23:$D$26)*(O235-LOOKUP(O235,$E$23:$E$26))/LOOKUP(O235,$E$23:$E$26,$C$23:$C$26)</f>
        <v>4.76634899887185</v>
      </c>
      <c r="AF235" s="16" t="n">
        <f aca="false">LOOKUP(P235,$E$23:$E$26,$A$23:$A$26)+LOOKUP(P235,$E$23:$E$26,$D$23:$D$26)*(P235-LOOKUP(P235,$E$23:$E$26))/LOOKUP(P235,$E$23:$E$26,$C$23:$C$26)</f>
        <v>4.25139484309938</v>
      </c>
      <c r="AG235" s="16" t="n">
        <f aca="false">LOOKUP(Q235,$E$23:$E$26,$A$23:$A$26)+LOOKUP(Q235,$E$23:$E$26,$D$23:$D$26)*(Q235-LOOKUP(Q235,$E$23:$E$26))/LOOKUP(Q235,$E$23:$E$26,$C$23:$C$26)</f>
        <v>5.61548888537198</v>
      </c>
      <c r="AH235" s="16" t="n">
        <f aca="false">LOOKUP(R235,$E$23:$E$26,$A$23:$A$26)+LOOKUP(R235,$E$23:$E$26,$D$23:$D$26)*(R235-LOOKUP(R235,$E$23:$E$26))/LOOKUP(R235,$E$23:$E$26,$C$23:$C$26)</f>
        <v>4.10187136910599</v>
      </c>
      <c r="AI235" s="16" t="n">
        <f aca="false">LOOKUP(S235,$E$23:$E$26,$A$23:$A$26)+LOOKUP(S235,$E$23:$E$26,$D$23:$D$26)*(S235-LOOKUP(S235,$E$23:$E$26))/LOOKUP(S235,$E$23:$E$26,$C$23:$C$26)</f>
        <v>4.38561441113657</v>
      </c>
      <c r="AJ235" s="16" t="n">
        <f aca="false">SUM($T235:T235)</f>
        <v>4.5189297212248</v>
      </c>
      <c r="AK235" s="16" t="n">
        <f aca="false">SUM($T235:U235)</f>
        <v>9.08585029950856</v>
      </c>
      <c r="AL235" s="16" t="n">
        <f aca="false">SUM($T235:V235)</f>
        <v>13.6935799736523</v>
      </c>
      <c r="AM235" s="16" t="n">
        <f aca="false">SUM($T235:W235)</f>
        <v>19.1881871858891</v>
      </c>
      <c r="AN235" s="16" t="n">
        <f aca="false">SUM($T235:X235)</f>
        <v>24.5673881020018</v>
      </c>
      <c r="AO235" s="16" t="n">
        <f aca="false">SUM($T235:Y235)</f>
        <v>29.1028765544779</v>
      </c>
      <c r="AP235" s="16" t="n">
        <f aca="false">SUM($T235:Z235)</f>
        <v>33.7997266436476</v>
      </c>
      <c r="AQ235" s="16" t="n">
        <f aca="false">SUM($T235:AA235)</f>
        <v>38.1644847754222</v>
      </c>
      <c r="AR235" s="16" t="n">
        <f aca="false">SUM($T235:AB235)</f>
        <v>42.4098323193434</v>
      </c>
      <c r="AS235" s="16" t="n">
        <f aca="false">SUM($T235:AC235)</f>
        <v>47.0705948723538</v>
      </c>
      <c r="AT235" s="16" t="n">
        <f aca="false">SUM($T235:AD235)</f>
        <v>52.3520498075231</v>
      </c>
      <c r="AU235" s="16" t="n">
        <f aca="false">SUM($T235:AE235)</f>
        <v>57.118398806395</v>
      </c>
      <c r="AV235" s="16" t="n">
        <f aca="false">SUM($T235:AF235)</f>
        <v>61.3697936494944</v>
      </c>
      <c r="AW235" s="16" t="n">
        <f aca="false">SUM($T235:AG235)</f>
        <v>66.9852825348663</v>
      </c>
      <c r="AX235" s="16" t="n">
        <f aca="false">SUM($T235:AH235)</f>
        <v>71.0871539039723</v>
      </c>
      <c r="AY235" s="16" t="n">
        <f aca="false">SUM($T235:AI235)</f>
        <v>75.4727683151089</v>
      </c>
      <c r="AZ235" s="16" t="n">
        <f aca="false">MAX(C235-AJ235,0)</f>
        <v>45.809811530721</v>
      </c>
      <c r="BA235" s="16" t="n">
        <f aca="false">MAX(C235-AK235,0)</f>
        <v>41.2428909524372</v>
      </c>
      <c r="BB235" s="16" t="n">
        <f aca="false">MAX(C235-AL235,0)</f>
        <v>36.6351612782934</v>
      </c>
      <c r="BC235" s="16" t="n">
        <f aca="false">MAX(C235-AM235,0)</f>
        <v>31.1405540660566</v>
      </c>
      <c r="BD235" s="16" t="n">
        <f aca="false">MAX(C235-AN235,0)</f>
        <v>25.761353149944</v>
      </c>
      <c r="BE235" s="16" t="n">
        <f aca="false">MAX(C235-AO235,0)</f>
        <v>21.2258646974678</v>
      </c>
      <c r="BF235" s="16" t="n">
        <f aca="false">MAX(C235-AP235,0)</f>
        <v>16.5290146082982</v>
      </c>
      <c r="BG235" s="16" t="n">
        <f aca="false">MAX(C235-AQ235,0)</f>
        <v>12.1642564765236</v>
      </c>
      <c r="BH235" s="16" t="n">
        <f aca="false">MAX(C235-AR235,0)</f>
        <v>7.91890893260239</v>
      </c>
      <c r="BI235" s="16" t="n">
        <f aca="false">MAX(C235-AS235,0)</f>
        <v>3.25814637959194</v>
      </c>
      <c r="BJ235" s="16" t="n">
        <f aca="false">MAX(C235-AT235,0)</f>
        <v>0</v>
      </c>
      <c r="BK235" s="16" t="n">
        <f aca="false">MAX(C235-AU235,0)</f>
        <v>0</v>
      </c>
      <c r="BL235" s="16" t="n">
        <f aca="false">MAX(C235-AV235,0)</f>
        <v>0</v>
      </c>
      <c r="BM235" s="16" t="n">
        <f aca="false">MAX(C235-AW235,0)</f>
        <v>0</v>
      </c>
      <c r="BN235" s="16" t="n">
        <f aca="false">MAX(C235-AX235,0)</f>
        <v>0</v>
      </c>
      <c r="BO235" s="16" t="n">
        <f aca="false">MAX(C235-AY235,0)</f>
        <v>0</v>
      </c>
    </row>
    <row r="236" customFormat="false" ht="15" hidden="false" customHeight="false" outlineLevel="0" collapsed="false">
      <c r="A236" s="3" t="n">
        <v>206</v>
      </c>
      <c r="B236" s="15" t="n">
        <f aca="true">RAND()</f>
        <v>0.984414431767497</v>
      </c>
      <c r="C236" s="16" t="n">
        <f aca="false">LOOKUP(B236,$E$12:$E$17,$A$12:$A$17)+LOOKUP(B236,$E$12:$E$17,$D$12:$D$17)*(B236-LOOKUP(B236,$E$12:$E$17))/LOOKUP(B236,$E$12:$E$17,$C$12:$C$17)</f>
        <v>81.1036079418743</v>
      </c>
      <c r="D236" s="15" t="n">
        <f aca="true">RAND()</f>
        <v>0.630082350598648</v>
      </c>
      <c r="E236" s="15" t="n">
        <f aca="true">RAND()</f>
        <v>0.555437649520652</v>
      </c>
      <c r="F236" s="15" t="n">
        <f aca="true">RAND()</f>
        <v>0.917372072042049</v>
      </c>
      <c r="G236" s="15" t="n">
        <f aca="true">RAND()</f>
        <v>0.54305107112287</v>
      </c>
      <c r="H236" s="15" t="n">
        <f aca="true">RAND()</f>
        <v>0.764280298985984</v>
      </c>
      <c r="I236" s="15" t="n">
        <f aca="true">RAND()</f>
        <v>0.762343653764814</v>
      </c>
      <c r="J236" s="15" t="n">
        <f aca="true">RAND()</f>
        <v>0.30116074649747</v>
      </c>
      <c r="K236" s="15" t="n">
        <f aca="true">RAND()</f>
        <v>0.684913327681689</v>
      </c>
      <c r="L236" s="15" t="n">
        <f aca="true">RAND()</f>
        <v>0.680544310030405</v>
      </c>
      <c r="M236" s="15" t="n">
        <f aca="true">RAND()</f>
        <v>0.305915796922134</v>
      </c>
      <c r="N236" s="15" t="n">
        <f aca="true">RAND()</f>
        <v>0.961076885026636</v>
      </c>
      <c r="O236" s="15" t="n">
        <f aca="true">RAND()</f>
        <v>0.422628028337903</v>
      </c>
      <c r="P236" s="15" t="n">
        <f aca="true">RAND()</f>
        <v>0.0464215939620659</v>
      </c>
      <c r="Q236" s="15" t="n">
        <f aca="true">RAND()</f>
        <v>0.373651676270452</v>
      </c>
      <c r="R236" s="15" t="n">
        <f aca="true">RAND()</f>
        <v>0.10715732058348</v>
      </c>
      <c r="S236" s="15" t="n">
        <f aca="true">RAND()</f>
        <v>0.176280196627753</v>
      </c>
      <c r="T236" s="16" t="n">
        <f aca="false">LOOKUP(D236,$E$23:$E$26,$A$23:$A$26)+LOOKUP(D236,$E$23:$E$26,$D$23:$D$26)*(D236-LOOKUP(D236,$E$23:$E$26))/LOOKUP(D236,$E$23:$E$26,$C$23:$C$26)</f>
        <v>4.91260293824831</v>
      </c>
      <c r="U236" s="16" t="n">
        <f aca="false">LOOKUP(E236,$E$23:$E$26,$A$23:$A$26)+LOOKUP(E236,$E$23:$E$26,$D$23:$D$26)*(E236-LOOKUP(E236,$E$23:$E$26))/LOOKUP(E236,$E$23:$E$26,$C$23:$C$26)</f>
        <v>4.81929706190082</v>
      </c>
      <c r="V236" s="16" t="n">
        <f aca="false">LOOKUP(F236,$E$23:$E$26,$A$23:$A$26)+LOOKUP(F236,$E$23:$E$26,$D$23:$D$26)*(F236-LOOKUP(F236,$E$23:$E$26))/LOOKUP(F236,$E$23:$E$26,$C$23:$C$26)</f>
        <v>5.58686036021024</v>
      </c>
      <c r="W236" s="16" t="n">
        <f aca="false">LOOKUP(G236,$E$23:$E$26,$A$23:$A$26)+LOOKUP(G236,$E$23:$E$26,$D$23:$D$26)*(G236-LOOKUP(G236,$E$23:$E$26))/LOOKUP(G236,$E$23:$E$26,$C$23:$C$26)</f>
        <v>4.80381383890359</v>
      </c>
      <c r="X236" s="16" t="n">
        <f aca="false">LOOKUP(H236,$E$23:$E$26,$A$23:$A$26)+LOOKUP(H236,$E$23:$E$26,$D$23:$D$26)*(H236-LOOKUP(H236,$E$23:$E$26))/LOOKUP(H236,$E$23:$E$26,$C$23:$C$26)</f>
        <v>5.16070074746496</v>
      </c>
      <c r="Y236" s="16" t="n">
        <f aca="false">LOOKUP(I236,$E$23:$E$26,$A$23:$A$26)+LOOKUP(I236,$E$23:$E$26,$D$23:$D$26)*(I236-LOOKUP(I236,$E$23:$E$26))/LOOKUP(I236,$E$23:$E$26,$C$23:$C$26)</f>
        <v>5.15585913441203</v>
      </c>
      <c r="Z236" s="16" t="n">
        <f aca="false">LOOKUP(J236,$E$23:$E$26,$A$23:$A$26)+LOOKUP(J236,$E$23:$E$26,$D$23:$D$26)*(J236-LOOKUP(J236,$E$23:$E$26))/LOOKUP(J236,$E$23:$E$26,$C$23:$C$26)</f>
        <v>4.50145093312184</v>
      </c>
      <c r="AA236" s="16" t="n">
        <f aca="false">LOOKUP(K236,$E$23:$E$26,$A$23:$A$26)+LOOKUP(K236,$E$23:$E$26,$D$23:$D$26)*(K236-LOOKUP(K236,$E$23:$E$26))/LOOKUP(K236,$E$23:$E$26,$C$23:$C$26)</f>
        <v>4.98114165960211</v>
      </c>
      <c r="AB236" s="16" t="n">
        <f aca="false">LOOKUP(L236,$E$23:$E$26,$A$23:$A$26)+LOOKUP(L236,$E$23:$E$26,$D$23:$D$26)*(L236-LOOKUP(L236,$E$23:$E$26))/LOOKUP(L236,$E$23:$E$26,$C$23:$C$26)</f>
        <v>4.97568038753801</v>
      </c>
      <c r="AC236" s="16" t="n">
        <f aca="false">LOOKUP(M236,$E$23:$E$26,$A$23:$A$26)+LOOKUP(M236,$E$23:$E$26,$D$23:$D$26)*(M236-LOOKUP(M236,$E$23:$E$26))/LOOKUP(M236,$E$23:$E$26,$C$23:$C$26)</f>
        <v>4.50739474615267</v>
      </c>
      <c r="AD236" s="16" t="n">
        <f aca="false">LOOKUP(N236,$E$23:$E$26,$A$23:$A$26)+LOOKUP(N236,$E$23:$E$26,$D$23:$D$26)*(N236-LOOKUP(N236,$E$23:$E$26))/LOOKUP(N236,$E$23:$E$26,$C$23:$C$26)</f>
        <v>5.80538442513318</v>
      </c>
      <c r="AE236" s="16" t="n">
        <f aca="false">LOOKUP(O236,$E$23:$E$26,$A$23:$A$26)+LOOKUP(O236,$E$23:$E$26,$D$23:$D$26)*(O236-LOOKUP(O236,$E$23:$E$26))/LOOKUP(O236,$E$23:$E$26,$C$23:$C$26)</f>
        <v>4.65328503542238</v>
      </c>
      <c r="AF236" s="16" t="n">
        <f aca="false">LOOKUP(P236,$E$23:$E$26,$A$23:$A$26)+LOOKUP(P236,$E$23:$E$26,$D$23:$D$26)*(P236-LOOKUP(P236,$E$23:$E$26))/LOOKUP(P236,$E$23:$E$26,$C$23:$C$26)</f>
        <v>4.07736932327011</v>
      </c>
      <c r="AG236" s="16" t="n">
        <f aca="false">LOOKUP(Q236,$E$23:$E$26,$A$23:$A$26)+LOOKUP(Q236,$E$23:$E$26,$D$23:$D$26)*(Q236-LOOKUP(Q236,$E$23:$E$26))/LOOKUP(Q236,$E$23:$E$26,$C$23:$C$26)</f>
        <v>4.59206459533807</v>
      </c>
      <c r="AH236" s="16" t="n">
        <f aca="false">LOOKUP(R236,$E$23:$E$26,$A$23:$A$26)+LOOKUP(R236,$E$23:$E$26,$D$23:$D$26)*(R236-LOOKUP(R236,$E$23:$E$26))/LOOKUP(R236,$E$23:$E$26,$C$23:$C$26)</f>
        <v>4.1785955343058</v>
      </c>
      <c r="AI236" s="16" t="n">
        <f aca="false">LOOKUP(S236,$E$23:$E$26,$A$23:$A$26)+LOOKUP(S236,$E$23:$E$26,$D$23:$D$26)*(S236-LOOKUP(S236,$E$23:$E$26))/LOOKUP(S236,$E$23:$E$26,$C$23:$C$26)</f>
        <v>4.29380032771292</v>
      </c>
      <c r="AJ236" s="16" t="n">
        <f aca="false">SUM($T236:T236)</f>
        <v>4.91260293824831</v>
      </c>
      <c r="AK236" s="16" t="n">
        <f aca="false">SUM($T236:U236)</f>
        <v>9.73190000014913</v>
      </c>
      <c r="AL236" s="16" t="n">
        <f aca="false">SUM($T236:V236)</f>
        <v>15.3187603603594</v>
      </c>
      <c r="AM236" s="16" t="n">
        <f aca="false">SUM($T236:W236)</f>
        <v>20.122574199263</v>
      </c>
      <c r="AN236" s="16" t="n">
        <f aca="false">SUM($T236:X236)</f>
        <v>25.2832749467279</v>
      </c>
      <c r="AO236" s="16" t="n">
        <f aca="false">SUM($T236:Y236)</f>
        <v>30.4391340811399</v>
      </c>
      <c r="AP236" s="16" t="n">
        <f aca="false">SUM($T236:Z236)</f>
        <v>34.9405850142618</v>
      </c>
      <c r="AQ236" s="16" t="n">
        <f aca="false">SUM($T236:AA236)</f>
        <v>39.9217266738639</v>
      </c>
      <c r="AR236" s="16" t="n">
        <f aca="false">SUM($T236:AB236)</f>
        <v>44.8974070614019</v>
      </c>
      <c r="AS236" s="16" t="n">
        <f aca="false">SUM($T236:AC236)</f>
        <v>49.4048018075546</v>
      </c>
      <c r="AT236" s="16" t="n">
        <f aca="false">SUM($T236:AD236)</f>
        <v>55.2101862326878</v>
      </c>
      <c r="AU236" s="16" t="n">
        <f aca="false">SUM($T236:AE236)</f>
        <v>59.8634712681101</v>
      </c>
      <c r="AV236" s="16" t="n">
        <f aca="false">SUM($T236:AF236)</f>
        <v>63.9408405913802</v>
      </c>
      <c r="AW236" s="16" t="n">
        <f aca="false">SUM($T236:AG236)</f>
        <v>68.5329051867183</v>
      </c>
      <c r="AX236" s="16" t="n">
        <f aca="false">SUM($T236:AH236)</f>
        <v>72.7115007210241</v>
      </c>
      <c r="AY236" s="16" t="n">
        <f aca="false">SUM($T236:AI236)</f>
        <v>77.005301048737</v>
      </c>
      <c r="AZ236" s="16" t="n">
        <f aca="false">MAX(C236-AJ236,0)</f>
        <v>76.191005003626</v>
      </c>
      <c r="BA236" s="16" t="n">
        <f aca="false">MAX(C236-AK236,0)</f>
        <v>71.3717079417251</v>
      </c>
      <c r="BB236" s="16" t="n">
        <f aca="false">MAX(C236-AL236,0)</f>
        <v>65.7848475815149</v>
      </c>
      <c r="BC236" s="16" t="n">
        <f aca="false">MAX(C236-AM236,0)</f>
        <v>60.9810337426113</v>
      </c>
      <c r="BD236" s="16" t="n">
        <f aca="false">MAX(C236-AN236,0)</f>
        <v>55.8203329951463</v>
      </c>
      <c r="BE236" s="16" t="n">
        <f aca="false">MAX(C236-AO236,0)</f>
        <v>50.6644738607343</v>
      </c>
      <c r="BF236" s="16" t="n">
        <f aca="false">MAX(C236-AP236,0)</f>
        <v>46.1630229276125</v>
      </c>
      <c r="BG236" s="16" t="n">
        <f aca="false">MAX(C236-AQ236,0)</f>
        <v>41.1818812680104</v>
      </c>
      <c r="BH236" s="16" t="n">
        <f aca="false">MAX(C236-AR236,0)</f>
        <v>36.2062008804724</v>
      </c>
      <c r="BI236" s="16" t="n">
        <f aca="false">MAX(C236-AS236,0)</f>
        <v>31.6988061343197</v>
      </c>
      <c r="BJ236" s="16" t="n">
        <f aca="false">MAX(C236-AT236,0)</f>
        <v>25.8934217091865</v>
      </c>
      <c r="BK236" s="16" t="n">
        <f aca="false">MAX(C236-AU236,0)</f>
        <v>21.2401366737641</v>
      </c>
      <c r="BL236" s="16" t="n">
        <f aca="false">MAX(C236-AV236,0)</f>
        <v>17.162767350494</v>
      </c>
      <c r="BM236" s="16" t="n">
        <f aca="false">MAX(C236-AW236,0)</f>
        <v>12.570702755156</v>
      </c>
      <c r="BN236" s="16" t="n">
        <f aca="false">MAX(C236-AX236,0)</f>
        <v>8.39210722085015</v>
      </c>
      <c r="BO236" s="16" t="n">
        <f aca="false">MAX(C236-AY236,0)</f>
        <v>4.09830689313722</v>
      </c>
    </row>
    <row r="237" customFormat="false" ht="15" hidden="false" customHeight="false" outlineLevel="0" collapsed="false">
      <c r="A237" s="3" t="n">
        <v>207</v>
      </c>
      <c r="B237" s="15" t="n">
        <f aca="true">RAND()</f>
        <v>0.37585510283507</v>
      </c>
      <c r="C237" s="16" t="n">
        <f aca="false">LOOKUP(B237,$E$12:$E$17,$A$12:$A$17)+LOOKUP(B237,$E$12:$E$17,$D$12:$D$17)*(B237-LOOKUP(B237,$E$12:$E$17))/LOOKUP(B237,$E$12:$E$17,$C$12:$C$17)</f>
        <v>62.0975850472512</v>
      </c>
      <c r="D237" s="15" t="n">
        <f aca="true">RAND()</f>
        <v>0.456068246854985</v>
      </c>
      <c r="E237" s="15" t="n">
        <f aca="true">RAND()</f>
        <v>0.762407138041082</v>
      </c>
      <c r="F237" s="15" t="n">
        <f aca="true">RAND()</f>
        <v>0.108972093502485</v>
      </c>
      <c r="G237" s="15" t="n">
        <f aca="true">RAND()</f>
        <v>0.546048106221686</v>
      </c>
      <c r="H237" s="15" t="n">
        <f aca="true">RAND()</f>
        <v>0.531604473340686</v>
      </c>
      <c r="I237" s="15" t="n">
        <f aca="true">RAND()</f>
        <v>0.988557691471083</v>
      </c>
      <c r="J237" s="15" t="n">
        <f aca="true">RAND()</f>
        <v>0.595840755843233</v>
      </c>
      <c r="K237" s="15" t="n">
        <f aca="true">RAND()</f>
        <v>0.196985119489607</v>
      </c>
      <c r="L237" s="15" t="n">
        <f aca="true">RAND()</f>
        <v>0.17351522422606</v>
      </c>
      <c r="M237" s="15" t="n">
        <f aca="true">RAND()</f>
        <v>0.287774339482499</v>
      </c>
      <c r="N237" s="15" t="n">
        <f aca="true">RAND()</f>
        <v>0.144529714052309</v>
      </c>
      <c r="O237" s="15" t="n">
        <f aca="true">RAND()</f>
        <v>0.101040663775017</v>
      </c>
      <c r="P237" s="15" t="n">
        <f aca="true">RAND()</f>
        <v>0.253760512443507</v>
      </c>
      <c r="Q237" s="15" t="n">
        <f aca="true">RAND()</f>
        <v>0.774020010135923</v>
      </c>
      <c r="R237" s="15" t="n">
        <f aca="true">RAND()</f>
        <v>0.425616074016889</v>
      </c>
      <c r="S237" s="15" t="n">
        <f aca="true">RAND()</f>
        <v>0.319947801211737</v>
      </c>
      <c r="T237" s="16" t="n">
        <f aca="false">LOOKUP(D237,$E$23:$E$26,$A$23:$A$26)+LOOKUP(D237,$E$23:$E$26,$D$23:$D$26)*(D237-LOOKUP(D237,$E$23:$E$26))/LOOKUP(D237,$E$23:$E$26,$C$23:$C$26)</f>
        <v>4.69508530856873</v>
      </c>
      <c r="U237" s="16" t="n">
        <f aca="false">LOOKUP(E237,$E$23:$E$26,$A$23:$A$26)+LOOKUP(E237,$E$23:$E$26,$D$23:$D$26)*(E237-LOOKUP(E237,$E$23:$E$26))/LOOKUP(E237,$E$23:$E$26,$C$23:$C$26)</f>
        <v>5.1560178451027</v>
      </c>
      <c r="V237" s="16" t="n">
        <f aca="false">LOOKUP(F237,$E$23:$E$26,$A$23:$A$26)+LOOKUP(F237,$E$23:$E$26,$D$23:$D$26)*(F237-LOOKUP(F237,$E$23:$E$26))/LOOKUP(F237,$E$23:$E$26,$C$23:$C$26)</f>
        <v>4.18162015583747</v>
      </c>
      <c r="W237" s="16" t="n">
        <f aca="false">LOOKUP(G237,$E$23:$E$26,$A$23:$A$26)+LOOKUP(G237,$E$23:$E$26,$D$23:$D$26)*(G237-LOOKUP(G237,$E$23:$E$26))/LOOKUP(G237,$E$23:$E$26,$C$23:$C$26)</f>
        <v>4.80756013277711</v>
      </c>
      <c r="X237" s="16" t="n">
        <f aca="false">LOOKUP(H237,$E$23:$E$26,$A$23:$A$26)+LOOKUP(H237,$E$23:$E$26,$D$23:$D$26)*(H237-LOOKUP(H237,$E$23:$E$26))/LOOKUP(H237,$E$23:$E$26,$C$23:$C$26)</f>
        <v>4.78950559167586</v>
      </c>
      <c r="Y237" s="16" t="n">
        <f aca="false">LOOKUP(I237,$E$23:$E$26,$A$23:$A$26)+LOOKUP(I237,$E$23:$E$26,$D$23:$D$26)*(I237-LOOKUP(I237,$E$23:$E$26))/LOOKUP(I237,$E$23:$E$26,$C$23:$C$26)</f>
        <v>5.94278845735541</v>
      </c>
      <c r="Z237" s="16" t="n">
        <f aca="false">LOOKUP(J237,$E$23:$E$26,$A$23:$A$26)+LOOKUP(J237,$E$23:$E$26,$D$23:$D$26)*(J237-LOOKUP(J237,$E$23:$E$26))/LOOKUP(J237,$E$23:$E$26,$C$23:$C$26)</f>
        <v>4.86980094480404</v>
      </c>
      <c r="AA237" s="16" t="n">
        <f aca="false">LOOKUP(K237,$E$23:$E$26,$A$23:$A$26)+LOOKUP(K237,$E$23:$E$26,$D$23:$D$26)*(K237-LOOKUP(K237,$E$23:$E$26))/LOOKUP(K237,$E$23:$E$26,$C$23:$C$26)</f>
        <v>4.32830853248268</v>
      </c>
      <c r="AB237" s="16" t="n">
        <f aca="false">LOOKUP(L237,$E$23:$E$26,$A$23:$A$26)+LOOKUP(L237,$E$23:$E$26,$D$23:$D$26)*(L237-LOOKUP(L237,$E$23:$E$26))/LOOKUP(L237,$E$23:$E$26,$C$23:$C$26)</f>
        <v>4.28919204037677</v>
      </c>
      <c r="AC237" s="16" t="n">
        <f aca="false">LOOKUP(M237,$E$23:$E$26,$A$23:$A$26)+LOOKUP(M237,$E$23:$E$26,$D$23:$D$26)*(M237-LOOKUP(M237,$E$23:$E$26))/LOOKUP(M237,$E$23:$E$26,$C$23:$C$26)</f>
        <v>4.4796238991375</v>
      </c>
      <c r="AD237" s="16" t="n">
        <f aca="false">LOOKUP(N237,$E$23:$E$26,$A$23:$A$26)+LOOKUP(N237,$E$23:$E$26,$D$23:$D$26)*(N237-LOOKUP(N237,$E$23:$E$26))/LOOKUP(N237,$E$23:$E$26,$C$23:$C$26)</f>
        <v>4.24088285675385</v>
      </c>
      <c r="AE237" s="16" t="n">
        <f aca="false">LOOKUP(O237,$E$23:$E$26,$A$23:$A$26)+LOOKUP(O237,$E$23:$E$26,$D$23:$D$26)*(O237-LOOKUP(O237,$E$23:$E$26))/LOOKUP(O237,$E$23:$E$26,$C$23:$C$26)</f>
        <v>4.16840110629169</v>
      </c>
      <c r="AF237" s="16" t="n">
        <f aca="false">LOOKUP(P237,$E$23:$E$26,$A$23:$A$26)+LOOKUP(P237,$E$23:$E$26,$D$23:$D$26)*(P237-LOOKUP(P237,$E$23:$E$26))/LOOKUP(P237,$E$23:$E$26,$C$23:$C$26)</f>
        <v>4.42293418740585</v>
      </c>
      <c r="AG237" s="16" t="n">
        <f aca="false">LOOKUP(Q237,$E$23:$E$26,$A$23:$A$26)+LOOKUP(Q237,$E$23:$E$26,$D$23:$D$26)*(Q237-LOOKUP(Q237,$E$23:$E$26))/LOOKUP(Q237,$E$23:$E$26,$C$23:$C$26)</f>
        <v>5.18505002533981</v>
      </c>
      <c r="AH237" s="16" t="n">
        <f aca="false">LOOKUP(R237,$E$23:$E$26,$A$23:$A$26)+LOOKUP(R237,$E$23:$E$26,$D$23:$D$26)*(R237-LOOKUP(R237,$E$23:$E$26))/LOOKUP(R237,$E$23:$E$26,$C$23:$C$26)</f>
        <v>4.65702009252111</v>
      </c>
      <c r="AI237" s="16" t="n">
        <f aca="false">LOOKUP(S237,$E$23:$E$26,$A$23:$A$26)+LOOKUP(S237,$E$23:$E$26,$D$23:$D$26)*(S237-LOOKUP(S237,$E$23:$E$26))/LOOKUP(S237,$E$23:$E$26,$C$23:$C$26)</f>
        <v>4.52493475151467</v>
      </c>
      <c r="AJ237" s="16" t="n">
        <f aca="false">SUM($T237:T237)</f>
        <v>4.69508530856873</v>
      </c>
      <c r="AK237" s="16" t="n">
        <f aca="false">SUM($T237:U237)</f>
        <v>9.85110315367144</v>
      </c>
      <c r="AL237" s="16" t="n">
        <f aca="false">SUM($T237:V237)</f>
        <v>14.0327233095089</v>
      </c>
      <c r="AM237" s="16" t="n">
        <f aca="false">SUM($T237:W237)</f>
        <v>18.840283442286</v>
      </c>
      <c r="AN237" s="16" t="n">
        <f aca="false">SUM($T237:X237)</f>
        <v>23.6297890339619</v>
      </c>
      <c r="AO237" s="16" t="n">
        <f aca="false">SUM($T237:Y237)</f>
        <v>29.5725774913173</v>
      </c>
      <c r="AP237" s="16" t="n">
        <f aca="false">SUM($T237:Z237)</f>
        <v>34.4423784361213</v>
      </c>
      <c r="AQ237" s="16" t="n">
        <f aca="false">SUM($T237:AA237)</f>
        <v>38.770686968604</v>
      </c>
      <c r="AR237" s="16" t="n">
        <f aca="false">SUM($T237:AB237)</f>
        <v>43.0598790089808</v>
      </c>
      <c r="AS237" s="16" t="n">
        <f aca="false">SUM($T237:AC237)</f>
        <v>47.5395029081183</v>
      </c>
      <c r="AT237" s="16" t="n">
        <f aca="false">SUM($T237:AD237)</f>
        <v>51.7803857648721</v>
      </c>
      <c r="AU237" s="16" t="n">
        <f aca="false">SUM($T237:AE237)</f>
        <v>55.9487868711638</v>
      </c>
      <c r="AV237" s="16" t="n">
        <f aca="false">SUM($T237:AF237)</f>
        <v>60.3717210585697</v>
      </c>
      <c r="AW237" s="16" t="n">
        <f aca="false">SUM($T237:AG237)</f>
        <v>65.5567710839095</v>
      </c>
      <c r="AX237" s="16" t="n">
        <f aca="false">SUM($T237:AH237)</f>
        <v>70.2137911764306</v>
      </c>
      <c r="AY237" s="16" t="n">
        <f aca="false">SUM($T237:AI237)</f>
        <v>74.7387259279453</v>
      </c>
      <c r="AZ237" s="16" t="n">
        <f aca="false">MAX(C237-AJ237,0)</f>
        <v>57.4024997386824</v>
      </c>
      <c r="BA237" s="16" t="n">
        <f aca="false">MAX(C237-AK237,0)</f>
        <v>52.2464818935797</v>
      </c>
      <c r="BB237" s="16" t="n">
        <f aca="false">MAX(C237-AL237,0)</f>
        <v>48.0648617377423</v>
      </c>
      <c r="BC237" s="16" t="n">
        <f aca="false">MAX(C237-AM237,0)</f>
        <v>43.2573016049652</v>
      </c>
      <c r="BD237" s="16" t="n">
        <f aca="false">MAX(C237-AN237,0)</f>
        <v>38.4677960132893</v>
      </c>
      <c r="BE237" s="16" t="n">
        <f aca="false">MAX(C237-AO237,0)</f>
        <v>32.5250075559339</v>
      </c>
      <c r="BF237" s="16" t="n">
        <f aca="false">MAX(C237-AP237,0)</f>
        <v>27.6552066111298</v>
      </c>
      <c r="BG237" s="16" t="n">
        <f aca="false">MAX(C237-AQ237,0)</f>
        <v>23.3268980786472</v>
      </c>
      <c r="BH237" s="16" t="n">
        <f aca="false">MAX(C237-AR237,0)</f>
        <v>19.0377060382704</v>
      </c>
      <c r="BI237" s="16" t="n">
        <f aca="false">MAX(C237-AS237,0)</f>
        <v>14.5580821391329</v>
      </c>
      <c r="BJ237" s="16" t="n">
        <f aca="false">MAX(C237-AT237,0)</f>
        <v>10.317199282379</v>
      </c>
      <c r="BK237" s="16" t="n">
        <f aca="false">MAX(C237-AU237,0)</f>
        <v>6.14879817608735</v>
      </c>
      <c r="BL237" s="16" t="n">
        <f aca="false">MAX(C237-AV237,0)</f>
        <v>1.7258639886815</v>
      </c>
      <c r="BM237" s="16" t="n">
        <f aca="false">MAX(C237-AW237,0)</f>
        <v>0</v>
      </c>
      <c r="BN237" s="16" t="n">
        <f aca="false">MAX(C237-AX237,0)</f>
        <v>0</v>
      </c>
      <c r="BO237" s="16" t="n">
        <f aca="false">MAX(C237-AY237,0)</f>
        <v>0</v>
      </c>
    </row>
    <row r="238" customFormat="false" ht="15" hidden="false" customHeight="false" outlineLevel="0" collapsed="false">
      <c r="A238" s="3" t="n">
        <v>208</v>
      </c>
      <c r="B238" s="15" t="n">
        <f aca="true">RAND()</f>
        <v>0.456442046792654</v>
      </c>
      <c r="C238" s="16" t="n">
        <f aca="false">LOOKUP(B238,$E$12:$E$17,$A$12:$A$17)+LOOKUP(B238,$E$12:$E$17,$D$12:$D$17)*(B238-LOOKUP(B238,$E$12:$E$17))/LOOKUP(B238,$E$12:$E$17,$C$12:$C$17)</f>
        <v>63.4407007798776</v>
      </c>
      <c r="D238" s="15" t="n">
        <f aca="true">RAND()</f>
        <v>0.508812641235072</v>
      </c>
      <c r="E238" s="15" t="n">
        <f aca="true">RAND()</f>
        <v>0.707904711634432</v>
      </c>
      <c r="F238" s="15" t="n">
        <f aca="true">RAND()</f>
        <v>0.382711658020581</v>
      </c>
      <c r="G238" s="15" t="n">
        <f aca="true">RAND()</f>
        <v>0.653180543661601</v>
      </c>
      <c r="H238" s="15" t="n">
        <f aca="true">RAND()</f>
        <v>0.323443377877479</v>
      </c>
      <c r="I238" s="15" t="n">
        <f aca="true">RAND()</f>
        <v>0.44056411431515</v>
      </c>
      <c r="J238" s="15" t="n">
        <f aca="true">RAND()</f>
        <v>0.409666935401256</v>
      </c>
      <c r="K238" s="15" t="n">
        <f aca="true">RAND()</f>
        <v>0.00285312504960888</v>
      </c>
      <c r="L238" s="15" t="n">
        <f aca="true">RAND()</f>
        <v>0.966559834054714</v>
      </c>
      <c r="M238" s="15" t="n">
        <f aca="true">RAND()</f>
        <v>0.0600354985865332</v>
      </c>
      <c r="N238" s="15" t="n">
        <f aca="true">RAND()</f>
        <v>0.660327569037773</v>
      </c>
      <c r="O238" s="15" t="n">
        <f aca="true">RAND()</f>
        <v>0.684056295952436</v>
      </c>
      <c r="P238" s="15" t="n">
        <f aca="true">RAND()</f>
        <v>0.553242404273265</v>
      </c>
      <c r="Q238" s="15" t="n">
        <f aca="true">RAND()</f>
        <v>0.956897608628147</v>
      </c>
      <c r="R238" s="15" t="n">
        <f aca="true">RAND()</f>
        <v>0.756110419024692</v>
      </c>
      <c r="S238" s="15" t="n">
        <f aca="true">RAND()</f>
        <v>0.192839249039244</v>
      </c>
      <c r="T238" s="16" t="n">
        <f aca="false">LOOKUP(D238,$E$23:$E$26,$A$23:$A$26)+LOOKUP(D238,$E$23:$E$26,$D$23:$D$26)*(D238-LOOKUP(D238,$E$23:$E$26))/LOOKUP(D238,$E$23:$E$26,$C$23:$C$26)</f>
        <v>4.76101580154384</v>
      </c>
      <c r="U238" s="16" t="n">
        <f aca="false">LOOKUP(E238,$E$23:$E$26,$A$23:$A$26)+LOOKUP(E238,$E$23:$E$26,$D$23:$D$26)*(E238-LOOKUP(E238,$E$23:$E$26))/LOOKUP(E238,$E$23:$E$26,$C$23:$C$26)</f>
        <v>5.01976177908608</v>
      </c>
      <c r="V238" s="16" t="n">
        <f aca="false">LOOKUP(F238,$E$23:$E$26,$A$23:$A$26)+LOOKUP(F238,$E$23:$E$26,$D$23:$D$26)*(F238-LOOKUP(F238,$E$23:$E$26))/LOOKUP(F238,$E$23:$E$26,$C$23:$C$26)</f>
        <v>4.60338957252573</v>
      </c>
      <c r="W238" s="16" t="n">
        <f aca="false">LOOKUP(G238,$E$23:$E$26,$A$23:$A$26)+LOOKUP(G238,$E$23:$E$26,$D$23:$D$26)*(G238-LOOKUP(G238,$E$23:$E$26))/LOOKUP(G238,$E$23:$E$26,$C$23:$C$26)</f>
        <v>4.941475679577</v>
      </c>
      <c r="X238" s="16" t="n">
        <f aca="false">LOOKUP(H238,$E$23:$E$26,$A$23:$A$26)+LOOKUP(H238,$E$23:$E$26,$D$23:$D$26)*(H238-LOOKUP(H238,$E$23:$E$26))/LOOKUP(H238,$E$23:$E$26,$C$23:$C$26)</f>
        <v>4.52930422234685</v>
      </c>
      <c r="Y238" s="16" t="n">
        <f aca="false">LOOKUP(I238,$E$23:$E$26,$A$23:$A$26)+LOOKUP(I238,$E$23:$E$26,$D$23:$D$26)*(I238-LOOKUP(I238,$E$23:$E$26))/LOOKUP(I238,$E$23:$E$26,$C$23:$C$26)</f>
        <v>4.67570514289394</v>
      </c>
      <c r="Z238" s="16" t="n">
        <f aca="false">LOOKUP(J238,$E$23:$E$26,$A$23:$A$26)+LOOKUP(J238,$E$23:$E$26,$D$23:$D$26)*(J238-LOOKUP(J238,$E$23:$E$26))/LOOKUP(J238,$E$23:$E$26,$C$23:$C$26)</f>
        <v>4.63708366925157</v>
      </c>
      <c r="AA238" s="16" t="n">
        <f aca="false">LOOKUP(K238,$E$23:$E$26,$A$23:$A$26)+LOOKUP(K238,$E$23:$E$26,$D$23:$D$26)*(K238-LOOKUP(K238,$E$23:$E$26))/LOOKUP(K238,$E$23:$E$26,$C$23:$C$26)</f>
        <v>4.00475520841601</v>
      </c>
      <c r="AB238" s="16" t="n">
        <f aca="false">LOOKUP(L238,$E$23:$E$26,$A$23:$A$26)+LOOKUP(L238,$E$23:$E$26,$D$23:$D$26)*(L238-LOOKUP(L238,$E$23:$E$26))/LOOKUP(L238,$E$23:$E$26,$C$23:$C$26)</f>
        <v>5.83279917027357</v>
      </c>
      <c r="AC238" s="16" t="n">
        <f aca="false">LOOKUP(M238,$E$23:$E$26,$A$23:$A$26)+LOOKUP(M238,$E$23:$E$26,$D$23:$D$26)*(M238-LOOKUP(M238,$E$23:$E$26))/LOOKUP(M238,$E$23:$E$26,$C$23:$C$26)</f>
        <v>4.10005916431089</v>
      </c>
      <c r="AD238" s="16" t="n">
        <f aca="false">LOOKUP(N238,$E$23:$E$26,$A$23:$A$26)+LOOKUP(N238,$E$23:$E$26,$D$23:$D$26)*(N238-LOOKUP(N238,$E$23:$E$26))/LOOKUP(N238,$E$23:$E$26,$C$23:$C$26)</f>
        <v>4.95040946129722</v>
      </c>
      <c r="AE238" s="16" t="n">
        <f aca="false">LOOKUP(O238,$E$23:$E$26,$A$23:$A$26)+LOOKUP(O238,$E$23:$E$26,$D$23:$D$26)*(O238-LOOKUP(O238,$E$23:$E$26))/LOOKUP(O238,$E$23:$E$26,$C$23:$C$26)</f>
        <v>4.98007036994055</v>
      </c>
      <c r="AF238" s="16" t="n">
        <f aca="false">LOOKUP(P238,$E$23:$E$26,$A$23:$A$26)+LOOKUP(P238,$E$23:$E$26,$D$23:$D$26)*(P238-LOOKUP(P238,$E$23:$E$26))/LOOKUP(P238,$E$23:$E$26,$C$23:$C$26)</f>
        <v>4.81655300534158</v>
      </c>
      <c r="AG238" s="16" t="n">
        <f aca="false">LOOKUP(Q238,$E$23:$E$26,$A$23:$A$26)+LOOKUP(Q238,$E$23:$E$26,$D$23:$D$26)*(Q238-LOOKUP(Q238,$E$23:$E$26))/LOOKUP(Q238,$E$23:$E$26,$C$23:$C$26)</f>
        <v>5.78448804314074</v>
      </c>
      <c r="AH238" s="16" t="n">
        <f aca="false">LOOKUP(R238,$E$23:$E$26,$A$23:$A$26)+LOOKUP(R238,$E$23:$E$26,$D$23:$D$26)*(R238-LOOKUP(R238,$E$23:$E$26))/LOOKUP(R238,$E$23:$E$26,$C$23:$C$26)</f>
        <v>5.14027604756173</v>
      </c>
      <c r="AI238" s="16" t="n">
        <f aca="false">LOOKUP(S238,$E$23:$E$26,$A$23:$A$26)+LOOKUP(S238,$E$23:$E$26,$D$23:$D$26)*(S238-LOOKUP(S238,$E$23:$E$26))/LOOKUP(S238,$E$23:$E$26,$C$23:$C$26)</f>
        <v>4.32139874839874</v>
      </c>
      <c r="AJ238" s="16" t="n">
        <f aca="false">SUM($T238:T238)</f>
        <v>4.76101580154384</v>
      </c>
      <c r="AK238" s="16" t="n">
        <f aca="false">SUM($T238:U238)</f>
        <v>9.78077758062992</v>
      </c>
      <c r="AL238" s="16" t="n">
        <f aca="false">SUM($T238:V238)</f>
        <v>14.3841671531556</v>
      </c>
      <c r="AM238" s="16" t="n">
        <f aca="false">SUM($T238:W238)</f>
        <v>19.3256428327326</v>
      </c>
      <c r="AN238" s="16" t="n">
        <f aca="false">SUM($T238:X238)</f>
        <v>23.8549470550795</v>
      </c>
      <c r="AO238" s="16" t="n">
        <f aca="false">SUM($T238:Y238)</f>
        <v>28.5306521979734</v>
      </c>
      <c r="AP238" s="16" t="n">
        <f aca="false">SUM($T238:Z238)</f>
        <v>33.167735867225</v>
      </c>
      <c r="AQ238" s="16" t="n">
        <f aca="false">SUM($T238:AA238)</f>
        <v>37.172491075641</v>
      </c>
      <c r="AR238" s="16" t="n">
        <f aca="false">SUM($T238:AB238)</f>
        <v>43.0052902459146</v>
      </c>
      <c r="AS238" s="16" t="n">
        <f aca="false">SUM($T238:AC238)</f>
        <v>47.1053494102255</v>
      </c>
      <c r="AT238" s="16" t="n">
        <f aca="false">SUM($T238:AD238)</f>
        <v>52.0557588715227</v>
      </c>
      <c r="AU238" s="16" t="n">
        <f aca="false">SUM($T238:AE238)</f>
        <v>57.0358292414632</v>
      </c>
      <c r="AV238" s="16" t="n">
        <f aca="false">SUM($T238:AF238)</f>
        <v>61.8523822468048</v>
      </c>
      <c r="AW238" s="16" t="n">
        <f aca="false">SUM($T238:AG238)</f>
        <v>67.6368702899456</v>
      </c>
      <c r="AX238" s="16" t="n">
        <f aca="false">SUM($T238:AH238)</f>
        <v>72.7771463375073</v>
      </c>
      <c r="AY238" s="16" t="n">
        <f aca="false">SUM($T238:AI238)</f>
        <v>77.098545085906</v>
      </c>
      <c r="AZ238" s="16" t="n">
        <f aca="false">MAX(C238-AJ238,0)</f>
        <v>58.6796849783337</v>
      </c>
      <c r="BA238" s="16" t="n">
        <f aca="false">MAX(C238-AK238,0)</f>
        <v>53.6599231992476</v>
      </c>
      <c r="BB238" s="16" t="n">
        <f aca="false">MAX(C238-AL238,0)</f>
        <v>49.0565336267219</v>
      </c>
      <c r="BC238" s="16" t="n">
        <f aca="false">MAX(C238-AM238,0)</f>
        <v>44.1150579471449</v>
      </c>
      <c r="BD238" s="16" t="n">
        <f aca="false">MAX(C238-AN238,0)</f>
        <v>39.5857537247981</v>
      </c>
      <c r="BE238" s="16" t="n">
        <f aca="false">MAX(C238-AO238,0)</f>
        <v>34.9100485819041</v>
      </c>
      <c r="BF238" s="16" t="n">
        <f aca="false">MAX(C238-AP238,0)</f>
        <v>30.2729649126526</v>
      </c>
      <c r="BG238" s="16" t="n">
        <f aca="false">MAX(C238-AQ238,0)</f>
        <v>26.2682097042365</v>
      </c>
      <c r="BH238" s="16" t="n">
        <f aca="false">MAX(C238-AR238,0)</f>
        <v>20.435410533963</v>
      </c>
      <c r="BI238" s="16" t="n">
        <f aca="false">MAX(C238-AS238,0)</f>
        <v>16.3353513696521</v>
      </c>
      <c r="BJ238" s="16" t="n">
        <f aca="false">MAX(C238-AT238,0)</f>
        <v>11.3849419083549</v>
      </c>
      <c r="BK238" s="16" t="n">
        <f aca="false">MAX(C238-AU238,0)</f>
        <v>6.40487153841433</v>
      </c>
      <c r="BL238" s="16" t="n">
        <f aca="false">MAX(C238-AV238,0)</f>
        <v>1.58831853307274</v>
      </c>
      <c r="BM238" s="16" t="n">
        <f aca="false">MAX(C238-AW238,0)</f>
        <v>0</v>
      </c>
      <c r="BN238" s="16" t="n">
        <f aca="false">MAX(C238-AX238,0)</f>
        <v>0</v>
      </c>
      <c r="BO238" s="16" t="n">
        <f aca="false">MAX(C238-AY238,0)</f>
        <v>0</v>
      </c>
    </row>
    <row r="239" customFormat="false" ht="15" hidden="false" customHeight="false" outlineLevel="0" collapsed="false">
      <c r="A239" s="3" t="n">
        <v>209</v>
      </c>
      <c r="B239" s="15" t="n">
        <f aca="true">RAND()</f>
        <v>0.0490915989764961</v>
      </c>
      <c r="C239" s="16" t="n">
        <f aca="false">LOOKUP(B239,$E$12:$E$17,$A$12:$A$17)+LOOKUP(B239,$E$12:$E$17,$D$12:$D$17)*(B239-LOOKUP(B239,$E$12:$E$17))/LOOKUP(B239,$E$12:$E$17,$C$12:$C$17)</f>
        <v>52.4545799488248</v>
      </c>
      <c r="D239" s="15" t="n">
        <f aca="true">RAND()</f>
        <v>0.101076961929898</v>
      </c>
      <c r="E239" s="15" t="n">
        <f aca="true">RAND()</f>
        <v>0.0459626651720444</v>
      </c>
      <c r="F239" s="15" t="n">
        <f aca="true">RAND()</f>
        <v>0.238309219875162</v>
      </c>
      <c r="G239" s="15" t="n">
        <f aca="true">RAND()</f>
        <v>0.549069023580439</v>
      </c>
      <c r="H239" s="15" t="n">
        <f aca="true">RAND()</f>
        <v>0.880652932570603</v>
      </c>
      <c r="I239" s="15" t="n">
        <f aca="true">RAND()</f>
        <v>0.124657477253748</v>
      </c>
      <c r="J239" s="15" t="n">
        <f aca="true">RAND()</f>
        <v>0.656187215561208</v>
      </c>
      <c r="K239" s="15" t="n">
        <f aca="true">RAND()</f>
        <v>0.577532734250392</v>
      </c>
      <c r="L239" s="15" t="n">
        <f aca="true">RAND()</f>
        <v>0.485554226496816</v>
      </c>
      <c r="M239" s="15" t="n">
        <f aca="true">RAND()</f>
        <v>0.852523001872019</v>
      </c>
      <c r="N239" s="15" t="n">
        <f aca="true">RAND()</f>
        <v>0.487709500779924</v>
      </c>
      <c r="O239" s="15" t="n">
        <f aca="true">RAND()</f>
        <v>0.816533315602216</v>
      </c>
      <c r="P239" s="15" t="n">
        <f aca="true">RAND()</f>
        <v>0.816050229757709</v>
      </c>
      <c r="Q239" s="15" t="n">
        <f aca="true">RAND()</f>
        <v>0.538496493511343</v>
      </c>
      <c r="R239" s="15" t="n">
        <f aca="true">RAND()</f>
        <v>0.390294644004156</v>
      </c>
      <c r="S239" s="15" t="n">
        <f aca="true">RAND()</f>
        <v>0.787798348657186</v>
      </c>
      <c r="T239" s="16" t="n">
        <f aca="false">LOOKUP(D239,$E$23:$E$26,$A$23:$A$26)+LOOKUP(D239,$E$23:$E$26,$D$23:$D$26)*(D239-LOOKUP(D239,$E$23:$E$26))/LOOKUP(D239,$E$23:$E$26,$C$23:$C$26)</f>
        <v>4.1684616032165</v>
      </c>
      <c r="U239" s="16" t="n">
        <f aca="false">LOOKUP(E239,$E$23:$E$26,$A$23:$A$26)+LOOKUP(E239,$E$23:$E$26,$D$23:$D$26)*(E239-LOOKUP(E239,$E$23:$E$26))/LOOKUP(E239,$E$23:$E$26,$C$23:$C$26)</f>
        <v>4.07660444195341</v>
      </c>
      <c r="V239" s="16" t="n">
        <f aca="false">LOOKUP(F239,$E$23:$E$26,$A$23:$A$26)+LOOKUP(F239,$E$23:$E$26,$D$23:$D$26)*(F239-LOOKUP(F239,$E$23:$E$26))/LOOKUP(F239,$E$23:$E$26,$C$23:$C$26)</f>
        <v>4.39718203312527</v>
      </c>
      <c r="W239" s="16" t="n">
        <f aca="false">LOOKUP(G239,$E$23:$E$26,$A$23:$A$26)+LOOKUP(G239,$E$23:$E$26,$D$23:$D$26)*(G239-LOOKUP(G239,$E$23:$E$26))/LOOKUP(G239,$E$23:$E$26,$C$23:$C$26)</f>
        <v>4.81133627947555</v>
      </c>
      <c r="X239" s="16" t="n">
        <f aca="false">LOOKUP(H239,$E$23:$E$26,$A$23:$A$26)+LOOKUP(H239,$E$23:$E$26,$D$23:$D$26)*(H239-LOOKUP(H239,$E$23:$E$26))/LOOKUP(H239,$E$23:$E$26,$C$23:$C$26)</f>
        <v>5.45163233142651</v>
      </c>
      <c r="Y239" s="16" t="n">
        <f aca="false">LOOKUP(I239,$E$23:$E$26,$A$23:$A$26)+LOOKUP(I239,$E$23:$E$26,$D$23:$D$26)*(I239-LOOKUP(I239,$E$23:$E$26))/LOOKUP(I239,$E$23:$E$26,$C$23:$C$26)</f>
        <v>4.20776246208958</v>
      </c>
      <c r="Z239" s="16" t="n">
        <f aca="false">LOOKUP(J239,$E$23:$E$26,$A$23:$A$26)+LOOKUP(J239,$E$23:$E$26,$D$23:$D$26)*(J239-LOOKUP(J239,$E$23:$E$26))/LOOKUP(J239,$E$23:$E$26,$C$23:$C$26)</f>
        <v>4.94523401945151</v>
      </c>
      <c r="AA239" s="16" t="n">
        <f aca="false">LOOKUP(K239,$E$23:$E$26,$A$23:$A$26)+LOOKUP(K239,$E$23:$E$26,$D$23:$D$26)*(K239-LOOKUP(K239,$E$23:$E$26))/LOOKUP(K239,$E$23:$E$26,$C$23:$C$26)</f>
        <v>4.84691591781299</v>
      </c>
      <c r="AB239" s="16" t="n">
        <f aca="false">LOOKUP(L239,$E$23:$E$26,$A$23:$A$26)+LOOKUP(L239,$E$23:$E$26,$D$23:$D$26)*(L239-LOOKUP(L239,$E$23:$E$26))/LOOKUP(L239,$E$23:$E$26,$C$23:$C$26)</f>
        <v>4.73194278312102</v>
      </c>
      <c r="AC239" s="16" t="n">
        <f aca="false">LOOKUP(M239,$E$23:$E$26,$A$23:$A$26)+LOOKUP(M239,$E$23:$E$26,$D$23:$D$26)*(M239-LOOKUP(M239,$E$23:$E$26))/LOOKUP(M239,$E$23:$E$26,$C$23:$C$26)</f>
        <v>5.38130750468005</v>
      </c>
      <c r="AD239" s="16" t="n">
        <f aca="false">LOOKUP(N239,$E$23:$E$26,$A$23:$A$26)+LOOKUP(N239,$E$23:$E$26,$D$23:$D$26)*(N239-LOOKUP(N239,$E$23:$E$26))/LOOKUP(N239,$E$23:$E$26,$C$23:$C$26)</f>
        <v>4.73463687597491</v>
      </c>
      <c r="AE239" s="16" t="n">
        <f aca="false">LOOKUP(O239,$E$23:$E$26,$A$23:$A$26)+LOOKUP(O239,$E$23:$E$26,$D$23:$D$26)*(O239-LOOKUP(O239,$E$23:$E$26))/LOOKUP(O239,$E$23:$E$26,$C$23:$C$26)</f>
        <v>5.29133328900554</v>
      </c>
      <c r="AF239" s="16" t="n">
        <f aca="false">LOOKUP(P239,$E$23:$E$26,$A$23:$A$26)+LOOKUP(P239,$E$23:$E$26,$D$23:$D$26)*(P239-LOOKUP(P239,$E$23:$E$26))/LOOKUP(P239,$E$23:$E$26,$C$23:$C$26)</f>
        <v>5.29012557439427</v>
      </c>
      <c r="AG239" s="16" t="n">
        <f aca="false">LOOKUP(Q239,$E$23:$E$26,$A$23:$A$26)+LOOKUP(Q239,$E$23:$E$26,$D$23:$D$26)*(Q239-LOOKUP(Q239,$E$23:$E$26))/LOOKUP(Q239,$E$23:$E$26,$C$23:$C$26)</f>
        <v>4.79812061688918</v>
      </c>
      <c r="AH239" s="16" t="n">
        <f aca="false">LOOKUP(R239,$E$23:$E$26,$A$23:$A$26)+LOOKUP(R239,$E$23:$E$26,$D$23:$D$26)*(R239-LOOKUP(R239,$E$23:$E$26))/LOOKUP(R239,$E$23:$E$26,$C$23:$C$26)</f>
        <v>4.61286830500519</v>
      </c>
      <c r="AI239" s="16" t="n">
        <f aca="false">LOOKUP(S239,$E$23:$E$26,$A$23:$A$26)+LOOKUP(S239,$E$23:$E$26,$D$23:$D$26)*(S239-LOOKUP(S239,$E$23:$E$26))/LOOKUP(S239,$E$23:$E$26,$C$23:$C$26)</f>
        <v>5.21949587164296</v>
      </c>
      <c r="AJ239" s="16" t="n">
        <f aca="false">SUM($T239:T239)</f>
        <v>4.1684616032165</v>
      </c>
      <c r="AK239" s="16" t="n">
        <f aca="false">SUM($T239:U239)</f>
        <v>8.2450660451699</v>
      </c>
      <c r="AL239" s="16" t="n">
        <f aca="false">SUM($T239:V239)</f>
        <v>12.6422480782952</v>
      </c>
      <c r="AM239" s="16" t="n">
        <f aca="false">SUM($T239:W239)</f>
        <v>17.4535843577707</v>
      </c>
      <c r="AN239" s="16" t="n">
        <f aca="false">SUM($T239:X239)</f>
        <v>22.9052166891972</v>
      </c>
      <c r="AO239" s="16" t="n">
        <f aca="false">SUM($T239:Y239)</f>
        <v>27.1129791512868</v>
      </c>
      <c r="AP239" s="16" t="n">
        <f aca="false">SUM($T239:Z239)</f>
        <v>32.0582131707383</v>
      </c>
      <c r="AQ239" s="16" t="n">
        <f aca="false">SUM($T239:AA239)</f>
        <v>36.9051290885513</v>
      </c>
      <c r="AR239" s="16" t="n">
        <f aca="false">SUM($T239:AB239)</f>
        <v>41.6370718716723</v>
      </c>
      <c r="AS239" s="16" t="n">
        <f aca="false">SUM($T239:AC239)</f>
        <v>47.0183793763524</v>
      </c>
      <c r="AT239" s="16" t="n">
        <f aca="false">SUM($T239:AD239)</f>
        <v>51.7530162523273</v>
      </c>
      <c r="AU239" s="16" t="n">
        <f aca="false">SUM($T239:AE239)</f>
        <v>57.0443495413328</v>
      </c>
      <c r="AV239" s="16" t="n">
        <f aca="false">SUM($T239:AF239)</f>
        <v>62.3344751157271</v>
      </c>
      <c r="AW239" s="16" t="n">
        <f aca="false">SUM($T239:AG239)</f>
        <v>67.1325957326163</v>
      </c>
      <c r="AX239" s="16" t="n">
        <f aca="false">SUM($T239:AH239)</f>
        <v>71.7454640376215</v>
      </c>
      <c r="AY239" s="16" t="n">
        <f aca="false">SUM($T239:AI239)</f>
        <v>76.9649599092644</v>
      </c>
      <c r="AZ239" s="16" t="n">
        <f aca="false">MAX(C239-AJ239,0)</f>
        <v>48.2861183456083</v>
      </c>
      <c r="BA239" s="16" t="n">
        <f aca="false">MAX(C239-AK239,0)</f>
        <v>44.2095139036549</v>
      </c>
      <c r="BB239" s="16" t="n">
        <f aca="false">MAX(C239-AL239,0)</f>
        <v>39.8123318705296</v>
      </c>
      <c r="BC239" s="16" t="n">
        <f aca="false">MAX(C239-AM239,0)</f>
        <v>35.0009955910541</v>
      </c>
      <c r="BD239" s="16" t="n">
        <f aca="false">MAX(C239-AN239,0)</f>
        <v>29.5493632596276</v>
      </c>
      <c r="BE239" s="16" t="n">
        <f aca="false">MAX(C239-AO239,0)</f>
        <v>25.341600797538</v>
      </c>
      <c r="BF239" s="16" t="n">
        <f aca="false">MAX(C239-AP239,0)</f>
        <v>20.3963667780865</v>
      </c>
      <c r="BG239" s="16" t="n">
        <f aca="false">MAX(C239-AQ239,0)</f>
        <v>15.5494508602735</v>
      </c>
      <c r="BH239" s="16" t="n">
        <f aca="false">MAX(C239-AR239,0)</f>
        <v>10.8175080771525</v>
      </c>
      <c r="BI239" s="16" t="n">
        <f aca="false">MAX(C239-AS239,0)</f>
        <v>5.43620057247242</v>
      </c>
      <c r="BJ239" s="16" t="n">
        <f aca="false">MAX(C239-AT239,0)</f>
        <v>0.701563696497523</v>
      </c>
      <c r="BK239" s="16" t="n">
        <f aca="false">MAX(C239-AU239,0)</f>
        <v>0</v>
      </c>
      <c r="BL239" s="16" t="n">
        <f aca="false">MAX(C239-AV239,0)</f>
        <v>0</v>
      </c>
      <c r="BM239" s="16" t="n">
        <f aca="false">MAX(C239-AW239,0)</f>
        <v>0</v>
      </c>
      <c r="BN239" s="16" t="n">
        <f aca="false">MAX(C239-AX239,0)</f>
        <v>0</v>
      </c>
      <c r="BO239" s="16" t="n">
        <f aca="false">MAX(C239-AY239,0)</f>
        <v>0</v>
      </c>
    </row>
    <row r="240" customFormat="false" ht="15" hidden="false" customHeight="false" outlineLevel="0" collapsed="false">
      <c r="A240" s="3" t="n">
        <v>210</v>
      </c>
      <c r="B240" s="15" t="n">
        <f aca="true">RAND()</f>
        <v>0.159405954240024</v>
      </c>
      <c r="C240" s="16" t="n">
        <f aca="false">LOOKUP(B240,$E$12:$E$17,$A$12:$A$17)+LOOKUP(B240,$E$12:$E$17,$D$12:$D$17)*(B240-LOOKUP(B240,$E$12:$E$17))/LOOKUP(B240,$E$12:$E$17,$C$12:$C$17)</f>
        <v>56.9801984746675</v>
      </c>
      <c r="D240" s="15" t="n">
        <f aca="true">RAND()</f>
        <v>0.210653579158939</v>
      </c>
      <c r="E240" s="15" t="n">
        <f aca="true">RAND()</f>
        <v>0.286156043510142</v>
      </c>
      <c r="F240" s="15" t="n">
        <f aca="true">RAND()</f>
        <v>0.487862192804342</v>
      </c>
      <c r="G240" s="15" t="n">
        <f aca="true">RAND()</f>
        <v>0.947672779615993</v>
      </c>
      <c r="H240" s="15" t="n">
        <f aca="true">RAND()</f>
        <v>0.324720345182665</v>
      </c>
      <c r="I240" s="15" t="n">
        <f aca="true">RAND()</f>
        <v>0.226600660482261</v>
      </c>
      <c r="J240" s="15" t="n">
        <f aca="true">RAND()</f>
        <v>0.245869738480577</v>
      </c>
      <c r="K240" s="15" t="n">
        <f aca="true">RAND()</f>
        <v>0.0561711184682449</v>
      </c>
      <c r="L240" s="15" t="n">
        <f aca="true">RAND()</f>
        <v>0.507731970213233</v>
      </c>
      <c r="M240" s="15" t="n">
        <f aca="true">RAND()</f>
        <v>0.0505647328228986</v>
      </c>
      <c r="N240" s="15" t="n">
        <f aca="true">RAND()</f>
        <v>0.763383318608927</v>
      </c>
      <c r="O240" s="15" t="n">
        <f aca="true">RAND()</f>
        <v>0.717016579701061</v>
      </c>
      <c r="P240" s="15" t="n">
        <f aca="true">RAND()</f>
        <v>0.509826593773031</v>
      </c>
      <c r="Q240" s="15" t="n">
        <f aca="true">RAND()</f>
        <v>0.533494783638429</v>
      </c>
      <c r="R240" s="15" t="n">
        <f aca="true">RAND()</f>
        <v>0.86302963426967</v>
      </c>
      <c r="S240" s="15" t="n">
        <f aca="true">RAND()</f>
        <v>0.0155987355371432</v>
      </c>
      <c r="T240" s="16" t="n">
        <f aca="false">LOOKUP(D240,$E$23:$E$26,$A$23:$A$26)+LOOKUP(D240,$E$23:$E$26,$D$23:$D$26)*(D240-LOOKUP(D240,$E$23:$E$26))/LOOKUP(D240,$E$23:$E$26,$C$23:$C$26)</f>
        <v>4.35108929859823</v>
      </c>
      <c r="U240" s="16" t="n">
        <f aca="false">LOOKUP(E240,$E$23:$E$26,$A$23:$A$26)+LOOKUP(E240,$E$23:$E$26,$D$23:$D$26)*(E240-LOOKUP(E240,$E$23:$E$26))/LOOKUP(E240,$E$23:$E$26,$C$23:$C$26)</f>
        <v>4.47692673918357</v>
      </c>
      <c r="V240" s="16" t="n">
        <f aca="false">LOOKUP(F240,$E$23:$E$26,$A$23:$A$26)+LOOKUP(F240,$E$23:$E$26,$D$23:$D$26)*(F240-LOOKUP(F240,$E$23:$E$26))/LOOKUP(F240,$E$23:$E$26,$C$23:$C$26)</f>
        <v>4.73482774100543</v>
      </c>
      <c r="W240" s="16" t="n">
        <f aca="false">LOOKUP(G240,$E$23:$E$26,$A$23:$A$26)+LOOKUP(G240,$E$23:$E$26,$D$23:$D$26)*(G240-LOOKUP(G240,$E$23:$E$26))/LOOKUP(G240,$E$23:$E$26,$C$23:$C$26)</f>
        <v>5.73836389807997</v>
      </c>
      <c r="X240" s="16" t="n">
        <f aca="false">LOOKUP(H240,$E$23:$E$26,$A$23:$A$26)+LOOKUP(H240,$E$23:$E$26,$D$23:$D$26)*(H240-LOOKUP(H240,$E$23:$E$26))/LOOKUP(H240,$E$23:$E$26,$C$23:$C$26)</f>
        <v>4.53090043147833</v>
      </c>
      <c r="Y240" s="16" t="n">
        <f aca="false">LOOKUP(I240,$E$23:$E$26,$A$23:$A$26)+LOOKUP(I240,$E$23:$E$26,$D$23:$D$26)*(I240-LOOKUP(I240,$E$23:$E$26))/LOOKUP(I240,$E$23:$E$26,$C$23:$C$26)</f>
        <v>4.37766776747043</v>
      </c>
      <c r="Z240" s="16" t="n">
        <f aca="false">LOOKUP(J240,$E$23:$E$26,$A$23:$A$26)+LOOKUP(J240,$E$23:$E$26,$D$23:$D$26)*(J240-LOOKUP(J240,$E$23:$E$26))/LOOKUP(J240,$E$23:$E$26,$C$23:$C$26)</f>
        <v>4.40978289746763</v>
      </c>
      <c r="AA240" s="16" t="n">
        <f aca="false">LOOKUP(K240,$E$23:$E$26,$A$23:$A$26)+LOOKUP(K240,$E$23:$E$26,$D$23:$D$26)*(K240-LOOKUP(K240,$E$23:$E$26))/LOOKUP(K240,$E$23:$E$26,$C$23:$C$26)</f>
        <v>4.09361853078041</v>
      </c>
      <c r="AB240" s="16" t="n">
        <f aca="false">LOOKUP(L240,$E$23:$E$26,$A$23:$A$26)+LOOKUP(L240,$E$23:$E$26,$D$23:$D$26)*(L240-LOOKUP(L240,$E$23:$E$26))/LOOKUP(L240,$E$23:$E$26,$C$23:$C$26)</f>
        <v>4.75966496276654</v>
      </c>
      <c r="AC240" s="16" t="n">
        <f aca="false">LOOKUP(M240,$E$23:$E$26,$A$23:$A$26)+LOOKUP(M240,$E$23:$E$26,$D$23:$D$26)*(M240-LOOKUP(M240,$E$23:$E$26))/LOOKUP(M240,$E$23:$E$26,$C$23:$C$26)</f>
        <v>4.08427455470483</v>
      </c>
      <c r="AD240" s="16" t="n">
        <f aca="false">LOOKUP(N240,$E$23:$E$26,$A$23:$A$26)+LOOKUP(N240,$E$23:$E$26,$D$23:$D$26)*(N240-LOOKUP(N240,$E$23:$E$26))/LOOKUP(N240,$E$23:$E$26,$C$23:$C$26)</f>
        <v>5.15845829652232</v>
      </c>
      <c r="AE240" s="16" t="n">
        <f aca="false">LOOKUP(O240,$E$23:$E$26,$A$23:$A$26)+LOOKUP(O240,$E$23:$E$26,$D$23:$D$26)*(O240-LOOKUP(O240,$E$23:$E$26))/LOOKUP(O240,$E$23:$E$26,$C$23:$C$26)</f>
        <v>5.04254144925265</v>
      </c>
      <c r="AF240" s="16" t="n">
        <f aca="false">LOOKUP(P240,$E$23:$E$26,$A$23:$A$26)+LOOKUP(P240,$E$23:$E$26,$D$23:$D$26)*(P240-LOOKUP(P240,$E$23:$E$26))/LOOKUP(P240,$E$23:$E$26,$C$23:$C$26)</f>
        <v>4.76228324221629</v>
      </c>
      <c r="AG240" s="16" t="n">
        <f aca="false">LOOKUP(Q240,$E$23:$E$26,$A$23:$A$26)+LOOKUP(Q240,$E$23:$E$26,$D$23:$D$26)*(Q240-LOOKUP(Q240,$E$23:$E$26))/LOOKUP(Q240,$E$23:$E$26,$C$23:$C$26)</f>
        <v>4.79186847954804</v>
      </c>
      <c r="AH240" s="16" t="n">
        <f aca="false">LOOKUP(R240,$E$23:$E$26,$A$23:$A$26)+LOOKUP(R240,$E$23:$E$26,$D$23:$D$26)*(R240-LOOKUP(R240,$E$23:$E$26))/LOOKUP(R240,$E$23:$E$26,$C$23:$C$26)</f>
        <v>5.40757408567418</v>
      </c>
      <c r="AI240" s="16" t="n">
        <f aca="false">LOOKUP(S240,$E$23:$E$26,$A$23:$A$26)+LOOKUP(S240,$E$23:$E$26,$D$23:$D$26)*(S240-LOOKUP(S240,$E$23:$E$26))/LOOKUP(S240,$E$23:$E$26,$C$23:$C$26)</f>
        <v>4.02599789256191</v>
      </c>
      <c r="AJ240" s="16" t="n">
        <f aca="false">SUM($T240:T240)</f>
        <v>4.35108929859823</v>
      </c>
      <c r="AK240" s="16" t="n">
        <f aca="false">SUM($T240:U240)</f>
        <v>8.8280160377818</v>
      </c>
      <c r="AL240" s="16" t="n">
        <f aca="false">SUM($T240:V240)</f>
        <v>13.5628437787872</v>
      </c>
      <c r="AM240" s="16" t="n">
        <f aca="false">SUM($T240:W240)</f>
        <v>19.3012076768672</v>
      </c>
      <c r="AN240" s="16" t="n">
        <f aca="false">SUM($T240:X240)</f>
        <v>23.8321081083455</v>
      </c>
      <c r="AO240" s="16" t="n">
        <f aca="false">SUM($T240:Y240)</f>
        <v>28.209775875816</v>
      </c>
      <c r="AP240" s="16" t="n">
        <f aca="false">SUM($T240:Z240)</f>
        <v>32.6195587732836</v>
      </c>
      <c r="AQ240" s="16" t="n">
        <f aca="false">SUM($T240:AA240)</f>
        <v>36.713177304064</v>
      </c>
      <c r="AR240" s="16" t="n">
        <f aca="false">SUM($T240:AB240)</f>
        <v>41.4728422668305</v>
      </c>
      <c r="AS240" s="16" t="n">
        <f aca="false">SUM($T240:AC240)</f>
        <v>45.5571168215354</v>
      </c>
      <c r="AT240" s="16" t="n">
        <f aca="false">SUM($T240:AD240)</f>
        <v>50.7155751180577</v>
      </c>
      <c r="AU240" s="16" t="n">
        <f aca="false">SUM($T240:AE240)</f>
        <v>55.7581165673103</v>
      </c>
      <c r="AV240" s="16" t="n">
        <f aca="false">SUM($T240:AF240)</f>
        <v>60.5203998095266</v>
      </c>
      <c r="AW240" s="16" t="n">
        <f aca="false">SUM($T240:AG240)</f>
        <v>65.3122682890747</v>
      </c>
      <c r="AX240" s="16" t="n">
        <f aca="false">SUM($T240:AH240)</f>
        <v>70.7198423747488</v>
      </c>
      <c r="AY240" s="16" t="n">
        <f aca="false">SUM($T240:AI240)</f>
        <v>74.7458402673107</v>
      </c>
      <c r="AZ240" s="16" t="n">
        <f aca="false">MAX(C240-AJ240,0)</f>
        <v>52.6291091760692</v>
      </c>
      <c r="BA240" s="16" t="n">
        <f aca="false">MAX(C240-AK240,0)</f>
        <v>48.1521824368857</v>
      </c>
      <c r="BB240" s="16" t="n">
        <f aca="false">MAX(C240-AL240,0)</f>
        <v>43.4173546958802</v>
      </c>
      <c r="BC240" s="16" t="n">
        <f aca="false">MAX(C240-AM240,0)</f>
        <v>37.6789907978003</v>
      </c>
      <c r="BD240" s="16" t="n">
        <f aca="false">MAX(C240-AN240,0)</f>
        <v>33.1480903663219</v>
      </c>
      <c r="BE240" s="16" t="n">
        <f aca="false">MAX(C240-AO240,0)</f>
        <v>28.7704225988515</v>
      </c>
      <c r="BF240" s="16" t="n">
        <f aca="false">MAX(C240-AP240,0)</f>
        <v>24.3606397013839</v>
      </c>
      <c r="BG240" s="16" t="n">
        <f aca="false">MAX(C240-AQ240,0)</f>
        <v>20.2670211706035</v>
      </c>
      <c r="BH240" s="16" t="n">
        <f aca="false">MAX(C240-AR240,0)</f>
        <v>15.5073562078369</v>
      </c>
      <c r="BI240" s="16" t="n">
        <f aca="false">MAX(C240-AS240,0)</f>
        <v>11.4230816531321</v>
      </c>
      <c r="BJ240" s="16" t="n">
        <f aca="false">MAX(C240-AT240,0)</f>
        <v>6.26462335660976</v>
      </c>
      <c r="BK240" s="16" t="n">
        <f aca="false">MAX(C240-AU240,0)</f>
        <v>1.22208190735712</v>
      </c>
      <c r="BL240" s="16" t="n">
        <f aca="false">MAX(C240-AV240,0)</f>
        <v>0</v>
      </c>
      <c r="BM240" s="16" t="n">
        <f aca="false">MAX(C240-AW240,0)</f>
        <v>0</v>
      </c>
      <c r="BN240" s="16" t="n">
        <f aca="false">MAX(C240-AX240,0)</f>
        <v>0</v>
      </c>
      <c r="BO240" s="16" t="n">
        <f aca="false">MAX(C240-AY240,0)</f>
        <v>0</v>
      </c>
    </row>
    <row r="241" customFormat="false" ht="15" hidden="false" customHeight="false" outlineLevel="0" collapsed="false">
      <c r="A241" s="3" t="n">
        <v>211</v>
      </c>
      <c r="B241" s="15" t="n">
        <f aca="true">RAND()</f>
        <v>0.9515291657941</v>
      </c>
      <c r="C241" s="16" t="n">
        <f aca="false">LOOKUP(B241,$E$12:$E$17,$A$12:$A$17)+LOOKUP(B241,$E$12:$E$17,$D$12:$D$17)*(B241-LOOKUP(B241,$E$12:$E$17))/LOOKUP(B241,$E$12:$E$17,$C$12:$C$17)</f>
        <v>78.2205728621313</v>
      </c>
      <c r="D241" s="15" t="n">
        <f aca="true">RAND()</f>
        <v>0.22872740697313</v>
      </c>
      <c r="E241" s="15" t="n">
        <f aca="true">RAND()</f>
        <v>0.9517743095005</v>
      </c>
      <c r="F241" s="15" t="n">
        <f aca="true">RAND()</f>
        <v>0.667594419210604</v>
      </c>
      <c r="G241" s="15" t="n">
        <f aca="true">RAND()</f>
        <v>0.362841845623396</v>
      </c>
      <c r="H241" s="15" t="n">
        <f aca="true">RAND()</f>
        <v>0.982101615493131</v>
      </c>
      <c r="I241" s="15" t="n">
        <f aca="true">RAND()</f>
        <v>0.00195136002781188</v>
      </c>
      <c r="J241" s="15" t="n">
        <f aca="true">RAND()</f>
        <v>0.564825830804375</v>
      </c>
      <c r="K241" s="15" t="n">
        <f aca="true">RAND()</f>
        <v>0.661233704641936</v>
      </c>
      <c r="L241" s="15" t="n">
        <f aca="true">RAND()</f>
        <v>0.454993742132162</v>
      </c>
      <c r="M241" s="15" t="n">
        <f aca="true">RAND()</f>
        <v>0.042675969681243</v>
      </c>
      <c r="N241" s="15" t="n">
        <f aca="true">RAND()</f>
        <v>0.223721072826084</v>
      </c>
      <c r="O241" s="15" t="n">
        <f aca="true">RAND()</f>
        <v>0.352544683286993</v>
      </c>
      <c r="P241" s="15" t="n">
        <f aca="true">RAND()</f>
        <v>0.299169743986141</v>
      </c>
      <c r="Q241" s="15" t="n">
        <f aca="true">RAND()</f>
        <v>0.203398268951483</v>
      </c>
      <c r="R241" s="15" t="n">
        <f aca="true">RAND()</f>
        <v>0.0207327338685511</v>
      </c>
      <c r="S241" s="15" t="n">
        <f aca="true">RAND()</f>
        <v>0.782071485521749</v>
      </c>
      <c r="T241" s="16" t="n">
        <f aca="false">LOOKUP(D241,$E$23:$E$26,$A$23:$A$26)+LOOKUP(D241,$E$23:$E$26,$D$23:$D$26)*(D241-LOOKUP(D241,$E$23:$E$26))/LOOKUP(D241,$E$23:$E$26,$C$23:$C$26)</f>
        <v>4.38121234495522</v>
      </c>
      <c r="U241" s="16" t="n">
        <f aca="false">LOOKUP(E241,$E$23:$E$26,$A$23:$A$26)+LOOKUP(E241,$E$23:$E$26,$D$23:$D$26)*(E241-LOOKUP(E241,$E$23:$E$26))/LOOKUP(E241,$E$23:$E$26,$C$23:$C$26)</f>
        <v>5.7588715475025</v>
      </c>
      <c r="V241" s="16" t="n">
        <f aca="false">LOOKUP(F241,$E$23:$E$26,$A$23:$A$26)+LOOKUP(F241,$E$23:$E$26,$D$23:$D$26)*(F241-LOOKUP(F241,$E$23:$E$26))/LOOKUP(F241,$E$23:$E$26,$C$23:$C$26)</f>
        <v>4.95949302401326</v>
      </c>
      <c r="W241" s="16" t="n">
        <f aca="false">LOOKUP(G241,$E$23:$E$26,$A$23:$A$26)+LOOKUP(G241,$E$23:$E$26,$D$23:$D$26)*(G241-LOOKUP(G241,$E$23:$E$26))/LOOKUP(G241,$E$23:$E$26,$C$23:$C$26)</f>
        <v>4.57855230702925</v>
      </c>
      <c r="X241" s="16" t="n">
        <f aca="false">LOOKUP(H241,$E$23:$E$26,$A$23:$A$26)+LOOKUP(H241,$E$23:$E$26,$D$23:$D$26)*(H241-LOOKUP(H241,$E$23:$E$26))/LOOKUP(H241,$E$23:$E$26,$C$23:$C$26)</f>
        <v>5.91050807746565</v>
      </c>
      <c r="Y241" s="16" t="n">
        <f aca="false">LOOKUP(I241,$E$23:$E$26,$A$23:$A$26)+LOOKUP(I241,$E$23:$E$26,$D$23:$D$26)*(I241-LOOKUP(I241,$E$23:$E$26))/LOOKUP(I241,$E$23:$E$26,$C$23:$C$26)</f>
        <v>4.00325226671302</v>
      </c>
      <c r="Z241" s="16" t="n">
        <f aca="false">LOOKUP(J241,$E$23:$E$26,$A$23:$A$26)+LOOKUP(J241,$E$23:$E$26,$D$23:$D$26)*(J241-LOOKUP(J241,$E$23:$E$26))/LOOKUP(J241,$E$23:$E$26,$C$23:$C$26)</f>
        <v>4.83103228850547</v>
      </c>
      <c r="AA241" s="16" t="n">
        <f aca="false">LOOKUP(K241,$E$23:$E$26,$A$23:$A$26)+LOOKUP(K241,$E$23:$E$26,$D$23:$D$26)*(K241-LOOKUP(K241,$E$23:$E$26))/LOOKUP(K241,$E$23:$E$26,$C$23:$C$26)</f>
        <v>4.95154213080242</v>
      </c>
      <c r="AB241" s="16" t="n">
        <f aca="false">LOOKUP(L241,$E$23:$E$26,$A$23:$A$26)+LOOKUP(L241,$E$23:$E$26,$D$23:$D$26)*(L241-LOOKUP(L241,$E$23:$E$26))/LOOKUP(L241,$E$23:$E$26,$C$23:$C$26)</f>
        <v>4.6937421776652</v>
      </c>
      <c r="AC241" s="16" t="n">
        <f aca="false">LOOKUP(M241,$E$23:$E$26,$A$23:$A$26)+LOOKUP(M241,$E$23:$E$26,$D$23:$D$26)*(M241-LOOKUP(M241,$E$23:$E$26))/LOOKUP(M241,$E$23:$E$26,$C$23:$C$26)</f>
        <v>4.07112661613541</v>
      </c>
      <c r="AD241" s="16" t="n">
        <f aca="false">LOOKUP(N241,$E$23:$E$26,$A$23:$A$26)+LOOKUP(N241,$E$23:$E$26,$D$23:$D$26)*(N241-LOOKUP(N241,$E$23:$E$26))/LOOKUP(N241,$E$23:$E$26,$C$23:$C$26)</f>
        <v>4.37286845471014</v>
      </c>
      <c r="AE241" s="16" t="n">
        <f aca="false">LOOKUP(O241,$E$23:$E$26,$A$23:$A$26)+LOOKUP(O241,$E$23:$E$26,$D$23:$D$26)*(O241-LOOKUP(O241,$E$23:$E$26))/LOOKUP(O241,$E$23:$E$26,$C$23:$C$26)</f>
        <v>4.56568085410874</v>
      </c>
      <c r="AF241" s="16" t="n">
        <f aca="false">LOOKUP(P241,$E$23:$E$26,$A$23:$A$26)+LOOKUP(P241,$E$23:$E$26,$D$23:$D$26)*(P241-LOOKUP(P241,$E$23:$E$26))/LOOKUP(P241,$E$23:$E$26,$C$23:$C$26)</f>
        <v>4.4986162399769</v>
      </c>
      <c r="AG241" s="16" t="n">
        <f aca="false">LOOKUP(Q241,$E$23:$E$26,$A$23:$A$26)+LOOKUP(Q241,$E$23:$E$26,$D$23:$D$26)*(Q241-LOOKUP(Q241,$E$23:$E$26))/LOOKUP(Q241,$E$23:$E$26,$C$23:$C$26)</f>
        <v>4.33899711491914</v>
      </c>
      <c r="AH241" s="16" t="n">
        <f aca="false">LOOKUP(R241,$E$23:$E$26,$A$23:$A$26)+LOOKUP(R241,$E$23:$E$26,$D$23:$D$26)*(R241-LOOKUP(R241,$E$23:$E$26))/LOOKUP(R241,$E$23:$E$26,$C$23:$C$26)</f>
        <v>4.03455455644759</v>
      </c>
      <c r="AI241" s="16" t="n">
        <f aca="false">LOOKUP(S241,$E$23:$E$26,$A$23:$A$26)+LOOKUP(S241,$E$23:$E$26,$D$23:$D$26)*(S241-LOOKUP(S241,$E$23:$E$26))/LOOKUP(S241,$E$23:$E$26,$C$23:$C$26)</f>
        <v>5.20517871380437</v>
      </c>
      <c r="AJ241" s="16" t="n">
        <f aca="false">SUM($T241:T241)</f>
        <v>4.38121234495522</v>
      </c>
      <c r="AK241" s="16" t="n">
        <f aca="false">SUM($T241:U241)</f>
        <v>10.1400838924577</v>
      </c>
      <c r="AL241" s="16" t="n">
        <f aca="false">SUM($T241:V241)</f>
        <v>15.099576916471</v>
      </c>
      <c r="AM241" s="16" t="n">
        <f aca="false">SUM($T241:W241)</f>
        <v>19.6781292235002</v>
      </c>
      <c r="AN241" s="16" t="n">
        <f aca="false">SUM($T241:X241)</f>
        <v>25.5886373009659</v>
      </c>
      <c r="AO241" s="16" t="n">
        <f aca="false">SUM($T241:Y241)</f>
        <v>29.5918895676789</v>
      </c>
      <c r="AP241" s="16" t="n">
        <f aca="false">SUM($T241:Z241)</f>
        <v>34.4229218561844</v>
      </c>
      <c r="AQ241" s="16" t="n">
        <f aca="false">SUM($T241:AA241)</f>
        <v>39.3744639869868</v>
      </c>
      <c r="AR241" s="16" t="n">
        <f aca="false">SUM($T241:AB241)</f>
        <v>44.068206164652</v>
      </c>
      <c r="AS241" s="16" t="n">
        <f aca="false">SUM($T241:AC241)</f>
        <v>48.1393327807874</v>
      </c>
      <c r="AT241" s="16" t="n">
        <f aca="false">SUM($T241:AD241)</f>
        <v>52.5122012354975</v>
      </c>
      <c r="AU241" s="16" t="n">
        <f aca="false">SUM($T241:AE241)</f>
        <v>57.0778820896063</v>
      </c>
      <c r="AV241" s="16" t="n">
        <f aca="false">SUM($T241:AF241)</f>
        <v>61.5764983295832</v>
      </c>
      <c r="AW241" s="16" t="n">
        <f aca="false">SUM($T241:AG241)</f>
        <v>65.9154954445023</v>
      </c>
      <c r="AX241" s="16" t="n">
        <f aca="false">SUM($T241:AH241)</f>
        <v>69.9500500009499</v>
      </c>
      <c r="AY241" s="16" t="n">
        <f aca="false">SUM($T241:AI241)</f>
        <v>75.1552287147543</v>
      </c>
      <c r="AZ241" s="16" t="n">
        <f aca="false">MAX(C241-AJ241,0)</f>
        <v>73.8393605171761</v>
      </c>
      <c r="BA241" s="16" t="n">
        <f aca="false">MAX(C241-AK241,0)</f>
        <v>68.0804889696735</v>
      </c>
      <c r="BB241" s="16" t="n">
        <f aca="false">MAX(C241-AL241,0)</f>
        <v>63.1209959456603</v>
      </c>
      <c r="BC241" s="16" t="n">
        <f aca="false">MAX(C241-AM241,0)</f>
        <v>58.542443638631</v>
      </c>
      <c r="BD241" s="16" t="n">
        <f aca="false">MAX(C241-AN241,0)</f>
        <v>52.6319355611654</v>
      </c>
      <c r="BE241" s="16" t="n">
        <f aca="false">MAX(C241-AO241,0)</f>
        <v>48.6286832944524</v>
      </c>
      <c r="BF241" s="16" t="n">
        <f aca="false">MAX(C241-AP241,0)</f>
        <v>43.7976510059469</v>
      </c>
      <c r="BG241" s="16" t="n">
        <f aca="false">MAX(C241-AQ241,0)</f>
        <v>38.8461088751445</v>
      </c>
      <c r="BH241" s="16" t="n">
        <f aca="false">MAX(C241-AR241,0)</f>
        <v>34.1523666974793</v>
      </c>
      <c r="BI241" s="16" t="n">
        <f aca="false">MAX(C241-AS241,0)</f>
        <v>30.0812400813439</v>
      </c>
      <c r="BJ241" s="16" t="n">
        <f aca="false">MAX(C241-AT241,0)</f>
        <v>25.7083716266337</v>
      </c>
      <c r="BK241" s="16" t="n">
        <f aca="false">MAX(C241-AU241,0)</f>
        <v>21.142690772525</v>
      </c>
      <c r="BL241" s="16" t="n">
        <f aca="false">MAX(C241-AV241,0)</f>
        <v>16.6440745325481</v>
      </c>
      <c r="BM241" s="16" t="n">
        <f aca="false">MAX(C241-AW241,0)</f>
        <v>12.305077417629</v>
      </c>
      <c r="BN241" s="16" t="n">
        <f aca="false">MAX(C241-AX241,0)</f>
        <v>8.27052286118136</v>
      </c>
      <c r="BO241" s="16" t="n">
        <f aca="false">MAX(C241-AY241,0)</f>
        <v>3.06534414737699</v>
      </c>
    </row>
    <row r="242" customFormat="false" ht="15" hidden="false" customHeight="false" outlineLevel="0" collapsed="false">
      <c r="A242" s="3" t="n">
        <v>212</v>
      </c>
      <c r="B242" s="15" t="n">
        <f aca="true">RAND()</f>
        <v>0.137828824370046</v>
      </c>
      <c r="C242" s="16" t="n">
        <f aca="false">LOOKUP(B242,$E$12:$E$17,$A$12:$A$17)+LOOKUP(B242,$E$12:$E$17,$D$12:$D$17)*(B242-LOOKUP(B242,$E$12:$E$17))/LOOKUP(B242,$E$12:$E$17,$C$12:$C$17)</f>
        <v>56.2609608123349</v>
      </c>
      <c r="D242" s="15" t="n">
        <f aca="true">RAND()</f>
        <v>0.423008428897191</v>
      </c>
      <c r="E242" s="15" t="n">
        <f aca="true">RAND()</f>
        <v>0.737374680688731</v>
      </c>
      <c r="F242" s="15" t="n">
        <f aca="true">RAND()</f>
        <v>0.47403215507853</v>
      </c>
      <c r="G242" s="15" t="n">
        <f aca="true">RAND()</f>
        <v>0.74377208642764</v>
      </c>
      <c r="H242" s="15" t="n">
        <f aca="true">RAND()</f>
        <v>0.853908022975358</v>
      </c>
      <c r="I242" s="15" t="n">
        <f aca="true">RAND()</f>
        <v>0.216164103721956</v>
      </c>
      <c r="J242" s="15" t="n">
        <f aca="true">RAND()</f>
        <v>0.306347206018908</v>
      </c>
      <c r="K242" s="15" t="n">
        <f aca="true">RAND()</f>
        <v>0.294030489354292</v>
      </c>
      <c r="L242" s="15" t="n">
        <f aca="true">RAND()</f>
        <v>0.247975922949874</v>
      </c>
      <c r="M242" s="15" t="n">
        <f aca="true">RAND()</f>
        <v>0.11508560929681</v>
      </c>
      <c r="N242" s="15" t="n">
        <f aca="true">RAND()</f>
        <v>0.571618375680501</v>
      </c>
      <c r="O242" s="15" t="n">
        <f aca="true">RAND()</f>
        <v>0.619283602775872</v>
      </c>
      <c r="P242" s="15" t="n">
        <f aca="true">RAND()</f>
        <v>0.78979514783612</v>
      </c>
      <c r="Q242" s="15" t="n">
        <f aca="true">RAND()</f>
        <v>0.994144888421977</v>
      </c>
      <c r="R242" s="15" t="n">
        <f aca="true">RAND()</f>
        <v>0.92474359764562</v>
      </c>
      <c r="S242" s="15" t="n">
        <f aca="true">RAND()</f>
        <v>0.643054681683283</v>
      </c>
      <c r="T242" s="16" t="n">
        <f aca="false">LOOKUP(D242,$E$23:$E$26,$A$23:$A$26)+LOOKUP(D242,$E$23:$E$26,$D$23:$D$26)*(D242-LOOKUP(D242,$E$23:$E$26))/LOOKUP(D242,$E$23:$E$26,$C$23:$C$26)</f>
        <v>4.65376053612149</v>
      </c>
      <c r="U242" s="16" t="n">
        <f aca="false">LOOKUP(E242,$E$23:$E$26,$A$23:$A$26)+LOOKUP(E242,$E$23:$E$26,$D$23:$D$26)*(E242-LOOKUP(E242,$E$23:$E$26))/LOOKUP(E242,$E$23:$E$26,$C$23:$C$26)</f>
        <v>5.09343670172183</v>
      </c>
      <c r="V242" s="16" t="n">
        <f aca="false">LOOKUP(F242,$E$23:$E$26,$A$23:$A$26)+LOOKUP(F242,$E$23:$E$26,$D$23:$D$26)*(F242-LOOKUP(F242,$E$23:$E$26))/LOOKUP(F242,$E$23:$E$26,$C$23:$C$26)</f>
        <v>4.71754019384816</v>
      </c>
      <c r="W242" s="16" t="n">
        <f aca="false">LOOKUP(G242,$E$23:$E$26,$A$23:$A$26)+LOOKUP(G242,$E$23:$E$26,$D$23:$D$26)*(G242-LOOKUP(G242,$E$23:$E$26))/LOOKUP(G242,$E$23:$E$26,$C$23:$C$26)</f>
        <v>5.1094302160691</v>
      </c>
      <c r="X242" s="16" t="n">
        <f aca="false">LOOKUP(H242,$E$23:$E$26,$A$23:$A$26)+LOOKUP(H242,$E$23:$E$26,$D$23:$D$26)*(H242-LOOKUP(H242,$E$23:$E$26))/LOOKUP(H242,$E$23:$E$26,$C$23:$C$26)</f>
        <v>5.3847700574384</v>
      </c>
      <c r="Y242" s="16" t="n">
        <f aca="false">LOOKUP(I242,$E$23:$E$26,$A$23:$A$26)+LOOKUP(I242,$E$23:$E$26,$D$23:$D$26)*(I242-LOOKUP(I242,$E$23:$E$26))/LOOKUP(I242,$E$23:$E$26,$C$23:$C$26)</f>
        <v>4.36027350620326</v>
      </c>
      <c r="Z242" s="16" t="n">
        <f aca="false">LOOKUP(J242,$E$23:$E$26,$A$23:$A$26)+LOOKUP(J242,$E$23:$E$26,$D$23:$D$26)*(J242-LOOKUP(J242,$E$23:$E$26))/LOOKUP(J242,$E$23:$E$26,$C$23:$C$26)</f>
        <v>4.50793400752364</v>
      </c>
      <c r="AA242" s="16" t="n">
        <f aca="false">LOOKUP(K242,$E$23:$E$26,$A$23:$A$26)+LOOKUP(K242,$E$23:$E$26,$D$23:$D$26)*(K242-LOOKUP(K242,$E$23:$E$26))/LOOKUP(K242,$E$23:$E$26,$C$23:$C$26)</f>
        <v>4.49005081559049</v>
      </c>
      <c r="AB242" s="16" t="n">
        <f aca="false">LOOKUP(L242,$E$23:$E$26,$A$23:$A$26)+LOOKUP(L242,$E$23:$E$26,$D$23:$D$26)*(L242-LOOKUP(L242,$E$23:$E$26))/LOOKUP(L242,$E$23:$E$26,$C$23:$C$26)</f>
        <v>4.41329320491646</v>
      </c>
      <c r="AC242" s="16" t="n">
        <f aca="false">LOOKUP(M242,$E$23:$E$26,$A$23:$A$26)+LOOKUP(M242,$E$23:$E$26,$D$23:$D$26)*(M242-LOOKUP(M242,$E$23:$E$26))/LOOKUP(M242,$E$23:$E$26,$C$23:$C$26)</f>
        <v>4.19180934882802</v>
      </c>
      <c r="AD242" s="16" t="n">
        <f aca="false">LOOKUP(N242,$E$23:$E$26,$A$23:$A$26)+LOOKUP(N242,$E$23:$E$26,$D$23:$D$26)*(N242-LOOKUP(N242,$E$23:$E$26))/LOOKUP(N242,$E$23:$E$26,$C$23:$C$26)</f>
        <v>4.83952296960063</v>
      </c>
      <c r="AE242" s="16" t="n">
        <f aca="false">LOOKUP(O242,$E$23:$E$26,$A$23:$A$26)+LOOKUP(O242,$E$23:$E$26,$D$23:$D$26)*(O242-LOOKUP(O242,$E$23:$E$26))/LOOKUP(O242,$E$23:$E$26,$C$23:$C$26)</f>
        <v>4.89910450346984</v>
      </c>
      <c r="AF242" s="16" t="n">
        <f aca="false">LOOKUP(P242,$E$23:$E$26,$A$23:$A$26)+LOOKUP(P242,$E$23:$E$26,$D$23:$D$26)*(P242-LOOKUP(P242,$E$23:$E$26))/LOOKUP(P242,$E$23:$E$26,$C$23:$C$26)</f>
        <v>5.2244878695903</v>
      </c>
      <c r="AG242" s="16" t="n">
        <f aca="false">LOOKUP(Q242,$E$23:$E$26,$A$23:$A$26)+LOOKUP(Q242,$E$23:$E$26,$D$23:$D$26)*(Q242-LOOKUP(Q242,$E$23:$E$26))/LOOKUP(Q242,$E$23:$E$26,$C$23:$C$26)</f>
        <v>5.97072444210988</v>
      </c>
      <c r="AH242" s="16" t="n">
        <f aca="false">LOOKUP(R242,$E$23:$E$26,$A$23:$A$26)+LOOKUP(R242,$E$23:$E$26,$D$23:$D$26)*(R242-LOOKUP(R242,$E$23:$E$26))/LOOKUP(R242,$E$23:$E$26,$C$23:$C$26)</f>
        <v>5.6237179882281</v>
      </c>
      <c r="AI242" s="16" t="n">
        <f aca="false">LOOKUP(S242,$E$23:$E$26,$A$23:$A$26)+LOOKUP(S242,$E$23:$E$26,$D$23:$D$26)*(S242-LOOKUP(S242,$E$23:$E$26))/LOOKUP(S242,$E$23:$E$26,$C$23:$C$26)</f>
        <v>4.9288183521041</v>
      </c>
      <c r="AJ242" s="16" t="n">
        <f aca="false">SUM($T242:T242)</f>
        <v>4.65376053612149</v>
      </c>
      <c r="AK242" s="16" t="n">
        <f aca="false">SUM($T242:U242)</f>
        <v>9.74719723784332</v>
      </c>
      <c r="AL242" s="16" t="n">
        <f aca="false">SUM($T242:V242)</f>
        <v>14.4647374316915</v>
      </c>
      <c r="AM242" s="16" t="n">
        <f aca="false">SUM($T242:W242)</f>
        <v>19.5741676477606</v>
      </c>
      <c r="AN242" s="16" t="n">
        <f aca="false">SUM($T242:X242)</f>
        <v>24.958937705199</v>
      </c>
      <c r="AO242" s="16" t="n">
        <f aca="false">SUM($T242:Y242)</f>
        <v>29.3192112114022</v>
      </c>
      <c r="AP242" s="16" t="n">
        <f aca="false">SUM($T242:Z242)</f>
        <v>33.8271452189259</v>
      </c>
      <c r="AQ242" s="16" t="n">
        <f aca="false">SUM($T242:AA242)</f>
        <v>38.3171960345164</v>
      </c>
      <c r="AR242" s="16" t="n">
        <f aca="false">SUM($T242:AB242)</f>
        <v>42.7304892394328</v>
      </c>
      <c r="AS242" s="16" t="n">
        <f aca="false">SUM($T242:AC242)</f>
        <v>46.9222985882608</v>
      </c>
      <c r="AT242" s="16" t="n">
        <f aca="false">SUM($T242:AD242)</f>
        <v>51.7618215578615</v>
      </c>
      <c r="AU242" s="16" t="n">
        <f aca="false">SUM($T242:AE242)</f>
        <v>56.6609260613313</v>
      </c>
      <c r="AV242" s="16" t="n">
        <f aca="false">SUM($T242:AF242)</f>
        <v>61.8854139309216</v>
      </c>
      <c r="AW242" s="16" t="n">
        <f aca="false">SUM($T242:AG242)</f>
        <v>67.8561383730315</v>
      </c>
      <c r="AX242" s="16" t="n">
        <f aca="false">SUM($T242:AH242)</f>
        <v>73.4798563612596</v>
      </c>
      <c r="AY242" s="16" t="n">
        <f aca="false">SUM($T242:AI242)</f>
        <v>78.4086747133637</v>
      </c>
      <c r="AZ242" s="16" t="n">
        <f aca="false">MAX(C242-AJ242,0)</f>
        <v>51.6072002762134</v>
      </c>
      <c r="BA242" s="16" t="n">
        <f aca="false">MAX(C242-AK242,0)</f>
        <v>46.5137635744916</v>
      </c>
      <c r="BB242" s="16" t="n">
        <f aca="false">MAX(C242-AL242,0)</f>
        <v>41.7962233806434</v>
      </c>
      <c r="BC242" s="16" t="n">
        <f aca="false">MAX(C242-AM242,0)</f>
        <v>36.6867931645743</v>
      </c>
      <c r="BD242" s="16" t="n">
        <f aca="false">MAX(C242-AN242,0)</f>
        <v>31.3020231071359</v>
      </c>
      <c r="BE242" s="16" t="n">
        <f aca="false">MAX(C242-AO242,0)</f>
        <v>26.9417496009326</v>
      </c>
      <c r="BF242" s="16" t="n">
        <f aca="false">MAX(C242-AP242,0)</f>
        <v>22.433815593409</v>
      </c>
      <c r="BG242" s="16" t="n">
        <f aca="false">MAX(C242-AQ242,0)</f>
        <v>17.9437647778185</v>
      </c>
      <c r="BH242" s="16" t="n">
        <f aca="false">MAX(C242-AR242,0)</f>
        <v>13.5304715729021</v>
      </c>
      <c r="BI242" s="16" t="n">
        <f aca="false">MAX(C242-AS242,0)</f>
        <v>9.33866222407404</v>
      </c>
      <c r="BJ242" s="16" t="n">
        <f aca="false">MAX(C242-AT242,0)</f>
        <v>4.49913925447342</v>
      </c>
      <c r="BK242" s="16" t="n">
        <f aca="false">MAX(C242-AU242,0)</f>
        <v>0</v>
      </c>
      <c r="BL242" s="16" t="n">
        <f aca="false">MAX(C242-AV242,0)</f>
        <v>0</v>
      </c>
      <c r="BM242" s="16" t="n">
        <f aca="false">MAX(C242-AW242,0)</f>
        <v>0</v>
      </c>
      <c r="BN242" s="16" t="n">
        <f aca="false">MAX(C242-AX242,0)</f>
        <v>0</v>
      </c>
      <c r="BO242" s="16" t="n">
        <f aca="false">MAX(C242-AY242,0)</f>
        <v>0</v>
      </c>
    </row>
    <row r="243" customFormat="false" ht="15" hidden="false" customHeight="false" outlineLevel="0" collapsed="false">
      <c r="A243" s="3" t="n">
        <v>213</v>
      </c>
      <c r="B243" s="15" t="n">
        <f aca="true">RAND()</f>
        <v>0.32945115766029</v>
      </c>
      <c r="C243" s="16" t="n">
        <f aca="false">LOOKUP(B243,$E$12:$E$17,$A$12:$A$17)+LOOKUP(B243,$E$12:$E$17,$D$12:$D$17)*(B243-LOOKUP(B243,$E$12:$E$17))/LOOKUP(B243,$E$12:$E$17,$C$12:$C$17)</f>
        <v>61.3241859610048</v>
      </c>
      <c r="D243" s="15" t="n">
        <f aca="true">RAND()</f>
        <v>0.86783483097436</v>
      </c>
      <c r="E243" s="15" t="n">
        <f aca="true">RAND()</f>
        <v>0.615852576715713</v>
      </c>
      <c r="F243" s="15" t="n">
        <f aca="true">RAND()</f>
        <v>0.336536123239612</v>
      </c>
      <c r="G243" s="15" t="n">
        <f aca="true">RAND()</f>
        <v>0.951747663367212</v>
      </c>
      <c r="H243" s="15" t="n">
        <f aca="true">RAND()</f>
        <v>0.966783088651751</v>
      </c>
      <c r="I243" s="15" t="n">
        <f aca="true">RAND()</f>
        <v>0.931589347340156</v>
      </c>
      <c r="J243" s="15" t="n">
        <f aca="true">RAND()</f>
        <v>0.0453479108599728</v>
      </c>
      <c r="K243" s="15" t="n">
        <f aca="true">RAND()</f>
        <v>0.264237913211535</v>
      </c>
      <c r="L243" s="15" t="n">
        <f aca="true">RAND()</f>
        <v>0.841552421520701</v>
      </c>
      <c r="M243" s="15" t="n">
        <f aca="true">RAND()</f>
        <v>0.681542986386743</v>
      </c>
      <c r="N243" s="15" t="n">
        <f aca="true">RAND()</f>
        <v>0.536653120003287</v>
      </c>
      <c r="O243" s="15" t="n">
        <f aca="true">RAND()</f>
        <v>0.274101552999422</v>
      </c>
      <c r="P243" s="15" t="n">
        <f aca="true">RAND()</f>
        <v>0.163054011421462</v>
      </c>
      <c r="Q243" s="15" t="n">
        <f aca="true">RAND()</f>
        <v>0.436392076375334</v>
      </c>
      <c r="R243" s="15" t="n">
        <f aca="true">RAND()</f>
        <v>0.751525316044962</v>
      </c>
      <c r="S243" s="15" t="n">
        <f aca="true">RAND()</f>
        <v>0.424839642443146</v>
      </c>
      <c r="T243" s="16" t="n">
        <f aca="false">LOOKUP(D243,$E$23:$E$26,$A$23:$A$26)+LOOKUP(D243,$E$23:$E$26,$D$23:$D$26)*(D243-LOOKUP(D243,$E$23:$E$26))/LOOKUP(D243,$E$23:$E$26,$C$23:$C$26)</f>
        <v>5.4195870774359</v>
      </c>
      <c r="U243" s="16" t="n">
        <f aca="false">LOOKUP(E243,$E$23:$E$26,$A$23:$A$26)+LOOKUP(E243,$E$23:$E$26,$D$23:$D$26)*(E243-LOOKUP(E243,$E$23:$E$26))/LOOKUP(E243,$E$23:$E$26,$C$23:$C$26)</f>
        <v>4.89481572089464</v>
      </c>
      <c r="V243" s="16" t="n">
        <f aca="false">LOOKUP(F243,$E$23:$E$26,$A$23:$A$26)+LOOKUP(F243,$E$23:$E$26,$D$23:$D$26)*(F243-LOOKUP(F243,$E$23:$E$26))/LOOKUP(F243,$E$23:$E$26,$C$23:$C$26)</f>
        <v>4.54567015404952</v>
      </c>
      <c r="W243" s="16" t="n">
        <f aca="false">LOOKUP(G243,$E$23:$E$26,$A$23:$A$26)+LOOKUP(G243,$E$23:$E$26,$D$23:$D$26)*(G243-LOOKUP(G243,$E$23:$E$26))/LOOKUP(G243,$E$23:$E$26,$C$23:$C$26)</f>
        <v>5.75873831683606</v>
      </c>
      <c r="X243" s="16" t="n">
        <f aca="false">LOOKUP(H243,$E$23:$E$26,$A$23:$A$26)+LOOKUP(H243,$E$23:$E$26,$D$23:$D$26)*(H243-LOOKUP(H243,$E$23:$E$26))/LOOKUP(H243,$E$23:$E$26,$C$23:$C$26)</f>
        <v>5.83391544325875</v>
      </c>
      <c r="Y243" s="16" t="n">
        <f aca="false">LOOKUP(I243,$E$23:$E$26,$A$23:$A$26)+LOOKUP(I243,$E$23:$E$26,$D$23:$D$26)*(I243-LOOKUP(I243,$E$23:$E$26))/LOOKUP(I243,$E$23:$E$26,$C$23:$C$26)</f>
        <v>5.65794673670078</v>
      </c>
      <c r="Z243" s="16" t="n">
        <f aca="false">LOOKUP(J243,$E$23:$E$26,$A$23:$A$26)+LOOKUP(J243,$E$23:$E$26,$D$23:$D$26)*(J243-LOOKUP(J243,$E$23:$E$26))/LOOKUP(J243,$E$23:$E$26,$C$23:$C$26)</f>
        <v>4.07557985143329</v>
      </c>
      <c r="AA243" s="16" t="n">
        <f aca="false">LOOKUP(K243,$E$23:$E$26,$A$23:$A$26)+LOOKUP(K243,$E$23:$E$26,$D$23:$D$26)*(K243-LOOKUP(K243,$E$23:$E$26))/LOOKUP(K243,$E$23:$E$26,$C$23:$C$26)</f>
        <v>4.44039652201923</v>
      </c>
      <c r="AB243" s="16" t="n">
        <f aca="false">LOOKUP(L243,$E$23:$E$26,$A$23:$A$26)+LOOKUP(L243,$E$23:$E$26,$D$23:$D$26)*(L243-LOOKUP(L243,$E$23:$E$26))/LOOKUP(L243,$E$23:$E$26,$C$23:$C$26)</f>
        <v>5.35388105380175</v>
      </c>
      <c r="AC243" s="16" t="n">
        <f aca="false">LOOKUP(M243,$E$23:$E$26,$A$23:$A$26)+LOOKUP(M243,$E$23:$E$26,$D$23:$D$26)*(M243-LOOKUP(M243,$E$23:$E$26))/LOOKUP(M243,$E$23:$E$26,$C$23:$C$26)</f>
        <v>4.97692873298343</v>
      </c>
      <c r="AD243" s="16" t="n">
        <f aca="false">LOOKUP(N243,$E$23:$E$26,$A$23:$A$26)+LOOKUP(N243,$E$23:$E$26,$D$23:$D$26)*(N243-LOOKUP(N243,$E$23:$E$26))/LOOKUP(N243,$E$23:$E$26,$C$23:$C$26)</f>
        <v>4.79581640000411</v>
      </c>
      <c r="AE243" s="16" t="n">
        <f aca="false">LOOKUP(O243,$E$23:$E$26,$A$23:$A$26)+LOOKUP(O243,$E$23:$E$26,$D$23:$D$26)*(O243-LOOKUP(O243,$E$23:$E$26))/LOOKUP(O243,$E$23:$E$26,$C$23:$C$26)</f>
        <v>4.4568359216657</v>
      </c>
      <c r="AF243" s="16" t="n">
        <f aca="false">LOOKUP(P243,$E$23:$E$26,$A$23:$A$26)+LOOKUP(P243,$E$23:$E$26,$D$23:$D$26)*(P243-LOOKUP(P243,$E$23:$E$26))/LOOKUP(P243,$E$23:$E$26,$C$23:$C$26)</f>
        <v>4.27175668570244</v>
      </c>
      <c r="AG243" s="16" t="n">
        <f aca="false">LOOKUP(Q243,$E$23:$E$26,$A$23:$A$26)+LOOKUP(Q243,$E$23:$E$26,$D$23:$D$26)*(Q243-LOOKUP(Q243,$E$23:$E$26))/LOOKUP(Q243,$E$23:$E$26,$C$23:$C$26)</f>
        <v>4.67049009546917</v>
      </c>
      <c r="AH243" s="16" t="n">
        <f aca="false">LOOKUP(R243,$E$23:$E$26,$A$23:$A$26)+LOOKUP(R243,$E$23:$E$26,$D$23:$D$26)*(R243-LOOKUP(R243,$E$23:$E$26))/LOOKUP(R243,$E$23:$E$26,$C$23:$C$26)</f>
        <v>5.1288132901124</v>
      </c>
      <c r="AI243" s="16" t="n">
        <f aca="false">LOOKUP(S243,$E$23:$E$26,$A$23:$A$26)+LOOKUP(S243,$E$23:$E$26,$D$23:$D$26)*(S243-LOOKUP(S243,$E$23:$E$26))/LOOKUP(S243,$E$23:$E$26,$C$23:$C$26)</f>
        <v>4.65604955305393</v>
      </c>
      <c r="AJ243" s="16" t="n">
        <f aca="false">SUM($T243:T243)</f>
        <v>5.4195870774359</v>
      </c>
      <c r="AK243" s="16" t="n">
        <f aca="false">SUM($T243:U243)</f>
        <v>10.3144027983305</v>
      </c>
      <c r="AL243" s="16" t="n">
        <f aca="false">SUM($T243:V243)</f>
        <v>14.8600729523801</v>
      </c>
      <c r="AM243" s="16" t="n">
        <f aca="false">SUM($T243:W243)</f>
        <v>20.6188112692161</v>
      </c>
      <c r="AN243" s="16" t="n">
        <f aca="false">SUM($T243:X243)</f>
        <v>26.4527267124749</v>
      </c>
      <c r="AO243" s="16" t="n">
        <f aca="false">SUM($T243:Y243)</f>
        <v>32.1106734491757</v>
      </c>
      <c r="AP243" s="16" t="n">
        <f aca="false">SUM($T243:Z243)</f>
        <v>36.1862533006089</v>
      </c>
      <c r="AQ243" s="16" t="n">
        <f aca="false">SUM($T243:AA243)</f>
        <v>40.6266498226282</v>
      </c>
      <c r="AR243" s="16" t="n">
        <f aca="false">SUM($T243:AB243)</f>
        <v>45.9805308764299</v>
      </c>
      <c r="AS243" s="16" t="n">
        <f aca="false">SUM($T243:AC243)</f>
        <v>50.9574596094134</v>
      </c>
      <c r="AT243" s="16" t="n">
        <f aca="false">SUM($T243:AD243)</f>
        <v>55.7532760094175</v>
      </c>
      <c r="AU243" s="16" t="n">
        <f aca="false">SUM($T243:AE243)</f>
        <v>60.2101119310832</v>
      </c>
      <c r="AV243" s="16" t="n">
        <f aca="false">SUM($T243:AF243)</f>
        <v>64.4818686167856</v>
      </c>
      <c r="AW243" s="16" t="n">
        <f aca="false">SUM($T243:AG243)</f>
        <v>69.1523587122548</v>
      </c>
      <c r="AX243" s="16" t="n">
        <f aca="false">SUM($T243:AH243)</f>
        <v>74.2811720023672</v>
      </c>
      <c r="AY243" s="16" t="n">
        <f aca="false">SUM($T243:AI243)</f>
        <v>78.9372215554211</v>
      </c>
      <c r="AZ243" s="16" t="n">
        <f aca="false">MAX(C243-AJ243,0)</f>
        <v>55.9045988835689</v>
      </c>
      <c r="BA243" s="16" t="n">
        <f aca="false">MAX(C243-AK243,0)</f>
        <v>51.0097831626743</v>
      </c>
      <c r="BB243" s="16" t="n">
        <f aca="false">MAX(C243-AL243,0)</f>
        <v>46.4641130086248</v>
      </c>
      <c r="BC243" s="16" t="n">
        <f aca="false">MAX(C243-AM243,0)</f>
        <v>40.7053746917887</v>
      </c>
      <c r="BD243" s="16" t="n">
        <f aca="false">MAX(C243-AN243,0)</f>
        <v>34.87145924853</v>
      </c>
      <c r="BE243" s="16" t="n">
        <f aca="false">MAX(C243-AO243,0)</f>
        <v>29.2135125118292</v>
      </c>
      <c r="BF243" s="16" t="n">
        <f aca="false">MAX(C243-AP243,0)</f>
        <v>25.1379326603959</v>
      </c>
      <c r="BG243" s="16" t="n">
        <f aca="false">MAX(C243-AQ243,0)</f>
        <v>20.6975361383767</v>
      </c>
      <c r="BH243" s="16" t="n">
        <f aca="false">MAX(C243-AR243,0)</f>
        <v>15.3436550845749</v>
      </c>
      <c r="BI243" s="16" t="n">
        <f aca="false">MAX(C243-AS243,0)</f>
        <v>10.3667263515915</v>
      </c>
      <c r="BJ243" s="16" t="n">
        <f aca="false">MAX(C243-AT243,0)</f>
        <v>5.57090995158738</v>
      </c>
      <c r="BK243" s="16" t="n">
        <f aca="false">MAX(C243-AU243,0)</f>
        <v>1.11407402992167</v>
      </c>
      <c r="BL243" s="16" t="n">
        <f aca="false">MAX(C243-AV243,0)</f>
        <v>0</v>
      </c>
      <c r="BM243" s="16" t="n">
        <f aca="false">MAX(C243-AW243,0)</f>
        <v>0</v>
      </c>
      <c r="BN243" s="16" t="n">
        <f aca="false">MAX(C243-AX243,0)</f>
        <v>0</v>
      </c>
      <c r="BO243" s="16" t="n">
        <f aca="false">MAX(C243-AY243,0)</f>
        <v>0</v>
      </c>
    </row>
    <row r="244" customFormat="false" ht="15" hidden="false" customHeight="false" outlineLevel="0" collapsed="false">
      <c r="A244" s="3" t="n">
        <v>214</v>
      </c>
      <c r="B244" s="15" t="n">
        <f aca="true">RAND()</f>
        <v>0.061030911492043</v>
      </c>
      <c r="C244" s="16" t="n">
        <f aca="false">LOOKUP(B244,$E$12:$E$17,$A$12:$A$17)+LOOKUP(B244,$E$12:$E$17,$D$12:$D$17)*(B244-LOOKUP(B244,$E$12:$E$17))/LOOKUP(B244,$E$12:$E$17,$C$12:$C$17)</f>
        <v>53.0515455746021</v>
      </c>
      <c r="D244" s="15" t="n">
        <f aca="true">RAND()</f>
        <v>0.377681718450257</v>
      </c>
      <c r="E244" s="15" t="n">
        <f aca="true">RAND()</f>
        <v>0.121324882538499</v>
      </c>
      <c r="F244" s="15" t="n">
        <f aca="true">RAND()</f>
        <v>0.960230525433671</v>
      </c>
      <c r="G244" s="15" t="n">
        <f aca="true">RAND()</f>
        <v>0.288193191797681</v>
      </c>
      <c r="H244" s="15" t="n">
        <f aca="true">RAND()</f>
        <v>0.897273688632798</v>
      </c>
      <c r="I244" s="15" t="n">
        <f aca="true">RAND()</f>
        <v>0.289999946571957</v>
      </c>
      <c r="J244" s="15" t="n">
        <f aca="true">RAND()</f>
        <v>0.552981284677814</v>
      </c>
      <c r="K244" s="15" t="n">
        <f aca="true">RAND()</f>
        <v>0.426017080349393</v>
      </c>
      <c r="L244" s="15" t="n">
        <f aca="true">RAND()</f>
        <v>0.424654989039408</v>
      </c>
      <c r="M244" s="15" t="n">
        <f aca="true">RAND()</f>
        <v>0.102342385199609</v>
      </c>
      <c r="N244" s="15" t="n">
        <f aca="true">RAND()</f>
        <v>0.996075352625481</v>
      </c>
      <c r="O244" s="15" t="n">
        <f aca="true">RAND()</f>
        <v>0.0121421038044765</v>
      </c>
      <c r="P244" s="15" t="n">
        <f aca="true">RAND()</f>
        <v>0.207998011431154</v>
      </c>
      <c r="Q244" s="15" t="n">
        <f aca="true">RAND()</f>
        <v>0.127709940114331</v>
      </c>
      <c r="R244" s="15" t="n">
        <f aca="true">RAND()</f>
        <v>0.391691799404649</v>
      </c>
      <c r="S244" s="15" t="n">
        <f aca="true">RAND()</f>
        <v>0.00245361886401669</v>
      </c>
      <c r="T244" s="16" t="n">
        <f aca="false">LOOKUP(D244,$E$23:$E$26,$A$23:$A$26)+LOOKUP(D244,$E$23:$E$26,$D$23:$D$26)*(D244-LOOKUP(D244,$E$23:$E$26))/LOOKUP(D244,$E$23:$E$26,$C$23:$C$26)</f>
        <v>4.59710214806282</v>
      </c>
      <c r="U244" s="16" t="n">
        <f aca="false">LOOKUP(E244,$E$23:$E$26,$A$23:$A$26)+LOOKUP(E244,$E$23:$E$26,$D$23:$D$26)*(E244-LOOKUP(E244,$E$23:$E$26))/LOOKUP(E244,$E$23:$E$26,$C$23:$C$26)</f>
        <v>4.20220813756416</v>
      </c>
      <c r="V244" s="16" t="n">
        <f aca="false">LOOKUP(F244,$E$23:$E$26,$A$23:$A$26)+LOOKUP(F244,$E$23:$E$26,$D$23:$D$26)*(F244-LOOKUP(F244,$E$23:$E$26))/LOOKUP(F244,$E$23:$E$26,$C$23:$C$26)</f>
        <v>5.80115262716835</v>
      </c>
      <c r="W244" s="16" t="n">
        <f aca="false">LOOKUP(G244,$E$23:$E$26,$A$23:$A$26)+LOOKUP(G244,$E$23:$E$26,$D$23:$D$26)*(G244-LOOKUP(G244,$E$23:$E$26))/LOOKUP(G244,$E$23:$E$26,$C$23:$C$26)</f>
        <v>4.48032198632947</v>
      </c>
      <c r="X244" s="16" t="n">
        <f aca="false">LOOKUP(H244,$E$23:$E$26,$A$23:$A$26)+LOOKUP(H244,$E$23:$E$26,$D$23:$D$26)*(H244-LOOKUP(H244,$E$23:$E$26))/LOOKUP(H244,$E$23:$E$26,$C$23:$C$26)</f>
        <v>5.49318422158199</v>
      </c>
      <c r="Y244" s="16" t="n">
        <f aca="false">LOOKUP(I244,$E$23:$E$26,$A$23:$A$26)+LOOKUP(I244,$E$23:$E$26,$D$23:$D$26)*(I244-LOOKUP(I244,$E$23:$E$26))/LOOKUP(I244,$E$23:$E$26,$C$23:$C$26)</f>
        <v>4.4833332442866</v>
      </c>
      <c r="Z244" s="16" t="n">
        <f aca="false">LOOKUP(J244,$E$23:$E$26,$A$23:$A$26)+LOOKUP(J244,$E$23:$E$26,$D$23:$D$26)*(J244-LOOKUP(J244,$E$23:$E$26))/LOOKUP(J244,$E$23:$E$26,$C$23:$C$26)</f>
        <v>4.81622660584727</v>
      </c>
      <c r="AA244" s="16" t="n">
        <f aca="false">LOOKUP(K244,$E$23:$E$26,$A$23:$A$26)+LOOKUP(K244,$E$23:$E$26,$D$23:$D$26)*(K244-LOOKUP(K244,$E$23:$E$26))/LOOKUP(K244,$E$23:$E$26,$C$23:$C$26)</f>
        <v>4.65752135043674</v>
      </c>
      <c r="AB244" s="16" t="n">
        <f aca="false">LOOKUP(L244,$E$23:$E$26,$A$23:$A$26)+LOOKUP(L244,$E$23:$E$26,$D$23:$D$26)*(L244-LOOKUP(L244,$E$23:$E$26))/LOOKUP(L244,$E$23:$E$26,$C$23:$C$26)</f>
        <v>4.65581873629926</v>
      </c>
      <c r="AC244" s="16" t="n">
        <f aca="false">LOOKUP(M244,$E$23:$E$26,$A$23:$A$26)+LOOKUP(M244,$E$23:$E$26,$D$23:$D$26)*(M244-LOOKUP(M244,$E$23:$E$26))/LOOKUP(M244,$E$23:$E$26,$C$23:$C$26)</f>
        <v>4.17057064199935</v>
      </c>
      <c r="AD244" s="16" t="n">
        <f aca="false">LOOKUP(N244,$E$23:$E$26,$A$23:$A$26)+LOOKUP(N244,$E$23:$E$26,$D$23:$D$26)*(N244-LOOKUP(N244,$E$23:$E$26))/LOOKUP(N244,$E$23:$E$26,$C$23:$C$26)</f>
        <v>5.98037676312741</v>
      </c>
      <c r="AE244" s="16" t="n">
        <f aca="false">LOOKUP(O244,$E$23:$E$26,$A$23:$A$26)+LOOKUP(O244,$E$23:$E$26,$D$23:$D$26)*(O244-LOOKUP(O244,$E$23:$E$26))/LOOKUP(O244,$E$23:$E$26,$C$23:$C$26)</f>
        <v>4.02023683967413</v>
      </c>
      <c r="AF244" s="16" t="n">
        <f aca="false">LOOKUP(P244,$E$23:$E$26,$A$23:$A$26)+LOOKUP(P244,$E$23:$E$26,$D$23:$D$26)*(P244-LOOKUP(P244,$E$23:$E$26))/LOOKUP(P244,$E$23:$E$26,$C$23:$C$26)</f>
        <v>4.34666335238526</v>
      </c>
      <c r="AG244" s="16" t="n">
        <f aca="false">LOOKUP(Q244,$E$23:$E$26,$A$23:$A$26)+LOOKUP(Q244,$E$23:$E$26,$D$23:$D$26)*(Q244-LOOKUP(Q244,$E$23:$E$26))/LOOKUP(Q244,$E$23:$E$26,$C$23:$C$26)</f>
        <v>4.21284990019055</v>
      </c>
      <c r="AH244" s="16" t="n">
        <f aca="false">LOOKUP(R244,$E$23:$E$26,$A$23:$A$26)+LOOKUP(R244,$E$23:$E$26,$D$23:$D$26)*(R244-LOOKUP(R244,$E$23:$E$26))/LOOKUP(R244,$E$23:$E$26,$C$23:$C$26)</f>
        <v>4.61461474925581</v>
      </c>
      <c r="AI244" s="16" t="n">
        <f aca="false">LOOKUP(S244,$E$23:$E$26,$A$23:$A$26)+LOOKUP(S244,$E$23:$E$26,$D$23:$D$26)*(S244-LOOKUP(S244,$E$23:$E$26))/LOOKUP(S244,$E$23:$E$26,$C$23:$C$26)</f>
        <v>4.00408936477336</v>
      </c>
      <c r="AJ244" s="16" t="n">
        <f aca="false">SUM($T244:T244)</f>
        <v>4.59710214806282</v>
      </c>
      <c r="AK244" s="16" t="n">
        <f aca="false">SUM($T244:U244)</f>
        <v>8.79931028562699</v>
      </c>
      <c r="AL244" s="16" t="n">
        <f aca="false">SUM($T244:V244)</f>
        <v>14.6004629127953</v>
      </c>
      <c r="AM244" s="16" t="n">
        <f aca="false">SUM($T244:W244)</f>
        <v>19.0807848991248</v>
      </c>
      <c r="AN244" s="16" t="n">
        <f aca="false">SUM($T244:X244)</f>
        <v>24.5739691207068</v>
      </c>
      <c r="AO244" s="16" t="n">
        <f aca="false">SUM($T244:Y244)</f>
        <v>29.0573023649934</v>
      </c>
      <c r="AP244" s="16" t="n">
        <f aca="false">SUM($T244:Z244)</f>
        <v>33.8735289708407</v>
      </c>
      <c r="AQ244" s="16" t="n">
        <f aca="false">SUM($T244:AA244)</f>
        <v>38.5310503212774</v>
      </c>
      <c r="AR244" s="16" t="n">
        <f aca="false">SUM($T244:AB244)</f>
        <v>43.1868690575767</v>
      </c>
      <c r="AS244" s="16" t="n">
        <f aca="false">SUM($T244:AC244)</f>
        <v>47.357439699576</v>
      </c>
      <c r="AT244" s="16" t="n">
        <f aca="false">SUM($T244:AD244)</f>
        <v>53.3378164627034</v>
      </c>
      <c r="AU244" s="16" t="n">
        <f aca="false">SUM($T244:AE244)</f>
        <v>57.3580533023776</v>
      </c>
      <c r="AV244" s="16" t="n">
        <f aca="false">SUM($T244:AF244)</f>
        <v>61.7047166547628</v>
      </c>
      <c r="AW244" s="16" t="n">
        <f aca="false">SUM($T244:AG244)</f>
        <v>65.9175665549534</v>
      </c>
      <c r="AX244" s="16" t="n">
        <f aca="false">SUM($T244:AH244)</f>
        <v>70.5321813042092</v>
      </c>
      <c r="AY244" s="16" t="n">
        <f aca="false">SUM($T244:AI244)</f>
        <v>74.5362706689825</v>
      </c>
      <c r="AZ244" s="16" t="n">
        <f aca="false">MAX(C244-AJ244,0)</f>
        <v>48.4544434265393</v>
      </c>
      <c r="BA244" s="16" t="n">
        <f aca="false">MAX(C244-AK244,0)</f>
        <v>44.2522352889752</v>
      </c>
      <c r="BB244" s="16" t="n">
        <f aca="false">MAX(C244-AL244,0)</f>
        <v>38.4510826618068</v>
      </c>
      <c r="BC244" s="16" t="n">
        <f aca="false">MAX(C244-AM244,0)</f>
        <v>33.9707606754773</v>
      </c>
      <c r="BD244" s="16" t="n">
        <f aca="false">MAX(C244-AN244,0)</f>
        <v>28.4775764538953</v>
      </c>
      <c r="BE244" s="16" t="n">
        <f aca="false">MAX(C244-AO244,0)</f>
        <v>23.9942432096087</v>
      </c>
      <c r="BF244" s="16" t="n">
        <f aca="false">MAX(C244-AP244,0)</f>
        <v>19.1780166037615</v>
      </c>
      <c r="BG244" s="16" t="n">
        <f aca="false">MAX(C244-AQ244,0)</f>
        <v>14.5204952533247</v>
      </c>
      <c r="BH244" s="16" t="n">
        <f aca="false">MAX(C244-AR244,0)</f>
        <v>9.86467651702548</v>
      </c>
      <c r="BI244" s="16" t="n">
        <f aca="false">MAX(C244-AS244,0)</f>
        <v>5.69410587502613</v>
      </c>
      <c r="BJ244" s="16" t="n">
        <f aca="false">MAX(C244-AT244,0)</f>
        <v>0</v>
      </c>
      <c r="BK244" s="16" t="n">
        <f aca="false">MAX(C244-AU244,0)</f>
        <v>0</v>
      </c>
      <c r="BL244" s="16" t="n">
        <f aca="false">MAX(C244-AV244,0)</f>
        <v>0</v>
      </c>
      <c r="BM244" s="16" t="n">
        <f aca="false">MAX(C244-AW244,0)</f>
        <v>0</v>
      </c>
      <c r="BN244" s="16" t="n">
        <f aca="false">MAX(C244-AX244,0)</f>
        <v>0</v>
      </c>
      <c r="BO244" s="16" t="n">
        <f aca="false">MAX(C244-AY244,0)</f>
        <v>0</v>
      </c>
    </row>
    <row r="245" customFormat="false" ht="15" hidden="false" customHeight="false" outlineLevel="0" collapsed="false">
      <c r="A245" s="3" t="n">
        <v>215</v>
      </c>
      <c r="B245" s="15" t="n">
        <f aca="true">RAND()</f>
        <v>0.321246187874974</v>
      </c>
      <c r="C245" s="16" t="n">
        <f aca="false">LOOKUP(B245,$E$12:$E$17,$A$12:$A$17)+LOOKUP(B245,$E$12:$E$17,$D$12:$D$17)*(B245-LOOKUP(B245,$E$12:$E$17))/LOOKUP(B245,$E$12:$E$17,$C$12:$C$17)</f>
        <v>61.1874364645829</v>
      </c>
      <c r="D245" s="15" t="n">
        <f aca="true">RAND()</f>
        <v>0.370443508500103</v>
      </c>
      <c r="E245" s="15" t="n">
        <f aca="true">RAND()</f>
        <v>0.173590290972876</v>
      </c>
      <c r="F245" s="15" t="n">
        <f aca="true">RAND()</f>
        <v>0.702377162115208</v>
      </c>
      <c r="G245" s="15" t="n">
        <f aca="true">RAND()</f>
        <v>0.568631629680985</v>
      </c>
      <c r="H245" s="15" t="n">
        <f aca="true">RAND()</f>
        <v>0.852077460581922</v>
      </c>
      <c r="I245" s="15" t="n">
        <f aca="true">RAND()</f>
        <v>0.927163340824308</v>
      </c>
      <c r="J245" s="15" t="n">
        <f aca="true">RAND()</f>
        <v>0.957115139990932</v>
      </c>
      <c r="K245" s="15" t="n">
        <f aca="true">RAND()</f>
        <v>0.284253606651182</v>
      </c>
      <c r="L245" s="15" t="n">
        <f aca="true">RAND()</f>
        <v>0.0169322828977654</v>
      </c>
      <c r="M245" s="15" t="n">
        <f aca="true">RAND()</f>
        <v>0.314563027075599</v>
      </c>
      <c r="N245" s="15" t="n">
        <f aca="true">RAND()</f>
        <v>0.27347569151207</v>
      </c>
      <c r="O245" s="15" t="n">
        <f aca="true">RAND()</f>
        <v>0.410395833787109</v>
      </c>
      <c r="P245" s="15" t="n">
        <f aca="true">RAND()</f>
        <v>0.483611064529463</v>
      </c>
      <c r="Q245" s="15" t="n">
        <f aca="true">RAND()</f>
        <v>0.973436235964419</v>
      </c>
      <c r="R245" s="15" t="n">
        <f aca="true">RAND()</f>
        <v>0.401303703204104</v>
      </c>
      <c r="S245" s="15" t="n">
        <f aca="true">RAND()</f>
        <v>0.223668646804038</v>
      </c>
      <c r="T245" s="16" t="n">
        <f aca="false">LOOKUP(D245,$E$23:$E$26,$A$23:$A$26)+LOOKUP(D245,$E$23:$E$26,$D$23:$D$26)*(D245-LOOKUP(D245,$E$23:$E$26))/LOOKUP(D245,$E$23:$E$26,$C$23:$C$26)</f>
        <v>4.58805438562513</v>
      </c>
      <c r="U245" s="16" t="n">
        <f aca="false">LOOKUP(E245,$E$23:$E$26,$A$23:$A$26)+LOOKUP(E245,$E$23:$E$26,$D$23:$D$26)*(E245-LOOKUP(E245,$E$23:$E$26))/LOOKUP(E245,$E$23:$E$26,$C$23:$C$26)</f>
        <v>4.28931715162146</v>
      </c>
      <c r="V245" s="16" t="n">
        <f aca="false">LOOKUP(F245,$E$23:$E$26,$A$23:$A$26)+LOOKUP(F245,$E$23:$E$26,$D$23:$D$26)*(F245-LOOKUP(F245,$E$23:$E$26))/LOOKUP(F245,$E$23:$E$26,$C$23:$C$26)</f>
        <v>5.00594290528802</v>
      </c>
      <c r="W245" s="16" t="n">
        <f aca="false">LOOKUP(G245,$E$23:$E$26,$A$23:$A$26)+LOOKUP(G245,$E$23:$E$26,$D$23:$D$26)*(G245-LOOKUP(G245,$E$23:$E$26))/LOOKUP(G245,$E$23:$E$26,$C$23:$C$26)</f>
        <v>4.83578953710123</v>
      </c>
      <c r="X245" s="16" t="n">
        <f aca="false">LOOKUP(H245,$E$23:$E$26,$A$23:$A$26)+LOOKUP(H245,$E$23:$E$26,$D$23:$D$26)*(H245-LOOKUP(H245,$E$23:$E$26))/LOOKUP(H245,$E$23:$E$26,$C$23:$C$26)</f>
        <v>5.38019365145481</v>
      </c>
      <c r="Y245" s="16" t="n">
        <f aca="false">LOOKUP(I245,$E$23:$E$26,$A$23:$A$26)+LOOKUP(I245,$E$23:$E$26,$D$23:$D$26)*(I245-LOOKUP(I245,$E$23:$E$26))/LOOKUP(I245,$E$23:$E$26,$C$23:$C$26)</f>
        <v>5.63581670412154</v>
      </c>
      <c r="Z245" s="16" t="n">
        <f aca="false">LOOKUP(J245,$E$23:$E$26,$A$23:$A$26)+LOOKUP(J245,$E$23:$E$26,$D$23:$D$26)*(J245-LOOKUP(J245,$E$23:$E$26))/LOOKUP(J245,$E$23:$E$26,$C$23:$C$26)</f>
        <v>5.78557569995466</v>
      </c>
      <c r="AA245" s="16" t="n">
        <f aca="false">LOOKUP(K245,$E$23:$E$26,$A$23:$A$26)+LOOKUP(K245,$E$23:$E$26,$D$23:$D$26)*(K245-LOOKUP(K245,$E$23:$E$26))/LOOKUP(K245,$E$23:$E$26,$C$23:$C$26)</f>
        <v>4.4737560110853</v>
      </c>
      <c r="AB245" s="16" t="n">
        <f aca="false">LOOKUP(L245,$E$23:$E$26,$A$23:$A$26)+LOOKUP(L245,$E$23:$E$26,$D$23:$D$26)*(L245-LOOKUP(L245,$E$23:$E$26))/LOOKUP(L245,$E$23:$E$26,$C$23:$C$26)</f>
        <v>4.02822047149628</v>
      </c>
      <c r="AC245" s="16" t="n">
        <f aca="false">LOOKUP(M245,$E$23:$E$26,$A$23:$A$26)+LOOKUP(M245,$E$23:$E$26,$D$23:$D$26)*(M245-LOOKUP(M245,$E$23:$E$26))/LOOKUP(M245,$E$23:$E$26,$C$23:$C$26)</f>
        <v>4.5182037838445</v>
      </c>
      <c r="AD245" s="16" t="n">
        <f aca="false">LOOKUP(N245,$E$23:$E$26,$A$23:$A$26)+LOOKUP(N245,$E$23:$E$26,$D$23:$D$26)*(N245-LOOKUP(N245,$E$23:$E$26))/LOOKUP(N245,$E$23:$E$26,$C$23:$C$26)</f>
        <v>4.45579281918678</v>
      </c>
      <c r="AE245" s="16" t="n">
        <f aca="false">LOOKUP(O245,$E$23:$E$26,$A$23:$A$26)+LOOKUP(O245,$E$23:$E$26,$D$23:$D$26)*(O245-LOOKUP(O245,$E$23:$E$26))/LOOKUP(O245,$E$23:$E$26,$C$23:$C$26)</f>
        <v>4.63799479223389</v>
      </c>
      <c r="AF245" s="16" t="n">
        <f aca="false">LOOKUP(P245,$E$23:$E$26,$A$23:$A$26)+LOOKUP(P245,$E$23:$E$26,$D$23:$D$26)*(P245-LOOKUP(P245,$E$23:$E$26))/LOOKUP(P245,$E$23:$E$26,$C$23:$C$26)</f>
        <v>4.72951383066183</v>
      </c>
      <c r="AG245" s="16" t="n">
        <f aca="false">LOOKUP(Q245,$E$23:$E$26,$A$23:$A$26)+LOOKUP(Q245,$E$23:$E$26,$D$23:$D$26)*(Q245-LOOKUP(Q245,$E$23:$E$26))/LOOKUP(Q245,$E$23:$E$26,$C$23:$C$26)</f>
        <v>5.8671811798221</v>
      </c>
      <c r="AH245" s="16" t="n">
        <f aca="false">LOOKUP(R245,$E$23:$E$26,$A$23:$A$26)+LOOKUP(R245,$E$23:$E$26,$D$23:$D$26)*(R245-LOOKUP(R245,$E$23:$E$26))/LOOKUP(R245,$E$23:$E$26,$C$23:$C$26)</f>
        <v>4.62662962900513</v>
      </c>
      <c r="AI245" s="16" t="n">
        <f aca="false">LOOKUP(S245,$E$23:$E$26,$A$23:$A$26)+LOOKUP(S245,$E$23:$E$26,$D$23:$D$26)*(S245-LOOKUP(S245,$E$23:$E$26))/LOOKUP(S245,$E$23:$E$26,$C$23:$C$26)</f>
        <v>4.37278107800673</v>
      </c>
      <c r="AJ245" s="16" t="n">
        <f aca="false">SUM($T245:T245)</f>
        <v>4.58805438562513</v>
      </c>
      <c r="AK245" s="16" t="n">
        <f aca="false">SUM($T245:U245)</f>
        <v>8.87737153724659</v>
      </c>
      <c r="AL245" s="16" t="n">
        <f aca="false">SUM($T245:V245)</f>
        <v>13.8833144425346</v>
      </c>
      <c r="AM245" s="16" t="n">
        <f aca="false">SUM($T245:W245)</f>
        <v>18.7191039796358</v>
      </c>
      <c r="AN245" s="16" t="n">
        <f aca="false">SUM($T245:X245)</f>
        <v>24.0992976310906</v>
      </c>
      <c r="AO245" s="16" t="n">
        <f aca="false">SUM($T245:Y245)</f>
        <v>29.7351143352122</v>
      </c>
      <c r="AP245" s="16" t="n">
        <f aca="false">SUM($T245:Z245)</f>
        <v>35.5206900351668</v>
      </c>
      <c r="AQ245" s="16" t="n">
        <f aca="false">SUM($T245:AA245)</f>
        <v>39.9944460462522</v>
      </c>
      <c r="AR245" s="16" t="n">
        <f aca="false">SUM($T245:AB245)</f>
        <v>44.0226665177484</v>
      </c>
      <c r="AS245" s="16" t="n">
        <f aca="false">SUM($T245:AC245)</f>
        <v>48.5408703015929</v>
      </c>
      <c r="AT245" s="16" t="n">
        <f aca="false">SUM($T245:AD245)</f>
        <v>52.9966631207797</v>
      </c>
      <c r="AU245" s="16" t="n">
        <f aca="false">SUM($T245:AE245)</f>
        <v>57.6346579130136</v>
      </c>
      <c r="AV245" s="16" t="n">
        <f aca="false">SUM($T245:AF245)</f>
        <v>62.3641717436754</v>
      </c>
      <c r="AW245" s="16" t="n">
        <f aca="false">SUM($T245:AG245)</f>
        <v>68.2313529234975</v>
      </c>
      <c r="AX245" s="16" t="n">
        <f aca="false">SUM($T245:AH245)</f>
        <v>72.8579825525027</v>
      </c>
      <c r="AY245" s="16" t="n">
        <f aca="false">SUM($T245:AI245)</f>
        <v>77.2307636305094</v>
      </c>
      <c r="AZ245" s="16" t="n">
        <f aca="false">MAX(C245-AJ245,0)</f>
        <v>56.5993820789578</v>
      </c>
      <c r="BA245" s="16" t="n">
        <f aca="false">MAX(C245-AK245,0)</f>
        <v>52.3100649273363</v>
      </c>
      <c r="BB245" s="16" t="n">
        <f aca="false">MAX(C245-AL245,0)</f>
        <v>47.3041220220483</v>
      </c>
      <c r="BC245" s="16" t="n">
        <f aca="false">MAX(C245-AM245,0)</f>
        <v>42.4683324849471</v>
      </c>
      <c r="BD245" s="16" t="n">
        <f aca="false">MAX(C245-AN245,0)</f>
        <v>37.0881388334923</v>
      </c>
      <c r="BE245" s="16" t="n">
        <f aca="false">MAX(C245-AO245,0)</f>
        <v>31.4523221293707</v>
      </c>
      <c r="BF245" s="16" t="n">
        <f aca="false">MAX(C245-AP245,0)</f>
        <v>25.6667464294161</v>
      </c>
      <c r="BG245" s="16" t="n">
        <f aca="false">MAX(C245-AQ245,0)</f>
        <v>21.1929904183307</v>
      </c>
      <c r="BH245" s="16" t="n">
        <f aca="false">MAX(C245-AR245,0)</f>
        <v>17.1647699468345</v>
      </c>
      <c r="BI245" s="16" t="n">
        <f aca="false">MAX(C245-AS245,0)</f>
        <v>12.64656616299</v>
      </c>
      <c r="BJ245" s="16" t="n">
        <f aca="false">MAX(C245-AT245,0)</f>
        <v>8.19077334380319</v>
      </c>
      <c r="BK245" s="16" t="n">
        <f aca="false">MAX(C245-AU245,0)</f>
        <v>3.5527785515693</v>
      </c>
      <c r="BL245" s="16" t="n">
        <f aca="false">MAX(C245-AV245,0)</f>
        <v>0</v>
      </c>
      <c r="BM245" s="16" t="n">
        <f aca="false">MAX(C245-AW245,0)</f>
        <v>0</v>
      </c>
      <c r="BN245" s="16" t="n">
        <f aca="false">MAX(C245-AX245,0)</f>
        <v>0</v>
      </c>
      <c r="BO245" s="16" t="n">
        <f aca="false">MAX(C245-AY245,0)</f>
        <v>0</v>
      </c>
    </row>
    <row r="246" customFormat="false" ht="15" hidden="false" customHeight="false" outlineLevel="0" collapsed="false">
      <c r="A246" s="3" t="n">
        <v>216</v>
      </c>
      <c r="B246" s="15" t="n">
        <f aca="true">RAND()</f>
        <v>0.011413837876637</v>
      </c>
      <c r="C246" s="16" t="n">
        <f aca="false">LOOKUP(B246,$E$12:$E$17,$A$12:$A$17)+LOOKUP(B246,$E$12:$E$17,$D$12:$D$17)*(B246-LOOKUP(B246,$E$12:$E$17))/LOOKUP(B246,$E$12:$E$17,$C$12:$C$17)</f>
        <v>50.5706918938319</v>
      </c>
      <c r="D246" s="15" t="n">
        <f aca="true">RAND()</f>
        <v>0.929462561746255</v>
      </c>
      <c r="E246" s="15" t="n">
        <f aca="true">RAND()</f>
        <v>0.420516792184349</v>
      </c>
      <c r="F246" s="15" t="n">
        <f aca="true">RAND()</f>
        <v>0.606808368269271</v>
      </c>
      <c r="G246" s="15" t="n">
        <f aca="true">RAND()</f>
        <v>0.297847966584192</v>
      </c>
      <c r="H246" s="15" t="n">
        <f aca="true">RAND()</f>
        <v>0.845764759306307</v>
      </c>
      <c r="I246" s="15" t="n">
        <f aca="true">RAND()</f>
        <v>0.0752636769112048</v>
      </c>
      <c r="J246" s="15" t="n">
        <f aca="true">RAND()</f>
        <v>0.442375454456527</v>
      </c>
      <c r="K246" s="15" t="n">
        <f aca="true">RAND()</f>
        <v>0.5643152042237</v>
      </c>
      <c r="L246" s="15" t="n">
        <f aca="true">RAND()</f>
        <v>0.274168046094626</v>
      </c>
      <c r="M246" s="15" t="n">
        <f aca="true">RAND()</f>
        <v>0.527206947772254</v>
      </c>
      <c r="N246" s="15" t="n">
        <f aca="true">RAND()</f>
        <v>0.935631805964611</v>
      </c>
      <c r="O246" s="15" t="n">
        <f aca="true">RAND()</f>
        <v>0.932218984847976</v>
      </c>
      <c r="P246" s="15" t="n">
        <f aca="true">RAND()</f>
        <v>0.264831099987092</v>
      </c>
      <c r="Q246" s="15" t="n">
        <f aca="true">RAND()</f>
        <v>0.881807725682276</v>
      </c>
      <c r="R246" s="15" t="n">
        <f aca="true">RAND()</f>
        <v>0.994923164694595</v>
      </c>
      <c r="S246" s="15" t="n">
        <f aca="true">RAND()</f>
        <v>0.857282733591763</v>
      </c>
      <c r="T246" s="16" t="n">
        <f aca="false">LOOKUP(D246,$E$23:$E$26,$A$23:$A$26)+LOOKUP(D246,$E$23:$E$26,$D$23:$D$26)*(D246-LOOKUP(D246,$E$23:$E$26))/LOOKUP(D246,$E$23:$E$26,$C$23:$C$26)</f>
        <v>5.64731280873128</v>
      </c>
      <c r="U246" s="16" t="n">
        <f aca="false">LOOKUP(E246,$E$23:$E$26,$A$23:$A$26)+LOOKUP(E246,$E$23:$E$26,$D$23:$D$26)*(E246-LOOKUP(E246,$E$23:$E$26))/LOOKUP(E246,$E$23:$E$26,$C$23:$C$26)</f>
        <v>4.65064599023044</v>
      </c>
      <c r="V246" s="16" t="n">
        <f aca="false">LOOKUP(F246,$E$23:$E$26,$A$23:$A$26)+LOOKUP(F246,$E$23:$E$26,$D$23:$D$26)*(F246-LOOKUP(F246,$E$23:$E$26))/LOOKUP(F246,$E$23:$E$26,$C$23:$C$26)</f>
        <v>4.88351046033659</v>
      </c>
      <c r="W246" s="16" t="n">
        <f aca="false">LOOKUP(G246,$E$23:$E$26,$A$23:$A$26)+LOOKUP(G246,$E$23:$E$26,$D$23:$D$26)*(G246-LOOKUP(G246,$E$23:$E$26))/LOOKUP(G246,$E$23:$E$26,$C$23:$C$26)</f>
        <v>4.49641327764032</v>
      </c>
      <c r="X246" s="16" t="n">
        <f aca="false">LOOKUP(H246,$E$23:$E$26,$A$23:$A$26)+LOOKUP(H246,$E$23:$E$26,$D$23:$D$26)*(H246-LOOKUP(H246,$E$23:$E$26))/LOOKUP(H246,$E$23:$E$26,$C$23:$C$26)</f>
        <v>5.36441189826577</v>
      </c>
      <c r="Y246" s="16" t="n">
        <f aca="false">LOOKUP(I246,$E$23:$E$26,$A$23:$A$26)+LOOKUP(I246,$E$23:$E$26,$D$23:$D$26)*(I246-LOOKUP(I246,$E$23:$E$26))/LOOKUP(I246,$E$23:$E$26,$C$23:$C$26)</f>
        <v>4.12543946151868</v>
      </c>
      <c r="Z246" s="16" t="n">
        <f aca="false">LOOKUP(J246,$E$23:$E$26,$A$23:$A$26)+LOOKUP(J246,$E$23:$E$26,$D$23:$D$26)*(J246-LOOKUP(J246,$E$23:$E$26))/LOOKUP(J246,$E$23:$E$26,$C$23:$C$26)</f>
        <v>4.67796931807066</v>
      </c>
      <c r="AA246" s="16" t="n">
        <f aca="false">LOOKUP(K246,$E$23:$E$26,$A$23:$A$26)+LOOKUP(K246,$E$23:$E$26,$D$23:$D$26)*(K246-LOOKUP(K246,$E$23:$E$26))/LOOKUP(K246,$E$23:$E$26,$C$23:$C$26)</f>
        <v>4.83039400527963</v>
      </c>
      <c r="AB246" s="16" t="n">
        <f aca="false">LOOKUP(L246,$E$23:$E$26,$A$23:$A$26)+LOOKUP(L246,$E$23:$E$26,$D$23:$D$26)*(L246-LOOKUP(L246,$E$23:$E$26))/LOOKUP(L246,$E$23:$E$26,$C$23:$C$26)</f>
        <v>4.45694674349104</v>
      </c>
      <c r="AC246" s="16" t="n">
        <f aca="false">LOOKUP(M246,$E$23:$E$26,$A$23:$A$26)+LOOKUP(M246,$E$23:$E$26,$D$23:$D$26)*(M246-LOOKUP(M246,$E$23:$E$26))/LOOKUP(M246,$E$23:$E$26,$C$23:$C$26)</f>
        <v>4.78400868471532</v>
      </c>
      <c r="AD246" s="16" t="n">
        <f aca="false">LOOKUP(N246,$E$23:$E$26,$A$23:$A$26)+LOOKUP(N246,$E$23:$E$26,$D$23:$D$26)*(N246-LOOKUP(N246,$E$23:$E$26))/LOOKUP(N246,$E$23:$E$26,$C$23:$C$26)</f>
        <v>5.67815902982305</v>
      </c>
      <c r="AE246" s="16" t="n">
        <f aca="false">LOOKUP(O246,$E$23:$E$26,$A$23:$A$26)+LOOKUP(O246,$E$23:$E$26,$D$23:$D$26)*(O246-LOOKUP(O246,$E$23:$E$26))/LOOKUP(O246,$E$23:$E$26,$C$23:$C$26)</f>
        <v>5.66109492423988</v>
      </c>
      <c r="AF246" s="16" t="n">
        <f aca="false">LOOKUP(P246,$E$23:$E$26,$A$23:$A$26)+LOOKUP(P246,$E$23:$E$26,$D$23:$D$26)*(P246-LOOKUP(P246,$E$23:$E$26))/LOOKUP(P246,$E$23:$E$26,$C$23:$C$26)</f>
        <v>4.44138516664515</v>
      </c>
      <c r="AG246" s="16" t="n">
        <f aca="false">LOOKUP(Q246,$E$23:$E$26,$A$23:$A$26)+LOOKUP(Q246,$E$23:$E$26,$D$23:$D$26)*(Q246-LOOKUP(Q246,$E$23:$E$26))/LOOKUP(Q246,$E$23:$E$26,$C$23:$C$26)</f>
        <v>5.45451931420569</v>
      </c>
      <c r="AH246" s="16" t="n">
        <f aca="false">LOOKUP(R246,$E$23:$E$26,$A$23:$A$26)+LOOKUP(R246,$E$23:$E$26,$D$23:$D$26)*(R246-LOOKUP(R246,$E$23:$E$26))/LOOKUP(R246,$E$23:$E$26,$C$23:$C$26)</f>
        <v>5.97461582347298</v>
      </c>
      <c r="AI246" s="16" t="n">
        <f aca="false">LOOKUP(S246,$E$23:$E$26,$A$23:$A$26)+LOOKUP(S246,$E$23:$E$26,$D$23:$D$26)*(S246-LOOKUP(S246,$E$23:$E$26))/LOOKUP(S246,$E$23:$E$26,$C$23:$C$26)</f>
        <v>5.39320683397941</v>
      </c>
      <c r="AJ246" s="16" t="n">
        <f aca="false">SUM($T246:T246)</f>
        <v>5.64731280873128</v>
      </c>
      <c r="AK246" s="16" t="n">
        <f aca="false">SUM($T246:U246)</f>
        <v>10.2979587989617</v>
      </c>
      <c r="AL246" s="16" t="n">
        <f aca="false">SUM($T246:V246)</f>
        <v>15.1814692592983</v>
      </c>
      <c r="AM246" s="16" t="n">
        <f aca="false">SUM($T246:W246)</f>
        <v>19.6778825369386</v>
      </c>
      <c r="AN246" s="16" t="n">
        <f aca="false">SUM($T246:X246)</f>
        <v>25.0422944352044</v>
      </c>
      <c r="AO246" s="16" t="n">
        <f aca="false">SUM($T246:Y246)</f>
        <v>29.1677338967231</v>
      </c>
      <c r="AP246" s="16" t="n">
        <f aca="false">SUM($T246:Z246)</f>
        <v>33.8457032147937</v>
      </c>
      <c r="AQ246" s="16" t="n">
        <f aca="false">SUM($T246:AA246)</f>
        <v>38.6760972200733</v>
      </c>
      <c r="AR246" s="16" t="n">
        <f aca="false">SUM($T246:AB246)</f>
        <v>43.1330439635644</v>
      </c>
      <c r="AS246" s="16" t="n">
        <f aca="false">SUM($T246:AC246)</f>
        <v>47.9170526482797</v>
      </c>
      <c r="AT246" s="16" t="n">
        <f aca="false">SUM($T246:AD246)</f>
        <v>53.5952116781028</v>
      </c>
      <c r="AU246" s="16" t="n">
        <f aca="false">SUM($T246:AE246)</f>
        <v>59.2563066023427</v>
      </c>
      <c r="AV246" s="16" t="n">
        <f aca="false">SUM($T246:AF246)</f>
        <v>63.6976917689878</v>
      </c>
      <c r="AW246" s="16" t="n">
        <f aca="false">SUM($T246:AG246)</f>
        <v>69.1522110831935</v>
      </c>
      <c r="AX246" s="16" t="n">
        <f aca="false">SUM($T246:AH246)</f>
        <v>75.1268269066665</v>
      </c>
      <c r="AY246" s="16" t="n">
        <f aca="false">SUM($T246:AI246)</f>
        <v>80.5200337406459</v>
      </c>
      <c r="AZ246" s="16" t="n">
        <f aca="false">MAX(C246-AJ246,0)</f>
        <v>44.9233790851006</v>
      </c>
      <c r="BA246" s="16" t="n">
        <f aca="false">MAX(C246-AK246,0)</f>
        <v>40.2727330948701</v>
      </c>
      <c r="BB246" s="16" t="n">
        <f aca="false">MAX(C246-AL246,0)</f>
        <v>35.3892226345336</v>
      </c>
      <c r="BC246" s="16" t="n">
        <f aca="false">MAX(C246-AM246,0)</f>
        <v>30.8928093568932</v>
      </c>
      <c r="BD246" s="16" t="n">
        <f aca="false">MAX(C246-AN246,0)</f>
        <v>25.5283974586275</v>
      </c>
      <c r="BE246" s="16" t="n">
        <f aca="false">MAX(C246-AO246,0)</f>
        <v>21.4029579971088</v>
      </c>
      <c r="BF246" s="16" t="n">
        <f aca="false">MAX(C246-AP246,0)</f>
        <v>16.7249886790381</v>
      </c>
      <c r="BG246" s="16" t="n">
        <f aca="false">MAX(C246-AQ246,0)</f>
        <v>11.8945946737585</v>
      </c>
      <c r="BH246" s="16" t="n">
        <f aca="false">MAX(C246-AR246,0)</f>
        <v>7.43764793026746</v>
      </c>
      <c r="BI246" s="16" t="n">
        <f aca="false">MAX(C246-AS246,0)</f>
        <v>2.65363924555214</v>
      </c>
      <c r="BJ246" s="16" t="n">
        <f aca="false">MAX(C246-AT246,0)</f>
        <v>0</v>
      </c>
      <c r="BK246" s="16" t="n">
        <f aca="false">MAX(C246-AU246,0)</f>
        <v>0</v>
      </c>
      <c r="BL246" s="16" t="n">
        <f aca="false">MAX(C246-AV246,0)</f>
        <v>0</v>
      </c>
      <c r="BM246" s="16" t="n">
        <f aca="false">MAX(C246-AW246,0)</f>
        <v>0</v>
      </c>
      <c r="BN246" s="16" t="n">
        <f aca="false">MAX(C246-AX246,0)</f>
        <v>0</v>
      </c>
      <c r="BO246" s="16" t="n">
        <f aca="false">MAX(C246-AY246,0)</f>
        <v>0</v>
      </c>
    </row>
    <row r="247" customFormat="false" ht="15" hidden="false" customHeight="false" outlineLevel="0" collapsed="false">
      <c r="A247" s="3" t="n">
        <v>217</v>
      </c>
      <c r="B247" s="15" t="n">
        <f aca="true">RAND()</f>
        <v>0.588997566674014</v>
      </c>
      <c r="C247" s="16" t="n">
        <f aca="false">LOOKUP(B247,$E$12:$E$17,$A$12:$A$17)+LOOKUP(B247,$E$12:$E$17,$D$12:$D$17)*(B247-LOOKUP(B247,$E$12:$E$17))/LOOKUP(B247,$E$12:$E$17,$C$12:$C$17)</f>
        <v>65.5571080953431</v>
      </c>
      <c r="D247" s="15" t="n">
        <f aca="true">RAND()</f>
        <v>0.919198296353444</v>
      </c>
      <c r="E247" s="15" t="n">
        <f aca="true">RAND()</f>
        <v>0.513219329355399</v>
      </c>
      <c r="F247" s="15" t="n">
        <f aca="true">RAND()</f>
        <v>0.577621835802801</v>
      </c>
      <c r="G247" s="15" t="n">
        <f aca="true">RAND()</f>
        <v>0.0458451555589128</v>
      </c>
      <c r="H247" s="15" t="n">
        <f aca="true">RAND()</f>
        <v>0.218787689283313</v>
      </c>
      <c r="I247" s="15" t="n">
        <f aca="true">RAND()</f>
        <v>0.199396009844693</v>
      </c>
      <c r="J247" s="15" t="n">
        <f aca="true">RAND()</f>
        <v>0.882171675054336</v>
      </c>
      <c r="K247" s="15" t="n">
        <f aca="true">RAND()</f>
        <v>0.713412489426636</v>
      </c>
      <c r="L247" s="15" t="n">
        <f aca="true">RAND()</f>
        <v>0.786512425827408</v>
      </c>
      <c r="M247" s="15" t="n">
        <f aca="true">RAND()</f>
        <v>0.655196307596122</v>
      </c>
      <c r="N247" s="15" t="n">
        <f aca="true">RAND()</f>
        <v>0.159741285501851</v>
      </c>
      <c r="O247" s="15" t="n">
        <f aca="true">RAND()</f>
        <v>0.889377410408835</v>
      </c>
      <c r="P247" s="15" t="n">
        <f aca="true">RAND()</f>
        <v>0.948249041715211</v>
      </c>
      <c r="Q247" s="15" t="n">
        <f aca="true">RAND()</f>
        <v>0.100060756086756</v>
      </c>
      <c r="R247" s="15" t="n">
        <f aca="true">RAND()</f>
        <v>0.333967172736052</v>
      </c>
      <c r="S247" s="15" t="n">
        <f aca="true">RAND()</f>
        <v>0.423257268639421</v>
      </c>
      <c r="T247" s="16" t="n">
        <f aca="false">LOOKUP(D247,$E$23:$E$26,$A$23:$A$26)+LOOKUP(D247,$E$23:$E$26,$D$23:$D$26)*(D247-LOOKUP(D247,$E$23:$E$26))/LOOKUP(D247,$E$23:$E$26,$C$23:$C$26)</f>
        <v>5.59599148176722</v>
      </c>
      <c r="U247" s="16" t="n">
        <f aca="false">LOOKUP(E247,$E$23:$E$26,$A$23:$A$26)+LOOKUP(E247,$E$23:$E$26,$D$23:$D$26)*(E247-LOOKUP(E247,$E$23:$E$26))/LOOKUP(E247,$E$23:$E$26,$C$23:$C$26)</f>
        <v>4.76652416169425</v>
      </c>
      <c r="V247" s="16" t="n">
        <f aca="false">LOOKUP(F247,$E$23:$E$26,$A$23:$A$26)+LOOKUP(F247,$E$23:$E$26,$D$23:$D$26)*(F247-LOOKUP(F247,$E$23:$E$26))/LOOKUP(F247,$E$23:$E$26,$C$23:$C$26)</f>
        <v>4.8470272947535</v>
      </c>
      <c r="W247" s="16" t="n">
        <f aca="false">LOOKUP(G247,$E$23:$E$26,$A$23:$A$26)+LOOKUP(G247,$E$23:$E$26,$D$23:$D$26)*(G247-LOOKUP(G247,$E$23:$E$26))/LOOKUP(G247,$E$23:$E$26,$C$23:$C$26)</f>
        <v>4.07640859259819</v>
      </c>
      <c r="X247" s="16" t="n">
        <f aca="false">LOOKUP(H247,$E$23:$E$26,$A$23:$A$26)+LOOKUP(H247,$E$23:$E$26,$D$23:$D$26)*(H247-LOOKUP(H247,$E$23:$E$26))/LOOKUP(H247,$E$23:$E$26,$C$23:$C$26)</f>
        <v>4.36464614880552</v>
      </c>
      <c r="Y247" s="16" t="n">
        <f aca="false">LOOKUP(I247,$E$23:$E$26,$A$23:$A$26)+LOOKUP(I247,$E$23:$E$26,$D$23:$D$26)*(I247-LOOKUP(I247,$E$23:$E$26))/LOOKUP(I247,$E$23:$E$26,$C$23:$C$26)</f>
        <v>4.33232668307449</v>
      </c>
      <c r="Z247" s="16" t="n">
        <f aca="false">LOOKUP(J247,$E$23:$E$26,$A$23:$A$26)+LOOKUP(J247,$E$23:$E$26,$D$23:$D$26)*(J247-LOOKUP(J247,$E$23:$E$26))/LOOKUP(J247,$E$23:$E$26,$C$23:$C$26)</f>
        <v>5.45542918763584</v>
      </c>
      <c r="AA247" s="16" t="n">
        <f aca="false">LOOKUP(K247,$E$23:$E$26,$A$23:$A$26)+LOOKUP(K247,$E$23:$E$26,$D$23:$D$26)*(K247-LOOKUP(K247,$E$23:$E$26))/LOOKUP(K247,$E$23:$E$26,$C$23:$C$26)</f>
        <v>5.03353122356659</v>
      </c>
      <c r="AB247" s="16" t="n">
        <f aca="false">LOOKUP(L247,$E$23:$E$26,$A$23:$A$26)+LOOKUP(L247,$E$23:$E$26,$D$23:$D$26)*(L247-LOOKUP(L247,$E$23:$E$26))/LOOKUP(L247,$E$23:$E$26,$C$23:$C$26)</f>
        <v>5.21628106456852</v>
      </c>
      <c r="AC247" s="16" t="n">
        <f aca="false">LOOKUP(M247,$E$23:$E$26,$A$23:$A$26)+LOOKUP(M247,$E$23:$E$26,$D$23:$D$26)*(M247-LOOKUP(M247,$E$23:$E$26))/LOOKUP(M247,$E$23:$E$26,$C$23:$C$26)</f>
        <v>4.94399538449515</v>
      </c>
      <c r="AD247" s="16" t="n">
        <f aca="false">LOOKUP(N247,$E$23:$E$26,$A$23:$A$26)+LOOKUP(N247,$E$23:$E$26,$D$23:$D$26)*(N247-LOOKUP(N247,$E$23:$E$26))/LOOKUP(N247,$E$23:$E$26,$C$23:$C$26)</f>
        <v>4.26623547583642</v>
      </c>
      <c r="AE247" s="16" t="n">
        <f aca="false">LOOKUP(O247,$E$23:$E$26,$A$23:$A$26)+LOOKUP(O247,$E$23:$E$26,$D$23:$D$26)*(O247-LOOKUP(O247,$E$23:$E$26))/LOOKUP(O247,$E$23:$E$26,$C$23:$C$26)</f>
        <v>5.47344352602209</v>
      </c>
      <c r="AF247" s="16" t="n">
        <f aca="false">LOOKUP(P247,$E$23:$E$26,$A$23:$A$26)+LOOKUP(P247,$E$23:$E$26,$D$23:$D$26)*(P247-LOOKUP(P247,$E$23:$E$26))/LOOKUP(P247,$E$23:$E$26,$C$23:$C$26)</f>
        <v>5.74124520857605</v>
      </c>
      <c r="AG247" s="16" t="n">
        <f aca="false">LOOKUP(Q247,$E$23:$E$26,$A$23:$A$26)+LOOKUP(Q247,$E$23:$E$26,$D$23:$D$26)*(Q247-LOOKUP(Q247,$E$23:$E$26))/LOOKUP(Q247,$E$23:$E$26,$C$23:$C$26)</f>
        <v>4.16676792681126</v>
      </c>
      <c r="AH247" s="16" t="n">
        <f aca="false">LOOKUP(R247,$E$23:$E$26,$A$23:$A$26)+LOOKUP(R247,$E$23:$E$26,$D$23:$D$26)*(R247-LOOKUP(R247,$E$23:$E$26))/LOOKUP(R247,$E$23:$E$26,$C$23:$C$26)</f>
        <v>4.54245896592007</v>
      </c>
      <c r="AI247" s="16" t="n">
        <f aca="false">LOOKUP(S247,$E$23:$E$26,$A$23:$A$26)+LOOKUP(S247,$E$23:$E$26,$D$23:$D$26)*(S247-LOOKUP(S247,$E$23:$E$26))/LOOKUP(S247,$E$23:$E$26,$C$23:$C$26)</f>
        <v>4.65407158579928</v>
      </c>
      <c r="AJ247" s="16" t="n">
        <f aca="false">SUM($T247:T247)</f>
        <v>5.59599148176722</v>
      </c>
      <c r="AK247" s="16" t="n">
        <f aca="false">SUM($T247:U247)</f>
        <v>10.3625156434615</v>
      </c>
      <c r="AL247" s="16" t="n">
        <f aca="false">SUM($T247:V247)</f>
        <v>15.209542938215</v>
      </c>
      <c r="AM247" s="16" t="n">
        <f aca="false">SUM($T247:W247)</f>
        <v>19.2859515308132</v>
      </c>
      <c r="AN247" s="16" t="n">
        <f aca="false">SUM($T247:X247)</f>
        <v>23.6505976796187</v>
      </c>
      <c r="AO247" s="16" t="n">
        <f aca="false">SUM($T247:Y247)</f>
        <v>27.9829243626932</v>
      </c>
      <c r="AP247" s="16" t="n">
        <f aca="false">SUM($T247:Z247)</f>
        <v>33.438353550329</v>
      </c>
      <c r="AQ247" s="16" t="n">
        <f aca="false">SUM($T247:AA247)</f>
        <v>38.4718847738956</v>
      </c>
      <c r="AR247" s="16" t="n">
        <f aca="false">SUM($T247:AB247)</f>
        <v>43.6881658384641</v>
      </c>
      <c r="AS247" s="16" t="n">
        <f aca="false">SUM($T247:AC247)</f>
        <v>48.6321612229593</v>
      </c>
      <c r="AT247" s="16" t="n">
        <f aca="false">SUM($T247:AD247)</f>
        <v>52.8983966987957</v>
      </c>
      <c r="AU247" s="16" t="n">
        <f aca="false">SUM($T247:AE247)</f>
        <v>58.3718402248178</v>
      </c>
      <c r="AV247" s="16" t="n">
        <f aca="false">SUM($T247:AF247)</f>
        <v>64.1130854333938</v>
      </c>
      <c r="AW247" s="16" t="n">
        <f aca="false">SUM($T247:AG247)</f>
        <v>68.2798533602051</v>
      </c>
      <c r="AX247" s="16" t="n">
        <f aca="false">SUM($T247:AH247)</f>
        <v>72.8223123261252</v>
      </c>
      <c r="AY247" s="16" t="n">
        <f aca="false">SUM($T247:AI247)</f>
        <v>77.4763839119244</v>
      </c>
      <c r="AZ247" s="16" t="n">
        <f aca="false">MAX(C247-AJ247,0)</f>
        <v>59.9611166135758</v>
      </c>
      <c r="BA247" s="16" t="n">
        <f aca="false">MAX(C247-AK247,0)</f>
        <v>55.1945924518816</v>
      </c>
      <c r="BB247" s="16" t="n">
        <f aca="false">MAX(C247-AL247,0)</f>
        <v>50.3475651571281</v>
      </c>
      <c r="BC247" s="16" t="n">
        <f aca="false">MAX(C247-AM247,0)</f>
        <v>46.2711565645299</v>
      </c>
      <c r="BD247" s="16" t="n">
        <f aca="false">MAX(C247-AN247,0)</f>
        <v>41.9065104157244</v>
      </c>
      <c r="BE247" s="16" t="n">
        <f aca="false">MAX(C247-AO247,0)</f>
        <v>37.5741837326499</v>
      </c>
      <c r="BF247" s="16" t="n">
        <f aca="false">MAX(C247-AP247,0)</f>
        <v>32.118754545014</v>
      </c>
      <c r="BG247" s="16" t="n">
        <f aca="false">MAX(C247-AQ247,0)</f>
        <v>27.0852233214475</v>
      </c>
      <c r="BH247" s="16" t="n">
        <f aca="false">MAX(C247-AR247,0)</f>
        <v>21.8689422568789</v>
      </c>
      <c r="BI247" s="16" t="n">
        <f aca="false">MAX(C247-AS247,0)</f>
        <v>16.9249468723838</v>
      </c>
      <c r="BJ247" s="16" t="n">
        <f aca="false">MAX(C247-AT247,0)</f>
        <v>12.6587113965474</v>
      </c>
      <c r="BK247" s="16" t="n">
        <f aca="false">MAX(C247-AU247,0)</f>
        <v>7.18526787052527</v>
      </c>
      <c r="BL247" s="16" t="n">
        <f aca="false">MAX(C247-AV247,0)</f>
        <v>1.44402266194923</v>
      </c>
      <c r="BM247" s="16" t="n">
        <f aca="false">MAX(C247-AW247,0)</f>
        <v>0</v>
      </c>
      <c r="BN247" s="16" t="n">
        <f aca="false">MAX(C247-AX247,0)</f>
        <v>0</v>
      </c>
      <c r="BO247" s="16" t="n">
        <f aca="false">MAX(C247-AY247,0)</f>
        <v>0</v>
      </c>
    </row>
    <row r="248" customFormat="false" ht="15" hidden="false" customHeight="false" outlineLevel="0" collapsed="false">
      <c r="A248" s="3" t="n">
        <v>218</v>
      </c>
      <c r="B248" s="15" t="n">
        <f aca="true">RAND()</f>
        <v>0.825794791929538</v>
      </c>
      <c r="C248" s="16" t="n">
        <f aca="false">LOOKUP(B248,$E$12:$E$17,$A$12:$A$17)+LOOKUP(B248,$E$12:$E$17,$D$12:$D$17)*(B248-LOOKUP(B248,$E$12:$E$17))/LOOKUP(B248,$E$12:$E$17,$C$12:$C$17)</f>
        <v>68.9399255989934</v>
      </c>
      <c r="D248" s="15" t="n">
        <f aca="true">RAND()</f>
        <v>0.513701627645291</v>
      </c>
      <c r="E248" s="15" t="n">
        <f aca="true">RAND()</f>
        <v>0.0262528763519243</v>
      </c>
      <c r="F248" s="15" t="n">
        <f aca="true">RAND()</f>
        <v>0.835585638533588</v>
      </c>
      <c r="G248" s="15" t="n">
        <f aca="true">RAND()</f>
        <v>0.686492446526341</v>
      </c>
      <c r="H248" s="15" t="n">
        <f aca="true">RAND()</f>
        <v>0.86543945079388</v>
      </c>
      <c r="I248" s="15" t="n">
        <f aca="true">RAND()</f>
        <v>0.254291000325232</v>
      </c>
      <c r="J248" s="15" t="n">
        <f aca="true">RAND()</f>
        <v>0.093106869429493</v>
      </c>
      <c r="K248" s="15" t="n">
        <f aca="true">RAND()</f>
        <v>0.343248287329231</v>
      </c>
      <c r="L248" s="15" t="n">
        <f aca="true">RAND()</f>
        <v>0.46675088960409</v>
      </c>
      <c r="M248" s="15" t="n">
        <f aca="true">RAND()</f>
        <v>0.847204724006654</v>
      </c>
      <c r="N248" s="15" t="n">
        <f aca="true">RAND()</f>
        <v>0.604260686308417</v>
      </c>
      <c r="O248" s="15" t="n">
        <f aca="true">RAND()</f>
        <v>0.839333728408853</v>
      </c>
      <c r="P248" s="15" t="n">
        <f aca="true">RAND()</f>
        <v>0.332999862074363</v>
      </c>
      <c r="Q248" s="15" t="n">
        <f aca="true">RAND()</f>
        <v>0.53554208434284</v>
      </c>
      <c r="R248" s="15" t="n">
        <f aca="true">RAND()</f>
        <v>0.343194925503985</v>
      </c>
      <c r="S248" s="15" t="n">
        <f aca="true">RAND()</f>
        <v>0.290708190609284</v>
      </c>
      <c r="T248" s="16" t="n">
        <f aca="false">LOOKUP(D248,$E$23:$E$26,$A$23:$A$26)+LOOKUP(D248,$E$23:$E$26,$D$23:$D$26)*(D248-LOOKUP(D248,$E$23:$E$26))/LOOKUP(D248,$E$23:$E$26,$C$23:$C$26)</f>
        <v>4.76712703455661</v>
      </c>
      <c r="U248" s="16" t="n">
        <f aca="false">LOOKUP(E248,$E$23:$E$26,$A$23:$A$26)+LOOKUP(E248,$E$23:$E$26,$D$23:$D$26)*(E248-LOOKUP(E248,$E$23:$E$26))/LOOKUP(E248,$E$23:$E$26,$C$23:$C$26)</f>
        <v>4.04375479391987</v>
      </c>
      <c r="V248" s="16" t="n">
        <f aca="false">LOOKUP(F248,$E$23:$E$26,$A$23:$A$26)+LOOKUP(F248,$E$23:$E$26,$D$23:$D$26)*(F248-LOOKUP(F248,$E$23:$E$26))/LOOKUP(F248,$E$23:$E$26,$C$23:$C$26)</f>
        <v>5.33896409633397</v>
      </c>
      <c r="W248" s="16" t="n">
        <f aca="false">LOOKUP(G248,$E$23:$E$26,$A$23:$A$26)+LOOKUP(G248,$E$23:$E$26,$D$23:$D$26)*(G248-LOOKUP(G248,$E$23:$E$26))/LOOKUP(G248,$E$23:$E$26,$C$23:$C$26)</f>
        <v>4.98311555815793</v>
      </c>
      <c r="X248" s="16" t="n">
        <f aca="false">LOOKUP(H248,$E$23:$E$26,$A$23:$A$26)+LOOKUP(H248,$E$23:$E$26,$D$23:$D$26)*(H248-LOOKUP(H248,$E$23:$E$26))/LOOKUP(H248,$E$23:$E$26,$C$23:$C$26)</f>
        <v>5.4135986269847</v>
      </c>
      <c r="Y248" s="16" t="n">
        <f aca="false">LOOKUP(I248,$E$23:$E$26,$A$23:$A$26)+LOOKUP(I248,$E$23:$E$26,$D$23:$D$26)*(I248-LOOKUP(I248,$E$23:$E$26))/LOOKUP(I248,$E$23:$E$26,$C$23:$C$26)</f>
        <v>4.42381833387539</v>
      </c>
      <c r="Z248" s="16" t="n">
        <f aca="false">LOOKUP(J248,$E$23:$E$26,$A$23:$A$26)+LOOKUP(J248,$E$23:$E$26,$D$23:$D$26)*(J248-LOOKUP(J248,$E$23:$E$26))/LOOKUP(J248,$E$23:$E$26,$C$23:$C$26)</f>
        <v>4.15517811571582</v>
      </c>
      <c r="AA248" s="16" t="n">
        <f aca="false">LOOKUP(K248,$E$23:$E$26,$A$23:$A$26)+LOOKUP(K248,$E$23:$E$26,$D$23:$D$26)*(K248-LOOKUP(K248,$E$23:$E$26))/LOOKUP(K248,$E$23:$E$26,$C$23:$C$26)</f>
        <v>4.55406035916154</v>
      </c>
      <c r="AB248" s="16" t="n">
        <f aca="false">LOOKUP(L248,$E$23:$E$26,$A$23:$A$26)+LOOKUP(L248,$E$23:$E$26,$D$23:$D$26)*(L248-LOOKUP(L248,$E$23:$E$26))/LOOKUP(L248,$E$23:$E$26,$C$23:$C$26)</f>
        <v>4.70843861200511</v>
      </c>
      <c r="AC248" s="16" t="n">
        <f aca="false">LOOKUP(M248,$E$23:$E$26,$A$23:$A$26)+LOOKUP(M248,$E$23:$E$26,$D$23:$D$26)*(M248-LOOKUP(M248,$E$23:$E$26))/LOOKUP(M248,$E$23:$E$26,$C$23:$C$26)</f>
        <v>5.36801181001664</v>
      </c>
      <c r="AD248" s="16" t="n">
        <f aca="false">LOOKUP(N248,$E$23:$E$26,$A$23:$A$26)+LOOKUP(N248,$E$23:$E$26,$D$23:$D$26)*(N248-LOOKUP(N248,$E$23:$E$26))/LOOKUP(N248,$E$23:$E$26,$C$23:$C$26)</f>
        <v>4.88032585788552</v>
      </c>
      <c r="AE248" s="16" t="n">
        <f aca="false">LOOKUP(O248,$E$23:$E$26,$A$23:$A$26)+LOOKUP(O248,$E$23:$E$26,$D$23:$D$26)*(O248-LOOKUP(O248,$E$23:$E$26))/LOOKUP(O248,$E$23:$E$26,$C$23:$C$26)</f>
        <v>5.34833432102213</v>
      </c>
      <c r="AF248" s="16" t="n">
        <f aca="false">LOOKUP(P248,$E$23:$E$26,$A$23:$A$26)+LOOKUP(P248,$E$23:$E$26,$D$23:$D$26)*(P248-LOOKUP(P248,$E$23:$E$26))/LOOKUP(P248,$E$23:$E$26,$C$23:$C$26)</f>
        <v>4.54124982759295</v>
      </c>
      <c r="AG248" s="16" t="n">
        <f aca="false">LOOKUP(Q248,$E$23:$E$26,$A$23:$A$26)+LOOKUP(Q248,$E$23:$E$26,$D$23:$D$26)*(Q248-LOOKUP(Q248,$E$23:$E$26))/LOOKUP(Q248,$E$23:$E$26,$C$23:$C$26)</f>
        <v>4.79442760542855</v>
      </c>
      <c r="AH248" s="16" t="n">
        <f aca="false">LOOKUP(R248,$E$23:$E$26,$A$23:$A$26)+LOOKUP(R248,$E$23:$E$26,$D$23:$D$26)*(R248-LOOKUP(R248,$E$23:$E$26))/LOOKUP(R248,$E$23:$E$26,$C$23:$C$26)</f>
        <v>4.55399365687998</v>
      </c>
      <c r="AI248" s="16" t="n">
        <f aca="false">LOOKUP(S248,$E$23:$E$26,$A$23:$A$26)+LOOKUP(S248,$E$23:$E$26,$D$23:$D$26)*(S248-LOOKUP(S248,$E$23:$E$26))/LOOKUP(S248,$E$23:$E$26,$C$23:$C$26)</f>
        <v>4.48451365101547</v>
      </c>
      <c r="AJ248" s="16" t="n">
        <f aca="false">SUM($T248:T248)</f>
        <v>4.76712703455661</v>
      </c>
      <c r="AK248" s="16" t="n">
        <f aca="false">SUM($T248:U248)</f>
        <v>8.81088182847649</v>
      </c>
      <c r="AL248" s="16" t="n">
        <f aca="false">SUM($T248:V248)</f>
        <v>14.1498459248105</v>
      </c>
      <c r="AM248" s="16" t="n">
        <f aca="false">SUM($T248:W248)</f>
        <v>19.1329614829684</v>
      </c>
      <c r="AN248" s="16" t="n">
        <f aca="false">SUM($T248:X248)</f>
        <v>24.5465601099531</v>
      </c>
      <c r="AO248" s="16" t="n">
        <f aca="false">SUM($T248:Y248)</f>
        <v>28.9703784438285</v>
      </c>
      <c r="AP248" s="16" t="n">
        <f aca="false">SUM($T248:Z248)</f>
        <v>33.1255565595443</v>
      </c>
      <c r="AQ248" s="16" t="n">
        <f aca="false">SUM($T248:AA248)</f>
        <v>37.6796169187058</v>
      </c>
      <c r="AR248" s="16" t="n">
        <f aca="false">SUM($T248:AB248)</f>
        <v>42.3880555307109</v>
      </c>
      <c r="AS248" s="16" t="n">
        <f aca="false">SUM($T248:AC248)</f>
        <v>47.7560673407276</v>
      </c>
      <c r="AT248" s="16" t="n">
        <f aca="false">SUM($T248:AD248)</f>
        <v>52.6363931986131</v>
      </c>
      <c r="AU248" s="16" t="n">
        <f aca="false">SUM($T248:AE248)</f>
        <v>57.9847275196352</v>
      </c>
      <c r="AV248" s="16" t="n">
        <f aca="false">SUM($T248:AF248)</f>
        <v>62.5259773472282</v>
      </c>
      <c r="AW248" s="16" t="n">
        <f aca="false">SUM($T248:AG248)</f>
        <v>67.3204049526567</v>
      </c>
      <c r="AX248" s="16" t="n">
        <f aca="false">SUM($T248:AH248)</f>
        <v>71.8743986095367</v>
      </c>
      <c r="AY248" s="16" t="n">
        <f aca="false">SUM($T248:AI248)</f>
        <v>76.3589122605522</v>
      </c>
      <c r="AZ248" s="16" t="n">
        <f aca="false">MAX(C248-AJ248,0)</f>
        <v>64.1727985644368</v>
      </c>
      <c r="BA248" s="16" t="n">
        <f aca="false">MAX(C248-AK248,0)</f>
        <v>60.1290437705169</v>
      </c>
      <c r="BB248" s="16" t="n">
        <f aca="false">MAX(C248-AL248,0)</f>
        <v>54.7900796741829</v>
      </c>
      <c r="BC248" s="16" t="n">
        <f aca="false">MAX(C248-AM248,0)</f>
        <v>49.806964116025</v>
      </c>
      <c r="BD248" s="16" t="n">
        <f aca="false">MAX(C248-AN248,0)</f>
        <v>44.3933654890403</v>
      </c>
      <c r="BE248" s="16" t="n">
        <f aca="false">MAX(C248-AO248,0)</f>
        <v>39.9695471551649</v>
      </c>
      <c r="BF248" s="16" t="n">
        <f aca="false">MAX(C248-AP248,0)</f>
        <v>35.8143690394491</v>
      </c>
      <c r="BG248" s="16" t="n">
        <f aca="false">MAX(C248-AQ248,0)</f>
        <v>31.2603086802876</v>
      </c>
      <c r="BH248" s="16" t="n">
        <f aca="false">MAX(C248-AR248,0)</f>
        <v>26.5518700682825</v>
      </c>
      <c r="BI248" s="16" t="n">
        <f aca="false">MAX(C248-AS248,0)</f>
        <v>21.1838582582658</v>
      </c>
      <c r="BJ248" s="16" t="n">
        <f aca="false">MAX(C248-AT248,0)</f>
        <v>16.3035324003803</v>
      </c>
      <c r="BK248" s="16" t="n">
        <f aca="false">MAX(C248-AU248,0)</f>
        <v>10.9551980793582</v>
      </c>
      <c r="BL248" s="16" t="n">
        <f aca="false">MAX(C248-AV248,0)</f>
        <v>6.41394825176522</v>
      </c>
      <c r="BM248" s="16" t="n">
        <f aca="false">MAX(C248-AW248,0)</f>
        <v>1.61952064633667</v>
      </c>
      <c r="BN248" s="16" t="n">
        <f aca="false">MAX(C248-AX248,0)</f>
        <v>0</v>
      </c>
      <c r="BO248" s="16" t="n">
        <f aca="false">MAX(C248-AY248,0)</f>
        <v>0</v>
      </c>
    </row>
    <row r="249" customFormat="false" ht="15" hidden="false" customHeight="false" outlineLevel="0" collapsed="false">
      <c r="A249" s="3" t="n">
        <v>219</v>
      </c>
      <c r="B249" s="15" t="n">
        <f aca="true">RAND()</f>
        <v>0.999900001475882</v>
      </c>
      <c r="C249" s="16" t="n">
        <f aca="false">LOOKUP(B249,$E$12:$E$17,$A$12:$A$17)+LOOKUP(B249,$E$12:$E$17,$D$12:$D$17)*(B249-LOOKUP(B249,$E$12:$E$17))/LOOKUP(B249,$E$12:$E$17,$C$12:$C$17)</f>
        <v>84.9750003689705</v>
      </c>
      <c r="D249" s="15" t="n">
        <f aca="true">RAND()</f>
        <v>0.90276906348447</v>
      </c>
      <c r="E249" s="15" t="n">
        <f aca="true">RAND()</f>
        <v>0.381029476481138</v>
      </c>
      <c r="F249" s="15" t="n">
        <f aca="true">RAND()</f>
        <v>0.273233708817904</v>
      </c>
      <c r="G249" s="15" t="n">
        <f aca="true">RAND()</f>
        <v>0.648067105454614</v>
      </c>
      <c r="H249" s="15" t="n">
        <f aca="true">RAND()</f>
        <v>0.928553935571597</v>
      </c>
      <c r="I249" s="15" t="n">
        <f aca="true">RAND()</f>
        <v>0.747998146577957</v>
      </c>
      <c r="J249" s="15" t="n">
        <f aca="true">RAND()</f>
        <v>0.499535794103995</v>
      </c>
      <c r="K249" s="15" t="n">
        <f aca="true">RAND()</f>
        <v>0.28410021496843</v>
      </c>
      <c r="L249" s="15" t="n">
        <f aca="true">RAND()</f>
        <v>0.339582373026664</v>
      </c>
      <c r="M249" s="15" t="n">
        <f aca="true">RAND()</f>
        <v>0.603566061436311</v>
      </c>
      <c r="N249" s="15" t="n">
        <f aca="true">RAND()</f>
        <v>0.195114309585542</v>
      </c>
      <c r="O249" s="15" t="n">
        <f aca="true">RAND()</f>
        <v>0.303161392431426</v>
      </c>
      <c r="P249" s="15" t="n">
        <f aca="true">RAND()</f>
        <v>0.489530183264595</v>
      </c>
      <c r="Q249" s="15" t="n">
        <f aca="true">RAND()</f>
        <v>0.3887531221189</v>
      </c>
      <c r="R249" s="15" t="n">
        <f aca="true">RAND()</f>
        <v>0.332969213691392</v>
      </c>
      <c r="S249" s="15" t="n">
        <f aca="true">RAND()</f>
        <v>0.859038990647514</v>
      </c>
      <c r="T249" s="16" t="n">
        <f aca="false">LOOKUP(D249,$E$23:$E$26,$A$23:$A$26)+LOOKUP(D249,$E$23:$E$26,$D$23:$D$26)*(D249-LOOKUP(D249,$E$23:$E$26))/LOOKUP(D249,$E$23:$E$26,$C$23:$C$26)</f>
        <v>5.51384531742235</v>
      </c>
      <c r="U249" s="16" t="n">
        <f aca="false">LOOKUP(E249,$E$23:$E$26,$A$23:$A$26)+LOOKUP(E249,$E$23:$E$26,$D$23:$D$26)*(E249-LOOKUP(E249,$E$23:$E$26))/LOOKUP(E249,$E$23:$E$26,$C$23:$C$26)</f>
        <v>4.60128684560142</v>
      </c>
      <c r="V249" s="16" t="n">
        <f aca="false">LOOKUP(F249,$E$23:$E$26,$A$23:$A$26)+LOOKUP(F249,$E$23:$E$26,$D$23:$D$26)*(F249-LOOKUP(F249,$E$23:$E$26))/LOOKUP(F249,$E$23:$E$26,$C$23:$C$26)</f>
        <v>4.45538951469651</v>
      </c>
      <c r="W249" s="16" t="n">
        <f aca="false">LOOKUP(G249,$E$23:$E$26,$A$23:$A$26)+LOOKUP(G249,$E$23:$E$26,$D$23:$D$26)*(G249-LOOKUP(G249,$E$23:$E$26))/LOOKUP(G249,$E$23:$E$26,$C$23:$C$26)</f>
        <v>4.93508388181827</v>
      </c>
      <c r="X249" s="16" t="n">
        <f aca="false">LOOKUP(H249,$E$23:$E$26,$A$23:$A$26)+LOOKUP(H249,$E$23:$E$26,$D$23:$D$26)*(H249-LOOKUP(H249,$E$23:$E$26))/LOOKUP(H249,$E$23:$E$26,$C$23:$C$26)</f>
        <v>5.64276967785798</v>
      </c>
      <c r="Y249" s="16" t="n">
        <f aca="false">LOOKUP(I249,$E$23:$E$26,$A$23:$A$26)+LOOKUP(I249,$E$23:$E$26,$D$23:$D$26)*(I249-LOOKUP(I249,$E$23:$E$26))/LOOKUP(I249,$E$23:$E$26,$C$23:$C$26)</f>
        <v>5.11999536644489</v>
      </c>
      <c r="Z249" s="16" t="n">
        <f aca="false">LOOKUP(J249,$E$23:$E$26,$A$23:$A$26)+LOOKUP(J249,$E$23:$E$26,$D$23:$D$26)*(J249-LOOKUP(J249,$E$23:$E$26))/LOOKUP(J249,$E$23:$E$26,$C$23:$C$26)</f>
        <v>4.74941974262999</v>
      </c>
      <c r="AA249" s="16" t="n">
        <f aca="false">LOOKUP(K249,$E$23:$E$26,$A$23:$A$26)+LOOKUP(K249,$E$23:$E$26,$D$23:$D$26)*(K249-LOOKUP(K249,$E$23:$E$26))/LOOKUP(K249,$E$23:$E$26,$C$23:$C$26)</f>
        <v>4.47350035828072</v>
      </c>
      <c r="AB249" s="16" t="n">
        <f aca="false">LOOKUP(L249,$E$23:$E$26,$A$23:$A$26)+LOOKUP(L249,$E$23:$E$26,$D$23:$D$26)*(L249-LOOKUP(L249,$E$23:$E$26))/LOOKUP(L249,$E$23:$E$26,$C$23:$C$26)</f>
        <v>4.54947796628333</v>
      </c>
      <c r="AC249" s="16" t="n">
        <f aca="false">LOOKUP(M249,$E$23:$E$26,$A$23:$A$26)+LOOKUP(M249,$E$23:$E$26,$D$23:$D$26)*(M249-LOOKUP(M249,$E$23:$E$26))/LOOKUP(M249,$E$23:$E$26,$C$23:$C$26)</f>
        <v>4.87945757679539</v>
      </c>
      <c r="AD249" s="16" t="n">
        <f aca="false">LOOKUP(N249,$E$23:$E$26,$A$23:$A$26)+LOOKUP(N249,$E$23:$E$26,$D$23:$D$26)*(N249-LOOKUP(N249,$E$23:$E$26))/LOOKUP(N249,$E$23:$E$26,$C$23:$C$26)</f>
        <v>4.3251905159759</v>
      </c>
      <c r="AE249" s="16" t="n">
        <f aca="false">LOOKUP(O249,$E$23:$E$26,$A$23:$A$26)+LOOKUP(O249,$E$23:$E$26,$D$23:$D$26)*(O249-LOOKUP(O249,$E$23:$E$26))/LOOKUP(O249,$E$23:$E$26,$C$23:$C$26)</f>
        <v>4.50395174053928</v>
      </c>
      <c r="AF249" s="16" t="n">
        <f aca="false">LOOKUP(P249,$E$23:$E$26,$A$23:$A$26)+LOOKUP(P249,$E$23:$E$26,$D$23:$D$26)*(P249-LOOKUP(P249,$E$23:$E$26))/LOOKUP(P249,$E$23:$E$26,$C$23:$C$26)</f>
        <v>4.73691272908074</v>
      </c>
      <c r="AG249" s="16" t="n">
        <f aca="false">LOOKUP(Q249,$E$23:$E$26,$A$23:$A$26)+LOOKUP(Q249,$E$23:$E$26,$D$23:$D$26)*(Q249-LOOKUP(Q249,$E$23:$E$26))/LOOKUP(Q249,$E$23:$E$26,$C$23:$C$26)</f>
        <v>4.61094140264862</v>
      </c>
      <c r="AH249" s="16" t="n">
        <f aca="false">LOOKUP(R249,$E$23:$E$26,$A$23:$A$26)+LOOKUP(R249,$E$23:$E$26,$D$23:$D$26)*(R249-LOOKUP(R249,$E$23:$E$26))/LOOKUP(R249,$E$23:$E$26,$C$23:$C$26)</f>
        <v>4.54121151711424</v>
      </c>
      <c r="AI249" s="16" t="n">
        <f aca="false">LOOKUP(S249,$E$23:$E$26,$A$23:$A$26)+LOOKUP(S249,$E$23:$E$26,$D$23:$D$26)*(S249-LOOKUP(S249,$E$23:$E$26))/LOOKUP(S249,$E$23:$E$26,$C$23:$C$26)</f>
        <v>5.39759747661879</v>
      </c>
      <c r="AJ249" s="16" t="n">
        <f aca="false">SUM($T249:T249)</f>
        <v>5.51384531742235</v>
      </c>
      <c r="AK249" s="16" t="n">
        <f aca="false">SUM($T249:U249)</f>
        <v>10.1151321630238</v>
      </c>
      <c r="AL249" s="16" t="n">
        <f aca="false">SUM($T249:V249)</f>
        <v>14.5705216777203</v>
      </c>
      <c r="AM249" s="16" t="n">
        <f aca="false">SUM($T249:W249)</f>
        <v>19.5056055595385</v>
      </c>
      <c r="AN249" s="16" t="n">
        <f aca="false">SUM($T249:X249)</f>
        <v>25.1483752373965</v>
      </c>
      <c r="AO249" s="16" t="n">
        <f aca="false">SUM($T249:Y249)</f>
        <v>30.2683706038414</v>
      </c>
      <c r="AP249" s="16" t="n">
        <f aca="false">SUM($T249:Z249)</f>
        <v>35.0177903464714</v>
      </c>
      <c r="AQ249" s="16" t="n">
        <f aca="false">SUM($T249:AA249)</f>
        <v>39.4912907047521</v>
      </c>
      <c r="AR249" s="16" t="n">
        <f aca="false">SUM($T249:AB249)</f>
        <v>44.0407686710355</v>
      </c>
      <c r="AS249" s="16" t="n">
        <f aca="false">SUM($T249:AC249)</f>
        <v>48.9202262478309</v>
      </c>
      <c r="AT249" s="16" t="n">
        <f aca="false">SUM($T249:AD249)</f>
        <v>53.2454167638068</v>
      </c>
      <c r="AU249" s="16" t="n">
        <f aca="false">SUM($T249:AE249)</f>
        <v>57.749368504346</v>
      </c>
      <c r="AV249" s="16" t="n">
        <f aca="false">SUM($T249:AF249)</f>
        <v>62.4862812334268</v>
      </c>
      <c r="AW249" s="16" t="n">
        <f aca="false">SUM($T249:AG249)</f>
        <v>67.0972226360754</v>
      </c>
      <c r="AX249" s="16" t="n">
        <f aca="false">SUM($T249:AH249)</f>
        <v>71.6384341531896</v>
      </c>
      <c r="AY249" s="16" t="n">
        <f aca="false">SUM($T249:AI249)</f>
        <v>77.0360316298084</v>
      </c>
      <c r="AZ249" s="16" t="n">
        <f aca="false">MAX(C249-AJ249,0)</f>
        <v>79.4611550515482</v>
      </c>
      <c r="BA249" s="16" t="n">
        <f aca="false">MAX(C249-AK249,0)</f>
        <v>74.8598682059468</v>
      </c>
      <c r="BB249" s="16" t="n">
        <f aca="false">MAX(C249-AL249,0)</f>
        <v>70.4044786912503</v>
      </c>
      <c r="BC249" s="16" t="n">
        <f aca="false">MAX(C249-AM249,0)</f>
        <v>65.469394809432</v>
      </c>
      <c r="BD249" s="16" t="n">
        <f aca="false">MAX(C249-AN249,0)</f>
        <v>59.826625131574</v>
      </c>
      <c r="BE249" s="16" t="n">
        <f aca="false">MAX(C249-AO249,0)</f>
        <v>54.7066297651291</v>
      </c>
      <c r="BF249" s="16" t="n">
        <f aca="false">MAX(C249-AP249,0)</f>
        <v>49.9572100224991</v>
      </c>
      <c r="BG249" s="16" t="n">
        <f aca="false">MAX(C249-AQ249,0)</f>
        <v>45.4837096642184</v>
      </c>
      <c r="BH249" s="16" t="n">
        <f aca="false">MAX(C249-AR249,0)</f>
        <v>40.9342316979351</v>
      </c>
      <c r="BI249" s="16" t="n">
        <f aca="false">MAX(C249-AS249,0)</f>
        <v>36.0547741211397</v>
      </c>
      <c r="BJ249" s="16" t="n">
        <f aca="false">MAX(C249-AT249,0)</f>
        <v>31.7295836051638</v>
      </c>
      <c r="BK249" s="16" t="n">
        <f aca="false">MAX(C249-AU249,0)</f>
        <v>27.2256318646245</v>
      </c>
      <c r="BL249" s="16" t="n">
        <f aca="false">MAX(C249-AV249,0)</f>
        <v>22.4887191355437</v>
      </c>
      <c r="BM249" s="16" t="n">
        <f aca="false">MAX(C249-AW249,0)</f>
        <v>17.8777777328951</v>
      </c>
      <c r="BN249" s="16" t="n">
        <f aca="false">MAX(C249-AX249,0)</f>
        <v>13.3365662157809</v>
      </c>
      <c r="BO249" s="16" t="n">
        <f aca="false">MAX(C249-AY249,0)</f>
        <v>7.93896873916209</v>
      </c>
    </row>
    <row r="250" customFormat="false" ht="15" hidden="false" customHeight="false" outlineLevel="0" collapsed="false">
      <c r="A250" s="3" t="n">
        <v>220</v>
      </c>
      <c r="B250" s="15" t="n">
        <f aca="true">RAND()</f>
        <v>0.871388931140315</v>
      </c>
      <c r="C250" s="16" t="n">
        <f aca="false">LOOKUP(B250,$E$12:$E$17,$A$12:$A$17)+LOOKUP(B250,$E$12:$E$17,$D$12:$D$17)*(B250-LOOKUP(B250,$E$12:$E$17))/LOOKUP(B250,$E$12:$E$17,$C$12:$C$17)</f>
        <v>69.5912704448616</v>
      </c>
      <c r="D250" s="15" t="n">
        <f aca="true">RAND()</f>
        <v>0.959718699383227</v>
      </c>
      <c r="E250" s="15" t="n">
        <f aca="true">RAND()</f>
        <v>0.683609156819299</v>
      </c>
      <c r="F250" s="15" t="n">
        <f aca="true">RAND()</f>
        <v>0.0531419596529271</v>
      </c>
      <c r="G250" s="15" t="n">
        <f aca="true">RAND()</f>
        <v>0.945013066343516</v>
      </c>
      <c r="H250" s="15" t="n">
        <f aca="true">RAND()</f>
        <v>0.565635287662771</v>
      </c>
      <c r="I250" s="15" t="n">
        <f aca="true">RAND()</f>
        <v>0.0745951968516725</v>
      </c>
      <c r="J250" s="15" t="n">
        <f aca="true">RAND()</f>
        <v>0.611901957452213</v>
      </c>
      <c r="K250" s="15" t="n">
        <f aca="true">RAND()</f>
        <v>0.197540374002467</v>
      </c>
      <c r="L250" s="15" t="n">
        <f aca="true">RAND()</f>
        <v>0.904997388235104</v>
      </c>
      <c r="M250" s="15" t="n">
        <f aca="true">RAND()</f>
        <v>0.989949260562971</v>
      </c>
      <c r="N250" s="15" t="n">
        <f aca="true">RAND()</f>
        <v>0.165457718520932</v>
      </c>
      <c r="O250" s="15" t="n">
        <f aca="true">RAND()</f>
        <v>0.28280192252397</v>
      </c>
      <c r="P250" s="15" t="n">
        <f aca="true">RAND()</f>
        <v>0.620529773028938</v>
      </c>
      <c r="Q250" s="15" t="n">
        <f aca="true">RAND()</f>
        <v>0.545134392769062</v>
      </c>
      <c r="R250" s="15" t="n">
        <f aca="true">RAND()</f>
        <v>0.908256494302841</v>
      </c>
      <c r="S250" s="15" t="n">
        <f aca="true">RAND()</f>
        <v>0.968548063999982</v>
      </c>
      <c r="T250" s="16" t="n">
        <f aca="false">LOOKUP(D250,$E$23:$E$26,$A$23:$A$26)+LOOKUP(D250,$E$23:$E$26,$D$23:$D$26)*(D250-LOOKUP(D250,$E$23:$E$26))/LOOKUP(D250,$E$23:$E$26,$C$23:$C$26)</f>
        <v>5.79859349691613</v>
      </c>
      <c r="U250" s="16" t="n">
        <f aca="false">LOOKUP(E250,$E$23:$E$26,$A$23:$A$26)+LOOKUP(E250,$E$23:$E$26,$D$23:$D$26)*(E250-LOOKUP(E250,$E$23:$E$26))/LOOKUP(E250,$E$23:$E$26,$C$23:$C$26)</f>
        <v>4.97951144602412</v>
      </c>
      <c r="V250" s="16" t="n">
        <f aca="false">LOOKUP(F250,$E$23:$E$26,$A$23:$A$26)+LOOKUP(F250,$E$23:$E$26,$D$23:$D$26)*(F250-LOOKUP(F250,$E$23:$E$26))/LOOKUP(F250,$E$23:$E$26,$C$23:$C$26)</f>
        <v>4.08856993275488</v>
      </c>
      <c r="W250" s="16" t="n">
        <f aca="false">LOOKUP(G250,$E$23:$E$26,$A$23:$A$26)+LOOKUP(G250,$E$23:$E$26,$D$23:$D$26)*(G250-LOOKUP(G250,$E$23:$E$26))/LOOKUP(G250,$E$23:$E$26,$C$23:$C$26)</f>
        <v>5.72506533171758</v>
      </c>
      <c r="X250" s="16" t="n">
        <f aca="false">LOOKUP(H250,$E$23:$E$26,$A$23:$A$26)+LOOKUP(H250,$E$23:$E$26,$D$23:$D$26)*(H250-LOOKUP(H250,$E$23:$E$26))/LOOKUP(H250,$E$23:$E$26,$C$23:$C$26)</f>
        <v>4.83204410957846</v>
      </c>
      <c r="Y250" s="16" t="n">
        <f aca="false">LOOKUP(I250,$E$23:$E$26,$A$23:$A$26)+LOOKUP(I250,$E$23:$E$26,$D$23:$D$26)*(I250-LOOKUP(I250,$E$23:$E$26))/LOOKUP(I250,$E$23:$E$26,$C$23:$C$26)</f>
        <v>4.12432532808612</v>
      </c>
      <c r="Z250" s="16" t="n">
        <f aca="false">LOOKUP(J250,$E$23:$E$26,$A$23:$A$26)+LOOKUP(J250,$E$23:$E$26,$D$23:$D$26)*(J250-LOOKUP(J250,$E$23:$E$26))/LOOKUP(J250,$E$23:$E$26,$C$23:$C$26)</f>
        <v>4.88987744681527</v>
      </c>
      <c r="AA250" s="16" t="n">
        <f aca="false">LOOKUP(K250,$E$23:$E$26,$A$23:$A$26)+LOOKUP(K250,$E$23:$E$26,$D$23:$D$26)*(K250-LOOKUP(K250,$E$23:$E$26))/LOOKUP(K250,$E$23:$E$26,$C$23:$C$26)</f>
        <v>4.32923395667078</v>
      </c>
      <c r="AB250" s="16" t="n">
        <f aca="false">LOOKUP(L250,$E$23:$E$26,$A$23:$A$26)+LOOKUP(L250,$E$23:$E$26,$D$23:$D$26)*(L250-LOOKUP(L250,$E$23:$E$26))/LOOKUP(L250,$E$23:$E$26,$C$23:$C$26)</f>
        <v>5.52498694117552</v>
      </c>
      <c r="AC250" s="16" t="n">
        <f aca="false">LOOKUP(M250,$E$23:$E$26,$A$23:$A$26)+LOOKUP(M250,$E$23:$E$26,$D$23:$D$26)*(M250-LOOKUP(M250,$E$23:$E$26))/LOOKUP(M250,$E$23:$E$26,$C$23:$C$26)</f>
        <v>5.94974630281486</v>
      </c>
      <c r="AD250" s="16" t="n">
        <f aca="false">LOOKUP(N250,$E$23:$E$26,$A$23:$A$26)+LOOKUP(N250,$E$23:$E$26,$D$23:$D$26)*(N250-LOOKUP(N250,$E$23:$E$26))/LOOKUP(N250,$E$23:$E$26,$C$23:$C$26)</f>
        <v>4.27576286420155</v>
      </c>
      <c r="AE250" s="16" t="n">
        <f aca="false">LOOKUP(O250,$E$23:$E$26,$A$23:$A$26)+LOOKUP(O250,$E$23:$E$26,$D$23:$D$26)*(O250-LOOKUP(O250,$E$23:$E$26))/LOOKUP(O250,$E$23:$E$26,$C$23:$C$26)</f>
        <v>4.47133653753995</v>
      </c>
      <c r="AF250" s="16" t="n">
        <f aca="false">LOOKUP(P250,$E$23:$E$26,$A$23:$A$26)+LOOKUP(P250,$E$23:$E$26,$D$23:$D$26)*(P250-LOOKUP(P250,$E$23:$E$26))/LOOKUP(P250,$E$23:$E$26,$C$23:$C$26)</f>
        <v>4.90066221628617</v>
      </c>
      <c r="AG250" s="16" t="n">
        <f aca="false">LOOKUP(Q250,$E$23:$E$26,$A$23:$A$26)+LOOKUP(Q250,$E$23:$E$26,$D$23:$D$26)*(Q250-LOOKUP(Q250,$E$23:$E$26))/LOOKUP(Q250,$E$23:$E$26,$C$23:$C$26)</f>
        <v>4.80641799096133</v>
      </c>
      <c r="AH250" s="16" t="n">
        <f aca="false">LOOKUP(R250,$E$23:$E$26,$A$23:$A$26)+LOOKUP(R250,$E$23:$E$26,$D$23:$D$26)*(R250-LOOKUP(R250,$E$23:$E$26))/LOOKUP(R250,$E$23:$E$26,$C$23:$C$26)</f>
        <v>5.5412824715142</v>
      </c>
      <c r="AI250" s="16" t="n">
        <f aca="false">LOOKUP(S250,$E$23:$E$26,$A$23:$A$26)+LOOKUP(S250,$E$23:$E$26,$D$23:$D$26)*(S250-LOOKUP(S250,$E$23:$E$26))/LOOKUP(S250,$E$23:$E$26,$C$23:$C$26)</f>
        <v>5.84274031999991</v>
      </c>
      <c r="AJ250" s="16" t="n">
        <f aca="false">SUM($T250:T250)</f>
        <v>5.79859349691613</v>
      </c>
      <c r="AK250" s="16" t="n">
        <f aca="false">SUM($T250:U250)</f>
        <v>10.7781049429403</v>
      </c>
      <c r="AL250" s="16" t="n">
        <f aca="false">SUM($T250:V250)</f>
        <v>14.8666748756951</v>
      </c>
      <c r="AM250" s="16" t="n">
        <f aca="false">SUM($T250:W250)</f>
        <v>20.5917402074127</v>
      </c>
      <c r="AN250" s="16" t="n">
        <f aca="false">SUM($T250:X250)</f>
        <v>25.4237843169912</v>
      </c>
      <c r="AO250" s="16" t="n">
        <f aca="false">SUM($T250:Y250)</f>
        <v>29.5481096450773</v>
      </c>
      <c r="AP250" s="16" t="n">
        <f aca="false">SUM($T250:Z250)</f>
        <v>34.4379870918926</v>
      </c>
      <c r="AQ250" s="16" t="n">
        <f aca="false">SUM($T250:AA250)</f>
        <v>38.7672210485633</v>
      </c>
      <c r="AR250" s="16" t="n">
        <f aca="false">SUM($T250:AB250)</f>
        <v>44.2922079897389</v>
      </c>
      <c r="AS250" s="16" t="n">
        <f aca="false">SUM($T250:AC250)</f>
        <v>50.2419542925537</v>
      </c>
      <c r="AT250" s="16" t="n">
        <f aca="false">SUM($T250:AD250)</f>
        <v>54.5177171567553</v>
      </c>
      <c r="AU250" s="16" t="n">
        <f aca="false">SUM($T250:AE250)</f>
        <v>58.9890536942952</v>
      </c>
      <c r="AV250" s="16" t="n">
        <f aca="false">SUM($T250:AF250)</f>
        <v>63.8897159105814</v>
      </c>
      <c r="AW250" s="16" t="n">
        <f aca="false">SUM($T250:AG250)</f>
        <v>68.6961339015427</v>
      </c>
      <c r="AX250" s="16" t="n">
        <f aca="false">SUM($T250:AH250)</f>
        <v>74.2374163730569</v>
      </c>
      <c r="AY250" s="16" t="n">
        <f aca="false">SUM($T250:AI250)</f>
        <v>80.0801566930568</v>
      </c>
      <c r="AZ250" s="16" t="n">
        <f aca="false">MAX(C250-AJ250,0)</f>
        <v>63.7926769479455</v>
      </c>
      <c r="BA250" s="16" t="n">
        <f aca="false">MAX(C250-AK250,0)</f>
        <v>58.8131655019214</v>
      </c>
      <c r="BB250" s="16" t="n">
        <f aca="false">MAX(C250-AL250,0)</f>
        <v>54.7245955691665</v>
      </c>
      <c r="BC250" s="16" t="n">
        <f aca="false">MAX(C250-AM250,0)</f>
        <v>48.9995302374489</v>
      </c>
      <c r="BD250" s="16" t="n">
        <f aca="false">MAX(C250-AN250,0)</f>
        <v>44.1674861278705</v>
      </c>
      <c r="BE250" s="16" t="n">
        <f aca="false">MAX(C250-AO250,0)</f>
        <v>40.0431607997843</v>
      </c>
      <c r="BF250" s="16" t="n">
        <f aca="false">MAX(C250-AP250,0)</f>
        <v>35.1532833529691</v>
      </c>
      <c r="BG250" s="16" t="n">
        <f aca="false">MAX(C250-AQ250,0)</f>
        <v>30.8240493962983</v>
      </c>
      <c r="BH250" s="16" t="n">
        <f aca="false">MAX(C250-AR250,0)</f>
        <v>25.2990624551228</v>
      </c>
      <c r="BI250" s="16" t="n">
        <f aca="false">MAX(C250-AS250,0)</f>
        <v>19.3493161523079</v>
      </c>
      <c r="BJ250" s="16" t="n">
        <f aca="false">MAX(C250-AT250,0)</f>
        <v>15.0735532881064</v>
      </c>
      <c r="BK250" s="16" t="n">
        <f aca="false">MAX(C250-AU250,0)</f>
        <v>10.6022167505664</v>
      </c>
      <c r="BL250" s="16" t="n">
        <f aca="false">MAX(C250-AV250,0)</f>
        <v>5.70155453428023</v>
      </c>
      <c r="BM250" s="16" t="n">
        <f aca="false">MAX(C250-AW250,0)</f>
        <v>0.895136543318913</v>
      </c>
      <c r="BN250" s="16" t="n">
        <f aca="false">MAX(C250-AX250,0)</f>
        <v>0</v>
      </c>
      <c r="BO250" s="16" t="n">
        <f aca="false">MAX(C250-AY250,0)</f>
        <v>0</v>
      </c>
    </row>
    <row r="251" customFormat="false" ht="15" hidden="false" customHeight="false" outlineLevel="0" collapsed="false">
      <c r="A251" s="3" t="n">
        <v>221</v>
      </c>
      <c r="B251" s="15" t="n">
        <f aca="true">RAND()</f>
        <v>0.750699462192582</v>
      </c>
      <c r="C251" s="16" t="n">
        <f aca="false">LOOKUP(B251,$E$12:$E$17,$A$12:$A$17)+LOOKUP(B251,$E$12:$E$17,$D$12:$D$17)*(B251-LOOKUP(B251,$E$12:$E$17))/LOOKUP(B251,$E$12:$E$17,$C$12:$C$17)</f>
        <v>67.8671351741797</v>
      </c>
      <c r="D251" s="15" t="n">
        <f aca="true">RAND()</f>
        <v>0.400209869859491</v>
      </c>
      <c r="E251" s="15" t="n">
        <f aca="true">RAND()</f>
        <v>0.225502146150569</v>
      </c>
      <c r="F251" s="15" t="n">
        <f aca="true">RAND()</f>
        <v>0.213000686550298</v>
      </c>
      <c r="G251" s="15" t="n">
        <f aca="true">RAND()</f>
        <v>0.399310114838962</v>
      </c>
      <c r="H251" s="15" t="n">
        <f aca="true">RAND()</f>
        <v>0.42573940550276</v>
      </c>
      <c r="I251" s="15" t="n">
        <f aca="true">RAND()</f>
        <v>0.0614308214274107</v>
      </c>
      <c r="J251" s="15" t="n">
        <f aca="true">RAND()</f>
        <v>0.559390193499888</v>
      </c>
      <c r="K251" s="15" t="n">
        <f aca="true">RAND()</f>
        <v>0.577599021146201</v>
      </c>
      <c r="L251" s="15" t="n">
        <f aca="true">RAND()</f>
        <v>0.594633925188523</v>
      </c>
      <c r="M251" s="15" t="n">
        <f aca="true">RAND()</f>
        <v>0.990667579290487</v>
      </c>
      <c r="N251" s="15" t="n">
        <f aca="true">RAND()</f>
        <v>0.637899585302363</v>
      </c>
      <c r="O251" s="15" t="n">
        <f aca="true">RAND()</f>
        <v>0.00608084583430225</v>
      </c>
      <c r="P251" s="15" t="n">
        <f aca="true">RAND()</f>
        <v>0.340368539010959</v>
      </c>
      <c r="Q251" s="15" t="n">
        <f aca="true">RAND()</f>
        <v>0.964051360347101</v>
      </c>
      <c r="R251" s="15" t="n">
        <f aca="true">RAND()</f>
        <v>0.548273587374072</v>
      </c>
      <c r="S251" s="15" t="n">
        <f aca="true">RAND()</f>
        <v>0.771591673840096</v>
      </c>
      <c r="T251" s="16" t="n">
        <f aca="false">LOOKUP(D251,$E$23:$E$26,$A$23:$A$26)+LOOKUP(D251,$E$23:$E$26,$D$23:$D$26)*(D251-LOOKUP(D251,$E$23:$E$26))/LOOKUP(D251,$E$23:$E$26,$C$23:$C$26)</f>
        <v>4.62526233732436</v>
      </c>
      <c r="U251" s="16" t="n">
        <f aca="false">LOOKUP(E251,$E$23:$E$26,$A$23:$A$26)+LOOKUP(E251,$E$23:$E$26,$D$23:$D$26)*(E251-LOOKUP(E251,$E$23:$E$26))/LOOKUP(E251,$E$23:$E$26,$C$23:$C$26)</f>
        <v>4.37583691025095</v>
      </c>
      <c r="V251" s="16" t="n">
        <f aca="false">LOOKUP(F251,$E$23:$E$26,$A$23:$A$26)+LOOKUP(F251,$E$23:$E$26,$D$23:$D$26)*(F251-LOOKUP(F251,$E$23:$E$26))/LOOKUP(F251,$E$23:$E$26,$C$23:$C$26)</f>
        <v>4.3550011442505</v>
      </c>
      <c r="W251" s="16" t="n">
        <f aca="false">LOOKUP(G251,$E$23:$E$26,$A$23:$A$26)+LOOKUP(G251,$E$23:$E$26,$D$23:$D$26)*(G251-LOOKUP(G251,$E$23:$E$26))/LOOKUP(G251,$E$23:$E$26,$C$23:$C$26)</f>
        <v>4.6241376435487</v>
      </c>
      <c r="X251" s="16" t="n">
        <f aca="false">LOOKUP(H251,$E$23:$E$26,$A$23:$A$26)+LOOKUP(H251,$E$23:$E$26,$D$23:$D$26)*(H251-LOOKUP(H251,$E$23:$E$26))/LOOKUP(H251,$E$23:$E$26,$C$23:$C$26)</f>
        <v>4.65717425687845</v>
      </c>
      <c r="Y251" s="16" t="n">
        <f aca="false">LOOKUP(I251,$E$23:$E$26,$A$23:$A$26)+LOOKUP(I251,$E$23:$E$26,$D$23:$D$26)*(I251-LOOKUP(I251,$E$23:$E$26))/LOOKUP(I251,$E$23:$E$26,$C$23:$C$26)</f>
        <v>4.10238470237902</v>
      </c>
      <c r="Z251" s="16" t="n">
        <f aca="false">LOOKUP(J251,$E$23:$E$26,$A$23:$A$26)+LOOKUP(J251,$E$23:$E$26,$D$23:$D$26)*(J251-LOOKUP(J251,$E$23:$E$26))/LOOKUP(J251,$E$23:$E$26,$C$23:$C$26)</f>
        <v>4.82423774187486</v>
      </c>
      <c r="AA251" s="16" t="n">
        <f aca="false">LOOKUP(K251,$E$23:$E$26,$A$23:$A$26)+LOOKUP(K251,$E$23:$E$26,$D$23:$D$26)*(K251-LOOKUP(K251,$E$23:$E$26))/LOOKUP(K251,$E$23:$E$26,$C$23:$C$26)</f>
        <v>4.84699877643275</v>
      </c>
      <c r="AB251" s="16" t="n">
        <f aca="false">LOOKUP(L251,$E$23:$E$26,$A$23:$A$26)+LOOKUP(L251,$E$23:$E$26,$D$23:$D$26)*(L251-LOOKUP(L251,$E$23:$E$26))/LOOKUP(L251,$E$23:$E$26,$C$23:$C$26)</f>
        <v>4.86829240648565</v>
      </c>
      <c r="AC251" s="16" t="n">
        <f aca="false">LOOKUP(M251,$E$23:$E$26,$A$23:$A$26)+LOOKUP(M251,$E$23:$E$26,$D$23:$D$26)*(M251-LOOKUP(M251,$E$23:$E$26))/LOOKUP(M251,$E$23:$E$26,$C$23:$C$26)</f>
        <v>5.95333789645244</v>
      </c>
      <c r="AD251" s="16" t="n">
        <f aca="false">LOOKUP(N251,$E$23:$E$26,$A$23:$A$26)+LOOKUP(N251,$E$23:$E$26,$D$23:$D$26)*(N251-LOOKUP(N251,$E$23:$E$26))/LOOKUP(N251,$E$23:$E$26,$C$23:$C$26)</f>
        <v>4.92237448162795</v>
      </c>
      <c r="AE251" s="16" t="n">
        <f aca="false">LOOKUP(O251,$E$23:$E$26,$A$23:$A$26)+LOOKUP(O251,$E$23:$E$26,$D$23:$D$26)*(O251-LOOKUP(O251,$E$23:$E$26))/LOOKUP(O251,$E$23:$E$26,$C$23:$C$26)</f>
        <v>4.01013474305717</v>
      </c>
      <c r="AF251" s="16" t="n">
        <f aca="false">LOOKUP(P251,$E$23:$E$26,$A$23:$A$26)+LOOKUP(P251,$E$23:$E$26,$D$23:$D$26)*(P251-LOOKUP(P251,$E$23:$E$26))/LOOKUP(P251,$E$23:$E$26,$C$23:$C$26)</f>
        <v>4.5504606737637</v>
      </c>
      <c r="AG251" s="16" t="n">
        <f aca="false">LOOKUP(Q251,$E$23:$E$26,$A$23:$A$26)+LOOKUP(Q251,$E$23:$E$26,$D$23:$D$26)*(Q251-LOOKUP(Q251,$E$23:$E$26))/LOOKUP(Q251,$E$23:$E$26,$C$23:$C$26)</f>
        <v>5.82025680173551</v>
      </c>
      <c r="AH251" s="16" t="n">
        <f aca="false">LOOKUP(R251,$E$23:$E$26,$A$23:$A$26)+LOOKUP(R251,$E$23:$E$26,$D$23:$D$26)*(R251-LOOKUP(R251,$E$23:$E$26))/LOOKUP(R251,$E$23:$E$26,$C$23:$C$26)</f>
        <v>4.81034198421759</v>
      </c>
      <c r="AI251" s="16" t="n">
        <f aca="false">LOOKUP(S251,$E$23:$E$26,$A$23:$A$26)+LOOKUP(S251,$E$23:$E$26,$D$23:$D$26)*(S251-LOOKUP(S251,$E$23:$E$26))/LOOKUP(S251,$E$23:$E$26,$C$23:$C$26)</f>
        <v>5.17897918460024</v>
      </c>
      <c r="AJ251" s="16" t="n">
        <f aca="false">SUM($T251:T251)</f>
        <v>4.62526233732436</v>
      </c>
      <c r="AK251" s="16" t="n">
        <f aca="false">SUM($T251:U251)</f>
        <v>9.00109924757531</v>
      </c>
      <c r="AL251" s="16" t="n">
        <f aca="false">SUM($T251:V251)</f>
        <v>13.3561003918258</v>
      </c>
      <c r="AM251" s="16" t="n">
        <f aca="false">SUM($T251:W251)</f>
        <v>17.9802380353745</v>
      </c>
      <c r="AN251" s="16" t="n">
        <f aca="false">SUM($T251:X251)</f>
        <v>22.637412292253</v>
      </c>
      <c r="AO251" s="16" t="n">
        <f aca="false">SUM($T251:Y251)</f>
        <v>26.739796994632</v>
      </c>
      <c r="AP251" s="16" t="n">
        <f aca="false">SUM($T251:Z251)</f>
        <v>31.5640347365068</v>
      </c>
      <c r="AQ251" s="16" t="n">
        <f aca="false">SUM($T251:AA251)</f>
        <v>36.4110335129396</v>
      </c>
      <c r="AR251" s="16" t="n">
        <f aca="false">SUM($T251:AB251)</f>
        <v>41.2793259194253</v>
      </c>
      <c r="AS251" s="16" t="n">
        <f aca="false">SUM($T251:AC251)</f>
        <v>47.2326638158777</v>
      </c>
      <c r="AT251" s="16" t="n">
        <f aca="false">SUM($T251:AD251)</f>
        <v>52.1550382975056</v>
      </c>
      <c r="AU251" s="16" t="n">
        <f aca="false">SUM($T251:AE251)</f>
        <v>56.1651730405628</v>
      </c>
      <c r="AV251" s="16" t="n">
        <f aca="false">SUM($T251:AF251)</f>
        <v>60.7156337143265</v>
      </c>
      <c r="AW251" s="16" t="n">
        <f aca="false">SUM($T251:AG251)</f>
        <v>66.535890516062</v>
      </c>
      <c r="AX251" s="16" t="n">
        <f aca="false">SUM($T251:AH251)</f>
        <v>71.3462325002796</v>
      </c>
      <c r="AY251" s="16" t="n">
        <f aca="false">SUM($T251:AI251)</f>
        <v>76.5252116848798</v>
      </c>
      <c r="AZ251" s="16" t="n">
        <f aca="false">MAX(C251-AJ251,0)</f>
        <v>63.2418728368554</v>
      </c>
      <c r="BA251" s="16" t="n">
        <f aca="false">MAX(C251-AK251,0)</f>
        <v>58.8660359266044</v>
      </c>
      <c r="BB251" s="16" t="n">
        <f aca="false">MAX(C251-AL251,0)</f>
        <v>54.5110347823539</v>
      </c>
      <c r="BC251" s="16" t="n">
        <f aca="false">MAX(C251-AM251,0)</f>
        <v>49.8868971388052</v>
      </c>
      <c r="BD251" s="16" t="n">
        <f aca="false">MAX(C251-AN251,0)</f>
        <v>45.2297228819268</v>
      </c>
      <c r="BE251" s="16" t="n">
        <f aca="false">MAX(C251-AO251,0)</f>
        <v>41.1273381795478</v>
      </c>
      <c r="BF251" s="16" t="n">
        <f aca="false">MAX(C251-AP251,0)</f>
        <v>36.3031004376729</v>
      </c>
      <c r="BG251" s="16" t="n">
        <f aca="false">MAX(C251-AQ251,0)</f>
        <v>31.4561016612401</v>
      </c>
      <c r="BH251" s="16" t="n">
        <f aca="false">MAX(C251-AR251,0)</f>
        <v>26.5878092547545</v>
      </c>
      <c r="BI251" s="16" t="n">
        <f aca="false">MAX(C251-AS251,0)</f>
        <v>20.6344713583021</v>
      </c>
      <c r="BJ251" s="16" t="n">
        <f aca="false">MAX(C251-AT251,0)</f>
        <v>15.7120968766741</v>
      </c>
      <c r="BK251" s="16" t="n">
        <f aca="false">MAX(C251-AU251,0)</f>
        <v>11.7019621336169</v>
      </c>
      <c r="BL251" s="16" t="n">
        <f aca="false">MAX(C251-AV251,0)</f>
        <v>7.15150145985324</v>
      </c>
      <c r="BM251" s="16" t="n">
        <f aca="false">MAX(C251-AW251,0)</f>
        <v>1.33124465811773</v>
      </c>
      <c r="BN251" s="16" t="n">
        <f aca="false">MAX(C251-AX251,0)</f>
        <v>0</v>
      </c>
      <c r="BO251" s="16" t="n">
        <f aca="false">MAX(C251-AY251,0)</f>
        <v>0</v>
      </c>
    </row>
    <row r="252" customFormat="false" ht="15" hidden="false" customHeight="false" outlineLevel="0" collapsed="false">
      <c r="A252" s="3" t="n">
        <v>222</v>
      </c>
      <c r="B252" s="15" t="n">
        <f aca="true">RAND()</f>
        <v>0.366906253041613</v>
      </c>
      <c r="C252" s="16" t="n">
        <f aca="false">LOOKUP(B252,$E$12:$E$17,$A$12:$A$17)+LOOKUP(B252,$E$12:$E$17,$D$12:$D$17)*(B252-LOOKUP(B252,$E$12:$E$17))/LOOKUP(B252,$E$12:$E$17,$C$12:$C$17)</f>
        <v>61.9484375506936</v>
      </c>
      <c r="D252" s="15" t="n">
        <f aca="true">RAND()</f>
        <v>0.144682451437394</v>
      </c>
      <c r="E252" s="15" t="n">
        <f aca="true">RAND()</f>
        <v>0.0793739531611317</v>
      </c>
      <c r="F252" s="15" t="n">
        <f aca="true">RAND()</f>
        <v>0.489596939121859</v>
      </c>
      <c r="G252" s="15" t="n">
        <f aca="true">RAND()</f>
        <v>0.97787869176406</v>
      </c>
      <c r="H252" s="15" t="n">
        <f aca="true">RAND()</f>
        <v>0.775912032399777</v>
      </c>
      <c r="I252" s="15" t="n">
        <f aca="true">RAND()</f>
        <v>0.805009395316448</v>
      </c>
      <c r="J252" s="15" t="n">
        <f aca="true">RAND()</f>
        <v>0.545473240781385</v>
      </c>
      <c r="K252" s="15" t="n">
        <f aca="true">RAND()</f>
        <v>0.795981769100755</v>
      </c>
      <c r="L252" s="15" t="n">
        <f aca="true">RAND()</f>
        <v>0.0555180182996867</v>
      </c>
      <c r="M252" s="15" t="n">
        <f aca="true">RAND()</f>
        <v>0.275694499614167</v>
      </c>
      <c r="N252" s="15" t="n">
        <f aca="true">RAND()</f>
        <v>0.408493838596024</v>
      </c>
      <c r="O252" s="15" t="n">
        <f aca="true">RAND()</f>
        <v>0.986519628795174</v>
      </c>
      <c r="P252" s="15" t="n">
        <f aca="true">RAND()</f>
        <v>0.390304069970894</v>
      </c>
      <c r="Q252" s="15" t="n">
        <f aca="true">RAND()</f>
        <v>0.462016003320427</v>
      </c>
      <c r="R252" s="15" t="n">
        <f aca="true">RAND()</f>
        <v>0.0718431275988097</v>
      </c>
      <c r="S252" s="15" t="n">
        <f aca="true">RAND()</f>
        <v>0.708132864772609</v>
      </c>
      <c r="T252" s="16" t="n">
        <f aca="false">LOOKUP(D252,$E$23:$E$26,$A$23:$A$26)+LOOKUP(D252,$E$23:$E$26,$D$23:$D$26)*(D252-LOOKUP(D252,$E$23:$E$26))/LOOKUP(D252,$E$23:$E$26,$C$23:$C$26)</f>
        <v>4.24113741906232</v>
      </c>
      <c r="U252" s="16" t="n">
        <f aca="false">LOOKUP(E252,$E$23:$E$26,$A$23:$A$26)+LOOKUP(E252,$E$23:$E$26,$D$23:$D$26)*(E252-LOOKUP(E252,$E$23:$E$26))/LOOKUP(E252,$E$23:$E$26,$C$23:$C$26)</f>
        <v>4.13228992193522</v>
      </c>
      <c r="V252" s="16" t="n">
        <f aca="false">LOOKUP(F252,$E$23:$E$26,$A$23:$A$26)+LOOKUP(F252,$E$23:$E$26,$D$23:$D$26)*(F252-LOOKUP(F252,$E$23:$E$26))/LOOKUP(F252,$E$23:$E$26,$C$23:$C$26)</f>
        <v>4.73699617390232</v>
      </c>
      <c r="W252" s="16" t="n">
        <f aca="false">LOOKUP(G252,$E$23:$E$26,$A$23:$A$26)+LOOKUP(G252,$E$23:$E$26,$D$23:$D$26)*(G252-LOOKUP(G252,$E$23:$E$26))/LOOKUP(G252,$E$23:$E$26,$C$23:$C$26)</f>
        <v>5.8893934588203</v>
      </c>
      <c r="X252" s="16" t="n">
        <f aca="false">LOOKUP(H252,$E$23:$E$26,$A$23:$A$26)+LOOKUP(H252,$E$23:$E$26,$D$23:$D$26)*(H252-LOOKUP(H252,$E$23:$E$26))/LOOKUP(H252,$E$23:$E$26,$C$23:$C$26)</f>
        <v>5.18978008099944</v>
      </c>
      <c r="Y252" s="16" t="n">
        <f aca="false">LOOKUP(I252,$E$23:$E$26,$A$23:$A$26)+LOOKUP(I252,$E$23:$E$26,$D$23:$D$26)*(I252-LOOKUP(I252,$E$23:$E$26))/LOOKUP(I252,$E$23:$E$26,$C$23:$C$26)</f>
        <v>5.26252348829112</v>
      </c>
      <c r="Z252" s="16" t="n">
        <f aca="false">LOOKUP(J252,$E$23:$E$26,$A$23:$A$26)+LOOKUP(J252,$E$23:$E$26,$D$23:$D$26)*(J252-LOOKUP(J252,$E$23:$E$26))/LOOKUP(J252,$E$23:$E$26,$C$23:$C$26)</f>
        <v>4.80684155097673</v>
      </c>
      <c r="AA252" s="16" t="n">
        <f aca="false">LOOKUP(K252,$E$23:$E$26,$A$23:$A$26)+LOOKUP(K252,$E$23:$E$26,$D$23:$D$26)*(K252-LOOKUP(K252,$E$23:$E$26))/LOOKUP(K252,$E$23:$E$26,$C$23:$C$26)</f>
        <v>5.23995442275189</v>
      </c>
      <c r="AB252" s="16" t="n">
        <f aca="false">LOOKUP(L252,$E$23:$E$26,$A$23:$A$26)+LOOKUP(L252,$E$23:$E$26,$D$23:$D$26)*(L252-LOOKUP(L252,$E$23:$E$26))/LOOKUP(L252,$E$23:$E$26,$C$23:$C$26)</f>
        <v>4.09253003049948</v>
      </c>
      <c r="AC252" s="16" t="n">
        <f aca="false">LOOKUP(M252,$E$23:$E$26,$A$23:$A$26)+LOOKUP(M252,$E$23:$E$26,$D$23:$D$26)*(M252-LOOKUP(M252,$E$23:$E$26))/LOOKUP(M252,$E$23:$E$26,$C$23:$C$26)</f>
        <v>4.45949083269028</v>
      </c>
      <c r="AD252" s="16" t="n">
        <f aca="false">LOOKUP(N252,$E$23:$E$26,$A$23:$A$26)+LOOKUP(N252,$E$23:$E$26,$D$23:$D$26)*(N252-LOOKUP(N252,$E$23:$E$26))/LOOKUP(N252,$E$23:$E$26,$C$23:$C$26)</f>
        <v>4.63561729824503</v>
      </c>
      <c r="AE252" s="16" t="n">
        <f aca="false">LOOKUP(O252,$E$23:$E$26,$A$23:$A$26)+LOOKUP(O252,$E$23:$E$26,$D$23:$D$26)*(O252-LOOKUP(O252,$E$23:$E$26))/LOOKUP(O252,$E$23:$E$26,$C$23:$C$26)</f>
        <v>5.93259814397587</v>
      </c>
      <c r="AF252" s="16" t="n">
        <f aca="false">LOOKUP(P252,$E$23:$E$26,$A$23:$A$26)+LOOKUP(P252,$E$23:$E$26,$D$23:$D$26)*(P252-LOOKUP(P252,$E$23:$E$26))/LOOKUP(P252,$E$23:$E$26,$C$23:$C$26)</f>
        <v>4.61288008746362</v>
      </c>
      <c r="AG252" s="16" t="n">
        <f aca="false">LOOKUP(Q252,$E$23:$E$26,$A$23:$A$26)+LOOKUP(Q252,$E$23:$E$26,$D$23:$D$26)*(Q252-LOOKUP(Q252,$E$23:$E$26))/LOOKUP(Q252,$E$23:$E$26,$C$23:$C$26)</f>
        <v>4.70252000415053</v>
      </c>
      <c r="AH252" s="16" t="n">
        <f aca="false">LOOKUP(R252,$E$23:$E$26,$A$23:$A$26)+LOOKUP(R252,$E$23:$E$26,$D$23:$D$26)*(R252-LOOKUP(R252,$E$23:$E$26))/LOOKUP(R252,$E$23:$E$26,$C$23:$C$26)</f>
        <v>4.11973854599802</v>
      </c>
      <c r="AI252" s="16" t="n">
        <f aca="false">LOOKUP(S252,$E$23:$E$26,$A$23:$A$26)+LOOKUP(S252,$E$23:$E$26,$D$23:$D$26)*(S252-LOOKUP(S252,$E$23:$E$26))/LOOKUP(S252,$E$23:$E$26,$C$23:$C$26)</f>
        <v>5.02033216193152</v>
      </c>
      <c r="AJ252" s="16" t="n">
        <f aca="false">SUM($T252:T252)</f>
        <v>4.24113741906232</v>
      </c>
      <c r="AK252" s="16" t="n">
        <f aca="false">SUM($T252:U252)</f>
        <v>8.37342734099754</v>
      </c>
      <c r="AL252" s="16" t="n">
        <f aca="false">SUM($T252:V252)</f>
        <v>13.1104235148999</v>
      </c>
      <c r="AM252" s="16" t="n">
        <f aca="false">SUM($T252:W252)</f>
        <v>18.9998169737202</v>
      </c>
      <c r="AN252" s="16" t="n">
        <f aca="false">SUM($T252:X252)</f>
        <v>24.1895970547196</v>
      </c>
      <c r="AO252" s="16" t="n">
        <f aca="false">SUM($T252:Y252)</f>
        <v>29.4521205430107</v>
      </c>
      <c r="AP252" s="16" t="n">
        <f aca="false">SUM($T252:Z252)</f>
        <v>34.2589620939875</v>
      </c>
      <c r="AQ252" s="16" t="n">
        <f aca="false">SUM($T252:AA252)</f>
        <v>39.4989165167394</v>
      </c>
      <c r="AR252" s="16" t="n">
        <f aca="false">SUM($T252:AB252)</f>
        <v>43.5914465472388</v>
      </c>
      <c r="AS252" s="16" t="n">
        <f aca="false">SUM($T252:AC252)</f>
        <v>48.0509373799291</v>
      </c>
      <c r="AT252" s="16" t="n">
        <f aca="false">SUM($T252:AD252)</f>
        <v>52.6865546781741</v>
      </c>
      <c r="AU252" s="16" t="n">
        <f aca="false">SUM($T252:AE252)</f>
        <v>58.61915282215</v>
      </c>
      <c r="AV252" s="16" t="n">
        <f aca="false">SUM($T252:AF252)</f>
        <v>63.2320329096136</v>
      </c>
      <c r="AW252" s="16" t="n">
        <f aca="false">SUM($T252:AG252)</f>
        <v>67.9345529137642</v>
      </c>
      <c r="AX252" s="16" t="n">
        <f aca="false">SUM($T252:AH252)</f>
        <v>72.0542914597622</v>
      </c>
      <c r="AY252" s="16" t="n">
        <f aca="false">SUM($T252:AI252)</f>
        <v>77.0746236216937</v>
      </c>
      <c r="AZ252" s="16" t="n">
        <f aca="false">MAX(C252-AJ252,0)</f>
        <v>57.7073001316312</v>
      </c>
      <c r="BA252" s="16" t="n">
        <f aca="false">MAX(C252-AK252,0)</f>
        <v>53.575010209696</v>
      </c>
      <c r="BB252" s="16" t="n">
        <f aca="false">MAX(C252-AL252,0)</f>
        <v>48.8380140357937</v>
      </c>
      <c r="BC252" s="16" t="n">
        <f aca="false">MAX(C252-AM252,0)</f>
        <v>42.9486205769734</v>
      </c>
      <c r="BD252" s="16" t="n">
        <f aca="false">MAX(C252-AN252,0)</f>
        <v>37.7588404959739</v>
      </c>
      <c r="BE252" s="16" t="n">
        <f aca="false">MAX(C252-AO252,0)</f>
        <v>32.4963170076828</v>
      </c>
      <c r="BF252" s="16" t="n">
        <f aca="false">MAX(C252-AP252,0)</f>
        <v>27.6894754567061</v>
      </c>
      <c r="BG252" s="16" t="n">
        <f aca="false">MAX(C252-AQ252,0)</f>
        <v>22.4495210339542</v>
      </c>
      <c r="BH252" s="16" t="n">
        <f aca="false">MAX(C252-AR252,0)</f>
        <v>18.3569910034547</v>
      </c>
      <c r="BI252" s="16" t="n">
        <f aca="false">MAX(C252-AS252,0)</f>
        <v>13.8975001707644</v>
      </c>
      <c r="BJ252" s="16" t="n">
        <f aca="false">MAX(C252-AT252,0)</f>
        <v>9.26188287251941</v>
      </c>
      <c r="BK252" s="16" t="n">
        <f aca="false">MAX(C252-AU252,0)</f>
        <v>3.32928472854355</v>
      </c>
      <c r="BL252" s="16" t="n">
        <f aca="false">MAX(C252-AV252,0)</f>
        <v>0</v>
      </c>
      <c r="BM252" s="16" t="n">
        <f aca="false">MAX(C252-AW252,0)</f>
        <v>0</v>
      </c>
      <c r="BN252" s="16" t="n">
        <f aca="false">MAX(C252-AX252,0)</f>
        <v>0</v>
      </c>
      <c r="BO252" s="16" t="n">
        <f aca="false">MAX(C252-AY252,0)</f>
        <v>0</v>
      </c>
    </row>
    <row r="253" customFormat="false" ht="15" hidden="false" customHeight="false" outlineLevel="0" collapsed="false">
      <c r="A253" s="3" t="n">
        <v>223</v>
      </c>
      <c r="B253" s="15" t="n">
        <f aca="true">RAND()</f>
        <v>0.980532638021986</v>
      </c>
      <c r="C253" s="16" t="n">
        <f aca="false">LOOKUP(B253,$E$12:$E$17,$A$12:$A$17)+LOOKUP(B253,$E$12:$E$17,$D$12:$D$17)*(B253-LOOKUP(B253,$E$12:$E$17))/LOOKUP(B253,$E$12:$E$17,$C$12:$C$17)</f>
        <v>80.1331595054965</v>
      </c>
      <c r="D253" s="15" t="n">
        <f aca="true">RAND()</f>
        <v>0.736779764867795</v>
      </c>
      <c r="E253" s="15" t="n">
        <f aca="true">RAND()</f>
        <v>0.61396978993749</v>
      </c>
      <c r="F253" s="15" t="n">
        <f aca="true">RAND()</f>
        <v>0.626945857310116</v>
      </c>
      <c r="G253" s="15" t="n">
        <f aca="true">RAND()</f>
        <v>0.642443644050533</v>
      </c>
      <c r="H253" s="15" t="n">
        <f aca="true">RAND()</f>
        <v>0.122466171803458</v>
      </c>
      <c r="I253" s="15" t="n">
        <f aca="true">RAND()</f>
        <v>0.398829987245526</v>
      </c>
      <c r="J253" s="15" t="n">
        <f aca="true">RAND()</f>
        <v>0.341630613878391</v>
      </c>
      <c r="K253" s="15" t="n">
        <f aca="true">RAND()</f>
        <v>0.471972084981809</v>
      </c>
      <c r="L253" s="15" t="n">
        <f aca="true">RAND()</f>
        <v>0.42811013988488</v>
      </c>
      <c r="M253" s="15" t="n">
        <f aca="true">RAND()</f>
        <v>0.361765722116392</v>
      </c>
      <c r="N253" s="15" t="n">
        <f aca="true">RAND()</f>
        <v>0.483417797379604</v>
      </c>
      <c r="O253" s="15" t="n">
        <f aca="true">RAND()</f>
        <v>0.248912536725348</v>
      </c>
      <c r="P253" s="15" t="n">
        <f aca="true">RAND()</f>
        <v>0.722624512718846</v>
      </c>
      <c r="Q253" s="15" t="n">
        <f aca="true">RAND()</f>
        <v>0.282910482386048</v>
      </c>
      <c r="R253" s="15" t="n">
        <f aca="true">RAND()</f>
        <v>0.83047741771025</v>
      </c>
      <c r="S253" s="15" t="n">
        <f aca="true">RAND()</f>
        <v>0.557763240825876</v>
      </c>
      <c r="T253" s="16" t="n">
        <f aca="false">LOOKUP(D253,$E$23:$E$26,$A$23:$A$26)+LOOKUP(D253,$E$23:$E$26,$D$23:$D$26)*(D253-LOOKUP(D253,$E$23:$E$26))/LOOKUP(D253,$E$23:$E$26,$C$23:$C$26)</f>
        <v>5.09194941216949</v>
      </c>
      <c r="U253" s="16" t="n">
        <f aca="false">LOOKUP(E253,$E$23:$E$26,$A$23:$A$26)+LOOKUP(E253,$E$23:$E$26,$D$23:$D$26)*(E253-LOOKUP(E253,$E$23:$E$26))/LOOKUP(E253,$E$23:$E$26,$C$23:$C$26)</f>
        <v>4.89246223742186</v>
      </c>
      <c r="V253" s="16" t="n">
        <f aca="false">LOOKUP(F253,$E$23:$E$26,$A$23:$A$26)+LOOKUP(F253,$E$23:$E$26,$D$23:$D$26)*(F253-LOOKUP(F253,$E$23:$E$26))/LOOKUP(F253,$E$23:$E$26,$C$23:$C$26)</f>
        <v>4.90868232163765</v>
      </c>
      <c r="W253" s="16" t="n">
        <f aca="false">LOOKUP(G253,$E$23:$E$26,$A$23:$A$26)+LOOKUP(G253,$E$23:$E$26,$D$23:$D$26)*(G253-LOOKUP(G253,$E$23:$E$26))/LOOKUP(G253,$E$23:$E$26,$C$23:$C$26)</f>
        <v>4.92805455506317</v>
      </c>
      <c r="X253" s="16" t="n">
        <f aca="false">LOOKUP(H253,$E$23:$E$26,$A$23:$A$26)+LOOKUP(H253,$E$23:$E$26,$D$23:$D$26)*(H253-LOOKUP(H253,$E$23:$E$26))/LOOKUP(H253,$E$23:$E$26,$C$23:$C$26)</f>
        <v>4.2041102863391</v>
      </c>
      <c r="Y253" s="16" t="n">
        <f aca="false">LOOKUP(I253,$E$23:$E$26,$A$23:$A$26)+LOOKUP(I253,$E$23:$E$26,$D$23:$D$26)*(I253-LOOKUP(I253,$E$23:$E$26))/LOOKUP(I253,$E$23:$E$26,$C$23:$C$26)</f>
        <v>4.62353748405691</v>
      </c>
      <c r="Z253" s="16" t="n">
        <f aca="false">LOOKUP(J253,$E$23:$E$26,$A$23:$A$26)+LOOKUP(J253,$E$23:$E$26,$D$23:$D$26)*(J253-LOOKUP(J253,$E$23:$E$26))/LOOKUP(J253,$E$23:$E$26,$C$23:$C$26)</f>
        <v>4.55203826734799</v>
      </c>
      <c r="AA253" s="16" t="n">
        <f aca="false">LOOKUP(K253,$E$23:$E$26,$A$23:$A$26)+LOOKUP(K253,$E$23:$E$26,$D$23:$D$26)*(K253-LOOKUP(K253,$E$23:$E$26))/LOOKUP(K253,$E$23:$E$26,$C$23:$C$26)</f>
        <v>4.71496510622726</v>
      </c>
      <c r="AB253" s="16" t="n">
        <f aca="false">LOOKUP(L253,$E$23:$E$26,$A$23:$A$26)+LOOKUP(L253,$E$23:$E$26,$D$23:$D$26)*(L253-LOOKUP(L253,$E$23:$E$26))/LOOKUP(L253,$E$23:$E$26,$C$23:$C$26)</f>
        <v>4.6601376748561</v>
      </c>
      <c r="AC253" s="16" t="n">
        <f aca="false">LOOKUP(M253,$E$23:$E$26,$A$23:$A$26)+LOOKUP(M253,$E$23:$E$26,$D$23:$D$26)*(M253-LOOKUP(M253,$E$23:$E$26))/LOOKUP(M253,$E$23:$E$26,$C$23:$C$26)</f>
        <v>4.57720715264549</v>
      </c>
      <c r="AD253" s="16" t="n">
        <f aca="false">LOOKUP(N253,$E$23:$E$26,$A$23:$A$26)+LOOKUP(N253,$E$23:$E$26,$D$23:$D$26)*(N253-LOOKUP(N253,$E$23:$E$26))/LOOKUP(N253,$E$23:$E$26,$C$23:$C$26)</f>
        <v>4.72927224672451</v>
      </c>
      <c r="AE253" s="16" t="n">
        <f aca="false">LOOKUP(O253,$E$23:$E$26,$A$23:$A$26)+LOOKUP(O253,$E$23:$E$26,$D$23:$D$26)*(O253-LOOKUP(O253,$E$23:$E$26))/LOOKUP(O253,$E$23:$E$26,$C$23:$C$26)</f>
        <v>4.41485422787558</v>
      </c>
      <c r="AF253" s="16" t="n">
        <f aca="false">LOOKUP(P253,$E$23:$E$26,$A$23:$A$26)+LOOKUP(P253,$E$23:$E$26,$D$23:$D$26)*(P253-LOOKUP(P253,$E$23:$E$26))/LOOKUP(P253,$E$23:$E$26,$C$23:$C$26)</f>
        <v>5.05656128179712</v>
      </c>
      <c r="AG253" s="16" t="n">
        <f aca="false">LOOKUP(Q253,$E$23:$E$26,$A$23:$A$26)+LOOKUP(Q253,$E$23:$E$26,$D$23:$D$26)*(Q253-LOOKUP(Q253,$E$23:$E$26))/LOOKUP(Q253,$E$23:$E$26,$C$23:$C$26)</f>
        <v>4.47151747064341</v>
      </c>
      <c r="AH253" s="16" t="n">
        <f aca="false">LOOKUP(R253,$E$23:$E$26,$A$23:$A$26)+LOOKUP(R253,$E$23:$E$26,$D$23:$D$26)*(R253-LOOKUP(R253,$E$23:$E$26))/LOOKUP(R253,$E$23:$E$26,$C$23:$C$26)</f>
        <v>5.32619354427563</v>
      </c>
      <c r="AI253" s="16" t="n">
        <f aca="false">LOOKUP(S253,$E$23:$E$26,$A$23:$A$26)+LOOKUP(S253,$E$23:$E$26,$D$23:$D$26)*(S253-LOOKUP(S253,$E$23:$E$26))/LOOKUP(S253,$E$23:$E$26,$C$23:$C$26)</f>
        <v>4.82220405103235</v>
      </c>
      <c r="AJ253" s="16" t="n">
        <f aca="false">SUM($T253:T253)</f>
        <v>5.09194941216949</v>
      </c>
      <c r="AK253" s="16" t="n">
        <f aca="false">SUM($T253:U253)</f>
        <v>9.98441164959135</v>
      </c>
      <c r="AL253" s="16" t="n">
        <f aca="false">SUM($T253:V253)</f>
        <v>14.893093971229</v>
      </c>
      <c r="AM253" s="16" t="n">
        <f aca="false">SUM($T253:W253)</f>
        <v>19.8211485262922</v>
      </c>
      <c r="AN253" s="16" t="n">
        <f aca="false">SUM($T253:X253)</f>
        <v>24.0252588126313</v>
      </c>
      <c r="AO253" s="16" t="n">
        <f aca="false">SUM($T253:Y253)</f>
        <v>28.6487962966882</v>
      </c>
      <c r="AP253" s="16" t="n">
        <f aca="false">SUM($T253:Z253)</f>
        <v>33.2008345640362</v>
      </c>
      <c r="AQ253" s="16" t="n">
        <f aca="false">SUM($T253:AA253)</f>
        <v>37.9157996702634</v>
      </c>
      <c r="AR253" s="16" t="n">
        <f aca="false">SUM($T253:AB253)</f>
        <v>42.5759373451195</v>
      </c>
      <c r="AS253" s="16" t="n">
        <f aca="false">SUM($T253:AC253)</f>
        <v>47.153144497765</v>
      </c>
      <c r="AT253" s="16" t="n">
        <f aca="false">SUM($T253:AD253)</f>
        <v>51.8824167444895</v>
      </c>
      <c r="AU253" s="16" t="n">
        <f aca="false">SUM($T253:AE253)</f>
        <v>56.2972709723651</v>
      </c>
      <c r="AV253" s="16" t="n">
        <f aca="false">SUM($T253:AF253)</f>
        <v>61.3538322541622</v>
      </c>
      <c r="AW253" s="16" t="n">
        <f aca="false">SUM($T253:AG253)</f>
        <v>65.8253497248056</v>
      </c>
      <c r="AX253" s="16" t="n">
        <f aca="false">SUM($T253:AH253)</f>
        <v>71.1515432690812</v>
      </c>
      <c r="AY253" s="16" t="n">
        <f aca="false">SUM($T253:AI253)</f>
        <v>75.9737473201136</v>
      </c>
      <c r="AZ253" s="16" t="n">
        <f aca="false">MAX(C253-AJ253,0)</f>
        <v>75.041210093327</v>
      </c>
      <c r="BA253" s="16" t="n">
        <f aca="false">MAX(C253-AK253,0)</f>
        <v>70.1487478559052</v>
      </c>
      <c r="BB253" s="16" t="n">
        <f aca="false">MAX(C253-AL253,0)</f>
        <v>65.2400655342675</v>
      </c>
      <c r="BC253" s="16" t="n">
        <f aca="false">MAX(C253-AM253,0)</f>
        <v>60.3120109792044</v>
      </c>
      <c r="BD253" s="16" t="n">
        <f aca="false">MAX(C253-AN253,0)</f>
        <v>56.1079006928653</v>
      </c>
      <c r="BE253" s="16" t="n">
        <f aca="false">MAX(C253-AO253,0)</f>
        <v>51.4843632088084</v>
      </c>
      <c r="BF253" s="16" t="n">
        <f aca="false">MAX(C253-AP253,0)</f>
        <v>46.9323249414604</v>
      </c>
      <c r="BG253" s="16" t="n">
        <f aca="false">MAX(C253-AQ253,0)</f>
        <v>42.2173598352331</v>
      </c>
      <c r="BH253" s="16" t="n">
        <f aca="false">MAX(C253-AR253,0)</f>
        <v>37.557222160377</v>
      </c>
      <c r="BI253" s="16" t="n">
        <f aca="false">MAX(C253-AS253,0)</f>
        <v>32.9800150077315</v>
      </c>
      <c r="BJ253" s="16" t="n">
        <f aca="false">MAX(C253-AT253,0)</f>
        <v>28.250742761007</v>
      </c>
      <c r="BK253" s="16" t="n">
        <f aca="false">MAX(C253-AU253,0)</f>
        <v>23.8358885331314</v>
      </c>
      <c r="BL253" s="16" t="n">
        <f aca="false">MAX(C253-AV253,0)</f>
        <v>18.7793272513343</v>
      </c>
      <c r="BM253" s="16" t="n">
        <f aca="false">MAX(C253-AW253,0)</f>
        <v>14.3078097806909</v>
      </c>
      <c r="BN253" s="16" t="n">
        <f aca="false">MAX(C253-AX253,0)</f>
        <v>8.98161623641528</v>
      </c>
      <c r="BO253" s="16" t="n">
        <f aca="false">MAX(C253-AY253,0)</f>
        <v>4.15941218538293</v>
      </c>
    </row>
    <row r="254" customFormat="false" ht="15" hidden="false" customHeight="false" outlineLevel="0" collapsed="false">
      <c r="A254" s="3" t="n">
        <v>224</v>
      </c>
      <c r="B254" s="15" t="n">
        <f aca="true">RAND()</f>
        <v>0.631753977954491</v>
      </c>
      <c r="C254" s="16" t="n">
        <f aca="false">LOOKUP(B254,$E$12:$E$17,$A$12:$A$17)+LOOKUP(B254,$E$12:$E$17,$D$12:$D$17)*(B254-LOOKUP(B254,$E$12:$E$17))/LOOKUP(B254,$E$12:$E$17,$C$12:$C$17)</f>
        <v>66.1679139707784</v>
      </c>
      <c r="D254" s="15" t="n">
        <f aca="true">RAND()</f>
        <v>0.456023017894002</v>
      </c>
      <c r="E254" s="15" t="n">
        <f aca="true">RAND()</f>
        <v>0.292509541373919</v>
      </c>
      <c r="F254" s="15" t="n">
        <f aca="true">RAND()</f>
        <v>0.792576671727655</v>
      </c>
      <c r="G254" s="15" t="n">
        <f aca="true">RAND()</f>
        <v>0.939350788583008</v>
      </c>
      <c r="H254" s="15" t="n">
        <f aca="true">RAND()</f>
        <v>0.319760408913369</v>
      </c>
      <c r="I254" s="15" t="n">
        <f aca="true">RAND()</f>
        <v>0.0330075374031373</v>
      </c>
      <c r="J254" s="15" t="n">
        <f aca="true">RAND()</f>
        <v>0.11286232250664</v>
      </c>
      <c r="K254" s="15" t="n">
        <f aca="true">RAND()</f>
        <v>0.541465060089003</v>
      </c>
      <c r="L254" s="15" t="n">
        <f aca="true">RAND()</f>
        <v>0.26195558677685</v>
      </c>
      <c r="M254" s="15" t="n">
        <f aca="true">RAND()</f>
        <v>0.540965736527034</v>
      </c>
      <c r="N254" s="15" t="n">
        <f aca="true">RAND()</f>
        <v>0.602505226312374</v>
      </c>
      <c r="O254" s="15" t="n">
        <f aca="true">RAND()</f>
        <v>0.394527244585218</v>
      </c>
      <c r="P254" s="15" t="n">
        <f aca="true">RAND()</f>
        <v>0.130441468952398</v>
      </c>
      <c r="Q254" s="15" t="n">
        <f aca="true">RAND()</f>
        <v>0.0716356689331148</v>
      </c>
      <c r="R254" s="15" t="n">
        <f aca="true">RAND()</f>
        <v>0.727309933023706</v>
      </c>
      <c r="S254" s="15" t="n">
        <f aca="true">RAND()</f>
        <v>0.527571763802011</v>
      </c>
      <c r="T254" s="16" t="n">
        <f aca="false">LOOKUP(D254,$E$23:$E$26,$A$23:$A$26)+LOOKUP(D254,$E$23:$E$26,$D$23:$D$26)*(D254-LOOKUP(D254,$E$23:$E$26))/LOOKUP(D254,$E$23:$E$26,$C$23:$C$26)</f>
        <v>4.6950287723675</v>
      </c>
      <c r="U254" s="16" t="n">
        <f aca="false">LOOKUP(E254,$E$23:$E$26,$A$23:$A$26)+LOOKUP(E254,$E$23:$E$26,$D$23:$D$26)*(E254-LOOKUP(E254,$E$23:$E$26))/LOOKUP(E254,$E$23:$E$26,$C$23:$C$26)</f>
        <v>4.48751590228987</v>
      </c>
      <c r="V254" s="16" t="n">
        <f aca="false">LOOKUP(F254,$E$23:$E$26,$A$23:$A$26)+LOOKUP(F254,$E$23:$E$26,$D$23:$D$26)*(F254-LOOKUP(F254,$E$23:$E$26))/LOOKUP(F254,$E$23:$E$26,$C$23:$C$26)</f>
        <v>5.23144167931914</v>
      </c>
      <c r="W254" s="16" t="n">
        <f aca="false">LOOKUP(G254,$E$23:$E$26,$A$23:$A$26)+LOOKUP(G254,$E$23:$E$26,$D$23:$D$26)*(G254-LOOKUP(G254,$E$23:$E$26))/LOOKUP(G254,$E$23:$E$26,$C$23:$C$26)</f>
        <v>5.69675394291504</v>
      </c>
      <c r="X254" s="16" t="n">
        <f aca="false">LOOKUP(H254,$E$23:$E$26,$A$23:$A$26)+LOOKUP(H254,$E$23:$E$26,$D$23:$D$26)*(H254-LOOKUP(H254,$E$23:$E$26))/LOOKUP(H254,$E$23:$E$26,$C$23:$C$26)</f>
        <v>4.52470051114171</v>
      </c>
      <c r="Y254" s="16" t="n">
        <f aca="false">LOOKUP(I254,$E$23:$E$26,$A$23:$A$26)+LOOKUP(I254,$E$23:$E$26,$D$23:$D$26)*(I254-LOOKUP(I254,$E$23:$E$26))/LOOKUP(I254,$E$23:$E$26,$C$23:$C$26)</f>
        <v>4.05501256233856</v>
      </c>
      <c r="Z254" s="16" t="n">
        <f aca="false">LOOKUP(J254,$E$23:$E$26,$A$23:$A$26)+LOOKUP(J254,$E$23:$E$26,$D$23:$D$26)*(J254-LOOKUP(J254,$E$23:$E$26))/LOOKUP(J254,$E$23:$E$26,$C$23:$C$26)</f>
        <v>4.1881038708444</v>
      </c>
      <c r="AA254" s="16" t="n">
        <f aca="false">LOOKUP(K254,$E$23:$E$26,$A$23:$A$26)+LOOKUP(K254,$E$23:$E$26,$D$23:$D$26)*(K254-LOOKUP(K254,$E$23:$E$26))/LOOKUP(K254,$E$23:$E$26,$C$23:$C$26)</f>
        <v>4.80183132511125</v>
      </c>
      <c r="AB254" s="16" t="n">
        <f aca="false">LOOKUP(L254,$E$23:$E$26,$A$23:$A$26)+LOOKUP(L254,$E$23:$E$26,$D$23:$D$26)*(L254-LOOKUP(L254,$E$23:$E$26))/LOOKUP(L254,$E$23:$E$26,$C$23:$C$26)</f>
        <v>4.43659264462808</v>
      </c>
      <c r="AC254" s="16" t="n">
        <f aca="false">LOOKUP(M254,$E$23:$E$26,$A$23:$A$26)+LOOKUP(M254,$E$23:$E$26,$D$23:$D$26)*(M254-LOOKUP(M254,$E$23:$E$26))/LOOKUP(M254,$E$23:$E$26,$C$23:$C$26)</f>
        <v>4.80120717065879</v>
      </c>
      <c r="AD254" s="16" t="n">
        <f aca="false">LOOKUP(N254,$E$23:$E$26,$A$23:$A$26)+LOOKUP(N254,$E$23:$E$26,$D$23:$D$26)*(N254-LOOKUP(N254,$E$23:$E$26))/LOOKUP(N254,$E$23:$E$26,$C$23:$C$26)</f>
        <v>4.87813153289047</v>
      </c>
      <c r="AE254" s="16" t="n">
        <f aca="false">LOOKUP(O254,$E$23:$E$26,$A$23:$A$26)+LOOKUP(O254,$E$23:$E$26,$D$23:$D$26)*(O254-LOOKUP(O254,$E$23:$E$26))/LOOKUP(O254,$E$23:$E$26,$C$23:$C$26)</f>
        <v>4.61815905573152</v>
      </c>
      <c r="AF254" s="16" t="n">
        <f aca="false">LOOKUP(P254,$E$23:$E$26,$A$23:$A$26)+LOOKUP(P254,$E$23:$E$26,$D$23:$D$26)*(P254-LOOKUP(P254,$E$23:$E$26))/LOOKUP(P254,$E$23:$E$26,$C$23:$C$26)</f>
        <v>4.217402448254</v>
      </c>
      <c r="AG254" s="16" t="n">
        <f aca="false">LOOKUP(Q254,$E$23:$E$26,$A$23:$A$26)+LOOKUP(Q254,$E$23:$E$26,$D$23:$D$26)*(Q254-LOOKUP(Q254,$E$23:$E$26))/LOOKUP(Q254,$E$23:$E$26,$C$23:$C$26)</f>
        <v>4.11939278155519</v>
      </c>
      <c r="AH254" s="16" t="n">
        <f aca="false">LOOKUP(R254,$E$23:$E$26,$A$23:$A$26)+LOOKUP(R254,$E$23:$E$26,$D$23:$D$26)*(R254-LOOKUP(R254,$E$23:$E$26))/LOOKUP(R254,$E$23:$E$26,$C$23:$C$26)</f>
        <v>5.06827483255927</v>
      </c>
      <c r="AI254" s="16" t="n">
        <f aca="false">LOOKUP(S254,$E$23:$E$26,$A$23:$A$26)+LOOKUP(S254,$E$23:$E$26,$D$23:$D$26)*(S254-LOOKUP(S254,$E$23:$E$26))/LOOKUP(S254,$E$23:$E$26,$C$23:$C$26)</f>
        <v>4.78446470475251</v>
      </c>
      <c r="AJ254" s="16" t="n">
        <f aca="false">SUM($T254:T254)</f>
        <v>4.6950287723675</v>
      </c>
      <c r="AK254" s="16" t="n">
        <f aca="false">SUM($T254:U254)</f>
        <v>9.18254467465737</v>
      </c>
      <c r="AL254" s="16" t="n">
        <f aca="false">SUM($T254:V254)</f>
        <v>14.4139863539765</v>
      </c>
      <c r="AM254" s="16" t="n">
        <f aca="false">SUM($T254:W254)</f>
        <v>20.1107402968915</v>
      </c>
      <c r="AN254" s="16" t="n">
        <f aca="false">SUM($T254:X254)</f>
        <v>24.6354408080333</v>
      </c>
      <c r="AO254" s="16" t="n">
        <f aca="false">SUM($T254:Y254)</f>
        <v>28.6904533703718</v>
      </c>
      <c r="AP254" s="16" t="n">
        <f aca="false">SUM($T254:Z254)</f>
        <v>32.8785572412162</v>
      </c>
      <c r="AQ254" s="16" t="n">
        <f aca="false">SUM($T254:AA254)</f>
        <v>37.6803885663275</v>
      </c>
      <c r="AR254" s="16" t="n">
        <f aca="false">SUM($T254:AB254)</f>
        <v>42.1169812109556</v>
      </c>
      <c r="AS254" s="16" t="n">
        <f aca="false">SUM($T254:AC254)</f>
        <v>46.9181883816143</v>
      </c>
      <c r="AT254" s="16" t="n">
        <f aca="false">SUM($T254:AD254)</f>
        <v>51.7963199145048</v>
      </c>
      <c r="AU254" s="16" t="n">
        <f aca="false">SUM($T254:AE254)</f>
        <v>56.4144789702363</v>
      </c>
      <c r="AV254" s="16" t="n">
        <f aca="false">SUM($T254:AF254)</f>
        <v>60.6318814184903</v>
      </c>
      <c r="AW254" s="16" t="n">
        <f aca="false">SUM($T254:AG254)</f>
        <v>64.7512742000455</v>
      </c>
      <c r="AX254" s="16" t="n">
        <f aca="false">SUM($T254:AH254)</f>
        <v>69.8195490326048</v>
      </c>
      <c r="AY254" s="16" t="n">
        <f aca="false">SUM($T254:AI254)</f>
        <v>74.6040137373573</v>
      </c>
      <c r="AZ254" s="16" t="n">
        <f aca="false">MAX(C254-AJ254,0)</f>
        <v>61.4728851984109</v>
      </c>
      <c r="BA254" s="16" t="n">
        <f aca="false">MAX(C254-AK254,0)</f>
        <v>56.9853692961211</v>
      </c>
      <c r="BB254" s="16" t="n">
        <f aca="false">MAX(C254-AL254,0)</f>
        <v>51.7539276168019</v>
      </c>
      <c r="BC254" s="16" t="n">
        <f aca="false">MAX(C254-AM254,0)</f>
        <v>46.0571736738869</v>
      </c>
      <c r="BD254" s="16" t="n">
        <f aca="false">MAX(C254-AN254,0)</f>
        <v>41.5324731627452</v>
      </c>
      <c r="BE254" s="16" t="n">
        <f aca="false">MAX(C254-AO254,0)</f>
        <v>37.4774606004066</v>
      </c>
      <c r="BF254" s="16" t="n">
        <f aca="false">MAX(C254-AP254,0)</f>
        <v>33.2893567295622</v>
      </c>
      <c r="BG254" s="16" t="n">
        <f aca="false">MAX(C254-AQ254,0)</f>
        <v>28.487525404451</v>
      </c>
      <c r="BH254" s="16" t="n">
        <f aca="false">MAX(C254-AR254,0)</f>
        <v>24.0509327598229</v>
      </c>
      <c r="BI254" s="16" t="n">
        <f aca="false">MAX(C254-AS254,0)</f>
        <v>19.2497255891641</v>
      </c>
      <c r="BJ254" s="16" t="n">
        <f aca="false">MAX(C254-AT254,0)</f>
        <v>14.3715940562736</v>
      </c>
      <c r="BK254" s="16" t="n">
        <f aca="false">MAX(C254-AU254,0)</f>
        <v>9.75343500054211</v>
      </c>
      <c r="BL254" s="16" t="n">
        <f aca="false">MAX(C254-AV254,0)</f>
        <v>5.53603255228811</v>
      </c>
      <c r="BM254" s="16" t="n">
        <f aca="false">MAX(C254-AW254,0)</f>
        <v>1.41663977073293</v>
      </c>
      <c r="BN254" s="16" t="n">
        <f aca="false">MAX(C254-AX254,0)</f>
        <v>0</v>
      </c>
      <c r="BO254" s="16" t="n">
        <f aca="false">MAX(C254-AY254,0)</f>
        <v>0</v>
      </c>
    </row>
    <row r="255" customFormat="false" ht="15" hidden="false" customHeight="false" outlineLevel="0" collapsed="false">
      <c r="A255" s="3" t="n">
        <v>225</v>
      </c>
      <c r="B255" s="15" t="n">
        <f aca="true">RAND()</f>
        <v>0.802675166888506</v>
      </c>
      <c r="C255" s="16" t="n">
        <f aca="false">LOOKUP(B255,$E$12:$E$17,$A$12:$A$17)+LOOKUP(B255,$E$12:$E$17,$D$12:$D$17)*(B255-LOOKUP(B255,$E$12:$E$17))/LOOKUP(B255,$E$12:$E$17,$C$12:$C$17)</f>
        <v>68.6096452412644</v>
      </c>
      <c r="D255" s="15" t="n">
        <f aca="true">RAND()</f>
        <v>0.172858818345083</v>
      </c>
      <c r="E255" s="15" t="n">
        <f aca="true">RAND()</f>
        <v>0.682400144658581</v>
      </c>
      <c r="F255" s="15" t="n">
        <f aca="true">RAND()</f>
        <v>0.169955823671296</v>
      </c>
      <c r="G255" s="15" t="n">
        <f aca="true">RAND()</f>
        <v>0.236717222191383</v>
      </c>
      <c r="H255" s="15" t="n">
        <f aca="true">RAND()</f>
        <v>0.105492679759366</v>
      </c>
      <c r="I255" s="15" t="n">
        <f aca="true">RAND()</f>
        <v>0.58567171499258</v>
      </c>
      <c r="J255" s="15" t="n">
        <f aca="true">RAND()</f>
        <v>0.547499096511838</v>
      </c>
      <c r="K255" s="15" t="n">
        <f aca="true">RAND()</f>
        <v>0.508764638650756</v>
      </c>
      <c r="L255" s="15" t="n">
        <f aca="true">RAND()</f>
        <v>0.721000075751403</v>
      </c>
      <c r="M255" s="15" t="n">
        <f aca="true">RAND()</f>
        <v>0.0557113577860513</v>
      </c>
      <c r="N255" s="15" t="n">
        <f aca="true">RAND()</f>
        <v>0.376795929202162</v>
      </c>
      <c r="O255" s="15" t="n">
        <f aca="true">RAND()</f>
        <v>0.423990316860271</v>
      </c>
      <c r="P255" s="15" t="n">
        <f aca="true">RAND()</f>
        <v>0.498717492864097</v>
      </c>
      <c r="Q255" s="15" t="n">
        <f aca="true">RAND()</f>
        <v>0.306983733533023</v>
      </c>
      <c r="R255" s="15" t="n">
        <f aca="true">RAND()</f>
        <v>0.235263418985323</v>
      </c>
      <c r="S255" s="15" t="n">
        <f aca="true">RAND()</f>
        <v>0.472589884484249</v>
      </c>
      <c r="T255" s="16" t="n">
        <f aca="false">LOOKUP(D255,$E$23:$E$26,$A$23:$A$26)+LOOKUP(D255,$E$23:$E$26,$D$23:$D$26)*(D255-LOOKUP(D255,$E$23:$E$26))/LOOKUP(D255,$E$23:$E$26,$C$23:$C$26)</f>
        <v>4.28809803057514</v>
      </c>
      <c r="U255" s="16" t="n">
        <f aca="false">LOOKUP(E255,$E$23:$E$26,$A$23:$A$26)+LOOKUP(E255,$E$23:$E$26,$D$23:$D$26)*(E255-LOOKUP(E255,$E$23:$E$26))/LOOKUP(E255,$E$23:$E$26,$C$23:$C$26)</f>
        <v>4.97800018082323</v>
      </c>
      <c r="V255" s="16" t="n">
        <f aca="false">LOOKUP(F255,$E$23:$E$26,$A$23:$A$26)+LOOKUP(F255,$E$23:$E$26,$D$23:$D$26)*(F255-LOOKUP(F255,$E$23:$E$26))/LOOKUP(F255,$E$23:$E$26,$C$23:$C$26)</f>
        <v>4.28325970611883</v>
      </c>
      <c r="W255" s="16" t="n">
        <f aca="false">LOOKUP(G255,$E$23:$E$26,$A$23:$A$26)+LOOKUP(G255,$E$23:$E$26,$D$23:$D$26)*(G255-LOOKUP(G255,$E$23:$E$26))/LOOKUP(G255,$E$23:$E$26,$C$23:$C$26)</f>
        <v>4.39452870365231</v>
      </c>
      <c r="X255" s="16" t="n">
        <f aca="false">LOOKUP(H255,$E$23:$E$26,$A$23:$A$26)+LOOKUP(H255,$E$23:$E$26,$D$23:$D$26)*(H255-LOOKUP(H255,$E$23:$E$26))/LOOKUP(H255,$E$23:$E$26,$C$23:$C$26)</f>
        <v>4.17582113293228</v>
      </c>
      <c r="Y255" s="16" t="n">
        <f aca="false">LOOKUP(I255,$E$23:$E$26,$A$23:$A$26)+LOOKUP(I255,$E$23:$E$26,$D$23:$D$26)*(I255-LOOKUP(I255,$E$23:$E$26))/LOOKUP(I255,$E$23:$E$26,$C$23:$C$26)</f>
        <v>4.85708964374073</v>
      </c>
      <c r="Z255" s="16" t="n">
        <f aca="false">LOOKUP(J255,$E$23:$E$26,$A$23:$A$26)+LOOKUP(J255,$E$23:$E$26,$D$23:$D$26)*(J255-LOOKUP(J255,$E$23:$E$26))/LOOKUP(J255,$E$23:$E$26,$C$23:$C$26)</f>
        <v>4.8093738706398</v>
      </c>
      <c r="AA255" s="16" t="n">
        <f aca="false">LOOKUP(K255,$E$23:$E$26,$A$23:$A$26)+LOOKUP(K255,$E$23:$E$26,$D$23:$D$26)*(K255-LOOKUP(K255,$E$23:$E$26))/LOOKUP(K255,$E$23:$E$26,$C$23:$C$26)</f>
        <v>4.76095579831345</v>
      </c>
      <c r="AB255" s="16" t="n">
        <f aca="false">LOOKUP(L255,$E$23:$E$26,$A$23:$A$26)+LOOKUP(L255,$E$23:$E$26,$D$23:$D$26)*(L255-LOOKUP(L255,$E$23:$E$26))/LOOKUP(L255,$E$23:$E$26,$C$23:$C$26)</f>
        <v>5.05250018937851</v>
      </c>
      <c r="AC255" s="16" t="n">
        <f aca="false">LOOKUP(M255,$E$23:$E$26,$A$23:$A$26)+LOOKUP(M255,$E$23:$E$26,$D$23:$D$26)*(M255-LOOKUP(M255,$E$23:$E$26))/LOOKUP(M255,$E$23:$E$26,$C$23:$C$26)</f>
        <v>4.09285226297675</v>
      </c>
      <c r="AD255" s="16" t="n">
        <f aca="false">LOOKUP(N255,$E$23:$E$26,$A$23:$A$26)+LOOKUP(N255,$E$23:$E$26,$D$23:$D$26)*(N255-LOOKUP(N255,$E$23:$E$26))/LOOKUP(N255,$E$23:$E$26,$C$23:$C$26)</f>
        <v>4.5959949115027</v>
      </c>
      <c r="AE255" s="16" t="n">
        <f aca="false">LOOKUP(O255,$E$23:$E$26,$A$23:$A$26)+LOOKUP(O255,$E$23:$E$26,$D$23:$D$26)*(O255-LOOKUP(O255,$E$23:$E$26))/LOOKUP(O255,$E$23:$E$26,$C$23:$C$26)</f>
        <v>4.65498789607534</v>
      </c>
      <c r="AF255" s="16" t="n">
        <f aca="false">LOOKUP(P255,$E$23:$E$26,$A$23:$A$26)+LOOKUP(P255,$E$23:$E$26,$D$23:$D$26)*(P255-LOOKUP(P255,$E$23:$E$26))/LOOKUP(P255,$E$23:$E$26,$C$23:$C$26)</f>
        <v>4.74839686608012</v>
      </c>
      <c r="AG255" s="16" t="n">
        <f aca="false">LOOKUP(Q255,$E$23:$E$26,$A$23:$A$26)+LOOKUP(Q255,$E$23:$E$26,$D$23:$D$26)*(Q255-LOOKUP(Q255,$E$23:$E$26))/LOOKUP(Q255,$E$23:$E$26,$C$23:$C$26)</f>
        <v>4.50872966691628</v>
      </c>
      <c r="AH255" s="16" t="n">
        <f aca="false">LOOKUP(R255,$E$23:$E$26,$A$23:$A$26)+LOOKUP(R255,$E$23:$E$26,$D$23:$D$26)*(R255-LOOKUP(R255,$E$23:$E$26))/LOOKUP(R255,$E$23:$E$26,$C$23:$C$26)</f>
        <v>4.39210569830887</v>
      </c>
      <c r="AI255" s="16" t="n">
        <f aca="false">LOOKUP(S255,$E$23:$E$26,$A$23:$A$26)+LOOKUP(S255,$E$23:$E$26,$D$23:$D$26)*(S255-LOOKUP(S255,$E$23:$E$26))/LOOKUP(S255,$E$23:$E$26,$C$23:$C$26)</f>
        <v>4.71573735560531</v>
      </c>
      <c r="AJ255" s="16" t="n">
        <f aca="false">SUM($T255:T255)</f>
        <v>4.28809803057514</v>
      </c>
      <c r="AK255" s="16" t="n">
        <f aca="false">SUM($T255:U255)</f>
        <v>9.26609821139837</v>
      </c>
      <c r="AL255" s="16" t="n">
        <f aca="false">SUM($T255:V255)</f>
        <v>13.5493579175172</v>
      </c>
      <c r="AM255" s="16" t="n">
        <f aca="false">SUM($T255:W255)</f>
        <v>17.9438866211695</v>
      </c>
      <c r="AN255" s="16" t="n">
        <f aca="false">SUM($T255:X255)</f>
        <v>22.1197077541018</v>
      </c>
      <c r="AO255" s="16" t="n">
        <f aca="false">SUM($T255:Y255)</f>
        <v>26.9767973978425</v>
      </c>
      <c r="AP255" s="16" t="n">
        <f aca="false">SUM($T255:Z255)</f>
        <v>31.7861712684823</v>
      </c>
      <c r="AQ255" s="16" t="n">
        <f aca="false">SUM($T255:AA255)</f>
        <v>36.5471270667957</v>
      </c>
      <c r="AR255" s="16" t="n">
        <f aca="false">SUM($T255:AB255)</f>
        <v>41.5996272561742</v>
      </c>
      <c r="AS255" s="16" t="n">
        <f aca="false">SUM($T255:AC255)</f>
        <v>45.692479519151</v>
      </c>
      <c r="AT255" s="16" t="n">
        <f aca="false">SUM($T255:AD255)</f>
        <v>50.2884744306537</v>
      </c>
      <c r="AU255" s="16" t="n">
        <f aca="false">SUM($T255:AE255)</f>
        <v>54.943462326729</v>
      </c>
      <c r="AV255" s="16" t="n">
        <f aca="false">SUM($T255:AF255)</f>
        <v>59.6918591928092</v>
      </c>
      <c r="AW255" s="16" t="n">
        <f aca="false">SUM($T255:AG255)</f>
        <v>64.2005888597254</v>
      </c>
      <c r="AX255" s="16" t="n">
        <f aca="false">SUM($T255:AH255)</f>
        <v>68.5926945580343</v>
      </c>
      <c r="AY255" s="16" t="n">
        <f aca="false">SUM($T255:AI255)</f>
        <v>73.3084319136396</v>
      </c>
      <c r="AZ255" s="16" t="n">
        <f aca="false">MAX(C255-AJ255,0)</f>
        <v>64.3215472106892</v>
      </c>
      <c r="BA255" s="16" t="n">
        <f aca="false">MAX(C255-AK255,0)</f>
        <v>59.343547029866</v>
      </c>
      <c r="BB255" s="16" t="n">
        <f aca="false">MAX(C255-AL255,0)</f>
        <v>55.0602873237472</v>
      </c>
      <c r="BC255" s="16" t="n">
        <f aca="false">MAX(C255-AM255,0)</f>
        <v>50.6657586200949</v>
      </c>
      <c r="BD255" s="16" t="n">
        <f aca="false">MAX(C255-AN255,0)</f>
        <v>46.4899374871626</v>
      </c>
      <c r="BE255" s="16" t="n">
        <f aca="false">MAX(C255-AO255,0)</f>
        <v>41.6328478434219</v>
      </c>
      <c r="BF255" s="16" t="n">
        <f aca="false">MAX(C255-AP255,0)</f>
        <v>36.8234739727821</v>
      </c>
      <c r="BG255" s="16" t="n">
        <f aca="false">MAX(C255-AQ255,0)</f>
        <v>32.0625181744686</v>
      </c>
      <c r="BH255" s="16" t="n">
        <f aca="false">MAX(C255-AR255,0)</f>
        <v>27.0100179850901</v>
      </c>
      <c r="BI255" s="16" t="n">
        <f aca="false">MAX(C255-AS255,0)</f>
        <v>22.9171657221134</v>
      </c>
      <c r="BJ255" s="16" t="n">
        <f aca="false">MAX(C255-AT255,0)</f>
        <v>18.3211708106107</v>
      </c>
      <c r="BK255" s="16" t="n">
        <f aca="false">MAX(C255-AU255,0)</f>
        <v>13.6661829145353</v>
      </c>
      <c r="BL255" s="16" t="n">
        <f aca="false">MAX(C255-AV255,0)</f>
        <v>8.91778604845521</v>
      </c>
      <c r="BM255" s="16" t="n">
        <f aca="false">MAX(C255-AW255,0)</f>
        <v>4.40905638153893</v>
      </c>
      <c r="BN255" s="16" t="n">
        <f aca="false">MAX(C255-AX255,0)</f>
        <v>0.0169506832300641</v>
      </c>
      <c r="BO255" s="16" t="n">
        <f aca="false">MAX(C255-AY255,0)</f>
        <v>0</v>
      </c>
    </row>
    <row r="256" customFormat="false" ht="15" hidden="false" customHeight="false" outlineLevel="0" collapsed="false">
      <c r="A256" s="3" t="n">
        <v>226</v>
      </c>
      <c r="B256" s="15" t="n">
        <f aca="true">RAND()</f>
        <v>0.0513748576140403</v>
      </c>
      <c r="C256" s="16" t="n">
        <f aca="false">LOOKUP(B256,$E$12:$E$17,$A$12:$A$17)+LOOKUP(B256,$E$12:$E$17,$D$12:$D$17)*(B256-LOOKUP(B256,$E$12:$E$17))/LOOKUP(B256,$E$12:$E$17,$C$12:$C$17)</f>
        <v>52.568742880702</v>
      </c>
      <c r="D256" s="15" t="n">
        <f aca="true">RAND()</f>
        <v>0.0922634839301217</v>
      </c>
      <c r="E256" s="15" t="n">
        <f aca="true">RAND()</f>
        <v>0.60588916618984</v>
      </c>
      <c r="F256" s="15" t="n">
        <f aca="true">RAND()</f>
        <v>0.502930679281034</v>
      </c>
      <c r="G256" s="15" t="n">
        <f aca="true">RAND()</f>
        <v>0.693644297191117</v>
      </c>
      <c r="H256" s="15" t="n">
        <f aca="true">RAND()</f>
        <v>0.211089692896994</v>
      </c>
      <c r="I256" s="15" t="n">
        <f aca="true">RAND()</f>
        <v>0.878090426412786</v>
      </c>
      <c r="J256" s="15" t="n">
        <f aca="true">RAND()</f>
        <v>0.172960697044199</v>
      </c>
      <c r="K256" s="15" t="n">
        <f aca="true">RAND()</f>
        <v>0.690997672240256</v>
      </c>
      <c r="L256" s="15" t="n">
        <f aca="true">RAND()</f>
        <v>0.215047603147279</v>
      </c>
      <c r="M256" s="15" t="n">
        <f aca="true">RAND()</f>
        <v>0.400042876002351</v>
      </c>
      <c r="N256" s="15" t="n">
        <f aca="true">RAND()</f>
        <v>0.775618567715386</v>
      </c>
      <c r="O256" s="15" t="n">
        <f aca="true">RAND()</f>
        <v>0.573982106543808</v>
      </c>
      <c r="P256" s="15" t="n">
        <f aca="true">RAND()</f>
        <v>0.599047921502849</v>
      </c>
      <c r="Q256" s="15" t="n">
        <f aca="true">RAND()</f>
        <v>0.0636137415232357</v>
      </c>
      <c r="R256" s="15" t="n">
        <f aca="true">RAND()</f>
        <v>0.152952491291364</v>
      </c>
      <c r="S256" s="15" t="n">
        <f aca="true">RAND()</f>
        <v>0.453046046209584</v>
      </c>
      <c r="T256" s="16" t="n">
        <f aca="false">LOOKUP(D256,$E$23:$E$26,$A$23:$A$26)+LOOKUP(D256,$E$23:$E$26,$D$23:$D$26)*(D256-LOOKUP(D256,$E$23:$E$26))/LOOKUP(D256,$E$23:$E$26,$C$23:$C$26)</f>
        <v>4.15377247321687</v>
      </c>
      <c r="U256" s="16" t="n">
        <f aca="false">LOOKUP(E256,$E$23:$E$26,$A$23:$A$26)+LOOKUP(E256,$E$23:$E$26,$D$23:$D$26)*(E256-LOOKUP(E256,$E$23:$E$26))/LOOKUP(E256,$E$23:$E$26,$C$23:$C$26)</f>
        <v>4.8823614577373</v>
      </c>
      <c r="V256" s="16" t="n">
        <f aca="false">LOOKUP(F256,$E$23:$E$26,$A$23:$A$26)+LOOKUP(F256,$E$23:$E$26,$D$23:$D$26)*(F256-LOOKUP(F256,$E$23:$E$26))/LOOKUP(F256,$E$23:$E$26,$C$23:$C$26)</f>
        <v>4.75366334910129</v>
      </c>
      <c r="W256" s="16" t="n">
        <f aca="false">LOOKUP(G256,$E$23:$E$26,$A$23:$A$26)+LOOKUP(G256,$E$23:$E$26,$D$23:$D$26)*(G256-LOOKUP(G256,$E$23:$E$26))/LOOKUP(G256,$E$23:$E$26,$C$23:$C$26)</f>
        <v>4.9920553714889</v>
      </c>
      <c r="X256" s="16" t="n">
        <f aca="false">LOOKUP(H256,$E$23:$E$26,$A$23:$A$26)+LOOKUP(H256,$E$23:$E$26,$D$23:$D$26)*(H256-LOOKUP(H256,$E$23:$E$26))/LOOKUP(H256,$E$23:$E$26,$C$23:$C$26)</f>
        <v>4.35181615482832</v>
      </c>
      <c r="Y256" s="16" t="n">
        <f aca="false">LOOKUP(I256,$E$23:$E$26,$A$23:$A$26)+LOOKUP(I256,$E$23:$E$26,$D$23:$D$26)*(I256-LOOKUP(I256,$E$23:$E$26))/LOOKUP(I256,$E$23:$E$26,$C$23:$C$26)</f>
        <v>5.44522606603197</v>
      </c>
      <c r="Z256" s="16" t="n">
        <f aca="false">LOOKUP(J256,$E$23:$E$26,$A$23:$A$26)+LOOKUP(J256,$E$23:$E$26,$D$23:$D$26)*(J256-LOOKUP(J256,$E$23:$E$26))/LOOKUP(J256,$E$23:$E$26,$C$23:$C$26)</f>
        <v>4.288267828407</v>
      </c>
      <c r="AA256" s="16" t="n">
        <f aca="false">LOOKUP(K256,$E$23:$E$26,$A$23:$A$26)+LOOKUP(K256,$E$23:$E$26,$D$23:$D$26)*(K256-LOOKUP(K256,$E$23:$E$26))/LOOKUP(K256,$E$23:$E$26,$C$23:$C$26)</f>
        <v>4.98874709030032</v>
      </c>
      <c r="AB256" s="16" t="n">
        <f aca="false">LOOKUP(L256,$E$23:$E$26,$A$23:$A$26)+LOOKUP(L256,$E$23:$E$26,$D$23:$D$26)*(L256-LOOKUP(L256,$E$23:$E$26))/LOOKUP(L256,$E$23:$E$26,$C$23:$C$26)</f>
        <v>4.35841267191213</v>
      </c>
      <c r="AC256" s="16" t="n">
        <f aca="false">LOOKUP(M256,$E$23:$E$26,$A$23:$A$26)+LOOKUP(M256,$E$23:$E$26,$D$23:$D$26)*(M256-LOOKUP(M256,$E$23:$E$26))/LOOKUP(M256,$E$23:$E$26,$C$23:$C$26)</f>
        <v>4.62505359500294</v>
      </c>
      <c r="AD256" s="16" t="n">
        <f aca="false">LOOKUP(N256,$E$23:$E$26,$A$23:$A$26)+LOOKUP(N256,$E$23:$E$26,$D$23:$D$26)*(N256-LOOKUP(N256,$E$23:$E$26))/LOOKUP(N256,$E$23:$E$26,$C$23:$C$26)</f>
        <v>5.18904641928846</v>
      </c>
      <c r="AE256" s="16" t="n">
        <f aca="false">LOOKUP(O256,$E$23:$E$26,$A$23:$A$26)+LOOKUP(O256,$E$23:$E$26,$D$23:$D$26)*(O256-LOOKUP(O256,$E$23:$E$26))/LOOKUP(O256,$E$23:$E$26,$C$23:$C$26)</f>
        <v>4.84247763317976</v>
      </c>
      <c r="AF256" s="16" t="n">
        <f aca="false">LOOKUP(P256,$E$23:$E$26,$A$23:$A$26)+LOOKUP(P256,$E$23:$E$26,$D$23:$D$26)*(P256-LOOKUP(P256,$E$23:$E$26))/LOOKUP(P256,$E$23:$E$26,$C$23:$C$26)</f>
        <v>4.87380990187856</v>
      </c>
      <c r="AG256" s="16" t="n">
        <f aca="false">LOOKUP(Q256,$E$23:$E$26,$A$23:$A$26)+LOOKUP(Q256,$E$23:$E$26,$D$23:$D$26)*(Q256-LOOKUP(Q256,$E$23:$E$26))/LOOKUP(Q256,$E$23:$E$26,$C$23:$C$26)</f>
        <v>4.10602290253873</v>
      </c>
      <c r="AH256" s="16" t="n">
        <f aca="false">LOOKUP(R256,$E$23:$E$26,$A$23:$A$26)+LOOKUP(R256,$E$23:$E$26,$D$23:$D$26)*(R256-LOOKUP(R256,$E$23:$E$26))/LOOKUP(R256,$E$23:$E$26,$C$23:$C$26)</f>
        <v>4.25492081881894</v>
      </c>
      <c r="AI256" s="16" t="n">
        <f aca="false">LOOKUP(S256,$E$23:$E$26,$A$23:$A$26)+LOOKUP(S256,$E$23:$E$26,$D$23:$D$26)*(S256-LOOKUP(S256,$E$23:$E$26))/LOOKUP(S256,$E$23:$E$26,$C$23:$C$26)</f>
        <v>4.69130755776198</v>
      </c>
      <c r="AJ256" s="16" t="n">
        <f aca="false">SUM($T256:T256)</f>
        <v>4.15377247321687</v>
      </c>
      <c r="AK256" s="16" t="n">
        <f aca="false">SUM($T256:U256)</f>
        <v>9.03613393095417</v>
      </c>
      <c r="AL256" s="16" t="n">
        <f aca="false">SUM($T256:V256)</f>
        <v>13.7897972800555</v>
      </c>
      <c r="AM256" s="16" t="n">
        <f aca="false">SUM($T256:W256)</f>
        <v>18.7818526515444</v>
      </c>
      <c r="AN256" s="16" t="n">
        <f aca="false">SUM($T256:X256)</f>
        <v>23.1336688063727</v>
      </c>
      <c r="AO256" s="16" t="n">
        <f aca="false">SUM($T256:Y256)</f>
        <v>28.5788948724046</v>
      </c>
      <c r="AP256" s="16" t="n">
        <f aca="false">SUM($T256:Z256)</f>
        <v>32.8671627008117</v>
      </c>
      <c r="AQ256" s="16" t="n">
        <f aca="false">SUM($T256:AA256)</f>
        <v>37.855909791112</v>
      </c>
      <c r="AR256" s="16" t="n">
        <f aca="false">SUM($T256:AB256)</f>
        <v>42.2143224630241</v>
      </c>
      <c r="AS256" s="16" t="n">
        <f aca="false">SUM($T256:AC256)</f>
        <v>46.839376058027</v>
      </c>
      <c r="AT256" s="16" t="n">
        <f aca="false">SUM($T256:AD256)</f>
        <v>52.0284224773155</v>
      </c>
      <c r="AU256" s="16" t="n">
        <f aca="false">SUM($T256:AE256)</f>
        <v>56.8709001104953</v>
      </c>
      <c r="AV256" s="16" t="n">
        <f aca="false">SUM($T256:AF256)</f>
        <v>61.7447100123738</v>
      </c>
      <c r="AW256" s="16" t="n">
        <f aca="false">SUM($T256:AG256)</f>
        <v>65.8507329149126</v>
      </c>
      <c r="AX256" s="16" t="n">
        <f aca="false">SUM($T256:AH256)</f>
        <v>70.1056537337315</v>
      </c>
      <c r="AY256" s="16" t="n">
        <f aca="false">SUM($T256:AI256)</f>
        <v>74.7969612914935</v>
      </c>
      <c r="AZ256" s="16" t="n">
        <f aca="false">MAX(C256-AJ256,0)</f>
        <v>48.4149704074851</v>
      </c>
      <c r="BA256" s="16" t="n">
        <f aca="false">MAX(C256-AK256,0)</f>
        <v>43.5326089497478</v>
      </c>
      <c r="BB256" s="16" t="n">
        <f aca="false">MAX(C256-AL256,0)</f>
        <v>38.7789456006466</v>
      </c>
      <c r="BC256" s="16" t="n">
        <f aca="false">MAX(C256-AM256,0)</f>
        <v>33.7868902291577</v>
      </c>
      <c r="BD256" s="16" t="n">
        <f aca="false">MAX(C256-AN256,0)</f>
        <v>29.4350740743293</v>
      </c>
      <c r="BE256" s="16" t="n">
        <f aca="false">MAX(C256-AO256,0)</f>
        <v>23.9898480082974</v>
      </c>
      <c r="BF256" s="16" t="n">
        <f aca="false">MAX(C256-AP256,0)</f>
        <v>19.7015801798904</v>
      </c>
      <c r="BG256" s="16" t="n">
        <f aca="false">MAX(C256-AQ256,0)</f>
        <v>14.71283308959</v>
      </c>
      <c r="BH256" s="16" t="n">
        <f aca="false">MAX(C256-AR256,0)</f>
        <v>10.3544204176779</v>
      </c>
      <c r="BI256" s="16" t="n">
        <f aca="false">MAX(C256-AS256,0)</f>
        <v>5.72936682267498</v>
      </c>
      <c r="BJ256" s="16" t="n">
        <f aca="false">MAX(C256-AT256,0)</f>
        <v>0.540320403386509</v>
      </c>
      <c r="BK256" s="16" t="n">
        <f aca="false">MAX(C256-AU256,0)</f>
        <v>0</v>
      </c>
      <c r="BL256" s="16" t="n">
        <f aca="false">MAX(C256-AV256,0)</f>
        <v>0</v>
      </c>
      <c r="BM256" s="16" t="n">
        <f aca="false">MAX(C256-AW256,0)</f>
        <v>0</v>
      </c>
      <c r="BN256" s="16" t="n">
        <f aca="false">MAX(C256-AX256,0)</f>
        <v>0</v>
      </c>
      <c r="BO256" s="16" t="n">
        <f aca="false">MAX(C256-AY256,0)</f>
        <v>0</v>
      </c>
    </row>
    <row r="257" customFormat="false" ht="15" hidden="false" customHeight="false" outlineLevel="0" collapsed="false">
      <c r="A257" s="3" t="n">
        <v>227</v>
      </c>
      <c r="B257" s="15" t="n">
        <f aca="true">RAND()</f>
        <v>0.814723300009944</v>
      </c>
      <c r="C257" s="16" t="n">
        <f aca="false">LOOKUP(B257,$E$12:$E$17,$A$12:$A$17)+LOOKUP(B257,$E$12:$E$17,$D$12:$D$17)*(B257-LOOKUP(B257,$E$12:$E$17))/LOOKUP(B257,$E$12:$E$17,$C$12:$C$17)</f>
        <v>68.7817614287135</v>
      </c>
      <c r="D257" s="15" t="n">
        <f aca="true">RAND()</f>
        <v>0.715656334822757</v>
      </c>
      <c r="E257" s="15" t="n">
        <f aca="true">RAND()</f>
        <v>0.383935855667159</v>
      </c>
      <c r="F257" s="15" t="n">
        <f aca="true">RAND()</f>
        <v>0.112334876549863</v>
      </c>
      <c r="G257" s="15" t="n">
        <f aca="true">RAND()</f>
        <v>0.539601039698129</v>
      </c>
      <c r="H257" s="15" t="n">
        <f aca="true">RAND()</f>
        <v>0.317865865650128</v>
      </c>
      <c r="I257" s="15" t="n">
        <f aca="true">RAND()</f>
        <v>0.67756691868605</v>
      </c>
      <c r="J257" s="15" t="n">
        <f aca="true">RAND()</f>
        <v>0.538848524083539</v>
      </c>
      <c r="K257" s="15" t="n">
        <f aca="true">RAND()</f>
        <v>0.617275446001801</v>
      </c>
      <c r="L257" s="15" t="n">
        <f aca="true">RAND()</f>
        <v>0.373022144217516</v>
      </c>
      <c r="M257" s="15" t="n">
        <f aca="true">RAND()</f>
        <v>0.22750899374266</v>
      </c>
      <c r="N257" s="15" t="n">
        <f aca="true">RAND()</f>
        <v>0.30551574632534</v>
      </c>
      <c r="O257" s="15" t="n">
        <f aca="true">RAND()</f>
        <v>0.95438208058661</v>
      </c>
      <c r="P257" s="15" t="n">
        <f aca="true">RAND()</f>
        <v>0.751602777059458</v>
      </c>
      <c r="Q257" s="15" t="n">
        <f aca="true">RAND()</f>
        <v>0.351787322417769</v>
      </c>
      <c r="R257" s="15" t="n">
        <f aca="true">RAND()</f>
        <v>0.549441518697662</v>
      </c>
      <c r="S257" s="15" t="n">
        <f aca="true">RAND()</f>
        <v>0.371648377366344</v>
      </c>
      <c r="T257" s="16" t="n">
        <f aca="false">LOOKUP(D257,$E$23:$E$26,$A$23:$A$26)+LOOKUP(D257,$E$23:$E$26,$D$23:$D$26)*(D257-LOOKUP(D257,$E$23:$E$26))/LOOKUP(D257,$E$23:$E$26,$C$23:$C$26)</f>
        <v>5.03914083705689</v>
      </c>
      <c r="U257" s="16" t="n">
        <f aca="false">LOOKUP(E257,$E$23:$E$26,$A$23:$A$26)+LOOKUP(E257,$E$23:$E$26,$D$23:$D$26)*(E257-LOOKUP(E257,$E$23:$E$26))/LOOKUP(E257,$E$23:$E$26,$C$23:$C$26)</f>
        <v>4.60491981958395</v>
      </c>
      <c r="V257" s="16" t="n">
        <f aca="false">LOOKUP(F257,$E$23:$E$26,$A$23:$A$26)+LOOKUP(F257,$E$23:$E$26,$D$23:$D$26)*(F257-LOOKUP(F257,$E$23:$E$26))/LOOKUP(F257,$E$23:$E$26,$C$23:$C$26)</f>
        <v>4.18722479424977</v>
      </c>
      <c r="W257" s="16" t="n">
        <f aca="false">LOOKUP(G257,$E$23:$E$26,$A$23:$A$26)+LOOKUP(G257,$E$23:$E$26,$D$23:$D$26)*(G257-LOOKUP(G257,$E$23:$E$26))/LOOKUP(G257,$E$23:$E$26,$C$23:$C$26)</f>
        <v>4.79950129962266</v>
      </c>
      <c r="X257" s="16" t="n">
        <f aca="false">LOOKUP(H257,$E$23:$E$26,$A$23:$A$26)+LOOKUP(H257,$E$23:$E$26,$D$23:$D$26)*(H257-LOOKUP(H257,$E$23:$E$26))/LOOKUP(H257,$E$23:$E$26,$C$23:$C$26)</f>
        <v>4.52233233206266</v>
      </c>
      <c r="Y257" s="16" t="n">
        <f aca="false">LOOKUP(I257,$E$23:$E$26,$A$23:$A$26)+LOOKUP(I257,$E$23:$E$26,$D$23:$D$26)*(I257-LOOKUP(I257,$E$23:$E$26))/LOOKUP(I257,$E$23:$E$26,$C$23:$C$26)</f>
        <v>4.97195864835756</v>
      </c>
      <c r="Z257" s="16" t="n">
        <f aca="false">LOOKUP(J257,$E$23:$E$26,$A$23:$A$26)+LOOKUP(J257,$E$23:$E$26,$D$23:$D$26)*(J257-LOOKUP(J257,$E$23:$E$26))/LOOKUP(J257,$E$23:$E$26,$C$23:$C$26)</f>
        <v>4.79856065510442</v>
      </c>
      <c r="AA257" s="16" t="n">
        <f aca="false">LOOKUP(K257,$E$23:$E$26,$A$23:$A$26)+LOOKUP(K257,$E$23:$E$26,$D$23:$D$26)*(K257-LOOKUP(K257,$E$23:$E$26))/LOOKUP(K257,$E$23:$E$26,$C$23:$C$26)</f>
        <v>4.89659430750225</v>
      </c>
      <c r="AB257" s="16" t="n">
        <f aca="false">LOOKUP(L257,$E$23:$E$26,$A$23:$A$26)+LOOKUP(L257,$E$23:$E$26,$D$23:$D$26)*(L257-LOOKUP(L257,$E$23:$E$26))/LOOKUP(L257,$E$23:$E$26,$C$23:$C$26)</f>
        <v>4.5912776802719</v>
      </c>
      <c r="AC257" s="16" t="n">
        <f aca="false">LOOKUP(M257,$E$23:$E$26,$A$23:$A$26)+LOOKUP(M257,$E$23:$E$26,$D$23:$D$26)*(M257-LOOKUP(M257,$E$23:$E$26))/LOOKUP(M257,$E$23:$E$26,$C$23:$C$26)</f>
        <v>4.37918165623777</v>
      </c>
      <c r="AD257" s="16" t="n">
        <f aca="false">LOOKUP(N257,$E$23:$E$26,$A$23:$A$26)+LOOKUP(N257,$E$23:$E$26,$D$23:$D$26)*(N257-LOOKUP(N257,$E$23:$E$26))/LOOKUP(N257,$E$23:$E$26,$C$23:$C$26)</f>
        <v>4.50689468290668</v>
      </c>
      <c r="AE257" s="16" t="n">
        <f aca="false">LOOKUP(O257,$E$23:$E$26,$A$23:$A$26)+LOOKUP(O257,$E$23:$E$26,$D$23:$D$26)*(O257-LOOKUP(O257,$E$23:$E$26))/LOOKUP(O257,$E$23:$E$26,$C$23:$C$26)</f>
        <v>5.77191040293305</v>
      </c>
      <c r="AF257" s="16" t="n">
        <f aca="false">LOOKUP(P257,$E$23:$E$26,$A$23:$A$26)+LOOKUP(P257,$E$23:$E$26,$D$23:$D$26)*(P257-LOOKUP(P257,$E$23:$E$26))/LOOKUP(P257,$E$23:$E$26,$C$23:$C$26)</f>
        <v>5.12900694264865</v>
      </c>
      <c r="AG257" s="16" t="n">
        <f aca="false">LOOKUP(Q257,$E$23:$E$26,$A$23:$A$26)+LOOKUP(Q257,$E$23:$E$26,$D$23:$D$26)*(Q257-LOOKUP(Q257,$E$23:$E$26))/LOOKUP(Q257,$E$23:$E$26,$C$23:$C$26)</f>
        <v>4.56473415302221</v>
      </c>
      <c r="AH257" s="16" t="n">
        <f aca="false">LOOKUP(R257,$E$23:$E$26,$A$23:$A$26)+LOOKUP(R257,$E$23:$E$26,$D$23:$D$26)*(R257-LOOKUP(R257,$E$23:$E$26))/LOOKUP(R257,$E$23:$E$26,$C$23:$C$26)</f>
        <v>4.81180189837208</v>
      </c>
      <c r="AI257" s="16" t="n">
        <f aca="false">LOOKUP(S257,$E$23:$E$26,$A$23:$A$26)+LOOKUP(S257,$E$23:$E$26,$D$23:$D$26)*(S257-LOOKUP(S257,$E$23:$E$26))/LOOKUP(S257,$E$23:$E$26,$C$23:$C$26)</f>
        <v>4.58956047170793</v>
      </c>
      <c r="AJ257" s="16" t="n">
        <f aca="false">SUM($T257:T257)</f>
        <v>5.03914083705689</v>
      </c>
      <c r="AK257" s="16" t="n">
        <f aca="false">SUM($T257:U257)</f>
        <v>9.64406065664084</v>
      </c>
      <c r="AL257" s="16" t="n">
        <f aca="false">SUM($T257:V257)</f>
        <v>13.8312854508906</v>
      </c>
      <c r="AM257" s="16" t="n">
        <f aca="false">SUM($T257:W257)</f>
        <v>18.6307867505133</v>
      </c>
      <c r="AN257" s="16" t="n">
        <f aca="false">SUM($T257:X257)</f>
        <v>23.1531190825759</v>
      </c>
      <c r="AO257" s="16" t="n">
        <f aca="false">SUM($T257:Y257)</f>
        <v>28.1250777309335</v>
      </c>
      <c r="AP257" s="16" t="n">
        <f aca="false">SUM($T257:Z257)</f>
        <v>32.9236383860379</v>
      </c>
      <c r="AQ257" s="16" t="n">
        <f aca="false">SUM($T257:AA257)</f>
        <v>37.8202326935402</v>
      </c>
      <c r="AR257" s="16" t="n">
        <f aca="false">SUM($T257:AB257)</f>
        <v>42.4115103738121</v>
      </c>
      <c r="AS257" s="16" t="n">
        <f aca="false">SUM($T257:AC257)</f>
        <v>46.7906920300498</v>
      </c>
      <c r="AT257" s="16" t="n">
        <f aca="false">SUM($T257:AD257)</f>
        <v>51.2975867129565</v>
      </c>
      <c r="AU257" s="16" t="n">
        <f aca="false">SUM($T257:AE257)</f>
        <v>57.0694971158896</v>
      </c>
      <c r="AV257" s="16" t="n">
        <f aca="false">SUM($T257:AF257)</f>
        <v>62.1985040585382</v>
      </c>
      <c r="AW257" s="16" t="n">
        <f aca="false">SUM($T257:AG257)</f>
        <v>66.7632382115604</v>
      </c>
      <c r="AX257" s="16" t="n">
        <f aca="false">SUM($T257:AH257)</f>
        <v>71.5750401099325</v>
      </c>
      <c r="AY257" s="16" t="n">
        <f aca="false">SUM($T257:AI257)</f>
        <v>76.1646005816404</v>
      </c>
      <c r="AZ257" s="16" t="n">
        <f aca="false">MAX(C257-AJ257,0)</f>
        <v>63.7426205916566</v>
      </c>
      <c r="BA257" s="16" t="n">
        <f aca="false">MAX(C257-AK257,0)</f>
        <v>59.1377007720727</v>
      </c>
      <c r="BB257" s="16" t="n">
        <f aca="false">MAX(C257-AL257,0)</f>
        <v>54.9504759778229</v>
      </c>
      <c r="BC257" s="16" t="n">
        <f aca="false">MAX(C257-AM257,0)</f>
        <v>50.1509746782002</v>
      </c>
      <c r="BD257" s="16" t="n">
        <f aca="false">MAX(C257-AN257,0)</f>
        <v>45.6286423461376</v>
      </c>
      <c r="BE257" s="16" t="n">
        <f aca="false">MAX(C257-AO257,0)</f>
        <v>40.65668369778</v>
      </c>
      <c r="BF257" s="16" t="n">
        <f aca="false">MAX(C257-AP257,0)</f>
        <v>35.8581230426756</v>
      </c>
      <c r="BG257" s="16" t="n">
        <f aca="false">MAX(C257-AQ257,0)</f>
        <v>30.9615287351733</v>
      </c>
      <c r="BH257" s="16" t="n">
        <f aca="false">MAX(C257-AR257,0)</f>
        <v>26.3702510549014</v>
      </c>
      <c r="BI257" s="16" t="n">
        <f aca="false">MAX(C257-AS257,0)</f>
        <v>21.9910693986637</v>
      </c>
      <c r="BJ257" s="16" t="n">
        <f aca="false">MAX(C257-AT257,0)</f>
        <v>17.484174715757</v>
      </c>
      <c r="BK257" s="16" t="n">
        <f aca="false">MAX(C257-AU257,0)</f>
        <v>11.7122643128239</v>
      </c>
      <c r="BL257" s="16" t="n">
        <f aca="false">MAX(C257-AV257,0)</f>
        <v>6.58325737017529</v>
      </c>
      <c r="BM257" s="16" t="n">
        <f aca="false">MAX(C257-AW257,0)</f>
        <v>2.01852321715307</v>
      </c>
      <c r="BN257" s="16" t="n">
        <f aca="false">MAX(C257-AX257,0)</f>
        <v>0</v>
      </c>
      <c r="BO257" s="16" t="n">
        <f aca="false">MAX(C257-AY257,0)</f>
        <v>0</v>
      </c>
    </row>
    <row r="258" customFormat="false" ht="15" hidden="false" customHeight="false" outlineLevel="0" collapsed="false">
      <c r="A258" s="3" t="n">
        <v>228</v>
      </c>
      <c r="B258" s="15" t="n">
        <f aca="true">RAND()</f>
        <v>0.0604209538325348</v>
      </c>
      <c r="C258" s="16" t="n">
        <f aca="false">LOOKUP(B258,$E$12:$E$17,$A$12:$A$17)+LOOKUP(B258,$E$12:$E$17,$D$12:$D$17)*(B258-LOOKUP(B258,$E$12:$E$17))/LOOKUP(B258,$E$12:$E$17,$C$12:$C$17)</f>
        <v>53.0210476916267</v>
      </c>
      <c r="D258" s="15" t="n">
        <f aca="true">RAND()</f>
        <v>0.563333434769574</v>
      </c>
      <c r="E258" s="15" t="n">
        <f aca="true">RAND()</f>
        <v>0.538702981775083</v>
      </c>
      <c r="F258" s="15" t="n">
        <f aca="true">RAND()</f>
        <v>0.815386291443804</v>
      </c>
      <c r="G258" s="15" t="n">
        <f aca="true">RAND()</f>
        <v>0.0141055665123196</v>
      </c>
      <c r="H258" s="15" t="n">
        <f aca="true">RAND()</f>
        <v>0.436354092506074</v>
      </c>
      <c r="I258" s="15" t="n">
        <f aca="true">RAND()</f>
        <v>0.901031388214192</v>
      </c>
      <c r="J258" s="15" t="n">
        <f aca="true">RAND()</f>
        <v>0.743890751558525</v>
      </c>
      <c r="K258" s="15" t="n">
        <f aca="true">RAND()</f>
        <v>0.633981663780844</v>
      </c>
      <c r="L258" s="15" t="n">
        <f aca="true">RAND()</f>
        <v>0.179431482339098</v>
      </c>
      <c r="M258" s="15" t="n">
        <f aca="true">RAND()</f>
        <v>0.889124301871488</v>
      </c>
      <c r="N258" s="15" t="n">
        <f aca="true">RAND()</f>
        <v>0.440415539908088</v>
      </c>
      <c r="O258" s="15" t="n">
        <f aca="true">RAND()</f>
        <v>0.380539827782054</v>
      </c>
      <c r="P258" s="15" t="n">
        <f aca="true">RAND()</f>
        <v>0.928442313274302</v>
      </c>
      <c r="Q258" s="15" t="n">
        <f aca="true">RAND()</f>
        <v>0.110343834561666</v>
      </c>
      <c r="R258" s="15" t="n">
        <f aca="true">RAND()</f>
        <v>0.696107148975045</v>
      </c>
      <c r="S258" s="15" t="n">
        <f aca="true">RAND()</f>
        <v>0.471505105572118</v>
      </c>
      <c r="T258" s="16" t="n">
        <f aca="false">LOOKUP(D258,$E$23:$E$26,$A$23:$A$26)+LOOKUP(D258,$E$23:$E$26,$D$23:$D$26)*(D258-LOOKUP(D258,$E$23:$E$26))/LOOKUP(D258,$E$23:$E$26,$C$23:$C$26)</f>
        <v>4.82916679346197</v>
      </c>
      <c r="U258" s="16" t="n">
        <f aca="false">LOOKUP(E258,$E$23:$E$26,$A$23:$A$26)+LOOKUP(E258,$E$23:$E$26,$D$23:$D$26)*(E258-LOOKUP(E258,$E$23:$E$26))/LOOKUP(E258,$E$23:$E$26,$C$23:$C$26)</f>
        <v>4.79837872721885</v>
      </c>
      <c r="V258" s="16" t="n">
        <f aca="false">LOOKUP(F258,$E$23:$E$26,$A$23:$A$26)+LOOKUP(F258,$E$23:$E$26,$D$23:$D$26)*(F258-LOOKUP(F258,$E$23:$E$26))/LOOKUP(F258,$E$23:$E$26,$C$23:$C$26)</f>
        <v>5.28846572860951</v>
      </c>
      <c r="W258" s="16" t="n">
        <f aca="false">LOOKUP(G258,$E$23:$E$26,$A$23:$A$26)+LOOKUP(G258,$E$23:$E$26,$D$23:$D$26)*(G258-LOOKUP(G258,$E$23:$E$26))/LOOKUP(G258,$E$23:$E$26,$C$23:$C$26)</f>
        <v>4.02350927752053</v>
      </c>
      <c r="X258" s="16" t="n">
        <f aca="false">LOOKUP(H258,$E$23:$E$26,$A$23:$A$26)+LOOKUP(H258,$E$23:$E$26,$D$23:$D$26)*(H258-LOOKUP(H258,$E$23:$E$26))/LOOKUP(H258,$E$23:$E$26,$C$23:$C$26)</f>
        <v>4.67044261563259</v>
      </c>
      <c r="Y258" s="16" t="n">
        <f aca="false">LOOKUP(I258,$E$23:$E$26,$A$23:$A$26)+LOOKUP(I258,$E$23:$E$26,$D$23:$D$26)*(I258-LOOKUP(I258,$E$23:$E$26))/LOOKUP(I258,$E$23:$E$26,$C$23:$C$26)</f>
        <v>5.50515694107096</v>
      </c>
      <c r="Z258" s="16" t="n">
        <f aca="false">LOOKUP(J258,$E$23:$E$26,$A$23:$A$26)+LOOKUP(J258,$E$23:$E$26,$D$23:$D$26)*(J258-LOOKUP(J258,$E$23:$E$26))/LOOKUP(J258,$E$23:$E$26,$C$23:$C$26)</f>
        <v>5.10972687889631</v>
      </c>
      <c r="AA258" s="16" t="n">
        <f aca="false">LOOKUP(K258,$E$23:$E$26,$A$23:$A$26)+LOOKUP(K258,$E$23:$E$26,$D$23:$D$26)*(K258-LOOKUP(K258,$E$23:$E$26))/LOOKUP(K258,$E$23:$E$26,$C$23:$C$26)</f>
        <v>4.91747707972606</v>
      </c>
      <c r="AB258" s="16" t="n">
        <f aca="false">LOOKUP(L258,$E$23:$E$26,$A$23:$A$26)+LOOKUP(L258,$E$23:$E$26,$D$23:$D$26)*(L258-LOOKUP(L258,$E$23:$E$26))/LOOKUP(L258,$E$23:$E$26,$C$23:$C$26)</f>
        <v>4.29905247056516</v>
      </c>
      <c r="AC258" s="16" t="n">
        <f aca="false">LOOKUP(M258,$E$23:$E$26,$A$23:$A$26)+LOOKUP(M258,$E$23:$E$26,$D$23:$D$26)*(M258-LOOKUP(M258,$E$23:$E$26))/LOOKUP(M258,$E$23:$E$26,$C$23:$C$26)</f>
        <v>5.47281075467872</v>
      </c>
      <c r="AD258" s="16" t="n">
        <f aca="false">LOOKUP(N258,$E$23:$E$26,$A$23:$A$26)+LOOKUP(N258,$E$23:$E$26,$D$23:$D$26)*(N258-LOOKUP(N258,$E$23:$E$26))/LOOKUP(N258,$E$23:$E$26,$C$23:$C$26)</f>
        <v>4.67551942488511</v>
      </c>
      <c r="AE258" s="16" t="n">
        <f aca="false">LOOKUP(O258,$E$23:$E$26,$A$23:$A$26)+LOOKUP(O258,$E$23:$E$26,$D$23:$D$26)*(O258-LOOKUP(O258,$E$23:$E$26))/LOOKUP(O258,$E$23:$E$26,$C$23:$C$26)</f>
        <v>4.60067478472757</v>
      </c>
      <c r="AF258" s="16" t="n">
        <f aca="false">LOOKUP(P258,$E$23:$E$26,$A$23:$A$26)+LOOKUP(P258,$E$23:$E$26,$D$23:$D$26)*(P258-LOOKUP(P258,$E$23:$E$26))/LOOKUP(P258,$E$23:$E$26,$C$23:$C$26)</f>
        <v>5.64221156637151</v>
      </c>
      <c r="AG258" s="16" t="n">
        <f aca="false">LOOKUP(Q258,$E$23:$E$26,$A$23:$A$26)+LOOKUP(Q258,$E$23:$E$26,$D$23:$D$26)*(Q258-LOOKUP(Q258,$E$23:$E$26))/LOOKUP(Q258,$E$23:$E$26,$C$23:$C$26)</f>
        <v>4.18390639093611</v>
      </c>
      <c r="AH258" s="16" t="n">
        <f aca="false">LOOKUP(R258,$E$23:$E$26,$A$23:$A$26)+LOOKUP(R258,$E$23:$E$26,$D$23:$D$26)*(R258-LOOKUP(R258,$E$23:$E$26))/LOOKUP(R258,$E$23:$E$26,$C$23:$C$26)</f>
        <v>4.99513393621881</v>
      </c>
      <c r="AI258" s="16" t="n">
        <f aca="false">LOOKUP(S258,$E$23:$E$26,$A$23:$A$26)+LOOKUP(S258,$E$23:$E$26,$D$23:$D$26)*(S258-LOOKUP(S258,$E$23:$E$26))/LOOKUP(S258,$E$23:$E$26,$C$23:$C$26)</f>
        <v>4.71438138196515</v>
      </c>
      <c r="AJ258" s="16" t="n">
        <f aca="false">SUM($T258:T258)</f>
        <v>4.82916679346197</v>
      </c>
      <c r="AK258" s="16" t="n">
        <f aca="false">SUM($T258:U258)</f>
        <v>9.62754552068082</v>
      </c>
      <c r="AL258" s="16" t="n">
        <f aca="false">SUM($T258:V258)</f>
        <v>14.9160112492903</v>
      </c>
      <c r="AM258" s="16" t="n">
        <f aca="false">SUM($T258:W258)</f>
        <v>18.9395205268109</v>
      </c>
      <c r="AN258" s="16" t="n">
        <f aca="false">SUM($T258:X258)</f>
        <v>23.6099631424435</v>
      </c>
      <c r="AO258" s="16" t="n">
        <f aca="false">SUM($T258:Y258)</f>
        <v>29.1151200835144</v>
      </c>
      <c r="AP258" s="16" t="n">
        <f aca="false">SUM($T258:Z258)</f>
        <v>34.2248469624107</v>
      </c>
      <c r="AQ258" s="16" t="n">
        <f aca="false">SUM($T258:AA258)</f>
        <v>39.1423240421368</v>
      </c>
      <c r="AR258" s="16" t="n">
        <f aca="false">SUM($T258:AB258)</f>
        <v>43.441376512702</v>
      </c>
      <c r="AS258" s="16" t="n">
        <f aca="false">SUM($T258:AC258)</f>
        <v>48.9141872673807</v>
      </c>
      <c r="AT258" s="16" t="n">
        <f aca="false">SUM($T258:AD258)</f>
        <v>53.5897066922658</v>
      </c>
      <c r="AU258" s="16" t="n">
        <f aca="false">SUM($T258:AE258)</f>
        <v>58.1903814769933</v>
      </c>
      <c r="AV258" s="16" t="n">
        <f aca="false">SUM($T258:AF258)</f>
        <v>63.8325930433649</v>
      </c>
      <c r="AW258" s="16" t="n">
        <f aca="false">SUM($T258:AG258)</f>
        <v>68.016499434301</v>
      </c>
      <c r="AX258" s="16" t="n">
        <f aca="false">SUM($T258:AH258)</f>
        <v>73.0116333705198</v>
      </c>
      <c r="AY258" s="16" t="n">
        <f aca="false">SUM($T258:AI258)</f>
        <v>77.7260147524849</v>
      </c>
      <c r="AZ258" s="16" t="n">
        <f aca="false">MAX(C258-AJ258,0)</f>
        <v>48.1918808981648</v>
      </c>
      <c r="BA258" s="16" t="n">
        <f aca="false">MAX(C258-AK258,0)</f>
        <v>43.3935021709459</v>
      </c>
      <c r="BB258" s="16" t="n">
        <f aca="false">MAX(C258-AL258,0)</f>
        <v>38.1050364423364</v>
      </c>
      <c r="BC258" s="16" t="n">
        <f aca="false">MAX(C258-AM258,0)</f>
        <v>34.0815271648159</v>
      </c>
      <c r="BD258" s="16" t="n">
        <f aca="false">MAX(C258-AN258,0)</f>
        <v>29.4110845491833</v>
      </c>
      <c r="BE258" s="16" t="n">
        <f aca="false">MAX(C258-AO258,0)</f>
        <v>23.9059276081123</v>
      </c>
      <c r="BF258" s="16" t="n">
        <f aca="false">MAX(C258-AP258,0)</f>
        <v>18.796200729216</v>
      </c>
      <c r="BG258" s="16" t="n">
        <f aca="false">MAX(C258-AQ258,0)</f>
        <v>13.87872364949</v>
      </c>
      <c r="BH258" s="16" t="n">
        <f aca="false">MAX(C258-AR258,0)</f>
        <v>9.57967117892479</v>
      </c>
      <c r="BI258" s="16" t="n">
        <f aca="false">MAX(C258-AS258,0)</f>
        <v>4.10686042424607</v>
      </c>
      <c r="BJ258" s="16" t="n">
        <f aca="false">MAX(C258-AT258,0)</f>
        <v>0</v>
      </c>
      <c r="BK258" s="16" t="n">
        <f aca="false">MAX(C258-AU258,0)</f>
        <v>0</v>
      </c>
      <c r="BL258" s="16" t="n">
        <f aca="false">MAX(C258-AV258,0)</f>
        <v>0</v>
      </c>
      <c r="BM258" s="16" t="n">
        <f aca="false">MAX(C258-AW258,0)</f>
        <v>0</v>
      </c>
      <c r="BN258" s="16" t="n">
        <f aca="false">MAX(C258-AX258,0)</f>
        <v>0</v>
      </c>
      <c r="BO258" s="16" t="n">
        <f aca="false">MAX(C258-AY258,0)</f>
        <v>0</v>
      </c>
    </row>
    <row r="259" customFormat="false" ht="15" hidden="false" customHeight="false" outlineLevel="0" collapsed="false">
      <c r="A259" s="3" t="n">
        <v>229</v>
      </c>
      <c r="B259" s="15" t="n">
        <f aca="true">RAND()</f>
        <v>0.235208699708537</v>
      </c>
      <c r="C259" s="16" t="n">
        <f aca="false">LOOKUP(B259,$E$12:$E$17,$A$12:$A$17)+LOOKUP(B259,$E$12:$E$17,$D$12:$D$17)*(B259-LOOKUP(B259,$E$12:$E$17))/LOOKUP(B259,$E$12:$E$17,$C$12:$C$17)</f>
        <v>59.5069566569512</v>
      </c>
      <c r="D259" s="15" t="n">
        <f aca="true">RAND()</f>
        <v>0.168247387549064</v>
      </c>
      <c r="E259" s="15" t="n">
        <f aca="true">RAND()</f>
        <v>0.768025888239112</v>
      </c>
      <c r="F259" s="15" t="n">
        <f aca="true">RAND()</f>
        <v>0.0391681499777866</v>
      </c>
      <c r="G259" s="15" t="n">
        <f aca="true">RAND()</f>
        <v>0.0942204586326271</v>
      </c>
      <c r="H259" s="15" t="n">
        <f aca="true">RAND()</f>
        <v>0.836090976204914</v>
      </c>
      <c r="I259" s="15" t="n">
        <f aca="true">RAND()</f>
        <v>0.378402314802542</v>
      </c>
      <c r="J259" s="15" t="n">
        <f aca="true">RAND()</f>
        <v>0.450789965977416</v>
      </c>
      <c r="K259" s="15" t="n">
        <f aca="true">RAND()</f>
        <v>0.579362002567134</v>
      </c>
      <c r="L259" s="15" t="n">
        <f aca="true">RAND()</f>
        <v>0.785287810508821</v>
      </c>
      <c r="M259" s="15" t="n">
        <f aca="true">RAND()</f>
        <v>0.0510230870838701</v>
      </c>
      <c r="N259" s="15" t="n">
        <f aca="true">RAND()</f>
        <v>0.675463203605393</v>
      </c>
      <c r="O259" s="15" t="n">
        <f aca="true">RAND()</f>
        <v>0.448307140647278</v>
      </c>
      <c r="P259" s="15" t="n">
        <f aca="true">RAND()</f>
        <v>0.587172263310807</v>
      </c>
      <c r="Q259" s="15" t="n">
        <f aca="true">RAND()</f>
        <v>0.0291518142570949</v>
      </c>
      <c r="R259" s="15" t="n">
        <f aca="true">RAND()</f>
        <v>0.732544842583552</v>
      </c>
      <c r="S259" s="15" t="n">
        <f aca="true">RAND()</f>
        <v>0.105669973873086</v>
      </c>
      <c r="T259" s="16" t="n">
        <f aca="false">LOOKUP(D259,$E$23:$E$26,$A$23:$A$26)+LOOKUP(D259,$E$23:$E$26,$D$23:$D$26)*(D259-LOOKUP(D259,$E$23:$E$26))/LOOKUP(D259,$E$23:$E$26,$C$23:$C$26)</f>
        <v>4.28041231258177</v>
      </c>
      <c r="U259" s="16" t="n">
        <f aca="false">LOOKUP(E259,$E$23:$E$26,$A$23:$A$26)+LOOKUP(E259,$E$23:$E$26,$D$23:$D$26)*(E259-LOOKUP(E259,$E$23:$E$26))/LOOKUP(E259,$E$23:$E$26,$C$23:$C$26)</f>
        <v>5.17006472059778</v>
      </c>
      <c r="V259" s="16" t="n">
        <f aca="false">LOOKUP(F259,$E$23:$E$26,$A$23:$A$26)+LOOKUP(F259,$E$23:$E$26,$D$23:$D$26)*(F259-LOOKUP(F259,$E$23:$E$26))/LOOKUP(F259,$E$23:$E$26,$C$23:$C$26)</f>
        <v>4.06528024996298</v>
      </c>
      <c r="W259" s="16" t="n">
        <f aca="false">LOOKUP(G259,$E$23:$E$26,$A$23:$A$26)+LOOKUP(G259,$E$23:$E$26,$D$23:$D$26)*(G259-LOOKUP(G259,$E$23:$E$26))/LOOKUP(G259,$E$23:$E$26,$C$23:$C$26)</f>
        <v>4.15703409772105</v>
      </c>
      <c r="X259" s="16" t="n">
        <f aca="false">LOOKUP(H259,$E$23:$E$26,$A$23:$A$26)+LOOKUP(H259,$E$23:$E$26,$D$23:$D$26)*(H259-LOOKUP(H259,$E$23:$E$26))/LOOKUP(H259,$E$23:$E$26,$C$23:$C$26)</f>
        <v>5.34022744051229</v>
      </c>
      <c r="Y259" s="16" t="n">
        <f aca="false">LOOKUP(I259,$E$23:$E$26,$A$23:$A$26)+LOOKUP(I259,$E$23:$E$26,$D$23:$D$26)*(I259-LOOKUP(I259,$E$23:$E$26))/LOOKUP(I259,$E$23:$E$26,$C$23:$C$26)</f>
        <v>4.59800289350318</v>
      </c>
      <c r="Z259" s="16" t="n">
        <f aca="false">LOOKUP(J259,$E$23:$E$26,$A$23:$A$26)+LOOKUP(J259,$E$23:$E$26,$D$23:$D$26)*(J259-LOOKUP(J259,$E$23:$E$26))/LOOKUP(J259,$E$23:$E$26,$C$23:$C$26)</f>
        <v>4.68848745747177</v>
      </c>
      <c r="AA259" s="16" t="n">
        <f aca="false">LOOKUP(K259,$E$23:$E$26,$A$23:$A$26)+LOOKUP(K259,$E$23:$E$26,$D$23:$D$26)*(K259-LOOKUP(K259,$E$23:$E$26))/LOOKUP(K259,$E$23:$E$26,$C$23:$C$26)</f>
        <v>4.84920250320892</v>
      </c>
      <c r="AB259" s="16" t="n">
        <f aca="false">LOOKUP(L259,$E$23:$E$26,$A$23:$A$26)+LOOKUP(L259,$E$23:$E$26,$D$23:$D$26)*(L259-LOOKUP(L259,$E$23:$E$26))/LOOKUP(L259,$E$23:$E$26,$C$23:$C$26)</f>
        <v>5.21321952627205</v>
      </c>
      <c r="AC259" s="16" t="n">
        <f aca="false">LOOKUP(M259,$E$23:$E$26,$A$23:$A$26)+LOOKUP(M259,$E$23:$E$26,$D$23:$D$26)*(M259-LOOKUP(M259,$E$23:$E$26))/LOOKUP(M259,$E$23:$E$26,$C$23:$C$26)</f>
        <v>4.08503847847312</v>
      </c>
      <c r="AD259" s="16" t="n">
        <f aca="false">LOOKUP(N259,$E$23:$E$26,$A$23:$A$26)+LOOKUP(N259,$E$23:$E$26,$D$23:$D$26)*(N259-LOOKUP(N259,$E$23:$E$26))/LOOKUP(N259,$E$23:$E$26,$C$23:$C$26)</f>
        <v>4.96932900450674</v>
      </c>
      <c r="AE259" s="16" t="n">
        <f aca="false">LOOKUP(O259,$E$23:$E$26,$A$23:$A$26)+LOOKUP(O259,$E$23:$E$26,$D$23:$D$26)*(O259-LOOKUP(O259,$E$23:$E$26))/LOOKUP(O259,$E$23:$E$26,$C$23:$C$26)</f>
        <v>4.6853839258091</v>
      </c>
      <c r="AF259" s="16" t="n">
        <f aca="false">LOOKUP(P259,$E$23:$E$26,$A$23:$A$26)+LOOKUP(P259,$E$23:$E$26,$D$23:$D$26)*(P259-LOOKUP(P259,$E$23:$E$26))/LOOKUP(P259,$E$23:$E$26,$C$23:$C$26)</f>
        <v>4.85896532913851</v>
      </c>
      <c r="AG259" s="16" t="n">
        <f aca="false">LOOKUP(Q259,$E$23:$E$26,$A$23:$A$26)+LOOKUP(Q259,$E$23:$E$26,$D$23:$D$26)*(Q259-LOOKUP(Q259,$E$23:$E$26))/LOOKUP(Q259,$E$23:$E$26,$C$23:$C$26)</f>
        <v>4.04858635709516</v>
      </c>
      <c r="AH259" s="16" t="n">
        <f aca="false">LOOKUP(R259,$E$23:$E$26,$A$23:$A$26)+LOOKUP(R259,$E$23:$E$26,$D$23:$D$26)*(R259-LOOKUP(R259,$E$23:$E$26))/LOOKUP(R259,$E$23:$E$26,$C$23:$C$26)</f>
        <v>5.08136210645888</v>
      </c>
      <c r="AI259" s="16" t="n">
        <f aca="false">LOOKUP(S259,$E$23:$E$26,$A$23:$A$26)+LOOKUP(S259,$E$23:$E$26,$D$23:$D$26)*(S259-LOOKUP(S259,$E$23:$E$26))/LOOKUP(S259,$E$23:$E$26,$C$23:$C$26)</f>
        <v>4.17611662312181</v>
      </c>
      <c r="AJ259" s="16" t="n">
        <f aca="false">SUM($T259:T259)</f>
        <v>4.28041231258177</v>
      </c>
      <c r="AK259" s="16" t="n">
        <f aca="false">SUM($T259:U259)</f>
        <v>9.45047703317955</v>
      </c>
      <c r="AL259" s="16" t="n">
        <f aca="false">SUM($T259:V259)</f>
        <v>13.5157572831425</v>
      </c>
      <c r="AM259" s="16" t="n">
        <f aca="false">SUM($T259:W259)</f>
        <v>17.6727913808636</v>
      </c>
      <c r="AN259" s="16" t="n">
        <f aca="false">SUM($T259:X259)</f>
        <v>23.0130188213759</v>
      </c>
      <c r="AO259" s="16" t="n">
        <f aca="false">SUM($T259:Y259)</f>
        <v>27.611021714879</v>
      </c>
      <c r="AP259" s="16" t="n">
        <f aca="false">SUM($T259:Z259)</f>
        <v>32.2995091723508</v>
      </c>
      <c r="AQ259" s="16" t="n">
        <f aca="false">SUM($T259:AA259)</f>
        <v>37.1487116755597</v>
      </c>
      <c r="AR259" s="16" t="n">
        <f aca="false">SUM($T259:AB259)</f>
        <v>42.3619312018318</v>
      </c>
      <c r="AS259" s="16" t="n">
        <f aca="false">SUM($T259:AC259)</f>
        <v>46.4469696803049</v>
      </c>
      <c r="AT259" s="16" t="n">
        <f aca="false">SUM($T259:AD259)</f>
        <v>51.4162986848116</v>
      </c>
      <c r="AU259" s="16" t="n">
        <f aca="false">SUM($T259:AE259)</f>
        <v>56.1016826106207</v>
      </c>
      <c r="AV259" s="16" t="n">
        <f aca="false">SUM($T259:AF259)</f>
        <v>60.9606479397592</v>
      </c>
      <c r="AW259" s="16" t="n">
        <f aca="false">SUM($T259:AG259)</f>
        <v>65.0092342968544</v>
      </c>
      <c r="AX259" s="16" t="n">
        <f aca="false">SUM($T259:AH259)</f>
        <v>70.0905964033133</v>
      </c>
      <c r="AY259" s="16" t="n">
        <f aca="false">SUM($T259:AI259)</f>
        <v>74.2667130264351</v>
      </c>
      <c r="AZ259" s="16" t="n">
        <f aca="false">MAX(C259-AJ259,0)</f>
        <v>55.2265443443695</v>
      </c>
      <c r="BA259" s="16" t="n">
        <f aca="false">MAX(C259-AK259,0)</f>
        <v>50.0564796237717</v>
      </c>
      <c r="BB259" s="16" t="n">
        <f aca="false">MAX(C259-AL259,0)</f>
        <v>45.9911993738087</v>
      </c>
      <c r="BC259" s="16" t="n">
        <f aca="false">MAX(C259-AM259,0)</f>
        <v>41.8341652760877</v>
      </c>
      <c r="BD259" s="16" t="n">
        <f aca="false">MAX(C259-AN259,0)</f>
        <v>36.4939378355754</v>
      </c>
      <c r="BE259" s="16" t="n">
        <f aca="false">MAX(C259-AO259,0)</f>
        <v>31.8959349420722</v>
      </c>
      <c r="BF259" s="16" t="n">
        <f aca="false">MAX(C259-AP259,0)</f>
        <v>27.2074474846004</v>
      </c>
      <c r="BG259" s="16" t="n">
        <f aca="false">MAX(C259-AQ259,0)</f>
        <v>22.3582449813915</v>
      </c>
      <c r="BH259" s="16" t="n">
        <f aca="false">MAX(C259-AR259,0)</f>
        <v>17.1450254551195</v>
      </c>
      <c r="BI259" s="16" t="n">
        <f aca="false">MAX(C259-AS259,0)</f>
        <v>13.0599869766463</v>
      </c>
      <c r="BJ259" s="16" t="n">
        <f aca="false">MAX(C259-AT259,0)</f>
        <v>8.0906579721396</v>
      </c>
      <c r="BK259" s="16" t="n">
        <f aca="false">MAX(C259-AU259,0)</f>
        <v>3.4052740463305</v>
      </c>
      <c r="BL259" s="16" t="n">
        <f aca="false">MAX(C259-AV259,0)</f>
        <v>0</v>
      </c>
      <c r="BM259" s="16" t="n">
        <f aca="false">MAX(C259-AW259,0)</f>
        <v>0</v>
      </c>
      <c r="BN259" s="16" t="n">
        <f aca="false">MAX(C259-AX259,0)</f>
        <v>0</v>
      </c>
      <c r="BO259" s="16" t="n">
        <f aca="false">MAX(C259-AY259,0)</f>
        <v>0</v>
      </c>
    </row>
    <row r="260" customFormat="false" ht="15" hidden="false" customHeight="false" outlineLevel="0" collapsed="false">
      <c r="A260" s="3" t="n">
        <v>230</v>
      </c>
      <c r="B260" s="15" t="n">
        <f aca="true">RAND()</f>
        <v>0.807907839473842</v>
      </c>
      <c r="C260" s="16" t="n">
        <f aca="false">LOOKUP(B260,$E$12:$E$17,$A$12:$A$17)+LOOKUP(B260,$E$12:$E$17,$D$12:$D$17)*(B260-LOOKUP(B260,$E$12:$E$17))/LOOKUP(B260,$E$12:$E$17,$C$12:$C$17)</f>
        <v>68.6843977067692</v>
      </c>
      <c r="D260" s="15" t="n">
        <f aca="true">RAND()</f>
        <v>0.0104846619795385</v>
      </c>
      <c r="E260" s="15" t="n">
        <f aca="true">RAND()</f>
        <v>0.0537703916907343</v>
      </c>
      <c r="F260" s="15" t="n">
        <f aca="true">RAND()</f>
        <v>0.0871494949964372</v>
      </c>
      <c r="G260" s="15" t="n">
        <f aca="true">RAND()</f>
        <v>0.0245604872955228</v>
      </c>
      <c r="H260" s="15" t="n">
        <f aca="true">RAND()</f>
        <v>0.695148865213361</v>
      </c>
      <c r="I260" s="15" t="n">
        <f aca="true">RAND()</f>
        <v>0.362466732661763</v>
      </c>
      <c r="J260" s="15" t="n">
        <f aca="true">RAND()</f>
        <v>0.73869365086679</v>
      </c>
      <c r="K260" s="15" t="n">
        <f aca="true">RAND()</f>
        <v>0.19962071951013</v>
      </c>
      <c r="L260" s="15" t="n">
        <f aca="true">RAND()</f>
        <v>0.326356326792405</v>
      </c>
      <c r="M260" s="15" t="n">
        <f aca="true">RAND()</f>
        <v>0.377190387205926</v>
      </c>
      <c r="N260" s="15" t="n">
        <f aca="true">RAND()</f>
        <v>0.0898633122772317</v>
      </c>
      <c r="O260" s="15" t="n">
        <f aca="true">RAND()</f>
        <v>0.347613865025058</v>
      </c>
      <c r="P260" s="15" t="n">
        <f aca="true">RAND()</f>
        <v>0.50273750016353</v>
      </c>
      <c r="Q260" s="15" t="n">
        <f aca="true">RAND()</f>
        <v>0.563253878866007</v>
      </c>
      <c r="R260" s="15" t="n">
        <f aca="true">RAND()</f>
        <v>0.934467451445241</v>
      </c>
      <c r="S260" s="15" t="n">
        <f aca="true">RAND()</f>
        <v>0.756189373104027</v>
      </c>
      <c r="T260" s="16" t="n">
        <f aca="false">LOOKUP(D260,$E$23:$E$26,$A$23:$A$26)+LOOKUP(D260,$E$23:$E$26,$D$23:$D$26)*(D260-LOOKUP(D260,$E$23:$E$26))/LOOKUP(D260,$E$23:$E$26,$C$23:$C$26)</f>
        <v>4.01747443663256</v>
      </c>
      <c r="U260" s="16" t="n">
        <f aca="false">LOOKUP(E260,$E$23:$E$26,$A$23:$A$26)+LOOKUP(E260,$E$23:$E$26,$D$23:$D$26)*(E260-LOOKUP(E260,$E$23:$E$26))/LOOKUP(E260,$E$23:$E$26,$C$23:$C$26)</f>
        <v>4.08961731948456</v>
      </c>
      <c r="V260" s="16" t="n">
        <f aca="false">LOOKUP(F260,$E$23:$E$26,$A$23:$A$26)+LOOKUP(F260,$E$23:$E$26,$D$23:$D$26)*(F260-LOOKUP(F260,$E$23:$E$26))/LOOKUP(F260,$E$23:$E$26,$C$23:$C$26)</f>
        <v>4.1452491583274</v>
      </c>
      <c r="W260" s="16" t="n">
        <f aca="false">LOOKUP(G260,$E$23:$E$26,$A$23:$A$26)+LOOKUP(G260,$E$23:$E$26,$D$23:$D$26)*(G260-LOOKUP(G260,$E$23:$E$26))/LOOKUP(G260,$E$23:$E$26,$C$23:$C$26)</f>
        <v>4.04093414549254</v>
      </c>
      <c r="X260" s="16" t="n">
        <f aca="false">LOOKUP(H260,$E$23:$E$26,$A$23:$A$26)+LOOKUP(H260,$E$23:$E$26,$D$23:$D$26)*(H260-LOOKUP(H260,$E$23:$E$26))/LOOKUP(H260,$E$23:$E$26,$C$23:$C$26)</f>
        <v>4.9939360815167</v>
      </c>
      <c r="Y260" s="16" t="n">
        <f aca="false">LOOKUP(I260,$E$23:$E$26,$A$23:$A$26)+LOOKUP(I260,$E$23:$E$26,$D$23:$D$26)*(I260-LOOKUP(I260,$E$23:$E$26))/LOOKUP(I260,$E$23:$E$26,$C$23:$C$26)</f>
        <v>4.5780834158272</v>
      </c>
      <c r="Z260" s="16" t="n">
        <f aca="false">LOOKUP(J260,$E$23:$E$26,$A$23:$A$26)+LOOKUP(J260,$E$23:$E$26,$D$23:$D$26)*(J260-LOOKUP(J260,$E$23:$E$26))/LOOKUP(J260,$E$23:$E$26,$C$23:$C$26)</f>
        <v>5.09673412716698</v>
      </c>
      <c r="AA260" s="16" t="n">
        <f aca="false">LOOKUP(K260,$E$23:$E$26,$A$23:$A$26)+LOOKUP(K260,$E$23:$E$26,$D$23:$D$26)*(K260-LOOKUP(K260,$E$23:$E$26))/LOOKUP(K260,$E$23:$E$26,$C$23:$C$26)</f>
        <v>4.33270119918355</v>
      </c>
      <c r="AB260" s="16" t="n">
        <f aca="false">LOOKUP(L260,$E$23:$E$26,$A$23:$A$26)+LOOKUP(L260,$E$23:$E$26,$D$23:$D$26)*(L260-LOOKUP(L260,$E$23:$E$26))/LOOKUP(L260,$E$23:$E$26,$C$23:$C$26)</f>
        <v>4.53294540849051</v>
      </c>
      <c r="AC260" s="16" t="n">
        <f aca="false">LOOKUP(M260,$E$23:$E$26,$A$23:$A$26)+LOOKUP(M260,$E$23:$E$26,$D$23:$D$26)*(M260-LOOKUP(M260,$E$23:$E$26))/LOOKUP(M260,$E$23:$E$26,$C$23:$C$26)</f>
        <v>4.59648798400741</v>
      </c>
      <c r="AD260" s="16" t="n">
        <f aca="false">LOOKUP(N260,$E$23:$E$26,$A$23:$A$26)+LOOKUP(N260,$E$23:$E$26,$D$23:$D$26)*(N260-LOOKUP(N260,$E$23:$E$26))/LOOKUP(N260,$E$23:$E$26,$C$23:$C$26)</f>
        <v>4.14977218712872</v>
      </c>
      <c r="AE260" s="16" t="n">
        <f aca="false">LOOKUP(O260,$E$23:$E$26,$A$23:$A$26)+LOOKUP(O260,$E$23:$E$26,$D$23:$D$26)*(O260-LOOKUP(O260,$E$23:$E$26))/LOOKUP(O260,$E$23:$E$26,$C$23:$C$26)</f>
        <v>4.55951733128132</v>
      </c>
      <c r="AF260" s="16" t="n">
        <f aca="false">LOOKUP(P260,$E$23:$E$26,$A$23:$A$26)+LOOKUP(P260,$E$23:$E$26,$D$23:$D$26)*(P260-LOOKUP(P260,$E$23:$E$26))/LOOKUP(P260,$E$23:$E$26,$C$23:$C$26)</f>
        <v>4.75342187520441</v>
      </c>
      <c r="AG260" s="16" t="n">
        <f aca="false">LOOKUP(Q260,$E$23:$E$26,$A$23:$A$26)+LOOKUP(Q260,$E$23:$E$26,$D$23:$D$26)*(Q260-LOOKUP(Q260,$E$23:$E$26))/LOOKUP(Q260,$E$23:$E$26,$C$23:$C$26)</f>
        <v>4.82906734858251</v>
      </c>
      <c r="AH260" s="16" t="n">
        <f aca="false">LOOKUP(R260,$E$23:$E$26,$A$23:$A$26)+LOOKUP(R260,$E$23:$E$26,$D$23:$D$26)*(R260-LOOKUP(R260,$E$23:$E$26))/LOOKUP(R260,$E$23:$E$26,$C$23:$C$26)</f>
        <v>5.67233725722621</v>
      </c>
      <c r="AI260" s="16" t="n">
        <f aca="false">LOOKUP(S260,$E$23:$E$26,$A$23:$A$26)+LOOKUP(S260,$E$23:$E$26,$D$23:$D$26)*(S260-LOOKUP(S260,$E$23:$E$26))/LOOKUP(S260,$E$23:$E$26,$C$23:$C$26)</f>
        <v>5.14047343276007</v>
      </c>
      <c r="AJ260" s="16" t="n">
        <f aca="false">SUM($T260:T260)</f>
        <v>4.01747443663256</v>
      </c>
      <c r="AK260" s="16" t="n">
        <f aca="false">SUM($T260:U260)</f>
        <v>8.10709175611712</v>
      </c>
      <c r="AL260" s="16" t="n">
        <f aca="false">SUM($T260:V260)</f>
        <v>12.2523409144445</v>
      </c>
      <c r="AM260" s="16" t="n">
        <f aca="false">SUM($T260:W260)</f>
        <v>16.2932750599371</v>
      </c>
      <c r="AN260" s="16" t="n">
        <f aca="false">SUM($T260:X260)</f>
        <v>21.2872111414538</v>
      </c>
      <c r="AO260" s="16" t="n">
        <f aca="false">SUM($T260:Y260)</f>
        <v>25.865294557281</v>
      </c>
      <c r="AP260" s="16" t="n">
        <f aca="false">SUM($T260:Z260)</f>
        <v>30.9620286844479</v>
      </c>
      <c r="AQ260" s="16" t="n">
        <f aca="false">SUM($T260:AA260)</f>
        <v>35.2947298836315</v>
      </c>
      <c r="AR260" s="16" t="n">
        <f aca="false">SUM($T260:AB260)</f>
        <v>39.827675292122</v>
      </c>
      <c r="AS260" s="16" t="n">
        <f aca="false">SUM($T260:AC260)</f>
        <v>44.4241632761294</v>
      </c>
      <c r="AT260" s="16" t="n">
        <f aca="false">SUM($T260:AD260)</f>
        <v>48.5739354632581</v>
      </c>
      <c r="AU260" s="16" t="n">
        <f aca="false">SUM($T260:AE260)</f>
        <v>53.1334527945394</v>
      </c>
      <c r="AV260" s="16" t="n">
        <f aca="false">SUM($T260:AF260)</f>
        <v>57.8868746697439</v>
      </c>
      <c r="AW260" s="16" t="n">
        <f aca="false">SUM($T260:AG260)</f>
        <v>62.7159420183264</v>
      </c>
      <c r="AX260" s="16" t="n">
        <f aca="false">SUM($T260:AH260)</f>
        <v>68.3882792755526</v>
      </c>
      <c r="AY260" s="16" t="n">
        <f aca="false">SUM($T260:AI260)</f>
        <v>73.5287527083126</v>
      </c>
      <c r="AZ260" s="16" t="n">
        <f aca="false">MAX(C260-AJ260,0)</f>
        <v>64.6669232701366</v>
      </c>
      <c r="BA260" s="16" t="n">
        <f aca="false">MAX(C260-AK260,0)</f>
        <v>60.5773059506521</v>
      </c>
      <c r="BB260" s="16" t="n">
        <f aca="false">MAX(C260-AL260,0)</f>
        <v>56.4320567923247</v>
      </c>
      <c r="BC260" s="16" t="n">
        <f aca="false">MAX(C260-AM260,0)</f>
        <v>52.3911226468321</v>
      </c>
      <c r="BD260" s="16" t="n">
        <f aca="false">MAX(C260-AN260,0)</f>
        <v>47.3971865653154</v>
      </c>
      <c r="BE260" s="16" t="n">
        <f aca="false">MAX(C260-AO260,0)</f>
        <v>42.8191031494882</v>
      </c>
      <c r="BF260" s="16" t="n">
        <f aca="false">MAX(C260-AP260,0)</f>
        <v>37.7223690223212</v>
      </c>
      <c r="BG260" s="16" t="n">
        <f aca="false">MAX(C260-AQ260,0)</f>
        <v>33.3896678231377</v>
      </c>
      <c r="BH260" s="16" t="n">
        <f aca="false">MAX(C260-AR260,0)</f>
        <v>28.8567224146472</v>
      </c>
      <c r="BI260" s="16" t="n">
        <f aca="false">MAX(C260-AS260,0)</f>
        <v>24.2602344306398</v>
      </c>
      <c r="BJ260" s="16" t="n">
        <f aca="false">MAX(C260-AT260,0)</f>
        <v>20.1104622435111</v>
      </c>
      <c r="BK260" s="16" t="n">
        <f aca="false">MAX(C260-AU260,0)</f>
        <v>15.5509449122297</v>
      </c>
      <c r="BL260" s="16" t="n">
        <f aca="false">MAX(C260-AV260,0)</f>
        <v>10.7975230370253</v>
      </c>
      <c r="BM260" s="16" t="n">
        <f aca="false">MAX(C260-AW260,0)</f>
        <v>5.96845568844282</v>
      </c>
      <c r="BN260" s="16" t="n">
        <f aca="false">MAX(C260-AX260,0)</f>
        <v>0.296118431216613</v>
      </c>
      <c r="BO260" s="16" t="n">
        <f aca="false">MAX(C260-AY260,0)</f>
        <v>0</v>
      </c>
    </row>
    <row r="261" customFormat="false" ht="15" hidden="false" customHeight="false" outlineLevel="0" collapsed="false">
      <c r="A261" s="3" t="n">
        <v>231</v>
      </c>
      <c r="B261" s="15" t="n">
        <f aca="true">RAND()</f>
        <v>0.11583360859613</v>
      </c>
      <c r="C261" s="16" t="n">
        <f aca="false">LOOKUP(B261,$E$12:$E$17,$A$12:$A$17)+LOOKUP(B261,$E$12:$E$17,$D$12:$D$17)*(B261-LOOKUP(B261,$E$12:$E$17))/LOOKUP(B261,$E$12:$E$17,$C$12:$C$17)</f>
        <v>55.5277869532043</v>
      </c>
      <c r="D261" s="15" t="n">
        <f aca="true">RAND()</f>
        <v>0.558843722301199</v>
      </c>
      <c r="E261" s="15" t="n">
        <f aca="true">RAND()</f>
        <v>0.17189632834004</v>
      </c>
      <c r="F261" s="15" t="n">
        <f aca="true">RAND()</f>
        <v>0.681916249808571</v>
      </c>
      <c r="G261" s="15" t="n">
        <f aca="true">RAND()</f>
        <v>0.974844962960416</v>
      </c>
      <c r="H261" s="15" t="n">
        <f aca="true">RAND()</f>
        <v>0.178709785276284</v>
      </c>
      <c r="I261" s="15" t="n">
        <f aca="true">RAND()</f>
        <v>0.505820708580529</v>
      </c>
      <c r="J261" s="15" t="n">
        <f aca="true">RAND()</f>
        <v>0.240166684410661</v>
      </c>
      <c r="K261" s="15" t="n">
        <f aca="true">RAND()</f>
        <v>0.680567521115708</v>
      </c>
      <c r="L261" s="15" t="n">
        <f aca="true">RAND()</f>
        <v>0.909965358216047</v>
      </c>
      <c r="M261" s="15" t="n">
        <f aca="true">RAND()</f>
        <v>0.0555429943214125</v>
      </c>
      <c r="N261" s="15" t="n">
        <f aca="true">RAND()</f>
        <v>0.111552615454803</v>
      </c>
      <c r="O261" s="15" t="n">
        <f aca="true">RAND()</f>
        <v>0.28685176113765</v>
      </c>
      <c r="P261" s="15" t="n">
        <f aca="true">RAND()</f>
        <v>0.161982684637298</v>
      </c>
      <c r="Q261" s="15" t="n">
        <f aca="true">RAND()</f>
        <v>0.783618042492585</v>
      </c>
      <c r="R261" s="15" t="n">
        <f aca="true">RAND()</f>
        <v>0.358125152369887</v>
      </c>
      <c r="S261" s="15" t="n">
        <f aca="true">RAND()</f>
        <v>0.462358264874364</v>
      </c>
      <c r="T261" s="16" t="n">
        <f aca="false">LOOKUP(D261,$E$23:$E$26,$A$23:$A$26)+LOOKUP(D261,$E$23:$E$26,$D$23:$D$26)*(D261-LOOKUP(D261,$E$23:$E$26))/LOOKUP(D261,$E$23:$E$26,$C$23:$C$26)</f>
        <v>4.8235546528765</v>
      </c>
      <c r="U261" s="16" t="n">
        <f aca="false">LOOKUP(E261,$E$23:$E$26,$A$23:$A$26)+LOOKUP(E261,$E$23:$E$26,$D$23:$D$26)*(E261-LOOKUP(E261,$E$23:$E$26))/LOOKUP(E261,$E$23:$E$26,$C$23:$C$26)</f>
        <v>4.28649388056673</v>
      </c>
      <c r="V261" s="16" t="n">
        <f aca="false">LOOKUP(F261,$E$23:$E$26,$A$23:$A$26)+LOOKUP(F261,$E$23:$E$26,$D$23:$D$26)*(F261-LOOKUP(F261,$E$23:$E$26))/LOOKUP(F261,$E$23:$E$26,$C$23:$C$26)</f>
        <v>4.97739531226071</v>
      </c>
      <c r="W261" s="16" t="n">
        <f aca="false">LOOKUP(G261,$E$23:$E$26,$A$23:$A$26)+LOOKUP(G261,$E$23:$E$26,$D$23:$D$26)*(G261-LOOKUP(G261,$E$23:$E$26))/LOOKUP(G261,$E$23:$E$26,$C$23:$C$26)</f>
        <v>5.87422481480208</v>
      </c>
      <c r="X261" s="16" t="n">
        <f aca="false">LOOKUP(H261,$E$23:$E$26,$A$23:$A$26)+LOOKUP(H261,$E$23:$E$26,$D$23:$D$26)*(H261-LOOKUP(H261,$E$23:$E$26))/LOOKUP(H261,$E$23:$E$26,$C$23:$C$26)</f>
        <v>4.29784964212714</v>
      </c>
      <c r="Y261" s="16" t="n">
        <f aca="false">LOOKUP(I261,$E$23:$E$26,$A$23:$A$26)+LOOKUP(I261,$E$23:$E$26,$D$23:$D$26)*(I261-LOOKUP(I261,$E$23:$E$26))/LOOKUP(I261,$E$23:$E$26,$C$23:$C$26)</f>
        <v>4.75727588572566</v>
      </c>
      <c r="Z261" s="16" t="n">
        <f aca="false">LOOKUP(J261,$E$23:$E$26,$A$23:$A$26)+LOOKUP(J261,$E$23:$E$26,$D$23:$D$26)*(J261-LOOKUP(J261,$E$23:$E$26))/LOOKUP(J261,$E$23:$E$26,$C$23:$C$26)</f>
        <v>4.4002778073511</v>
      </c>
      <c r="AA261" s="16" t="n">
        <f aca="false">LOOKUP(K261,$E$23:$E$26,$A$23:$A$26)+LOOKUP(K261,$E$23:$E$26,$D$23:$D$26)*(K261-LOOKUP(K261,$E$23:$E$26))/LOOKUP(K261,$E$23:$E$26,$C$23:$C$26)</f>
        <v>4.97570940139464</v>
      </c>
      <c r="AB261" s="16" t="n">
        <f aca="false">LOOKUP(L261,$E$23:$E$26,$A$23:$A$26)+LOOKUP(L261,$E$23:$E$26,$D$23:$D$26)*(L261-LOOKUP(L261,$E$23:$E$26))/LOOKUP(L261,$E$23:$E$26,$C$23:$C$26)</f>
        <v>5.54982679108024</v>
      </c>
      <c r="AC261" s="16" t="n">
        <f aca="false">LOOKUP(M261,$E$23:$E$26,$A$23:$A$26)+LOOKUP(M261,$E$23:$E$26,$D$23:$D$26)*(M261-LOOKUP(M261,$E$23:$E$26))/LOOKUP(M261,$E$23:$E$26,$C$23:$C$26)</f>
        <v>4.09257165720235</v>
      </c>
      <c r="AD261" s="16" t="n">
        <f aca="false">LOOKUP(N261,$E$23:$E$26,$A$23:$A$26)+LOOKUP(N261,$E$23:$E$26,$D$23:$D$26)*(N261-LOOKUP(N261,$E$23:$E$26))/LOOKUP(N261,$E$23:$E$26,$C$23:$C$26)</f>
        <v>4.185921025758</v>
      </c>
      <c r="AE261" s="16" t="n">
        <f aca="false">LOOKUP(O261,$E$23:$E$26,$A$23:$A$26)+LOOKUP(O261,$E$23:$E$26,$D$23:$D$26)*(O261-LOOKUP(O261,$E$23:$E$26))/LOOKUP(O261,$E$23:$E$26,$C$23:$C$26)</f>
        <v>4.47808626856275</v>
      </c>
      <c r="AF261" s="16" t="n">
        <f aca="false">LOOKUP(P261,$E$23:$E$26,$A$23:$A$26)+LOOKUP(P261,$E$23:$E$26,$D$23:$D$26)*(P261-LOOKUP(P261,$E$23:$E$26))/LOOKUP(P261,$E$23:$E$26,$C$23:$C$26)</f>
        <v>4.26997114106216</v>
      </c>
      <c r="AG261" s="16" t="n">
        <f aca="false">LOOKUP(Q261,$E$23:$E$26,$A$23:$A$26)+LOOKUP(Q261,$E$23:$E$26,$D$23:$D$26)*(Q261-LOOKUP(Q261,$E$23:$E$26))/LOOKUP(Q261,$E$23:$E$26,$C$23:$C$26)</f>
        <v>5.20904510623146</v>
      </c>
      <c r="AH261" s="16" t="n">
        <f aca="false">LOOKUP(R261,$E$23:$E$26,$A$23:$A$26)+LOOKUP(R261,$E$23:$E$26,$D$23:$D$26)*(R261-LOOKUP(R261,$E$23:$E$26))/LOOKUP(R261,$E$23:$E$26,$C$23:$C$26)</f>
        <v>4.57265644046236</v>
      </c>
      <c r="AI261" s="16" t="n">
        <f aca="false">LOOKUP(S261,$E$23:$E$26,$A$23:$A$26)+LOOKUP(S261,$E$23:$E$26,$D$23:$D$26)*(S261-LOOKUP(S261,$E$23:$E$26))/LOOKUP(S261,$E$23:$E$26,$C$23:$C$26)</f>
        <v>4.70294783109295</v>
      </c>
      <c r="AJ261" s="16" t="n">
        <f aca="false">SUM($T261:T261)</f>
        <v>4.8235546528765</v>
      </c>
      <c r="AK261" s="16" t="n">
        <f aca="false">SUM($T261:U261)</f>
        <v>9.11004853344323</v>
      </c>
      <c r="AL261" s="16" t="n">
        <f aca="false">SUM($T261:V261)</f>
        <v>14.0874438457039</v>
      </c>
      <c r="AM261" s="16" t="n">
        <f aca="false">SUM($T261:W261)</f>
        <v>19.961668660506</v>
      </c>
      <c r="AN261" s="16" t="n">
        <f aca="false">SUM($T261:X261)</f>
        <v>24.2595183026332</v>
      </c>
      <c r="AO261" s="16" t="n">
        <f aca="false">SUM($T261:Y261)</f>
        <v>29.0167941883588</v>
      </c>
      <c r="AP261" s="16" t="n">
        <f aca="false">SUM($T261:Z261)</f>
        <v>33.4170719957099</v>
      </c>
      <c r="AQ261" s="16" t="n">
        <f aca="false">SUM($T261:AA261)</f>
        <v>38.3927813971046</v>
      </c>
      <c r="AR261" s="16" t="n">
        <f aca="false">SUM($T261:AB261)</f>
        <v>43.9426081881848</v>
      </c>
      <c r="AS261" s="16" t="n">
        <f aca="false">SUM($T261:AC261)</f>
        <v>48.0351798453872</v>
      </c>
      <c r="AT261" s="16" t="n">
        <f aca="false">SUM($T261:AD261)</f>
        <v>52.2211008711452</v>
      </c>
      <c r="AU261" s="16" t="n">
        <f aca="false">SUM($T261:AE261)</f>
        <v>56.6991871397079</v>
      </c>
      <c r="AV261" s="16" t="n">
        <f aca="false">SUM($T261:AF261)</f>
        <v>60.9691582807701</v>
      </c>
      <c r="AW261" s="16" t="n">
        <f aca="false">SUM($T261:AG261)</f>
        <v>66.1782033870015</v>
      </c>
      <c r="AX261" s="16" t="n">
        <f aca="false">SUM($T261:AH261)</f>
        <v>70.7508598274639</v>
      </c>
      <c r="AY261" s="16" t="n">
        <f aca="false">SUM($T261:AI261)</f>
        <v>75.4538076585569</v>
      </c>
      <c r="AZ261" s="16" t="n">
        <f aca="false">MAX(C261-AJ261,0)</f>
        <v>50.7042323003278</v>
      </c>
      <c r="BA261" s="16" t="n">
        <f aca="false">MAX(C261-AK261,0)</f>
        <v>46.4177384197611</v>
      </c>
      <c r="BB261" s="16" t="n">
        <f aca="false">MAX(C261-AL261,0)</f>
        <v>41.4403431075004</v>
      </c>
      <c r="BC261" s="16" t="n">
        <f aca="false">MAX(C261-AM261,0)</f>
        <v>35.5661182926983</v>
      </c>
      <c r="BD261" s="16" t="n">
        <f aca="false">MAX(C261-AN261,0)</f>
        <v>31.2682686505712</v>
      </c>
      <c r="BE261" s="16" t="n">
        <f aca="false">MAX(C261-AO261,0)</f>
        <v>26.5109927648455</v>
      </c>
      <c r="BF261" s="16" t="n">
        <f aca="false">MAX(C261-AP261,0)</f>
        <v>22.1107149574944</v>
      </c>
      <c r="BG261" s="16" t="n">
        <f aca="false">MAX(C261-AQ261,0)</f>
        <v>17.1350055560998</v>
      </c>
      <c r="BH261" s="16" t="n">
        <f aca="false">MAX(C261-AR261,0)</f>
        <v>11.5851787650195</v>
      </c>
      <c r="BI261" s="16" t="n">
        <f aca="false">MAX(C261-AS261,0)</f>
        <v>7.49260710781716</v>
      </c>
      <c r="BJ261" s="16" t="n">
        <f aca="false">MAX(C261-AT261,0)</f>
        <v>3.30668608205916</v>
      </c>
      <c r="BK261" s="16" t="n">
        <f aca="false">MAX(C261-AU261,0)</f>
        <v>0</v>
      </c>
      <c r="BL261" s="16" t="n">
        <f aca="false">MAX(C261-AV261,0)</f>
        <v>0</v>
      </c>
      <c r="BM261" s="16" t="n">
        <f aca="false">MAX(C261-AW261,0)</f>
        <v>0</v>
      </c>
      <c r="BN261" s="16" t="n">
        <f aca="false">MAX(C261-AX261,0)</f>
        <v>0</v>
      </c>
      <c r="BO261" s="16" t="n">
        <f aca="false">MAX(C261-AY261,0)</f>
        <v>0</v>
      </c>
    </row>
    <row r="262" customFormat="false" ht="15" hidden="false" customHeight="false" outlineLevel="0" collapsed="false">
      <c r="A262" s="3" t="n">
        <v>232</v>
      </c>
      <c r="B262" s="15" t="n">
        <f aca="true">RAND()</f>
        <v>0.719969121990041</v>
      </c>
      <c r="C262" s="16" t="n">
        <f aca="false">LOOKUP(B262,$E$12:$E$17,$A$12:$A$17)+LOOKUP(B262,$E$12:$E$17,$D$12:$D$17)*(B262-LOOKUP(B262,$E$12:$E$17))/LOOKUP(B262,$E$12:$E$17,$C$12:$C$17)</f>
        <v>67.4281303141434</v>
      </c>
      <c r="D262" s="15" t="n">
        <f aca="true">RAND()</f>
        <v>0.950925384566843</v>
      </c>
      <c r="E262" s="15" t="n">
        <f aca="true">RAND()</f>
        <v>0.351145845071815</v>
      </c>
      <c r="F262" s="15" t="n">
        <f aca="true">RAND()</f>
        <v>0.335179488702295</v>
      </c>
      <c r="G262" s="15" t="n">
        <f aca="true">RAND()</f>
        <v>0.445471510095695</v>
      </c>
      <c r="H262" s="15" t="n">
        <f aca="true">RAND()</f>
        <v>0.778697859369646</v>
      </c>
      <c r="I262" s="15" t="n">
        <f aca="true">RAND()</f>
        <v>0.907342147227264</v>
      </c>
      <c r="J262" s="15" t="n">
        <f aca="true">RAND()</f>
        <v>0.424966752056939</v>
      </c>
      <c r="K262" s="15" t="n">
        <f aca="true">RAND()</f>
        <v>0.205961594233441</v>
      </c>
      <c r="L262" s="15" t="n">
        <f aca="true">RAND()</f>
        <v>0.676854744044268</v>
      </c>
      <c r="M262" s="15" t="n">
        <f aca="true">RAND()</f>
        <v>0.647345660523394</v>
      </c>
      <c r="N262" s="15" t="n">
        <f aca="true">RAND()</f>
        <v>0.708319894255922</v>
      </c>
      <c r="O262" s="15" t="n">
        <f aca="true">RAND()</f>
        <v>0.471431061238538</v>
      </c>
      <c r="P262" s="15" t="n">
        <f aca="true">RAND()</f>
        <v>0.889912968641602</v>
      </c>
      <c r="Q262" s="15" t="n">
        <f aca="true">RAND()</f>
        <v>0.788403618352598</v>
      </c>
      <c r="R262" s="15" t="n">
        <f aca="true">RAND()</f>
        <v>0.0632642398217479</v>
      </c>
      <c r="S262" s="15" t="n">
        <f aca="true">RAND()</f>
        <v>0.636419978397259</v>
      </c>
      <c r="T262" s="16" t="n">
        <f aca="false">LOOKUP(D262,$E$23:$E$26,$A$23:$A$26)+LOOKUP(D262,$E$23:$E$26,$D$23:$D$26)*(D262-LOOKUP(D262,$E$23:$E$26))/LOOKUP(D262,$E$23:$E$26,$C$23:$C$26)</f>
        <v>5.75462692283421</v>
      </c>
      <c r="U262" s="16" t="n">
        <f aca="false">LOOKUP(E262,$E$23:$E$26,$A$23:$A$26)+LOOKUP(E262,$E$23:$E$26,$D$23:$D$26)*(E262-LOOKUP(E262,$E$23:$E$26))/LOOKUP(E262,$E$23:$E$26,$C$23:$C$26)</f>
        <v>4.56393230633977</v>
      </c>
      <c r="V262" s="16" t="n">
        <f aca="false">LOOKUP(F262,$E$23:$E$26,$A$23:$A$26)+LOOKUP(F262,$E$23:$E$26,$D$23:$D$26)*(F262-LOOKUP(F262,$E$23:$E$26))/LOOKUP(F262,$E$23:$E$26,$C$23:$C$26)</f>
        <v>4.54397436087787</v>
      </c>
      <c r="W262" s="16" t="n">
        <f aca="false">LOOKUP(G262,$E$23:$E$26,$A$23:$A$26)+LOOKUP(G262,$E$23:$E$26,$D$23:$D$26)*(G262-LOOKUP(G262,$E$23:$E$26))/LOOKUP(G262,$E$23:$E$26,$C$23:$C$26)</f>
        <v>4.68183938761962</v>
      </c>
      <c r="X262" s="16" t="n">
        <f aca="false">LOOKUP(H262,$E$23:$E$26,$A$23:$A$26)+LOOKUP(H262,$E$23:$E$26,$D$23:$D$26)*(H262-LOOKUP(H262,$E$23:$E$26))/LOOKUP(H262,$E$23:$E$26,$C$23:$C$26)</f>
        <v>5.19674464842412</v>
      </c>
      <c r="Y262" s="16" t="n">
        <f aca="false">LOOKUP(I262,$E$23:$E$26,$A$23:$A$26)+LOOKUP(I262,$E$23:$E$26,$D$23:$D$26)*(I262-LOOKUP(I262,$E$23:$E$26))/LOOKUP(I262,$E$23:$E$26,$C$23:$C$26)</f>
        <v>5.53671073613632</v>
      </c>
      <c r="Z262" s="16" t="n">
        <f aca="false">LOOKUP(J262,$E$23:$E$26,$A$23:$A$26)+LOOKUP(J262,$E$23:$E$26,$D$23:$D$26)*(J262-LOOKUP(J262,$E$23:$E$26))/LOOKUP(J262,$E$23:$E$26,$C$23:$C$26)</f>
        <v>4.65620844007117</v>
      </c>
      <c r="AA262" s="16" t="n">
        <f aca="false">LOOKUP(K262,$E$23:$E$26,$A$23:$A$26)+LOOKUP(K262,$E$23:$E$26,$D$23:$D$26)*(K262-LOOKUP(K262,$E$23:$E$26))/LOOKUP(K262,$E$23:$E$26,$C$23:$C$26)</f>
        <v>4.3432693237224</v>
      </c>
      <c r="AB262" s="16" t="n">
        <f aca="false">LOOKUP(L262,$E$23:$E$26,$A$23:$A$26)+LOOKUP(L262,$E$23:$E$26,$D$23:$D$26)*(L262-LOOKUP(L262,$E$23:$E$26))/LOOKUP(L262,$E$23:$E$26,$C$23:$C$26)</f>
        <v>4.97106843005533</v>
      </c>
      <c r="AC262" s="16" t="n">
        <f aca="false">LOOKUP(M262,$E$23:$E$26,$A$23:$A$26)+LOOKUP(M262,$E$23:$E$26,$D$23:$D$26)*(M262-LOOKUP(M262,$E$23:$E$26))/LOOKUP(M262,$E$23:$E$26,$C$23:$C$26)</f>
        <v>4.93418207565424</v>
      </c>
      <c r="AD262" s="16" t="n">
        <f aca="false">LOOKUP(N262,$E$23:$E$26,$A$23:$A$26)+LOOKUP(N262,$E$23:$E$26,$D$23:$D$26)*(N262-LOOKUP(N262,$E$23:$E$26))/LOOKUP(N262,$E$23:$E$26,$C$23:$C$26)</f>
        <v>5.0207997356398</v>
      </c>
      <c r="AE262" s="16" t="n">
        <f aca="false">LOOKUP(O262,$E$23:$E$26,$A$23:$A$26)+LOOKUP(O262,$E$23:$E$26,$D$23:$D$26)*(O262-LOOKUP(O262,$E$23:$E$26))/LOOKUP(O262,$E$23:$E$26,$C$23:$C$26)</f>
        <v>4.71428882654817</v>
      </c>
      <c r="AF262" s="16" t="n">
        <f aca="false">LOOKUP(P262,$E$23:$E$26,$A$23:$A$26)+LOOKUP(P262,$E$23:$E$26,$D$23:$D$26)*(P262-LOOKUP(P262,$E$23:$E$26))/LOOKUP(P262,$E$23:$E$26,$C$23:$C$26)</f>
        <v>5.474782421604</v>
      </c>
      <c r="AG262" s="16" t="n">
        <f aca="false">LOOKUP(Q262,$E$23:$E$26,$A$23:$A$26)+LOOKUP(Q262,$E$23:$E$26,$D$23:$D$26)*(Q262-LOOKUP(Q262,$E$23:$E$26))/LOOKUP(Q262,$E$23:$E$26,$C$23:$C$26)</f>
        <v>5.2210090458815</v>
      </c>
      <c r="AH262" s="16" t="n">
        <f aca="false">LOOKUP(R262,$E$23:$E$26,$A$23:$A$26)+LOOKUP(R262,$E$23:$E$26,$D$23:$D$26)*(R262-LOOKUP(R262,$E$23:$E$26))/LOOKUP(R262,$E$23:$E$26,$C$23:$C$26)</f>
        <v>4.10544039970291</v>
      </c>
      <c r="AI262" s="16" t="n">
        <f aca="false">LOOKUP(S262,$E$23:$E$26,$A$23:$A$26)+LOOKUP(S262,$E$23:$E$26,$D$23:$D$26)*(S262-LOOKUP(S262,$E$23:$E$26))/LOOKUP(S262,$E$23:$E$26,$C$23:$C$26)</f>
        <v>4.92052497299657</v>
      </c>
      <c r="AJ262" s="16" t="n">
        <f aca="false">SUM($T262:T262)</f>
        <v>5.75462692283421</v>
      </c>
      <c r="AK262" s="16" t="n">
        <f aca="false">SUM($T262:U262)</f>
        <v>10.318559229174</v>
      </c>
      <c r="AL262" s="16" t="n">
        <f aca="false">SUM($T262:V262)</f>
        <v>14.8625335900519</v>
      </c>
      <c r="AM262" s="16" t="n">
        <f aca="false">SUM($T262:W262)</f>
        <v>19.5443729776715</v>
      </c>
      <c r="AN262" s="16" t="n">
        <f aca="false">SUM($T262:X262)</f>
        <v>24.7411176260956</v>
      </c>
      <c r="AO262" s="16" t="n">
        <f aca="false">SUM($T262:Y262)</f>
        <v>30.2778283622319</v>
      </c>
      <c r="AP262" s="16" t="n">
        <f aca="false">SUM($T262:Z262)</f>
        <v>34.9340368023031</v>
      </c>
      <c r="AQ262" s="16" t="n">
        <f aca="false">SUM($T262:AA262)</f>
        <v>39.2773061260255</v>
      </c>
      <c r="AR262" s="16" t="n">
        <f aca="false">SUM($T262:AB262)</f>
        <v>44.2483745560808</v>
      </c>
      <c r="AS262" s="16" t="n">
        <f aca="false">SUM($T262:AC262)</f>
        <v>49.1825566317351</v>
      </c>
      <c r="AT262" s="16" t="n">
        <f aca="false">SUM($T262:AD262)</f>
        <v>54.2033563673749</v>
      </c>
      <c r="AU262" s="16" t="n">
        <f aca="false">SUM($T262:AE262)</f>
        <v>58.917645193923</v>
      </c>
      <c r="AV262" s="16" t="n">
        <f aca="false">SUM($T262:AF262)</f>
        <v>64.392427615527</v>
      </c>
      <c r="AW262" s="16" t="n">
        <f aca="false">SUM($T262:AG262)</f>
        <v>69.6134366614085</v>
      </c>
      <c r="AX262" s="16" t="n">
        <f aca="false">SUM($T262:AH262)</f>
        <v>73.7188770611114</v>
      </c>
      <c r="AY262" s="16" t="n">
        <f aca="false">SUM($T262:AI262)</f>
        <v>78.639402034108</v>
      </c>
      <c r="AZ262" s="16" t="n">
        <f aca="false">MAX(C262-AJ262,0)</f>
        <v>61.6735033913092</v>
      </c>
      <c r="BA262" s="16" t="n">
        <f aca="false">MAX(C262-AK262,0)</f>
        <v>57.1095710849695</v>
      </c>
      <c r="BB262" s="16" t="n">
        <f aca="false">MAX(C262-AL262,0)</f>
        <v>52.5655967240916</v>
      </c>
      <c r="BC262" s="16" t="n">
        <f aca="false">MAX(C262-AM262,0)</f>
        <v>47.883757336472</v>
      </c>
      <c r="BD262" s="16" t="n">
        <f aca="false">MAX(C262-AN262,0)</f>
        <v>42.6870126880479</v>
      </c>
      <c r="BE262" s="16" t="n">
        <f aca="false">MAX(C262-AO262,0)</f>
        <v>37.1503019519115</v>
      </c>
      <c r="BF262" s="16" t="n">
        <f aca="false">MAX(C262-AP262,0)</f>
        <v>32.4940935118404</v>
      </c>
      <c r="BG262" s="16" t="n">
        <f aca="false">MAX(C262-AQ262,0)</f>
        <v>28.150824188118</v>
      </c>
      <c r="BH262" s="16" t="n">
        <f aca="false">MAX(C262-AR262,0)</f>
        <v>23.1797557580626</v>
      </c>
      <c r="BI262" s="16" t="n">
        <f aca="false">MAX(C262-AS262,0)</f>
        <v>18.2455736824084</v>
      </c>
      <c r="BJ262" s="16" t="n">
        <f aca="false">MAX(C262-AT262,0)</f>
        <v>13.2247739467686</v>
      </c>
      <c r="BK262" s="16" t="n">
        <f aca="false">MAX(C262-AU262,0)</f>
        <v>8.51048512022041</v>
      </c>
      <c r="BL262" s="16" t="n">
        <f aca="false">MAX(C262-AV262,0)</f>
        <v>3.0357026986164</v>
      </c>
      <c r="BM262" s="16" t="n">
        <f aca="false">MAX(C262-AW262,0)</f>
        <v>0</v>
      </c>
      <c r="BN262" s="16" t="n">
        <f aca="false">MAX(C262-AX262,0)</f>
        <v>0</v>
      </c>
      <c r="BO262" s="16" t="n">
        <f aca="false">MAX(C262-AY262,0)</f>
        <v>0</v>
      </c>
    </row>
    <row r="263" customFormat="false" ht="15" hidden="false" customHeight="false" outlineLevel="0" collapsed="false">
      <c r="A263" s="3" t="n">
        <v>233</v>
      </c>
      <c r="B263" s="15" t="n">
        <f aca="true">RAND()</f>
        <v>0.145117188595527</v>
      </c>
      <c r="C263" s="16" t="n">
        <f aca="false">LOOKUP(B263,$E$12:$E$17,$A$12:$A$17)+LOOKUP(B263,$E$12:$E$17,$D$12:$D$17)*(B263-LOOKUP(B263,$E$12:$E$17))/LOOKUP(B263,$E$12:$E$17,$C$12:$C$17)</f>
        <v>56.5039062865176</v>
      </c>
      <c r="D263" s="15" t="n">
        <f aca="true">RAND()</f>
        <v>0.954581576269772</v>
      </c>
      <c r="E263" s="15" t="n">
        <f aca="true">RAND()</f>
        <v>0.592108797594602</v>
      </c>
      <c r="F263" s="15" t="n">
        <f aca="true">RAND()</f>
        <v>0.373140950575717</v>
      </c>
      <c r="G263" s="15" t="n">
        <f aca="true">RAND()</f>
        <v>0.929171054993013</v>
      </c>
      <c r="H263" s="15" t="n">
        <f aca="true">RAND()</f>
        <v>0.372409556110765</v>
      </c>
      <c r="I263" s="15" t="n">
        <f aca="true">RAND()</f>
        <v>0.520650178312599</v>
      </c>
      <c r="J263" s="15" t="n">
        <f aca="true">RAND()</f>
        <v>0.244683062158366</v>
      </c>
      <c r="K263" s="15" t="n">
        <f aca="true">RAND()</f>
        <v>0.211192731700522</v>
      </c>
      <c r="L263" s="15" t="n">
        <f aca="true">RAND()</f>
        <v>0.298833995069083</v>
      </c>
      <c r="M263" s="15" t="n">
        <f aca="true">RAND()</f>
        <v>0.294739048808366</v>
      </c>
      <c r="N263" s="15" t="n">
        <f aca="true">RAND()</f>
        <v>0.621104669215453</v>
      </c>
      <c r="O263" s="15" t="n">
        <f aca="true">RAND()</f>
        <v>0.929099327398142</v>
      </c>
      <c r="P263" s="15" t="n">
        <f aca="true">RAND()</f>
        <v>0.640360095417698</v>
      </c>
      <c r="Q263" s="15" t="n">
        <f aca="true">RAND()</f>
        <v>0.784971232826142</v>
      </c>
      <c r="R263" s="15" t="n">
        <f aca="true">RAND()</f>
        <v>0.147901764501009</v>
      </c>
      <c r="S263" s="15" t="n">
        <f aca="true">RAND()</f>
        <v>0.574714433830837</v>
      </c>
      <c r="T263" s="16" t="n">
        <f aca="false">LOOKUP(D263,$E$23:$E$26,$A$23:$A$26)+LOOKUP(D263,$E$23:$E$26,$D$23:$D$26)*(D263-LOOKUP(D263,$E$23:$E$26))/LOOKUP(D263,$E$23:$E$26,$C$23:$C$26)</f>
        <v>5.77290788134886</v>
      </c>
      <c r="U263" s="16" t="n">
        <f aca="false">LOOKUP(E263,$E$23:$E$26,$A$23:$A$26)+LOOKUP(E263,$E$23:$E$26,$D$23:$D$26)*(E263-LOOKUP(E263,$E$23:$E$26))/LOOKUP(E263,$E$23:$E$26,$C$23:$C$26)</f>
        <v>4.86513599699325</v>
      </c>
      <c r="V263" s="16" t="n">
        <f aca="false">LOOKUP(F263,$E$23:$E$26,$A$23:$A$26)+LOOKUP(F263,$E$23:$E$26,$D$23:$D$26)*(F263-LOOKUP(F263,$E$23:$E$26))/LOOKUP(F263,$E$23:$E$26,$C$23:$C$26)</f>
        <v>4.59142618821965</v>
      </c>
      <c r="W263" s="16" t="n">
        <f aca="false">LOOKUP(G263,$E$23:$E$26,$A$23:$A$26)+LOOKUP(G263,$E$23:$E$26,$D$23:$D$26)*(G263-LOOKUP(G263,$E$23:$E$26))/LOOKUP(G263,$E$23:$E$26,$C$23:$C$26)</f>
        <v>5.64585527496507</v>
      </c>
      <c r="X263" s="16" t="n">
        <f aca="false">LOOKUP(H263,$E$23:$E$26,$A$23:$A$26)+LOOKUP(H263,$E$23:$E$26,$D$23:$D$26)*(H263-LOOKUP(H263,$E$23:$E$26))/LOOKUP(H263,$E$23:$E$26,$C$23:$C$26)</f>
        <v>4.59051194513846</v>
      </c>
      <c r="Y263" s="16" t="n">
        <f aca="false">LOOKUP(I263,$E$23:$E$26,$A$23:$A$26)+LOOKUP(I263,$E$23:$E$26,$D$23:$D$26)*(I263-LOOKUP(I263,$E$23:$E$26))/LOOKUP(I263,$E$23:$E$26,$C$23:$C$26)</f>
        <v>4.77581272289075</v>
      </c>
      <c r="Z263" s="16" t="n">
        <f aca="false">LOOKUP(J263,$E$23:$E$26,$A$23:$A$26)+LOOKUP(J263,$E$23:$E$26,$D$23:$D$26)*(J263-LOOKUP(J263,$E$23:$E$26))/LOOKUP(J263,$E$23:$E$26,$C$23:$C$26)</f>
        <v>4.40780510359728</v>
      </c>
      <c r="AA263" s="16" t="n">
        <f aca="false">LOOKUP(K263,$E$23:$E$26,$A$23:$A$26)+LOOKUP(K263,$E$23:$E$26,$D$23:$D$26)*(K263-LOOKUP(K263,$E$23:$E$26))/LOOKUP(K263,$E$23:$E$26,$C$23:$C$26)</f>
        <v>4.35198788616754</v>
      </c>
      <c r="AB263" s="16" t="n">
        <f aca="false">LOOKUP(L263,$E$23:$E$26,$A$23:$A$26)+LOOKUP(L263,$E$23:$E$26,$D$23:$D$26)*(L263-LOOKUP(L263,$E$23:$E$26))/LOOKUP(L263,$E$23:$E$26,$C$23:$C$26)</f>
        <v>4.49805665844847</v>
      </c>
      <c r="AC263" s="16" t="n">
        <f aca="false">LOOKUP(M263,$E$23:$E$26,$A$23:$A$26)+LOOKUP(M263,$E$23:$E$26,$D$23:$D$26)*(M263-LOOKUP(M263,$E$23:$E$26))/LOOKUP(M263,$E$23:$E$26,$C$23:$C$26)</f>
        <v>4.49123174801394</v>
      </c>
      <c r="AD263" s="16" t="n">
        <f aca="false">LOOKUP(N263,$E$23:$E$26,$A$23:$A$26)+LOOKUP(N263,$E$23:$E$26,$D$23:$D$26)*(N263-LOOKUP(N263,$E$23:$E$26))/LOOKUP(N263,$E$23:$E$26,$C$23:$C$26)</f>
        <v>4.90138083651932</v>
      </c>
      <c r="AE263" s="16" t="n">
        <f aca="false">LOOKUP(O263,$E$23:$E$26,$A$23:$A$26)+LOOKUP(O263,$E$23:$E$26,$D$23:$D$26)*(O263-LOOKUP(O263,$E$23:$E$26))/LOOKUP(O263,$E$23:$E$26,$C$23:$C$26)</f>
        <v>5.64549663699071</v>
      </c>
      <c r="AF263" s="16" t="n">
        <f aca="false">LOOKUP(P263,$E$23:$E$26,$A$23:$A$26)+LOOKUP(P263,$E$23:$E$26,$D$23:$D$26)*(P263-LOOKUP(P263,$E$23:$E$26))/LOOKUP(P263,$E$23:$E$26,$C$23:$C$26)</f>
        <v>4.92545011927212</v>
      </c>
      <c r="AG263" s="16" t="n">
        <f aca="false">LOOKUP(Q263,$E$23:$E$26,$A$23:$A$26)+LOOKUP(Q263,$E$23:$E$26,$D$23:$D$26)*(Q263-LOOKUP(Q263,$E$23:$E$26))/LOOKUP(Q263,$E$23:$E$26,$C$23:$C$26)</f>
        <v>5.21242808206536</v>
      </c>
      <c r="AH263" s="16" t="n">
        <f aca="false">LOOKUP(R263,$E$23:$E$26,$A$23:$A$26)+LOOKUP(R263,$E$23:$E$26,$D$23:$D$26)*(R263-LOOKUP(R263,$E$23:$E$26))/LOOKUP(R263,$E$23:$E$26,$C$23:$C$26)</f>
        <v>4.24650294083502</v>
      </c>
      <c r="AI263" s="16" t="n">
        <f aca="false">LOOKUP(S263,$E$23:$E$26,$A$23:$A$26)+LOOKUP(S263,$E$23:$E$26,$D$23:$D$26)*(S263-LOOKUP(S263,$E$23:$E$26))/LOOKUP(S263,$E$23:$E$26,$C$23:$C$26)</f>
        <v>4.84339304228855</v>
      </c>
      <c r="AJ263" s="16" t="n">
        <f aca="false">SUM($T263:T263)</f>
        <v>5.77290788134886</v>
      </c>
      <c r="AK263" s="16" t="n">
        <f aca="false">SUM($T263:U263)</f>
        <v>10.6380438783421</v>
      </c>
      <c r="AL263" s="16" t="n">
        <f aca="false">SUM($T263:V263)</f>
        <v>15.2294700665618</v>
      </c>
      <c r="AM263" s="16" t="n">
        <f aca="false">SUM($T263:W263)</f>
        <v>20.8753253415268</v>
      </c>
      <c r="AN263" s="16" t="n">
        <f aca="false">SUM($T263:X263)</f>
        <v>25.4658372866653</v>
      </c>
      <c r="AO263" s="16" t="n">
        <f aca="false">SUM($T263:Y263)</f>
        <v>30.241650009556</v>
      </c>
      <c r="AP263" s="16" t="n">
        <f aca="false">SUM($T263:Z263)</f>
        <v>34.6494551131533</v>
      </c>
      <c r="AQ263" s="16" t="n">
        <f aca="false">SUM($T263:AA263)</f>
        <v>39.0014429993208</v>
      </c>
      <c r="AR263" s="16" t="n">
        <f aca="false">SUM($T263:AB263)</f>
        <v>43.4994996577693</v>
      </c>
      <c r="AS263" s="16" t="n">
        <f aca="false">SUM($T263:AC263)</f>
        <v>47.9907314057833</v>
      </c>
      <c r="AT263" s="16" t="n">
        <f aca="false">SUM($T263:AD263)</f>
        <v>52.8921122423026</v>
      </c>
      <c r="AU263" s="16" t="n">
        <f aca="false">SUM($T263:AE263)</f>
        <v>58.5376088792933</v>
      </c>
      <c r="AV263" s="16" t="n">
        <f aca="false">SUM($T263:AF263)</f>
        <v>63.4630589985654</v>
      </c>
      <c r="AW263" s="16" t="n">
        <f aca="false">SUM($T263:AG263)</f>
        <v>68.6754870806308</v>
      </c>
      <c r="AX263" s="16" t="n">
        <f aca="false">SUM($T263:AH263)</f>
        <v>72.9219900214658</v>
      </c>
      <c r="AY263" s="16" t="n">
        <f aca="false">SUM($T263:AI263)</f>
        <v>77.7653830637543</v>
      </c>
      <c r="AZ263" s="16" t="n">
        <f aca="false">MAX(C263-AJ263,0)</f>
        <v>50.7309984051687</v>
      </c>
      <c r="BA263" s="16" t="n">
        <f aca="false">MAX(C263-AK263,0)</f>
        <v>45.8658624081755</v>
      </c>
      <c r="BB263" s="16" t="n">
        <f aca="false">MAX(C263-AL263,0)</f>
        <v>41.2744362199558</v>
      </c>
      <c r="BC263" s="16" t="n">
        <f aca="false">MAX(C263-AM263,0)</f>
        <v>35.6285809449908</v>
      </c>
      <c r="BD263" s="16" t="n">
        <f aca="false">MAX(C263-AN263,0)</f>
        <v>31.0380689998523</v>
      </c>
      <c r="BE263" s="16" t="n">
        <f aca="false">MAX(C263-AO263,0)</f>
        <v>26.2622562769616</v>
      </c>
      <c r="BF263" s="16" t="n">
        <f aca="false">MAX(C263-AP263,0)</f>
        <v>21.8544511733643</v>
      </c>
      <c r="BG263" s="16" t="n">
        <f aca="false">MAX(C263-AQ263,0)</f>
        <v>17.5024632871967</v>
      </c>
      <c r="BH263" s="16" t="n">
        <f aca="false">MAX(C263-AR263,0)</f>
        <v>13.0044066287483</v>
      </c>
      <c r="BI263" s="16" t="n">
        <f aca="false">MAX(C263-AS263,0)</f>
        <v>8.51317488073432</v>
      </c>
      <c r="BJ263" s="16" t="n">
        <f aca="false">MAX(C263-AT263,0)</f>
        <v>3.611794044215</v>
      </c>
      <c r="BK263" s="16" t="n">
        <f aca="false">MAX(C263-AU263,0)</f>
        <v>0</v>
      </c>
      <c r="BL263" s="16" t="n">
        <f aca="false">MAX(C263-AV263,0)</f>
        <v>0</v>
      </c>
      <c r="BM263" s="16" t="n">
        <f aca="false">MAX(C263-AW263,0)</f>
        <v>0</v>
      </c>
      <c r="BN263" s="16" t="n">
        <f aca="false">MAX(C263-AX263,0)</f>
        <v>0</v>
      </c>
      <c r="BO263" s="16" t="n">
        <f aca="false">MAX(C263-AY263,0)</f>
        <v>0</v>
      </c>
    </row>
    <row r="264" customFormat="false" ht="15" hidden="false" customHeight="false" outlineLevel="0" collapsed="false">
      <c r="A264" s="3" t="n">
        <v>234</v>
      </c>
      <c r="B264" s="15" t="n">
        <f aca="true">RAND()</f>
        <v>0.436038128959917</v>
      </c>
      <c r="C264" s="16" t="n">
        <f aca="false">LOOKUP(B264,$E$12:$E$17,$A$12:$A$17)+LOOKUP(B264,$E$12:$E$17,$D$12:$D$17)*(B264-LOOKUP(B264,$E$12:$E$17))/LOOKUP(B264,$E$12:$E$17,$C$12:$C$17)</f>
        <v>63.1006354826653</v>
      </c>
      <c r="D264" s="15" t="n">
        <f aca="true">RAND()</f>
        <v>0.884950914410571</v>
      </c>
      <c r="E264" s="15" t="n">
        <f aca="true">RAND()</f>
        <v>0.194576526867343</v>
      </c>
      <c r="F264" s="15" t="n">
        <f aca="true">RAND()</f>
        <v>0.258061942683479</v>
      </c>
      <c r="G264" s="15" t="n">
        <f aca="true">RAND()</f>
        <v>0.18781669183211</v>
      </c>
      <c r="H264" s="15" t="n">
        <f aca="true">RAND()</f>
        <v>0.606280097811781</v>
      </c>
      <c r="I264" s="15" t="n">
        <f aca="true">RAND()</f>
        <v>0.476185037475017</v>
      </c>
      <c r="J264" s="15" t="n">
        <f aca="true">RAND()</f>
        <v>0.780382465441599</v>
      </c>
      <c r="K264" s="15" t="n">
        <f aca="true">RAND()</f>
        <v>0.229659073915319</v>
      </c>
      <c r="L264" s="15" t="n">
        <f aca="true">RAND()</f>
        <v>0.199621185878163</v>
      </c>
      <c r="M264" s="15" t="n">
        <f aca="true">RAND()</f>
        <v>0.0708879948038963</v>
      </c>
      <c r="N264" s="15" t="n">
        <f aca="true">RAND()</f>
        <v>0.483743574215412</v>
      </c>
      <c r="O264" s="15" t="n">
        <f aca="true">RAND()</f>
        <v>0.768110306600167</v>
      </c>
      <c r="P264" s="15" t="n">
        <f aca="true">RAND()</f>
        <v>0.571687458023193</v>
      </c>
      <c r="Q264" s="15" t="n">
        <f aca="true">RAND()</f>
        <v>0.281626728931002</v>
      </c>
      <c r="R264" s="15" t="n">
        <f aca="true">RAND()</f>
        <v>0.556353860169806</v>
      </c>
      <c r="S264" s="15" t="n">
        <f aca="true">RAND()</f>
        <v>0.726742992174632</v>
      </c>
      <c r="T264" s="16" t="n">
        <f aca="false">LOOKUP(D264,$E$23:$E$26,$A$23:$A$26)+LOOKUP(D264,$E$23:$E$26,$D$23:$D$26)*(D264-LOOKUP(D264,$E$23:$E$26))/LOOKUP(D264,$E$23:$E$26,$C$23:$C$26)</f>
        <v>5.46237728602643</v>
      </c>
      <c r="U264" s="16" t="n">
        <f aca="false">LOOKUP(E264,$E$23:$E$26,$A$23:$A$26)+LOOKUP(E264,$E$23:$E$26,$D$23:$D$26)*(E264-LOOKUP(E264,$E$23:$E$26))/LOOKUP(E264,$E$23:$E$26,$C$23:$C$26)</f>
        <v>4.32429421144557</v>
      </c>
      <c r="V264" s="16" t="n">
        <f aca="false">LOOKUP(F264,$E$23:$E$26,$A$23:$A$26)+LOOKUP(F264,$E$23:$E$26,$D$23:$D$26)*(F264-LOOKUP(F264,$E$23:$E$26))/LOOKUP(F264,$E$23:$E$26,$C$23:$C$26)</f>
        <v>4.4301032378058</v>
      </c>
      <c r="W264" s="16" t="n">
        <f aca="false">LOOKUP(G264,$E$23:$E$26,$A$23:$A$26)+LOOKUP(G264,$E$23:$E$26,$D$23:$D$26)*(G264-LOOKUP(G264,$E$23:$E$26))/LOOKUP(G264,$E$23:$E$26,$C$23:$C$26)</f>
        <v>4.31302781972018</v>
      </c>
      <c r="X264" s="16" t="n">
        <f aca="false">LOOKUP(H264,$E$23:$E$26,$A$23:$A$26)+LOOKUP(H264,$E$23:$E$26,$D$23:$D$26)*(H264-LOOKUP(H264,$E$23:$E$26))/LOOKUP(H264,$E$23:$E$26,$C$23:$C$26)</f>
        <v>4.88285012226473</v>
      </c>
      <c r="Y264" s="16" t="n">
        <f aca="false">LOOKUP(I264,$E$23:$E$26,$A$23:$A$26)+LOOKUP(I264,$E$23:$E$26,$D$23:$D$26)*(I264-LOOKUP(I264,$E$23:$E$26))/LOOKUP(I264,$E$23:$E$26,$C$23:$C$26)</f>
        <v>4.72023129684377</v>
      </c>
      <c r="Z264" s="16" t="n">
        <f aca="false">LOOKUP(J264,$E$23:$E$26,$A$23:$A$26)+LOOKUP(J264,$E$23:$E$26,$D$23:$D$26)*(J264-LOOKUP(J264,$E$23:$E$26))/LOOKUP(J264,$E$23:$E$26,$C$23:$C$26)</f>
        <v>5.200956163604</v>
      </c>
      <c r="AA264" s="16" t="n">
        <f aca="false">LOOKUP(K264,$E$23:$E$26,$A$23:$A$26)+LOOKUP(K264,$E$23:$E$26,$D$23:$D$26)*(K264-LOOKUP(K264,$E$23:$E$26))/LOOKUP(K264,$E$23:$E$26,$C$23:$C$26)</f>
        <v>4.3827651231922</v>
      </c>
      <c r="AB264" s="16" t="n">
        <f aca="false">LOOKUP(L264,$E$23:$E$26,$A$23:$A$26)+LOOKUP(L264,$E$23:$E$26,$D$23:$D$26)*(L264-LOOKUP(L264,$E$23:$E$26))/LOOKUP(L264,$E$23:$E$26,$C$23:$C$26)</f>
        <v>4.3327019764636</v>
      </c>
      <c r="AC264" s="16" t="n">
        <f aca="false">LOOKUP(M264,$E$23:$E$26,$A$23:$A$26)+LOOKUP(M264,$E$23:$E$26,$D$23:$D$26)*(M264-LOOKUP(M264,$E$23:$E$26))/LOOKUP(M264,$E$23:$E$26,$C$23:$C$26)</f>
        <v>4.11814665800649</v>
      </c>
      <c r="AD264" s="16" t="n">
        <f aca="false">LOOKUP(N264,$E$23:$E$26,$A$23:$A$26)+LOOKUP(N264,$E$23:$E$26,$D$23:$D$26)*(N264-LOOKUP(N264,$E$23:$E$26))/LOOKUP(N264,$E$23:$E$26,$C$23:$C$26)</f>
        <v>4.72967946776927</v>
      </c>
      <c r="AE264" s="16" t="n">
        <f aca="false">LOOKUP(O264,$E$23:$E$26,$A$23:$A$26)+LOOKUP(O264,$E$23:$E$26,$D$23:$D$26)*(O264-LOOKUP(O264,$E$23:$E$26))/LOOKUP(O264,$E$23:$E$26,$C$23:$C$26)</f>
        <v>5.17027576650042</v>
      </c>
      <c r="AF264" s="16" t="n">
        <f aca="false">LOOKUP(P264,$E$23:$E$26,$A$23:$A$26)+LOOKUP(P264,$E$23:$E$26,$D$23:$D$26)*(P264-LOOKUP(P264,$E$23:$E$26))/LOOKUP(P264,$E$23:$E$26,$C$23:$C$26)</f>
        <v>4.83960932252899</v>
      </c>
      <c r="AG264" s="16" t="n">
        <f aca="false">LOOKUP(Q264,$E$23:$E$26,$A$23:$A$26)+LOOKUP(Q264,$E$23:$E$26,$D$23:$D$26)*(Q264-LOOKUP(Q264,$E$23:$E$26))/LOOKUP(Q264,$E$23:$E$26,$C$23:$C$26)</f>
        <v>4.46937788155167</v>
      </c>
      <c r="AH264" s="16" t="n">
        <f aca="false">LOOKUP(R264,$E$23:$E$26,$A$23:$A$26)+LOOKUP(R264,$E$23:$E$26,$D$23:$D$26)*(R264-LOOKUP(R264,$E$23:$E$26))/LOOKUP(R264,$E$23:$E$26,$C$23:$C$26)</f>
        <v>4.82044232521226</v>
      </c>
      <c r="AI264" s="16" t="n">
        <f aca="false">LOOKUP(S264,$E$23:$E$26,$A$23:$A$26)+LOOKUP(S264,$E$23:$E$26,$D$23:$D$26)*(S264-LOOKUP(S264,$E$23:$E$26))/LOOKUP(S264,$E$23:$E$26,$C$23:$C$26)</f>
        <v>5.06685748043658</v>
      </c>
      <c r="AJ264" s="16" t="n">
        <f aca="false">SUM($T264:T264)</f>
        <v>5.46237728602643</v>
      </c>
      <c r="AK264" s="16" t="n">
        <f aca="false">SUM($T264:U264)</f>
        <v>9.786671497472</v>
      </c>
      <c r="AL264" s="16" t="n">
        <f aca="false">SUM($T264:V264)</f>
        <v>14.2167747352778</v>
      </c>
      <c r="AM264" s="16" t="n">
        <f aca="false">SUM($T264:W264)</f>
        <v>18.529802554998</v>
      </c>
      <c r="AN264" s="16" t="n">
        <f aca="false">SUM($T264:X264)</f>
        <v>23.4126526772627</v>
      </c>
      <c r="AO264" s="16" t="n">
        <f aca="false">SUM($T264:Y264)</f>
        <v>28.1328839741065</v>
      </c>
      <c r="AP264" s="16" t="n">
        <f aca="false">SUM($T264:Z264)</f>
        <v>33.3338401377105</v>
      </c>
      <c r="AQ264" s="16" t="n">
        <f aca="false">SUM($T264:AA264)</f>
        <v>37.7166052609027</v>
      </c>
      <c r="AR264" s="16" t="n">
        <f aca="false">SUM($T264:AB264)</f>
        <v>42.0493072373663</v>
      </c>
      <c r="AS264" s="16" t="n">
        <f aca="false">SUM($T264:AC264)</f>
        <v>46.1674538953728</v>
      </c>
      <c r="AT264" s="16" t="n">
        <f aca="false">SUM($T264:AD264)</f>
        <v>50.897133363142</v>
      </c>
      <c r="AU264" s="16" t="n">
        <f aca="false">SUM($T264:AE264)</f>
        <v>56.0674091296425</v>
      </c>
      <c r="AV264" s="16" t="n">
        <f aca="false">SUM($T264:AF264)</f>
        <v>60.9070184521715</v>
      </c>
      <c r="AW264" s="16" t="n">
        <f aca="false">SUM($T264:AG264)</f>
        <v>65.3763963337231</v>
      </c>
      <c r="AX264" s="16" t="n">
        <f aca="false">SUM($T264:AH264)</f>
        <v>70.1968386589354</v>
      </c>
      <c r="AY264" s="16" t="n">
        <f aca="false">SUM($T264:AI264)</f>
        <v>75.263696139372</v>
      </c>
      <c r="AZ264" s="16" t="n">
        <f aca="false">MAX(C264-AJ264,0)</f>
        <v>57.6382581966389</v>
      </c>
      <c r="BA264" s="16" t="n">
        <f aca="false">MAX(C264-AK264,0)</f>
        <v>53.3139639851933</v>
      </c>
      <c r="BB264" s="16" t="n">
        <f aca="false">MAX(C264-AL264,0)</f>
        <v>48.8838607473875</v>
      </c>
      <c r="BC264" s="16" t="n">
        <f aca="false">MAX(C264-AM264,0)</f>
        <v>44.5708329276673</v>
      </c>
      <c r="BD264" s="16" t="n">
        <f aca="false">MAX(C264-AN264,0)</f>
        <v>39.6879828054026</v>
      </c>
      <c r="BE264" s="16" t="n">
        <f aca="false">MAX(C264-AO264,0)</f>
        <v>34.9677515085588</v>
      </c>
      <c r="BF264" s="16" t="n">
        <f aca="false">MAX(C264-AP264,0)</f>
        <v>29.7667953449548</v>
      </c>
      <c r="BG264" s="16" t="n">
        <f aca="false">MAX(C264-AQ264,0)</f>
        <v>25.3840302217626</v>
      </c>
      <c r="BH264" s="16" t="n">
        <f aca="false">MAX(C264-AR264,0)</f>
        <v>21.051328245299</v>
      </c>
      <c r="BI264" s="16" t="n">
        <f aca="false">MAX(C264-AS264,0)</f>
        <v>16.9331815872925</v>
      </c>
      <c r="BJ264" s="16" t="n">
        <f aca="false">MAX(C264-AT264,0)</f>
        <v>12.2035021195233</v>
      </c>
      <c r="BK264" s="16" t="n">
        <f aca="false">MAX(C264-AU264,0)</f>
        <v>7.03322635302283</v>
      </c>
      <c r="BL264" s="16" t="n">
        <f aca="false">MAX(C264-AV264,0)</f>
        <v>2.19361703049384</v>
      </c>
      <c r="BM264" s="16" t="n">
        <f aca="false">MAX(C264-AW264,0)</f>
        <v>0</v>
      </c>
      <c r="BN264" s="16" t="n">
        <f aca="false">MAX(C264-AX264,0)</f>
        <v>0</v>
      </c>
      <c r="BO264" s="16" t="n">
        <f aca="false">MAX(C264-AY264,0)</f>
        <v>0</v>
      </c>
    </row>
    <row r="265" customFormat="false" ht="15" hidden="false" customHeight="false" outlineLevel="0" collapsed="false">
      <c r="A265" s="3" t="n">
        <v>235</v>
      </c>
      <c r="B265" s="15" t="n">
        <f aca="true">RAND()</f>
        <v>0.19890362982139</v>
      </c>
      <c r="C265" s="16" t="n">
        <f aca="false">LOOKUP(B265,$E$12:$E$17,$A$12:$A$17)+LOOKUP(B265,$E$12:$E$17,$D$12:$D$17)*(B265-LOOKUP(B265,$E$12:$E$17))/LOOKUP(B265,$E$12:$E$17,$C$12:$C$17)</f>
        <v>58.296787660713</v>
      </c>
      <c r="D265" s="15" t="n">
        <f aca="true">RAND()</f>
        <v>0.344024656908966</v>
      </c>
      <c r="E265" s="15" t="n">
        <f aca="true">RAND()</f>
        <v>0.0933043652822478</v>
      </c>
      <c r="F265" s="15" t="n">
        <f aca="true">RAND()</f>
        <v>0.456204631602588</v>
      </c>
      <c r="G265" s="15" t="n">
        <f aca="true">RAND()</f>
        <v>0.616244957001033</v>
      </c>
      <c r="H265" s="15" t="n">
        <f aca="true">RAND()</f>
        <v>0.0851082753136273</v>
      </c>
      <c r="I265" s="15" t="n">
        <f aca="true">RAND()</f>
        <v>0.727568313696872</v>
      </c>
      <c r="J265" s="15" t="n">
        <f aca="true">RAND()</f>
        <v>0.706927754471991</v>
      </c>
      <c r="K265" s="15" t="n">
        <f aca="true">RAND()</f>
        <v>0.258289826335933</v>
      </c>
      <c r="L265" s="15" t="n">
        <f aca="true">RAND()</f>
        <v>0.814976905532039</v>
      </c>
      <c r="M265" s="15" t="n">
        <f aca="true">RAND()</f>
        <v>0.366071075869096</v>
      </c>
      <c r="N265" s="15" t="n">
        <f aca="true">RAND()</f>
        <v>0.334068769682308</v>
      </c>
      <c r="O265" s="15" t="n">
        <f aca="true">RAND()</f>
        <v>0.227123436521579</v>
      </c>
      <c r="P265" s="15" t="n">
        <f aca="true">RAND()</f>
        <v>0.363450089984451</v>
      </c>
      <c r="Q265" s="15" t="n">
        <f aca="true">RAND()</f>
        <v>0.575717139845025</v>
      </c>
      <c r="R265" s="15" t="n">
        <f aca="true">RAND()</f>
        <v>0.233612747041392</v>
      </c>
      <c r="S265" s="15" t="n">
        <f aca="true">RAND()</f>
        <v>0.963598471976268</v>
      </c>
      <c r="T265" s="16" t="n">
        <f aca="false">LOOKUP(D265,$E$23:$E$26,$A$23:$A$26)+LOOKUP(D265,$E$23:$E$26,$D$23:$D$26)*(D265-LOOKUP(D265,$E$23:$E$26))/LOOKUP(D265,$E$23:$E$26,$C$23:$C$26)</f>
        <v>4.55503082113621</v>
      </c>
      <c r="U265" s="16" t="n">
        <f aca="false">LOOKUP(E265,$E$23:$E$26,$A$23:$A$26)+LOOKUP(E265,$E$23:$E$26,$D$23:$D$26)*(E265-LOOKUP(E265,$E$23:$E$26))/LOOKUP(E265,$E$23:$E$26,$C$23:$C$26)</f>
        <v>4.15550727547041</v>
      </c>
      <c r="V265" s="16" t="n">
        <f aca="false">LOOKUP(F265,$E$23:$E$26,$A$23:$A$26)+LOOKUP(F265,$E$23:$E$26,$D$23:$D$26)*(F265-LOOKUP(F265,$E$23:$E$26))/LOOKUP(F265,$E$23:$E$26,$C$23:$C$26)</f>
        <v>4.69525578950324</v>
      </c>
      <c r="W265" s="16" t="n">
        <f aca="false">LOOKUP(G265,$E$23:$E$26,$A$23:$A$26)+LOOKUP(G265,$E$23:$E$26,$D$23:$D$26)*(G265-LOOKUP(G265,$E$23:$E$26))/LOOKUP(G265,$E$23:$E$26,$C$23:$C$26)</f>
        <v>4.89530619625129</v>
      </c>
      <c r="X265" s="16" t="n">
        <f aca="false">LOOKUP(H265,$E$23:$E$26,$A$23:$A$26)+LOOKUP(H265,$E$23:$E$26,$D$23:$D$26)*(H265-LOOKUP(H265,$E$23:$E$26))/LOOKUP(H265,$E$23:$E$26,$C$23:$C$26)</f>
        <v>4.14184712552271</v>
      </c>
      <c r="Y265" s="16" t="n">
        <f aca="false">LOOKUP(I265,$E$23:$E$26,$A$23:$A$26)+LOOKUP(I265,$E$23:$E$26,$D$23:$D$26)*(I265-LOOKUP(I265,$E$23:$E$26))/LOOKUP(I265,$E$23:$E$26,$C$23:$C$26)</f>
        <v>5.06892078424218</v>
      </c>
      <c r="Z265" s="16" t="n">
        <f aca="false">LOOKUP(J265,$E$23:$E$26,$A$23:$A$26)+LOOKUP(J265,$E$23:$E$26,$D$23:$D$26)*(J265-LOOKUP(J265,$E$23:$E$26))/LOOKUP(J265,$E$23:$E$26,$C$23:$C$26)</f>
        <v>5.01731938617998</v>
      </c>
      <c r="AA265" s="16" t="n">
        <f aca="false">LOOKUP(K265,$E$23:$E$26,$A$23:$A$26)+LOOKUP(K265,$E$23:$E$26,$D$23:$D$26)*(K265-LOOKUP(K265,$E$23:$E$26))/LOOKUP(K265,$E$23:$E$26,$C$23:$C$26)</f>
        <v>4.43048304389322</v>
      </c>
      <c r="AB265" s="16" t="n">
        <f aca="false">LOOKUP(L265,$E$23:$E$26,$A$23:$A$26)+LOOKUP(L265,$E$23:$E$26,$D$23:$D$26)*(L265-LOOKUP(L265,$E$23:$E$26))/LOOKUP(L265,$E$23:$E$26,$C$23:$C$26)</f>
        <v>5.2874422638301</v>
      </c>
      <c r="AC265" s="16" t="n">
        <f aca="false">LOOKUP(M265,$E$23:$E$26,$A$23:$A$26)+LOOKUP(M265,$E$23:$E$26,$D$23:$D$26)*(M265-LOOKUP(M265,$E$23:$E$26))/LOOKUP(M265,$E$23:$E$26,$C$23:$C$26)</f>
        <v>4.58258884483637</v>
      </c>
      <c r="AD265" s="16" t="n">
        <f aca="false">LOOKUP(N265,$E$23:$E$26,$A$23:$A$26)+LOOKUP(N265,$E$23:$E$26,$D$23:$D$26)*(N265-LOOKUP(N265,$E$23:$E$26))/LOOKUP(N265,$E$23:$E$26,$C$23:$C$26)</f>
        <v>4.54258596210289</v>
      </c>
      <c r="AE265" s="16" t="n">
        <f aca="false">LOOKUP(O265,$E$23:$E$26,$A$23:$A$26)+LOOKUP(O265,$E$23:$E$26,$D$23:$D$26)*(O265-LOOKUP(O265,$E$23:$E$26))/LOOKUP(O265,$E$23:$E$26,$C$23:$C$26)</f>
        <v>4.3785390608693</v>
      </c>
      <c r="AF265" s="16" t="n">
        <f aca="false">LOOKUP(P265,$E$23:$E$26,$A$23:$A$26)+LOOKUP(P265,$E$23:$E$26,$D$23:$D$26)*(P265-LOOKUP(P265,$E$23:$E$26))/LOOKUP(P265,$E$23:$E$26,$C$23:$C$26)</f>
        <v>4.57931261248056</v>
      </c>
      <c r="AG265" s="16" t="n">
        <f aca="false">LOOKUP(Q265,$E$23:$E$26,$A$23:$A$26)+LOOKUP(Q265,$E$23:$E$26,$D$23:$D$26)*(Q265-LOOKUP(Q265,$E$23:$E$26))/LOOKUP(Q265,$E$23:$E$26,$C$23:$C$26)</f>
        <v>4.84464642480628</v>
      </c>
      <c r="AH265" s="16" t="n">
        <f aca="false">LOOKUP(R265,$E$23:$E$26,$A$23:$A$26)+LOOKUP(R265,$E$23:$E$26,$D$23:$D$26)*(R265-LOOKUP(R265,$E$23:$E$26))/LOOKUP(R265,$E$23:$E$26,$C$23:$C$26)</f>
        <v>4.38935457840232</v>
      </c>
      <c r="AI265" s="16" t="n">
        <f aca="false">LOOKUP(S265,$E$23:$E$26,$A$23:$A$26)+LOOKUP(S265,$E$23:$E$26,$D$23:$D$26)*(S265-LOOKUP(S265,$E$23:$E$26))/LOOKUP(S265,$E$23:$E$26,$C$23:$C$26)</f>
        <v>5.81799235988134</v>
      </c>
      <c r="AJ265" s="16" t="n">
        <f aca="false">SUM($T265:T265)</f>
        <v>4.55503082113621</v>
      </c>
      <c r="AK265" s="16" t="n">
        <f aca="false">SUM($T265:U265)</f>
        <v>8.71053809660662</v>
      </c>
      <c r="AL265" s="16" t="n">
        <f aca="false">SUM($T265:V265)</f>
        <v>13.4057938861099</v>
      </c>
      <c r="AM265" s="16" t="n">
        <f aca="false">SUM($T265:W265)</f>
        <v>18.3011000823611</v>
      </c>
      <c r="AN265" s="16" t="n">
        <f aca="false">SUM($T265:X265)</f>
        <v>22.4429472078839</v>
      </c>
      <c r="AO265" s="16" t="n">
        <f aca="false">SUM($T265:Y265)</f>
        <v>27.511867992126</v>
      </c>
      <c r="AP265" s="16" t="n">
        <f aca="false">SUM($T265:Z265)</f>
        <v>32.529187378306</v>
      </c>
      <c r="AQ265" s="16" t="n">
        <f aca="false">SUM($T265:AA265)</f>
        <v>36.9596704221992</v>
      </c>
      <c r="AR265" s="16" t="n">
        <f aca="false">SUM($T265:AB265)</f>
        <v>42.2471126860293</v>
      </c>
      <c r="AS265" s="16" t="n">
        <f aca="false">SUM($T265:AC265)</f>
        <v>46.8297015308657</v>
      </c>
      <c r="AT265" s="16" t="n">
        <f aca="false">SUM($T265:AD265)</f>
        <v>51.3722874929686</v>
      </c>
      <c r="AU265" s="16" t="n">
        <f aca="false">SUM($T265:AE265)</f>
        <v>55.7508265538379</v>
      </c>
      <c r="AV265" s="16" t="n">
        <f aca="false">SUM($T265:AF265)</f>
        <v>60.3301391663185</v>
      </c>
      <c r="AW265" s="16" t="n">
        <f aca="false">SUM($T265:AG265)</f>
        <v>65.1747855911247</v>
      </c>
      <c r="AX265" s="16" t="n">
        <f aca="false">SUM($T265:AH265)</f>
        <v>69.5641401695271</v>
      </c>
      <c r="AY265" s="16" t="n">
        <f aca="false">SUM($T265:AI265)</f>
        <v>75.3821325294084</v>
      </c>
      <c r="AZ265" s="16" t="n">
        <f aca="false">MAX(C265-AJ265,0)</f>
        <v>53.7417568395768</v>
      </c>
      <c r="BA265" s="16" t="n">
        <f aca="false">MAX(C265-AK265,0)</f>
        <v>49.5862495641064</v>
      </c>
      <c r="BB265" s="16" t="n">
        <f aca="false">MAX(C265-AL265,0)</f>
        <v>44.8909937746032</v>
      </c>
      <c r="BC265" s="16" t="n">
        <f aca="false">MAX(C265-AM265,0)</f>
        <v>39.9956875783519</v>
      </c>
      <c r="BD265" s="16" t="n">
        <f aca="false">MAX(C265-AN265,0)</f>
        <v>35.8538404528292</v>
      </c>
      <c r="BE265" s="16" t="n">
        <f aca="false">MAX(C265-AO265,0)</f>
        <v>30.784919668587</v>
      </c>
      <c r="BF265" s="16" t="n">
        <f aca="false">MAX(C265-AP265,0)</f>
        <v>25.767600282407</v>
      </c>
      <c r="BG265" s="16" t="n">
        <f aca="false">MAX(C265-AQ265,0)</f>
        <v>21.3371172385138</v>
      </c>
      <c r="BH265" s="16" t="n">
        <f aca="false">MAX(C265-AR265,0)</f>
        <v>16.0496749746837</v>
      </c>
      <c r="BI265" s="16" t="n">
        <f aca="false">MAX(C265-AS265,0)</f>
        <v>11.4670861298473</v>
      </c>
      <c r="BJ265" s="16" t="n">
        <f aca="false">MAX(C265-AT265,0)</f>
        <v>6.92450016774442</v>
      </c>
      <c r="BK265" s="16" t="n">
        <f aca="false">MAX(C265-AU265,0)</f>
        <v>2.54596110687511</v>
      </c>
      <c r="BL265" s="16" t="n">
        <f aca="false">MAX(C265-AV265,0)</f>
        <v>0</v>
      </c>
      <c r="BM265" s="16" t="n">
        <f aca="false">MAX(C265-AW265,0)</f>
        <v>0</v>
      </c>
      <c r="BN265" s="16" t="n">
        <f aca="false">MAX(C265-AX265,0)</f>
        <v>0</v>
      </c>
      <c r="BO265" s="16" t="n">
        <f aca="false">MAX(C265-AY265,0)</f>
        <v>0</v>
      </c>
    </row>
    <row r="266" customFormat="false" ht="15" hidden="false" customHeight="false" outlineLevel="0" collapsed="false">
      <c r="A266" s="3" t="n">
        <v>236</v>
      </c>
      <c r="B266" s="15" t="n">
        <f aca="true">RAND()</f>
        <v>0.338066499000636</v>
      </c>
      <c r="C266" s="16" t="n">
        <f aca="false">LOOKUP(B266,$E$12:$E$17,$A$12:$A$17)+LOOKUP(B266,$E$12:$E$17,$D$12:$D$17)*(B266-LOOKUP(B266,$E$12:$E$17))/LOOKUP(B266,$E$12:$E$17,$C$12:$C$17)</f>
        <v>61.4677749833439</v>
      </c>
      <c r="D266" s="15" t="n">
        <f aca="true">RAND()</f>
        <v>0.681882990073161</v>
      </c>
      <c r="E266" s="15" t="n">
        <f aca="true">RAND()</f>
        <v>0.566929920631738</v>
      </c>
      <c r="F266" s="15" t="n">
        <f aca="true">RAND()</f>
        <v>0.993181612178646</v>
      </c>
      <c r="G266" s="15" t="n">
        <f aca="true">RAND()</f>
        <v>0.182602201547457</v>
      </c>
      <c r="H266" s="15" t="n">
        <f aca="true">RAND()</f>
        <v>0.702191926159841</v>
      </c>
      <c r="I266" s="15" t="n">
        <f aca="true">RAND()</f>
        <v>0.652937646461413</v>
      </c>
      <c r="J266" s="15" t="n">
        <f aca="true">RAND()</f>
        <v>0.92144672036299</v>
      </c>
      <c r="K266" s="15" t="n">
        <f aca="true">RAND()</f>
        <v>0.799076013557138</v>
      </c>
      <c r="L266" s="15" t="n">
        <f aca="true">RAND()</f>
        <v>0.617044828308297</v>
      </c>
      <c r="M266" s="15" t="n">
        <f aca="true">RAND()</f>
        <v>0.848860658853505</v>
      </c>
      <c r="N266" s="15" t="n">
        <f aca="true">RAND()</f>
        <v>0.994250861717338</v>
      </c>
      <c r="O266" s="15" t="n">
        <f aca="true">RAND()</f>
        <v>0.960268496290857</v>
      </c>
      <c r="P266" s="15" t="n">
        <f aca="true">RAND()</f>
        <v>0.594827596756747</v>
      </c>
      <c r="Q266" s="15" t="n">
        <f aca="true">RAND()</f>
        <v>0.421678859924975</v>
      </c>
      <c r="R266" s="15" t="n">
        <f aca="true">RAND()</f>
        <v>0.167139036637661</v>
      </c>
      <c r="S266" s="15" t="n">
        <f aca="true">RAND()</f>
        <v>0.574992287817788</v>
      </c>
      <c r="T266" s="16" t="n">
        <f aca="false">LOOKUP(D266,$E$23:$E$26,$A$23:$A$26)+LOOKUP(D266,$E$23:$E$26,$D$23:$D$26)*(D266-LOOKUP(D266,$E$23:$E$26))/LOOKUP(D266,$E$23:$E$26,$C$23:$C$26)</f>
        <v>4.97735373759145</v>
      </c>
      <c r="U266" s="16" t="n">
        <f aca="false">LOOKUP(E266,$E$23:$E$26,$A$23:$A$26)+LOOKUP(E266,$E$23:$E$26,$D$23:$D$26)*(E266-LOOKUP(E266,$E$23:$E$26))/LOOKUP(E266,$E$23:$E$26,$C$23:$C$26)</f>
        <v>4.83366240078967</v>
      </c>
      <c r="V266" s="16" t="n">
        <f aca="false">LOOKUP(F266,$E$23:$E$26,$A$23:$A$26)+LOOKUP(F266,$E$23:$E$26,$D$23:$D$26)*(F266-LOOKUP(F266,$E$23:$E$26))/LOOKUP(F266,$E$23:$E$26,$C$23:$C$26)</f>
        <v>5.96590806089323</v>
      </c>
      <c r="W266" s="16" t="n">
        <f aca="false">LOOKUP(G266,$E$23:$E$26,$A$23:$A$26)+LOOKUP(G266,$E$23:$E$26,$D$23:$D$26)*(G266-LOOKUP(G266,$E$23:$E$26))/LOOKUP(G266,$E$23:$E$26,$C$23:$C$26)</f>
        <v>4.3043370025791</v>
      </c>
      <c r="X266" s="16" t="n">
        <f aca="false">LOOKUP(H266,$E$23:$E$26,$A$23:$A$26)+LOOKUP(H266,$E$23:$E$26,$D$23:$D$26)*(H266-LOOKUP(H266,$E$23:$E$26))/LOOKUP(H266,$E$23:$E$26,$C$23:$C$26)</f>
        <v>5.0054798153996</v>
      </c>
      <c r="Y266" s="16" t="n">
        <f aca="false">LOOKUP(I266,$E$23:$E$26,$A$23:$A$26)+LOOKUP(I266,$E$23:$E$26,$D$23:$D$26)*(I266-LOOKUP(I266,$E$23:$E$26))/LOOKUP(I266,$E$23:$E$26,$C$23:$C$26)</f>
        <v>4.94117205807677</v>
      </c>
      <c r="Z266" s="16" t="n">
        <f aca="false">LOOKUP(J266,$E$23:$E$26,$A$23:$A$26)+LOOKUP(J266,$E$23:$E$26,$D$23:$D$26)*(J266-LOOKUP(J266,$E$23:$E$26))/LOOKUP(J266,$E$23:$E$26,$C$23:$C$26)</f>
        <v>5.60723360181495</v>
      </c>
      <c r="AA266" s="16" t="n">
        <f aca="false">LOOKUP(K266,$E$23:$E$26,$A$23:$A$26)+LOOKUP(K266,$E$23:$E$26,$D$23:$D$26)*(K266-LOOKUP(K266,$E$23:$E$26))/LOOKUP(K266,$E$23:$E$26,$C$23:$C$26)</f>
        <v>5.24769003389284</v>
      </c>
      <c r="AB266" s="16" t="n">
        <f aca="false">LOOKUP(L266,$E$23:$E$26,$A$23:$A$26)+LOOKUP(L266,$E$23:$E$26,$D$23:$D$26)*(L266-LOOKUP(L266,$E$23:$E$26))/LOOKUP(L266,$E$23:$E$26,$C$23:$C$26)</f>
        <v>4.89630603538537</v>
      </c>
      <c r="AC266" s="16" t="n">
        <f aca="false">LOOKUP(M266,$E$23:$E$26,$A$23:$A$26)+LOOKUP(M266,$E$23:$E$26,$D$23:$D$26)*(M266-LOOKUP(M266,$E$23:$E$26))/LOOKUP(M266,$E$23:$E$26,$C$23:$C$26)</f>
        <v>5.37215164713376</v>
      </c>
      <c r="AD266" s="16" t="n">
        <f aca="false">LOOKUP(N266,$E$23:$E$26,$A$23:$A$26)+LOOKUP(N266,$E$23:$E$26,$D$23:$D$26)*(N266-LOOKUP(N266,$E$23:$E$26))/LOOKUP(N266,$E$23:$E$26,$C$23:$C$26)</f>
        <v>5.97125430858669</v>
      </c>
      <c r="AE266" s="16" t="n">
        <f aca="false">LOOKUP(O266,$E$23:$E$26,$A$23:$A$26)+LOOKUP(O266,$E$23:$E$26,$D$23:$D$26)*(O266-LOOKUP(O266,$E$23:$E$26))/LOOKUP(O266,$E$23:$E$26,$C$23:$C$26)</f>
        <v>5.80134248145428</v>
      </c>
      <c r="AF266" s="16" t="n">
        <f aca="false">LOOKUP(P266,$E$23:$E$26,$A$23:$A$26)+LOOKUP(P266,$E$23:$E$26,$D$23:$D$26)*(P266-LOOKUP(P266,$E$23:$E$26))/LOOKUP(P266,$E$23:$E$26,$C$23:$C$26)</f>
        <v>4.86853449594593</v>
      </c>
      <c r="AG266" s="16" t="n">
        <f aca="false">LOOKUP(Q266,$E$23:$E$26,$A$23:$A$26)+LOOKUP(Q266,$E$23:$E$26,$D$23:$D$26)*(Q266-LOOKUP(Q266,$E$23:$E$26))/LOOKUP(Q266,$E$23:$E$26,$C$23:$C$26)</f>
        <v>4.65209857490622</v>
      </c>
      <c r="AH266" s="16" t="n">
        <f aca="false">LOOKUP(R266,$E$23:$E$26,$A$23:$A$26)+LOOKUP(R266,$E$23:$E$26,$D$23:$D$26)*(R266-LOOKUP(R266,$E$23:$E$26))/LOOKUP(R266,$E$23:$E$26,$C$23:$C$26)</f>
        <v>4.27856506106277</v>
      </c>
      <c r="AI266" s="16" t="n">
        <f aca="false">LOOKUP(S266,$E$23:$E$26,$A$23:$A$26)+LOOKUP(S266,$E$23:$E$26,$D$23:$D$26)*(S266-LOOKUP(S266,$E$23:$E$26))/LOOKUP(S266,$E$23:$E$26,$C$23:$C$26)</f>
        <v>4.84374035977224</v>
      </c>
      <c r="AJ266" s="16" t="n">
        <f aca="false">SUM($T266:T266)</f>
        <v>4.97735373759145</v>
      </c>
      <c r="AK266" s="16" t="n">
        <f aca="false">SUM($T266:U266)</f>
        <v>9.81101613838112</v>
      </c>
      <c r="AL266" s="16" t="n">
        <f aca="false">SUM($T266:V266)</f>
        <v>15.7769241992744</v>
      </c>
      <c r="AM266" s="16" t="n">
        <f aca="false">SUM($T266:W266)</f>
        <v>20.0812612018535</v>
      </c>
      <c r="AN266" s="16" t="n">
        <f aca="false">SUM($T266:X266)</f>
        <v>25.0867410172531</v>
      </c>
      <c r="AO266" s="16" t="n">
        <f aca="false">SUM($T266:Y266)</f>
        <v>30.0279130753298</v>
      </c>
      <c r="AP266" s="16" t="n">
        <f aca="false">SUM($T266:Z266)</f>
        <v>35.6351466771448</v>
      </c>
      <c r="AQ266" s="16" t="n">
        <f aca="false">SUM($T266:AA266)</f>
        <v>40.8828367110376</v>
      </c>
      <c r="AR266" s="16" t="n">
        <f aca="false">SUM($T266:AB266)</f>
        <v>45.779142746423</v>
      </c>
      <c r="AS266" s="16" t="n">
        <f aca="false">SUM($T266:AC266)</f>
        <v>51.1512943935567</v>
      </c>
      <c r="AT266" s="16" t="n">
        <f aca="false">SUM($T266:AD266)</f>
        <v>57.1225487021434</v>
      </c>
      <c r="AU266" s="16" t="n">
        <f aca="false">SUM($T266:AE266)</f>
        <v>62.9238911835977</v>
      </c>
      <c r="AV266" s="16" t="n">
        <f aca="false">SUM($T266:AF266)</f>
        <v>67.7924256795437</v>
      </c>
      <c r="AW266" s="16" t="n">
        <f aca="false">SUM($T266:AG266)</f>
        <v>72.4445242544499</v>
      </c>
      <c r="AX266" s="16" t="n">
        <f aca="false">SUM($T266:AH266)</f>
        <v>76.7230893155126</v>
      </c>
      <c r="AY266" s="16" t="n">
        <f aca="false">SUM($T266:AI266)</f>
        <v>81.5668296752849</v>
      </c>
      <c r="AZ266" s="16" t="n">
        <f aca="false">MAX(C266-AJ266,0)</f>
        <v>56.4904212457525</v>
      </c>
      <c r="BA266" s="16" t="n">
        <f aca="false">MAX(C266-AK266,0)</f>
        <v>51.6567588449628</v>
      </c>
      <c r="BB266" s="16" t="n">
        <f aca="false">MAX(C266-AL266,0)</f>
        <v>45.6908507840696</v>
      </c>
      <c r="BC266" s="16" t="n">
        <f aca="false">MAX(C266-AM266,0)</f>
        <v>41.3865137814905</v>
      </c>
      <c r="BD266" s="16" t="n">
        <f aca="false">MAX(C266-AN266,0)</f>
        <v>36.3810339660909</v>
      </c>
      <c r="BE266" s="16" t="n">
        <f aca="false">MAX(C266-AO266,0)</f>
        <v>31.4398619080141</v>
      </c>
      <c r="BF266" s="16" t="n">
        <f aca="false">MAX(C266-AP266,0)</f>
        <v>25.8326283061992</v>
      </c>
      <c r="BG266" s="16" t="n">
        <f aca="false">MAX(C266-AQ266,0)</f>
        <v>20.5849382723063</v>
      </c>
      <c r="BH266" s="16" t="n">
        <f aca="false">MAX(C266-AR266,0)</f>
        <v>15.6886322369209</v>
      </c>
      <c r="BI266" s="16" t="n">
        <f aca="false">MAX(C266-AS266,0)</f>
        <v>10.3164805897872</v>
      </c>
      <c r="BJ266" s="16" t="n">
        <f aca="false">MAX(C266-AT266,0)</f>
        <v>4.3452262812005</v>
      </c>
      <c r="BK266" s="16" t="n">
        <f aca="false">MAX(C266-AU266,0)</f>
        <v>0</v>
      </c>
      <c r="BL266" s="16" t="n">
        <f aca="false">MAX(C266-AV266,0)</f>
        <v>0</v>
      </c>
      <c r="BM266" s="16" t="n">
        <f aca="false">MAX(C266-AW266,0)</f>
        <v>0</v>
      </c>
      <c r="BN266" s="16" t="n">
        <f aca="false">MAX(C266-AX266,0)</f>
        <v>0</v>
      </c>
      <c r="BO266" s="16" t="n">
        <f aca="false">MAX(C266-AY266,0)</f>
        <v>0</v>
      </c>
    </row>
    <row r="267" customFormat="false" ht="15" hidden="false" customHeight="false" outlineLevel="0" collapsed="false">
      <c r="A267" s="3" t="n">
        <v>237</v>
      </c>
      <c r="B267" s="15" t="n">
        <f aca="true">RAND()</f>
        <v>0.251605771825807</v>
      </c>
      <c r="C267" s="16" t="n">
        <f aca="false">LOOKUP(B267,$E$12:$E$17,$A$12:$A$17)+LOOKUP(B267,$E$12:$E$17,$D$12:$D$17)*(B267-LOOKUP(B267,$E$12:$E$17))/LOOKUP(B267,$E$12:$E$17,$C$12:$C$17)</f>
        <v>60.0267628637635</v>
      </c>
      <c r="D267" s="15" t="n">
        <f aca="true">RAND()</f>
        <v>0.121031561493765</v>
      </c>
      <c r="E267" s="15" t="n">
        <f aca="true">RAND()</f>
        <v>0.270349319006932</v>
      </c>
      <c r="F267" s="15" t="n">
        <f aca="true">RAND()</f>
        <v>0.220273152190167</v>
      </c>
      <c r="G267" s="15" t="n">
        <f aca="true">RAND()</f>
        <v>0.0514239534729248</v>
      </c>
      <c r="H267" s="15" t="n">
        <f aca="true">RAND()</f>
        <v>0.452708204639348</v>
      </c>
      <c r="I267" s="15" t="n">
        <f aca="true">RAND()</f>
        <v>0.187606314450315</v>
      </c>
      <c r="J267" s="15" t="n">
        <f aca="true">RAND()</f>
        <v>0.698929071144548</v>
      </c>
      <c r="K267" s="15" t="n">
        <f aca="true">RAND()</f>
        <v>0.2277222891899</v>
      </c>
      <c r="L267" s="15" t="n">
        <f aca="true">RAND()</f>
        <v>0.431363761446184</v>
      </c>
      <c r="M267" s="15" t="n">
        <f aca="true">RAND()</f>
        <v>0.60478736535642</v>
      </c>
      <c r="N267" s="15" t="n">
        <f aca="true">RAND()</f>
        <v>0.110588870357661</v>
      </c>
      <c r="O267" s="15" t="n">
        <f aca="true">RAND()</f>
        <v>0.908772853313727</v>
      </c>
      <c r="P267" s="15" t="n">
        <f aca="true">RAND()</f>
        <v>0.424111200900093</v>
      </c>
      <c r="Q267" s="15" t="n">
        <f aca="true">RAND()</f>
        <v>0.519381841024399</v>
      </c>
      <c r="R267" s="15" t="n">
        <f aca="true">RAND()</f>
        <v>0.0025063800872321</v>
      </c>
      <c r="S267" s="15" t="n">
        <f aca="true">RAND()</f>
        <v>0.907317028223662</v>
      </c>
      <c r="T267" s="16" t="n">
        <f aca="false">LOOKUP(D267,$E$23:$E$26,$A$23:$A$26)+LOOKUP(D267,$E$23:$E$26,$D$23:$D$26)*(D267-LOOKUP(D267,$E$23:$E$26))/LOOKUP(D267,$E$23:$E$26,$C$23:$C$26)</f>
        <v>4.20171926915628</v>
      </c>
      <c r="U267" s="16" t="n">
        <f aca="false">LOOKUP(E267,$E$23:$E$26,$A$23:$A$26)+LOOKUP(E267,$E$23:$E$26,$D$23:$D$26)*(E267-LOOKUP(E267,$E$23:$E$26))/LOOKUP(E267,$E$23:$E$26,$C$23:$C$26)</f>
        <v>4.45058219834489</v>
      </c>
      <c r="V267" s="16" t="n">
        <f aca="false">LOOKUP(F267,$E$23:$E$26,$A$23:$A$26)+LOOKUP(F267,$E$23:$E$26,$D$23:$D$26)*(F267-LOOKUP(F267,$E$23:$E$26))/LOOKUP(F267,$E$23:$E$26,$C$23:$C$26)</f>
        <v>4.36712192031694</v>
      </c>
      <c r="W267" s="16" t="n">
        <f aca="false">LOOKUP(G267,$E$23:$E$26,$A$23:$A$26)+LOOKUP(G267,$E$23:$E$26,$D$23:$D$26)*(G267-LOOKUP(G267,$E$23:$E$26))/LOOKUP(G267,$E$23:$E$26,$C$23:$C$26)</f>
        <v>4.08570658912154</v>
      </c>
      <c r="X267" s="16" t="n">
        <f aca="false">LOOKUP(H267,$E$23:$E$26,$A$23:$A$26)+LOOKUP(H267,$E$23:$E$26,$D$23:$D$26)*(H267-LOOKUP(H267,$E$23:$E$26))/LOOKUP(H267,$E$23:$E$26,$C$23:$C$26)</f>
        <v>4.69088525579919</v>
      </c>
      <c r="Y267" s="16" t="n">
        <f aca="false">LOOKUP(I267,$E$23:$E$26,$A$23:$A$26)+LOOKUP(I267,$E$23:$E$26,$D$23:$D$26)*(I267-LOOKUP(I267,$E$23:$E$26))/LOOKUP(I267,$E$23:$E$26,$C$23:$C$26)</f>
        <v>4.31267719075053</v>
      </c>
      <c r="Z267" s="16" t="n">
        <f aca="false">LOOKUP(J267,$E$23:$E$26,$A$23:$A$26)+LOOKUP(J267,$E$23:$E$26,$D$23:$D$26)*(J267-LOOKUP(J267,$E$23:$E$26))/LOOKUP(J267,$E$23:$E$26,$C$23:$C$26)</f>
        <v>4.99866133893069</v>
      </c>
      <c r="AA267" s="16" t="n">
        <f aca="false">LOOKUP(K267,$E$23:$E$26,$A$23:$A$26)+LOOKUP(K267,$E$23:$E$26,$D$23:$D$26)*(K267-LOOKUP(K267,$E$23:$E$26))/LOOKUP(K267,$E$23:$E$26,$C$23:$C$26)</f>
        <v>4.37953714864983</v>
      </c>
      <c r="AB267" s="16" t="n">
        <f aca="false">LOOKUP(L267,$E$23:$E$26,$A$23:$A$26)+LOOKUP(L267,$E$23:$E$26,$D$23:$D$26)*(L267-LOOKUP(L267,$E$23:$E$26))/LOOKUP(L267,$E$23:$E$26,$C$23:$C$26)</f>
        <v>4.66420470180773</v>
      </c>
      <c r="AC267" s="16" t="n">
        <f aca="false">LOOKUP(M267,$E$23:$E$26,$A$23:$A$26)+LOOKUP(M267,$E$23:$E$26,$D$23:$D$26)*(M267-LOOKUP(M267,$E$23:$E$26))/LOOKUP(M267,$E$23:$E$26,$C$23:$C$26)</f>
        <v>4.88098420669553</v>
      </c>
      <c r="AD267" s="16" t="n">
        <f aca="false">LOOKUP(N267,$E$23:$E$26,$A$23:$A$26)+LOOKUP(N267,$E$23:$E$26,$D$23:$D$26)*(N267-LOOKUP(N267,$E$23:$E$26))/LOOKUP(N267,$E$23:$E$26,$C$23:$C$26)</f>
        <v>4.18431478392944</v>
      </c>
      <c r="AE267" s="16" t="n">
        <f aca="false">LOOKUP(O267,$E$23:$E$26,$A$23:$A$26)+LOOKUP(O267,$E$23:$E$26,$D$23:$D$26)*(O267-LOOKUP(O267,$E$23:$E$26))/LOOKUP(O267,$E$23:$E$26,$C$23:$C$26)</f>
        <v>5.54386426656864</v>
      </c>
      <c r="AF267" s="16" t="n">
        <f aca="false">LOOKUP(P267,$E$23:$E$26,$A$23:$A$26)+LOOKUP(P267,$E$23:$E$26,$D$23:$D$26)*(P267-LOOKUP(P267,$E$23:$E$26))/LOOKUP(P267,$E$23:$E$26,$C$23:$C$26)</f>
        <v>4.65513900112512</v>
      </c>
      <c r="AG267" s="16" t="n">
        <f aca="false">LOOKUP(Q267,$E$23:$E$26,$A$23:$A$26)+LOOKUP(Q267,$E$23:$E$26,$D$23:$D$26)*(Q267-LOOKUP(Q267,$E$23:$E$26))/LOOKUP(Q267,$E$23:$E$26,$C$23:$C$26)</f>
        <v>4.7742273012805</v>
      </c>
      <c r="AH267" s="16" t="n">
        <f aca="false">LOOKUP(R267,$E$23:$E$26,$A$23:$A$26)+LOOKUP(R267,$E$23:$E$26,$D$23:$D$26)*(R267-LOOKUP(R267,$E$23:$E$26))/LOOKUP(R267,$E$23:$E$26,$C$23:$C$26)</f>
        <v>4.00417730014539</v>
      </c>
      <c r="AI267" s="16" t="n">
        <f aca="false">LOOKUP(S267,$E$23:$E$26,$A$23:$A$26)+LOOKUP(S267,$E$23:$E$26,$D$23:$D$26)*(S267-LOOKUP(S267,$E$23:$E$26))/LOOKUP(S267,$E$23:$E$26,$C$23:$C$26)</f>
        <v>5.53658514111831</v>
      </c>
      <c r="AJ267" s="16" t="n">
        <f aca="false">SUM($T267:T267)</f>
        <v>4.20171926915628</v>
      </c>
      <c r="AK267" s="16" t="n">
        <f aca="false">SUM($T267:U267)</f>
        <v>8.65230146750116</v>
      </c>
      <c r="AL267" s="16" t="n">
        <f aca="false">SUM($T267:V267)</f>
        <v>13.0194233878181</v>
      </c>
      <c r="AM267" s="16" t="n">
        <f aca="false">SUM($T267:W267)</f>
        <v>17.1051299769396</v>
      </c>
      <c r="AN267" s="16" t="n">
        <f aca="false">SUM($T267:X267)</f>
        <v>21.7960152327388</v>
      </c>
      <c r="AO267" s="16" t="n">
        <f aca="false">SUM($T267:Y267)</f>
        <v>26.1086924234894</v>
      </c>
      <c r="AP267" s="16" t="n">
        <f aca="false">SUM($T267:Z267)</f>
        <v>31.10735376242</v>
      </c>
      <c r="AQ267" s="16" t="n">
        <f aca="false">SUM($T267:AA267)</f>
        <v>35.4868909110699</v>
      </c>
      <c r="AR267" s="16" t="n">
        <f aca="false">SUM($T267:AB267)</f>
        <v>40.1510956128776</v>
      </c>
      <c r="AS267" s="16" t="n">
        <f aca="false">SUM($T267:AC267)</f>
        <v>45.0320798195731</v>
      </c>
      <c r="AT267" s="16" t="n">
        <f aca="false">SUM($T267:AD267)</f>
        <v>49.2163946035026</v>
      </c>
      <c r="AU267" s="16" t="n">
        <f aca="false">SUM($T267:AE267)</f>
        <v>54.7602588700712</v>
      </c>
      <c r="AV267" s="16" t="n">
        <f aca="false">SUM($T267:AF267)</f>
        <v>59.4153978711963</v>
      </c>
      <c r="AW267" s="16" t="n">
        <f aca="false">SUM($T267:AG267)</f>
        <v>64.1896251724768</v>
      </c>
      <c r="AX267" s="16" t="n">
        <f aca="false">SUM($T267:AH267)</f>
        <v>68.1938024726222</v>
      </c>
      <c r="AY267" s="16" t="n">
        <f aca="false">SUM($T267:AI267)</f>
        <v>73.7303876137405</v>
      </c>
      <c r="AZ267" s="16" t="n">
        <f aca="false">MAX(C267-AJ267,0)</f>
        <v>55.8250435946072</v>
      </c>
      <c r="BA267" s="16" t="n">
        <f aca="false">MAX(C267-AK267,0)</f>
        <v>51.3744613962623</v>
      </c>
      <c r="BB267" s="16" t="n">
        <f aca="false">MAX(C267-AL267,0)</f>
        <v>47.0073394759454</v>
      </c>
      <c r="BC267" s="16" t="n">
        <f aca="false">MAX(C267-AM267,0)</f>
        <v>42.9216328868238</v>
      </c>
      <c r="BD267" s="16" t="n">
        <f aca="false">MAX(C267-AN267,0)</f>
        <v>38.2307476310246</v>
      </c>
      <c r="BE267" s="16" t="n">
        <f aca="false">MAX(C267-AO267,0)</f>
        <v>33.9180704402741</v>
      </c>
      <c r="BF267" s="16" t="n">
        <f aca="false">MAX(C267-AP267,0)</f>
        <v>28.9194091013434</v>
      </c>
      <c r="BG267" s="16" t="n">
        <f aca="false">MAX(C267-AQ267,0)</f>
        <v>24.5398719526936</v>
      </c>
      <c r="BH267" s="16" t="n">
        <f aca="false">MAX(C267-AR267,0)</f>
        <v>19.8756672508858</v>
      </c>
      <c r="BI267" s="16" t="n">
        <f aca="false">MAX(C267-AS267,0)</f>
        <v>14.9946830441903</v>
      </c>
      <c r="BJ267" s="16" t="n">
        <f aca="false">MAX(C267-AT267,0)</f>
        <v>10.8103682602609</v>
      </c>
      <c r="BK267" s="16" t="n">
        <f aca="false">MAX(C267-AU267,0)</f>
        <v>5.26650399369226</v>
      </c>
      <c r="BL267" s="16" t="n">
        <f aca="false">MAX(C267-AV267,0)</f>
        <v>0.611364992567147</v>
      </c>
      <c r="BM267" s="16" t="n">
        <f aca="false">MAX(C267-AW267,0)</f>
        <v>0</v>
      </c>
      <c r="BN267" s="16" t="n">
        <f aca="false">MAX(C267-AX267,0)</f>
        <v>0</v>
      </c>
      <c r="BO267" s="16" t="n">
        <f aca="false">MAX(C267-AY267,0)</f>
        <v>0</v>
      </c>
    </row>
    <row r="268" customFormat="false" ht="15" hidden="false" customHeight="false" outlineLevel="0" collapsed="false">
      <c r="A268" s="3" t="n">
        <v>238</v>
      </c>
      <c r="B268" s="15" t="n">
        <f aca="true">RAND()</f>
        <v>0.296051617932266</v>
      </c>
      <c r="C268" s="16" t="n">
        <f aca="false">LOOKUP(B268,$E$12:$E$17,$A$12:$A$17)+LOOKUP(B268,$E$12:$E$17,$D$12:$D$17)*(B268-LOOKUP(B268,$E$12:$E$17))/LOOKUP(B268,$E$12:$E$17,$C$12:$C$17)</f>
        <v>60.7675269655378</v>
      </c>
      <c r="D268" s="15" t="n">
        <f aca="true">RAND()</f>
        <v>0.463714873653389</v>
      </c>
      <c r="E268" s="15" t="n">
        <f aca="true">RAND()</f>
        <v>0.956890961547688</v>
      </c>
      <c r="F268" s="15" t="n">
        <f aca="true">RAND()</f>
        <v>0.306664027125974</v>
      </c>
      <c r="G268" s="15" t="n">
        <f aca="true">RAND()</f>
        <v>0.718771354383576</v>
      </c>
      <c r="H268" s="15" t="n">
        <f aca="true">RAND()</f>
        <v>0.909665752895286</v>
      </c>
      <c r="I268" s="15" t="n">
        <f aca="true">RAND()</f>
        <v>0.868742336785816</v>
      </c>
      <c r="J268" s="15" t="n">
        <f aca="true">RAND()</f>
        <v>0.661929617299571</v>
      </c>
      <c r="K268" s="15" t="n">
        <f aca="true">RAND()</f>
        <v>0.958624551253013</v>
      </c>
      <c r="L268" s="15" t="n">
        <f aca="true">RAND()</f>
        <v>0.485365069755572</v>
      </c>
      <c r="M268" s="15" t="n">
        <f aca="true">RAND()</f>
        <v>0.0412403256991897</v>
      </c>
      <c r="N268" s="15" t="n">
        <f aca="true">RAND()</f>
        <v>0.500302377471129</v>
      </c>
      <c r="O268" s="15" t="n">
        <f aca="true">RAND()</f>
        <v>0.632633128479157</v>
      </c>
      <c r="P268" s="15" t="n">
        <f aca="true">RAND()</f>
        <v>0.838428652403685</v>
      </c>
      <c r="Q268" s="15" t="n">
        <f aca="true">RAND()</f>
        <v>0.641317175518249</v>
      </c>
      <c r="R268" s="15" t="n">
        <f aca="true">RAND()</f>
        <v>0.143190378828736</v>
      </c>
      <c r="S268" s="15" t="n">
        <f aca="true">RAND()</f>
        <v>0.46758491761998</v>
      </c>
      <c r="T268" s="16" t="n">
        <f aca="false">LOOKUP(D268,$E$23:$E$26,$A$23:$A$26)+LOOKUP(D268,$E$23:$E$26,$D$23:$D$26)*(D268-LOOKUP(D268,$E$23:$E$26))/LOOKUP(D268,$E$23:$E$26,$C$23:$C$26)</f>
        <v>4.70464359206674</v>
      </c>
      <c r="U268" s="16" t="n">
        <f aca="false">LOOKUP(E268,$E$23:$E$26,$A$23:$A$26)+LOOKUP(E268,$E$23:$E$26,$D$23:$D$26)*(E268-LOOKUP(E268,$E$23:$E$26))/LOOKUP(E268,$E$23:$E$26,$C$23:$C$26)</f>
        <v>5.78445480773844</v>
      </c>
      <c r="V268" s="16" t="n">
        <f aca="false">LOOKUP(F268,$E$23:$E$26,$A$23:$A$26)+LOOKUP(F268,$E$23:$E$26,$D$23:$D$26)*(F268-LOOKUP(F268,$E$23:$E$26))/LOOKUP(F268,$E$23:$E$26,$C$23:$C$26)</f>
        <v>4.50833003390747</v>
      </c>
      <c r="W268" s="16" t="n">
        <f aca="false">LOOKUP(G268,$E$23:$E$26,$A$23:$A$26)+LOOKUP(G268,$E$23:$E$26,$D$23:$D$26)*(G268-LOOKUP(G268,$E$23:$E$26))/LOOKUP(G268,$E$23:$E$26,$C$23:$C$26)</f>
        <v>5.04692838595894</v>
      </c>
      <c r="X268" s="16" t="n">
        <f aca="false">LOOKUP(H268,$E$23:$E$26,$A$23:$A$26)+LOOKUP(H268,$E$23:$E$26,$D$23:$D$26)*(H268-LOOKUP(H268,$E$23:$E$26))/LOOKUP(H268,$E$23:$E$26,$C$23:$C$26)</f>
        <v>5.54832876447643</v>
      </c>
      <c r="Y268" s="16" t="n">
        <f aca="false">LOOKUP(I268,$E$23:$E$26,$A$23:$A$26)+LOOKUP(I268,$E$23:$E$26,$D$23:$D$26)*(I268-LOOKUP(I268,$E$23:$E$26))/LOOKUP(I268,$E$23:$E$26,$C$23:$C$26)</f>
        <v>5.42185584196454</v>
      </c>
      <c r="Z268" s="16" t="n">
        <f aca="false">LOOKUP(J268,$E$23:$E$26,$A$23:$A$26)+LOOKUP(J268,$E$23:$E$26,$D$23:$D$26)*(J268-LOOKUP(J268,$E$23:$E$26))/LOOKUP(J268,$E$23:$E$26,$C$23:$C$26)</f>
        <v>4.95241202162446</v>
      </c>
      <c r="AA268" s="16" t="n">
        <f aca="false">LOOKUP(K268,$E$23:$E$26,$A$23:$A$26)+LOOKUP(K268,$E$23:$E$26,$D$23:$D$26)*(K268-LOOKUP(K268,$E$23:$E$26))/LOOKUP(K268,$E$23:$E$26,$C$23:$C$26)</f>
        <v>5.79312275626506</v>
      </c>
      <c r="AB268" s="16" t="n">
        <f aca="false">LOOKUP(L268,$E$23:$E$26,$A$23:$A$26)+LOOKUP(L268,$E$23:$E$26,$D$23:$D$26)*(L268-LOOKUP(L268,$E$23:$E$26))/LOOKUP(L268,$E$23:$E$26,$C$23:$C$26)</f>
        <v>4.73170633719447</v>
      </c>
      <c r="AC268" s="16" t="n">
        <f aca="false">LOOKUP(M268,$E$23:$E$26,$A$23:$A$26)+LOOKUP(M268,$E$23:$E$26,$D$23:$D$26)*(M268-LOOKUP(M268,$E$23:$E$26))/LOOKUP(M268,$E$23:$E$26,$C$23:$C$26)</f>
        <v>4.06873387616532</v>
      </c>
      <c r="AD268" s="16" t="n">
        <f aca="false">LOOKUP(N268,$E$23:$E$26,$A$23:$A$26)+LOOKUP(N268,$E$23:$E$26,$D$23:$D$26)*(N268-LOOKUP(N268,$E$23:$E$26))/LOOKUP(N268,$E$23:$E$26,$C$23:$C$26)</f>
        <v>4.75037797183891</v>
      </c>
      <c r="AE268" s="16" t="n">
        <f aca="false">LOOKUP(O268,$E$23:$E$26,$A$23:$A$26)+LOOKUP(O268,$E$23:$E$26,$D$23:$D$26)*(O268-LOOKUP(O268,$E$23:$E$26))/LOOKUP(O268,$E$23:$E$26,$C$23:$C$26)</f>
        <v>4.91579141059895</v>
      </c>
      <c r="AF268" s="16" t="n">
        <f aca="false">LOOKUP(P268,$E$23:$E$26,$A$23:$A$26)+LOOKUP(P268,$E$23:$E$26,$D$23:$D$26)*(P268-LOOKUP(P268,$E$23:$E$26))/LOOKUP(P268,$E$23:$E$26,$C$23:$C$26)</f>
        <v>5.34607163100921</v>
      </c>
      <c r="AG268" s="16" t="n">
        <f aca="false">LOOKUP(Q268,$E$23:$E$26,$A$23:$A$26)+LOOKUP(Q268,$E$23:$E$26,$D$23:$D$26)*(Q268-LOOKUP(Q268,$E$23:$E$26))/LOOKUP(Q268,$E$23:$E$26,$C$23:$C$26)</f>
        <v>4.92664646939781</v>
      </c>
      <c r="AH268" s="16" t="n">
        <f aca="false">LOOKUP(R268,$E$23:$E$26,$A$23:$A$26)+LOOKUP(R268,$E$23:$E$26,$D$23:$D$26)*(R268-LOOKUP(R268,$E$23:$E$26))/LOOKUP(R268,$E$23:$E$26,$C$23:$C$26)</f>
        <v>4.23865063138123</v>
      </c>
      <c r="AI268" s="16" t="n">
        <f aca="false">LOOKUP(S268,$E$23:$E$26,$A$23:$A$26)+LOOKUP(S268,$E$23:$E$26,$D$23:$D$26)*(S268-LOOKUP(S268,$E$23:$E$26))/LOOKUP(S268,$E$23:$E$26,$C$23:$C$26)</f>
        <v>4.70948114702498</v>
      </c>
      <c r="AJ268" s="16" t="n">
        <f aca="false">SUM($T268:T268)</f>
        <v>4.70464359206674</v>
      </c>
      <c r="AK268" s="16" t="n">
        <f aca="false">SUM($T268:U268)</f>
        <v>10.4890983998052</v>
      </c>
      <c r="AL268" s="16" t="n">
        <f aca="false">SUM($T268:V268)</f>
        <v>14.9974284337126</v>
      </c>
      <c r="AM268" s="16" t="n">
        <f aca="false">SUM($T268:W268)</f>
        <v>20.0443568196716</v>
      </c>
      <c r="AN268" s="16" t="n">
        <f aca="false">SUM($T268:X268)</f>
        <v>25.592685584148</v>
      </c>
      <c r="AO268" s="16" t="n">
        <f aca="false">SUM($T268:Y268)</f>
        <v>31.0145414261126</v>
      </c>
      <c r="AP268" s="16" t="n">
        <f aca="false">SUM($T268:Z268)</f>
        <v>35.966953447737</v>
      </c>
      <c r="AQ268" s="16" t="n">
        <f aca="false">SUM($T268:AA268)</f>
        <v>41.7600762040021</v>
      </c>
      <c r="AR268" s="16" t="n">
        <f aca="false">SUM($T268:AB268)</f>
        <v>46.4917825411966</v>
      </c>
      <c r="AS268" s="16" t="n">
        <f aca="false">SUM($T268:AC268)</f>
        <v>50.5605164173619</v>
      </c>
      <c r="AT268" s="16" t="n">
        <f aca="false">SUM($T268:AD268)</f>
        <v>55.3108943892008</v>
      </c>
      <c r="AU268" s="16" t="n">
        <f aca="false">SUM($T268:AE268)</f>
        <v>60.2266857997997</v>
      </c>
      <c r="AV268" s="16" t="n">
        <f aca="false">SUM($T268:AF268)</f>
        <v>65.5727574308089</v>
      </c>
      <c r="AW268" s="16" t="n">
        <f aca="false">SUM($T268:AG268)</f>
        <v>70.4994039002067</v>
      </c>
      <c r="AX268" s="16" t="n">
        <f aca="false">SUM($T268:AH268)</f>
        <v>74.738054531588</v>
      </c>
      <c r="AY268" s="16" t="n">
        <f aca="false">SUM($T268:AI268)</f>
        <v>79.447535678613</v>
      </c>
      <c r="AZ268" s="16" t="n">
        <f aca="false">MAX(C268-AJ268,0)</f>
        <v>56.062883373471</v>
      </c>
      <c r="BA268" s="16" t="n">
        <f aca="false">MAX(C268-AK268,0)</f>
        <v>50.2784285657326</v>
      </c>
      <c r="BB268" s="16" t="n">
        <f aca="false">MAX(C268-AL268,0)</f>
        <v>45.7700985318251</v>
      </c>
      <c r="BC268" s="16" t="n">
        <f aca="false">MAX(C268-AM268,0)</f>
        <v>40.7231701458662</v>
      </c>
      <c r="BD268" s="16" t="n">
        <f aca="false">MAX(C268-AN268,0)</f>
        <v>35.1748413813898</v>
      </c>
      <c r="BE268" s="16" t="n">
        <f aca="false">MAX(C268-AO268,0)</f>
        <v>29.7529855394252</v>
      </c>
      <c r="BF268" s="16" t="n">
        <f aca="false">MAX(C268-AP268,0)</f>
        <v>24.8005735178008</v>
      </c>
      <c r="BG268" s="16" t="n">
        <f aca="false">MAX(C268-AQ268,0)</f>
        <v>19.0074507615357</v>
      </c>
      <c r="BH268" s="16" t="n">
        <f aca="false">MAX(C268-AR268,0)</f>
        <v>14.2757444243412</v>
      </c>
      <c r="BI268" s="16" t="n">
        <f aca="false">MAX(C268-AS268,0)</f>
        <v>10.2070105481759</v>
      </c>
      <c r="BJ268" s="16" t="n">
        <f aca="false">MAX(C268-AT268,0)</f>
        <v>5.456632576337</v>
      </c>
      <c r="BK268" s="16" t="n">
        <f aca="false">MAX(C268-AU268,0)</f>
        <v>0.540841165738044</v>
      </c>
      <c r="BL268" s="16" t="n">
        <f aca="false">MAX(C268-AV268,0)</f>
        <v>0</v>
      </c>
      <c r="BM268" s="16" t="n">
        <f aca="false">MAX(C268-AW268,0)</f>
        <v>0</v>
      </c>
      <c r="BN268" s="16" t="n">
        <f aca="false">MAX(C268-AX268,0)</f>
        <v>0</v>
      </c>
      <c r="BO268" s="16" t="n">
        <f aca="false">MAX(C268-AY268,0)</f>
        <v>0</v>
      </c>
    </row>
    <row r="269" customFormat="false" ht="15" hidden="false" customHeight="false" outlineLevel="0" collapsed="false">
      <c r="A269" s="3" t="n">
        <v>239</v>
      </c>
      <c r="B269" s="15" t="n">
        <f aca="true">RAND()</f>
        <v>0.924811106312514</v>
      </c>
      <c r="C269" s="16" t="n">
        <f aca="false">LOOKUP(B269,$E$12:$E$17,$A$12:$A$17)+LOOKUP(B269,$E$12:$E$17,$D$12:$D$17)*(B269-LOOKUP(B269,$E$12:$E$17))/LOOKUP(B269,$E$12:$E$17,$C$12:$C$17)</f>
        <v>76.5506941445321</v>
      </c>
      <c r="D269" s="15" t="n">
        <f aca="true">RAND()</f>
        <v>0.652863714681611</v>
      </c>
      <c r="E269" s="15" t="n">
        <f aca="true">RAND()</f>
        <v>0.555969290214106</v>
      </c>
      <c r="F269" s="15" t="n">
        <f aca="true">RAND()</f>
        <v>0.586300540061693</v>
      </c>
      <c r="G269" s="15" t="n">
        <f aca="true">RAND()</f>
        <v>0.223343302113802</v>
      </c>
      <c r="H269" s="15" t="n">
        <f aca="true">RAND()</f>
        <v>0.42772129533853</v>
      </c>
      <c r="I269" s="15" t="n">
        <f aca="true">RAND()</f>
        <v>0.480387016224702</v>
      </c>
      <c r="J269" s="15" t="n">
        <f aca="true">RAND()</f>
        <v>0.649161178303649</v>
      </c>
      <c r="K269" s="15" t="n">
        <f aca="true">RAND()</f>
        <v>0.0993205456218655</v>
      </c>
      <c r="L269" s="15" t="n">
        <f aca="true">RAND()</f>
        <v>0.909944175376458</v>
      </c>
      <c r="M269" s="15" t="n">
        <f aca="true">RAND()</f>
        <v>0.230405892658627</v>
      </c>
      <c r="N269" s="15" t="n">
        <f aca="true">RAND()</f>
        <v>0.361821920612315</v>
      </c>
      <c r="O269" s="15" t="n">
        <f aca="true">RAND()</f>
        <v>0.678326769314004</v>
      </c>
      <c r="P269" s="15" t="n">
        <f aca="true">RAND()</f>
        <v>0.723537713280992</v>
      </c>
      <c r="Q269" s="15" t="n">
        <f aca="true">RAND()</f>
        <v>0.0731196408861032</v>
      </c>
      <c r="R269" s="15" t="n">
        <f aca="true">RAND()</f>
        <v>0.61511328381357</v>
      </c>
      <c r="S269" s="15" t="n">
        <f aca="true">RAND()</f>
        <v>0.357014408388157</v>
      </c>
      <c r="T269" s="16" t="n">
        <f aca="false">LOOKUP(D269,$E$23:$E$26,$A$23:$A$26)+LOOKUP(D269,$E$23:$E$26,$D$23:$D$26)*(D269-LOOKUP(D269,$E$23:$E$26))/LOOKUP(D269,$E$23:$E$26,$C$23:$C$26)</f>
        <v>4.94107964335201</v>
      </c>
      <c r="U269" s="16" t="n">
        <f aca="false">LOOKUP(E269,$E$23:$E$26,$A$23:$A$26)+LOOKUP(E269,$E$23:$E$26,$D$23:$D$26)*(E269-LOOKUP(E269,$E$23:$E$26))/LOOKUP(E269,$E$23:$E$26,$C$23:$C$26)</f>
        <v>4.81996161276763</v>
      </c>
      <c r="V269" s="16" t="n">
        <f aca="false">LOOKUP(F269,$E$23:$E$26,$A$23:$A$26)+LOOKUP(F269,$E$23:$E$26,$D$23:$D$26)*(F269-LOOKUP(F269,$E$23:$E$26))/LOOKUP(F269,$E$23:$E$26,$C$23:$C$26)</f>
        <v>4.85787567507712</v>
      </c>
      <c r="W269" s="16" t="n">
        <f aca="false">LOOKUP(G269,$E$23:$E$26,$A$23:$A$26)+LOOKUP(G269,$E$23:$E$26,$D$23:$D$26)*(G269-LOOKUP(G269,$E$23:$E$26))/LOOKUP(G269,$E$23:$E$26,$C$23:$C$26)</f>
        <v>4.37223883685634</v>
      </c>
      <c r="X269" s="16" t="n">
        <f aca="false">LOOKUP(H269,$E$23:$E$26,$A$23:$A$26)+LOOKUP(H269,$E$23:$E$26,$D$23:$D$26)*(H269-LOOKUP(H269,$E$23:$E$26))/LOOKUP(H269,$E$23:$E$26,$C$23:$C$26)</f>
        <v>4.65965161917316</v>
      </c>
      <c r="Y269" s="16" t="n">
        <f aca="false">LOOKUP(I269,$E$23:$E$26,$A$23:$A$26)+LOOKUP(I269,$E$23:$E$26,$D$23:$D$26)*(I269-LOOKUP(I269,$E$23:$E$26))/LOOKUP(I269,$E$23:$E$26,$C$23:$C$26)</f>
        <v>4.72548377028088</v>
      </c>
      <c r="Z269" s="16" t="n">
        <f aca="false">LOOKUP(J269,$E$23:$E$26,$A$23:$A$26)+LOOKUP(J269,$E$23:$E$26,$D$23:$D$26)*(J269-LOOKUP(J269,$E$23:$E$26))/LOOKUP(J269,$E$23:$E$26,$C$23:$C$26)</f>
        <v>4.93645147287956</v>
      </c>
      <c r="AA269" s="16" t="n">
        <f aca="false">LOOKUP(K269,$E$23:$E$26,$A$23:$A$26)+LOOKUP(K269,$E$23:$E$26,$D$23:$D$26)*(K269-LOOKUP(K269,$E$23:$E$26))/LOOKUP(K269,$E$23:$E$26,$C$23:$C$26)</f>
        <v>4.16553424270311</v>
      </c>
      <c r="AB269" s="16" t="n">
        <f aca="false">LOOKUP(L269,$E$23:$E$26,$A$23:$A$26)+LOOKUP(L269,$E$23:$E$26,$D$23:$D$26)*(L269-LOOKUP(L269,$E$23:$E$26))/LOOKUP(L269,$E$23:$E$26,$C$23:$C$26)</f>
        <v>5.54972087688229</v>
      </c>
      <c r="AC269" s="16" t="n">
        <f aca="false">LOOKUP(M269,$E$23:$E$26,$A$23:$A$26)+LOOKUP(M269,$E$23:$E$26,$D$23:$D$26)*(M269-LOOKUP(M269,$E$23:$E$26))/LOOKUP(M269,$E$23:$E$26,$C$23:$C$26)</f>
        <v>4.38400982109771</v>
      </c>
      <c r="AD269" s="16" t="n">
        <f aca="false">LOOKUP(N269,$E$23:$E$26,$A$23:$A$26)+LOOKUP(N269,$E$23:$E$26,$D$23:$D$26)*(N269-LOOKUP(N269,$E$23:$E$26))/LOOKUP(N269,$E$23:$E$26,$C$23:$C$26)</f>
        <v>4.57727740076539</v>
      </c>
      <c r="AE269" s="16" t="n">
        <f aca="false">LOOKUP(O269,$E$23:$E$26,$A$23:$A$26)+LOOKUP(O269,$E$23:$E$26,$D$23:$D$26)*(O269-LOOKUP(O269,$E$23:$E$26))/LOOKUP(O269,$E$23:$E$26,$C$23:$C$26)</f>
        <v>4.97290846164251</v>
      </c>
      <c r="AF269" s="16" t="n">
        <f aca="false">LOOKUP(P269,$E$23:$E$26,$A$23:$A$26)+LOOKUP(P269,$E$23:$E$26,$D$23:$D$26)*(P269-LOOKUP(P269,$E$23:$E$26))/LOOKUP(P269,$E$23:$E$26,$C$23:$C$26)</f>
        <v>5.05884428320248</v>
      </c>
      <c r="AG269" s="16" t="n">
        <f aca="false">LOOKUP(Q269,$E$23:$E$26,$A$23:$A$26)+LOOKUP(Q269,$E$23:$E$26,$D$23:$D$26)*(Q269-LOOKUP(Q269,$E$23:$E$26))/LOOKUP(Q269,$E$23:$E$26,$C$23:$C$26)</f>
        <v>4.12186606814351</v>
      </c>
      <c r="AH269" s="16" t="n">
        <f aca="false">LOOKUP(R269,$E$23:$E$26,$A$23:$A$26)+LOOKUP(R269,$E$23:$E$26,$D$23:$D$26)*(R269-LOOKUP(R269,$E$23:$E$26))/LOOKUP(R269,$E$23:$E$26,$C$23:$C$26)</f>
        <v>4.89389160476696</v>
      </c>
      <c r="AI269" s="16" t="n">
        <f aca="false">LOOKUP(S269,$E$23:$E$26,$A$23:$A$26)+LOOKUP(S269,$E$23:$E$26,$D$23:$D$26)*(S269-LOOKUP(S269,$E$23:$E$26))/LOOKUP(S269,$E$23:$E$26,$C$23:$C$26)</f>
        <v>4.5712680104852</v>
      </c>
      <c r="AJ269" s="16" t="n">
        <f aca="false">SUM($T269:T269)</f>
        <v>4.94107964335201</v>
      </c>
      <c r="AK269" s="16" t="n">
        <f aca="false">SUM($T269:U269)</f>
        <v>9.76104125611965</v>
      </c>
      <c r="AL269" s="16" t="n">
        <f aca="false">SUM($T269:V269)</f>
        <v>14.6189169311968</v>
      </c>
      <c r="AM269" s="16" t="n">
        <f aca="false">SUM($T269:W269)</f>
        <v>18.9911557680531</v>
      </c>
      <c r="AN269" s="16" t="n">
        <f aca="false">SUM($T269:X269)</f>
        <v>23.6508073872263</v>
      </c>
      <c r="AO269" s="16" t="n">
        <f aca="false">SUM($T269:Y269)</f>
        <v>28.3762911575071</v>
      </c>
      <c r="AP269" s="16" t="n">
        <f aca="false">SUM($T269:Z269)</f>
        <v>33.3127426303867</v>
      </c>
      <c r="AQ269" s="16" t="n">
        <f aca="false">SUM($T269:AA269)</f>
        <v>37.4782768730898</v>
      </c>
      <c r="AR269" s="16" t="n">
        <f aca="false">SUM($T269:AB269)</f>
        <v>43.0279977499721</v>
      </c>
      <c r="AS269" s="16" t="n">
        <f aca="false">SUM($T269:AC269)</f>
        <v>47.4120075710698</v>
      </c>
      <c r="AT269" s="16" t="n">
        <f aca="false">SUM($T269:AD269)</f>
        <v>51.9892849718352</v>
      </c>
      <c r="AU269" s="16" t="n">
        <f aca="false">SUM($T269:AE269)</f>
        <v>56.9621934334777</v>
      </c>
      <c r="AV269" s="16" t="n">
        <f aca="false">SUM($T269:AF269)</f>
        <v>62.0210377166802</v>
      </c>
      <c r="AW269" s="16" t="n">
        <f aca="false">SUM($T269:AG269)</f>
        <v>66.1429037848237</v>
      </c>
      <c r="AX269" s="16" t="n">
        <f aca="false">SUM($T269:AH269)</f>
        <v>71.0367953895907</v>
      </c>
      <c r="AY269" s="16" t="n">
        <f aca="false">SUM($T269:AI269)</f>
        <v>75.6080634000759</v>
      </c>
      <c r="AZ269" s="16" t="n">
        <f aca="false">MAX(C269-AJ269,0)</f>
        <v>71.6096145011801</v>
      </c>
      <c r="BA269" s="16" t="n">
        <f aca="false">MAX(C269-AK269,0)</f>
        <v>66.7896528884125</v>
      </c>
      <c r="BB269" s="16" t="n">
        <f aca="false">MAX(C269-AL269,0)</f>
        <v>61.9317772133353</v>
      </c>
      <c r="BC269" s="16" t="n">
        <f aca="false">MAX(C269-AM269,0)</f>
        <v>57.559538376479</v>
      </c>
      <c r="BD269" s="16" t="n">
        <f aca="false">MAX(C269-AN269,0)</f>
        <v>52.8998867573058</v>
      </c>
      <c r="BE269" s="16" t="n">
        <f aca="false">MAX(C269-AO269,0)</f>
        <v>48.174402987025</v>
      </c>
      <c r="BF269" s="16" t="n">
        <f aca="false">MAX(C269-AP269,0)</f>
        <v>43.2379515141454</v>
      </c>
      <c r="BG269" s="16" t="n">
        <f aca="false">MAX(C269-AQ269,0)</f>
        <v>39.0724172714423</v>
      </c>
      <c r="BH269" s="16" t="n">
        <f aca="false">MAX(C269-AR269,0)</f>
        <v>33.52269639456</v>
      </c>
      <c r="BI269" s="16" t="n">
        <f aca="false">MAX(C269-AS269,0)</f>
        <v>29.1386865734623</v>
      </c>
      <c r="BJ269" s="16" t="n">
        <f aca="false">MAX(C269-AT269,0)</f>
        <v>24.5614091726969</v>
      </c>
      <c r="BK269" s="16" t="n">
        <f aca="false">MAX(C269-AU269,0)</f>
        <v>19.5885007110544</v>
      </c>
      <c r="BL269" s="16" t="n">
        <f aca="false">MAX(C269-AV269,0)</f>
        <v>14.5296564278519</v>
      </c>
      <c r="BM269" s="16" t="n">
        <f aca="false">MAX(C269-AW269,0)</f>
        <v>10.4077903597084</v>
      </c>
      <c r="BN269" s="16" t="n">
        <f aca="false">MAX(C269-AX269,0)</f>
        <v>5.51389875494142</v>
      </c>
      <c r="BO269" s="16" t="n">
        <f aca="false">MAX(C269-AY269,0)</f>
        <v>0.942630744456238</v>
      </c>
    </row>
    <row r="270" customFormat="false" ht="15" hidden="false" customHeight="false" outlineLevel="0" collapsed="false">
      <c r="A270" s="3" t="n">
        <v>240</v>
      </c>
      <c r="B270" s="15" t="n">
        <f aca="true">RAND()</f>
        <v>0.765191283273064</v>
      </c>
      <c r="C270" s="16" t="n">
        <f aca="false">LOOKUP(B270,$E$12:$E$17,$A$12:$A$17)+LOOKUP(B270,$E$12:$E$17,$D$12:$D$17)*(B270-LOOKUP(B270,$E$12:$E$17))/LOOKUP(B270,$E$12:$E$17,$C$12:$C$17)</f>
        <v>68.0741611896152</v>
      </c>
      <c r="D270" s="15" t="n">
        <f aca="true">RAND()</f>
        <v>0.690644725692782</v>
      </c>
      <c r="E270" s="15" t="n">
        <f aca="true">RAND()</f>
        <v>0.321075943777207</v>
      </c>
      <c r="F270" s="15" t="n">
        <f aca="true">RAND()</f>
        <v>0.483457286772368</v>
      </c>
      <c r="G270" s="15" t="n">
        <f aca="true">RAND()</f>
        <v>0.399904186617435</v>
      </c>
      <c r="H270" s="15" t="n">
        <f aca="true">RAND()</f>
        <v>0.768326764925369</v>
      </c>
      <c r="I270" s="15" t="n">
        <f aca="true">RAND()</f>
        <v>0.557912452452771</v>
      </c>
      <c r="J270" s="15" t="n">
        <f aca="true">RAND()</f>
        <v>0.392254489301845</v>
      </c>
      <c r="K270" s="15" t="n">
        <f aca="true">RAND()</f>
        <v>0.053419919326012</v>
      </c>
      <c r="L270" s="15" t="n">
        <f aca="true">RAND()</f>
        <v>0.948426974429134</v>
      </c>
      <c r="M270" s="15" t="n">
        <f aca="true">RAND()</f>
        <v>0.127880550240427</v>
      </c>
      <c r="N270" s="15" t="n">
        <f aca="true">RAND()</f>
        <v>0.937883591658639</v>
      </c>
      <c r="O270" s="15" t="n">
        <f aca="true">RAND()</f>
        <v>0.416335371947294</v>
      </c>
      <c r="P270" s="15" t="n">
        <f aca="true">RAND()</f>
        <v>0.458987702325172</v>
      </c>
      <c r="Q270" s="15" t="n">
        <f aca="true">RAND()</f>
        <v>0.67676294918379</v>
      </c>
      <c r="R270" s="15" t="n">
        <f aca="true">RAND()</f>
        <v>0.813805515208717</v>
      </c>
      <c r="S270" s="15" t="n">
        <f aca="true">RAND()</f>
        <v>0.381662418931063</v>
      </c>
      <c r="T270" s="16" t="n">
        <f aca="false">LOOKUP(D270,$E$23:$E$26,$A$23:$A$26)+LOOKUP(D270,$E$23:$E$26,$D$23:$D$26)*(D270-LOOKUP(D270,$E$23:$E$26))/LOOKUP(D270,$E$23:$E$26,$C$23:$C$26)</f>
        <v>4.98830590711598</v>
      </c>
      <c r="U270" s="16" t="n">
        <f aca="false">LOOKUP(E270,$E$23:$E$26,$A$23:$A$26)+LOOKUP(E270,$E$23:$E$26,$D$23:$D$26)*(E270-LOOKUP(E270,$E$23:$E$26))/LOOKUP(E270,$E$23:$E$26,$C$23:$C$26)</f>
        <v>4.52634492972151</v>
      </c>
      <c r="V270" s="16" t="n">
        <f aca="false">LOOKUP(F270,$E$23:$E$26,$A$23:$A$26)+LOOKUP(F270,$E$23:$E$26,$D$23:$D$26)*(F270-LOOKUP(F270,$E$23:$E$26))/LOOKUP(F270,$E$23:$E$26,$C$23:$C$26)</f>
        <v>4.72932160846546</v>
      </c>
      <c r="W270" s="16" t="n">
        <f aca="false">LOOKUP(G270,$E$23:$E$26,$A$23:$A$26)+LOOKUP(G270,$E$23:$E$26,$D$23:$D$26)*(G270-LOOKUP(G270,$E$23:$E$26))/LOOKUP(G270,$E$23:$E$26,$C$23:$C$26)</f>
        <v>4.62488023327179</v>
      </c>
      <c r="X270" s="16" t="n">
        <f aca="false">LOOKUP(H270,$E$23:$E$26,$A$23:$A$26)+LOOKUP(H270,$E$23:$E$26,$D$23:$D$26)*(H270-LOOKUP(H270,$E$23:$E$26))/LOOKUP(H270,$E$23:$E$26,$C$23:$C$26)</f>
        <v>5.17081691231342</v>
      </c>
      <c r="Y270" s="16" t="n">
        <f aca="false">LOOKUP(I270,$E$23:$E$26,$A$23:$A$26)+LOOKUP(I270,$E$23:$E$26,$D$23:$D$26)*(I270-LOOKUP(I270,$E$23:$E$26))/LOOKUP(I270,$E$23:$E$26,$C$23:$C$26)</f>
        <v>4.82239056556596</v>
      </c>
      <c r="Z270" s="16" t="n">
        <f aca="false">LOOKUP(J270,$E$23:$E$26,$A$23:$A$26)+LOOKUP(J270,$E$23:$E$26,$D$23:$D$26)*(J270-LOOKUP(J270,$E$23:$E$26))/LOOKUP(J270,$E$23:$E$26,$C$23:$C$26)</f>
        <v>4.61531811162731</v>
      </c>
      <c r="AA270" s="16" t="n">
        <f aca="false">LOOKUP(K270,$E$23:$E$26,$A$23:$A$26)+LOOKUP(K270,$E$23:$E$26,$D$23:$D$26)*(K270-LOOKUP(K270,$E$23:$E$26))/LOOKUP(K270,$E$23:$E$26,$C$23:$C$26)</f>
        <v>4.08903319887669</v>
      </c>
      <c r="AB270" s="16" t="n">
        <f aca="false">LOOKUP(L270,$E$23:$E$26,$A$23:$A$26)+LOOKUP(L270,$E$23:$E$26,$D$23:$D$26)*(L270-LOOKUP(L270,$E$23:$E$26))/LOOKUP(L270,$E$23:$E$26,$C$23:$C$26)</f>
        <v>5.74213487214567</v>
      </c>
      <c r="AC270" s="16" t="n">
        <f aca="false">LOOKUP(M270,$E$23:$E$26,$A$23:$A$26)+LOOKUP(M270,$E$23:$E$26,$D$23:$D$26)*(M270-LOOKUP(M270,$E$23:$E$26))/LOOKUP(M270,$E$23:$E$26,$C$23:$C$26)</f>
        <v>4.21313425040071</v>
      </c>
      <c r="AD270" s="16" t="n">
        <f aca="false">LOOKUP(N270,$E$23:$E$26,$A$23:$A$26)+LOOKUP(N270,$E$23:$E$26,$D$23:$D$26)*(N270-LOOKUP(N270,$E$23:$E$26))/LOOKUP(N270,$E$23:$E$26,$C$23:$C$26)</f>
        <v>5.6894179582932</v>
      </c>
      <c r="AE270" s="16" t="n">
        <f aca="false">LOOKUP(O270,$E$23:$E$26,$A$23:$A$26)+LOOKUP(O270,$E$23:$E$26,$D$23:$D$26)*(O270-LOOKUP(O270,$E$23:$E$26))/LOOKUP(O270,$E$23:$E$26,$C$23:$C$26)</f>
        <v>4.64541921493412</v>
      </c>
      <c r="AF270" s="16" t="n">
        <f aca="false">LOOKUP(P270,$E$23:$E$26,$A$23:$A$26)+LOOKUP(P270,$E$23:$E$26,$D$23:$D$26)*(P270-LOOKUP(P270,$E$23:$E$26))/LOOKUP(P270,$E$23:$E$26,$C$23:$C$26)</f>
        <v>4.69873462790647</v>
      </c>
      <c r="AG270" s="16" t="n">
        <f aca="false">LOOKUP(Q270,$E$23:$E$26,$A$23:$A$26)+LOOKUP(Q270,$E$23:$E$26,$D$23:$D$26)*(Q270-LOOKUP(Q270,$E$23:$E$26))/LOOKUP(Q270,$E$23:$E$26,$C$23:$C$26)</f>
        <v>4.97095368647974</v>
      </c>
      <c r="AH270" s="16" t="n">
        <f aca="false">LOOKUP(R270,$E$23:$E$26,$A$23:$A$26)+LOOKUP(R270,$E$23:$E$26,$D$23:$D$26)*(R270-LOOKUP(R270,$E$23:$E$26))/LOOKUP(R270,$E$23:$E$26,$C$23:$C$26)</f>
        <v>5.28451378802179</v>
      </c>
      <c r="AI270" s="16" t="n">
        <f aca="false">LOOKUP(S270,$E$23:$E$26,$A$23:$A$26)+LOOKUP(S270,$E$23:$E$26,$D$23:$D$26)*(S270-LOOKUP(S270,$E$23:$E$26))/LOOKUP(S270,$E$23:$E$26,$C$23:$C$26)</f>
        <v>4.60207802366383</v>
      </c>
      <c r="AJ270" s="16" t="n">
        <f aca="false">SUM($T270:T270)</f>
        <v>4.98830590711598</v>
      </c>
      <c r="AK270" s="16" t="n">
        <f aca="false">SUM($T270:U270)</f>
        <v>9.51465083683749</v>
      </c>
      <c r="AL270" s="16" t="n">
        <f aca="false">SUM($T270:V270)</f>
        <v>14.2439724453029</v>
      </c>
      <c r="AM270" s="16" t="n">
        <f aca="false">SUM($T270:W270)</f>
        <v>18.8688526785747</v>
      </c>
      <c r="AN270" s="16" t="n">
        <f aca="false">SUM($T270:X270)</f>
        <v>24.0396695908882</v>
      </c>
      <c r="AO270" s="16" t="n">
        <f aca="false">SUM($T270:Y270)</f>
        <v>28.8620601564541</v>
      </c>
      <c r="AP270" s="16" t="n">
        <f aca="false">SUM($T270:Z270)</f>
        <v>33.4773782680814</v>
      </c>
      <c r="AQ270" s="16" t="n">
        <f aca="false">SUM($T270:AA270)</f>
        <v>37.5664114669581</v>
      </c>
      <c r="AR270" s="16" t="n">
        <f aca="false">SUM($T270:AB270)</f>
        <v>43.3085463391038</v>
      </c>
      <c r="AS270" s="16" t="n">
        <f aca="false">SUM($T270:AC270)</f>
        <v>47.5216805895045</v>
      </c>
      <c r="AT270" s="16" t="n">
        <f aca="false">SUM($T270:AD270)</f>
        <v>53.2110985477977</v>
      </c>
      <c r="AU270" s="16" t="n">
        <f aca="false">SUM($T270:AE270)</f>
        <v>57.8565177627318</v>
      </c>
      <c r="AV270" s="16" t="n">
        <f aca="false">SUM($T270:AF270)</f>
        <v>62.5552523906383</v>
      </c>
      <c r="AW270" s="16" t="n">
        <f aca="false">SUM($T270:AG270)</f>
        <v>67.526206077118</v>
      </c>
      <c r="AX270" s="16" t="n">
        <f aca="false">SUM($T270:AH270)</f>
        <v>72.8107198651398</v>
      </c>
      <c r="AY270" s="16" t="n">
        <f aca="false">SUM($T270:AI270)</f>
        <v>77.4127978888036</v>
      </c>
      <c r="AZ270" s="16" t="n">
        <f aca="false">MAX(C270-AJ270,0)</f>
        <v>63.0858552824992</v>
      </c>
      <c r="BA270" s="16" t="n">
        <f aca="false">MAX(C270-AK270,0)</f>
        <v>58.5595103527777</v>
      </c>
      <c r="BB270" s="16" t="n">
        <f aca="false">MAX(C270-AL270,0)</f>
        <v>53.8301887443123</v>
      </c>
      <c r="BC270" s="16" t="n">
        <f aca="false">MAX(C270-AM270,0)</f>
        <v>49.2053085110405</v>
      </c>
      <c r="BD270" s="16" t="n">
        <f aca="false">MAX(C270-AN270,0)</f>
        <v>44.034491598727</v>
      </c>
      <c r="BE270" s="16" t="n">
        <f aca="false">MAX(C270-AO270,0)</f>
        <v>39.2121010331611</v>
      </c>
      <c r="BF270" s="16" t="n">
        <f aca="false">MAX(C270-AP270,0)</f>
        <v>34.5967829215338</v>
      </c>
      <c r="BG270" s="16" t="n">
        <f aca="false">MAX(C270-AQ270,0)</f>
        <v>30.5077497226571</v>
      </c>
      <c r="BH270" s="16" t="n">
        <f aca="false">MAX(C270-AR270,0)</f>
        <v>24.7656148505114</v>
      </c>
      <c r="BI270" s="16" t="n">
        <f aca="false">MAX(C270-AS270,0)</f>
        <v>20.5524806001107</v>
      </c>
      <c r="BJ270" s="16" t="n">
        <f aca="false">MAX(C270-AT270,0)</f>
        <v>14.8630626418175</v>
      </c>
      <c r="BK270" s="16" t="n">
        <f aca="false">MAX(C270-AU270,0)</f>
        <v>10.2176434268834</v>
      </c>
      <c r="BL270" s="16" t="n">
        <f aca="false">MAX(C270-AV270,0)</f>
        <v>5.51890879897694</v>
      </c>
      <c r="BM270" s="16" t="n">
        <f aca="false">MAX(C270-AW270,0)</f>
        <v>0.547955112497192</v>
      </c>
      <c r="BN270" s="16" t="n">
        <f aca="false">MAX(C270-AX270,0)</f>
        <v>0</v>
      </c>
      <c r="BO270" s="16" t="n">
        <f aca="false">MAX(C270-AY270,0)</f>
        <v>0</v>
      </c>
    </row>
    <row r="271" customFormat="false" ht="15" hidden="false" customHeight="false" outlineLevel="0" collapsed="false">
      <c r="A271" s="3" t="n">
        <v>241</v>
      </c>
      <c r="B271" s="15" t="n">
        <f aca="true">RAND()</f>
        <v>0.205989495680933</v>
      </c>
      <c r="C271" s="16" t="n">
        <f aca="false">LOOKUP(B271,$E$12:$E$17,$A$12:$A$17)+LOOKUP(B271,$E$12:$E$17,$D$12:$D$17)*(B271-LOOKUP(B271,$E$12:$E$17))/LOOKUP(B271,$E$12:$E$17,$C$12:$C$17)</f>
        <v>58.5329831893644</v>
      </c>
      <c r="D271" s="15" t="n">
        <f aca="true">RAND()</f>
        <v>0.99499354358405</v>
      </c>
      <c r="E271" s="15" t="n">
        <f aca="true">RAND()</f>
        <v>0.148585530522498</v>
      </c>
      <c r="F271" s="15" t="n">
        <f aca="true">RAND()</f>
        <v>0.364316697575453</v>
      </c>
      <c r="G271" s="15" t="n">
        <f aca="true">RAND()</f>
        <v>0.832921499144219</v>
      </c>
      <c r="H271" s="15" t="n">
        <f aca="true">RAND()</f>
        <v>0.435093876333717</v>
      </c>
      <c r="I271" s="15" t="n">
        <f aca="true">RAND()</f>
        <v>0.0114064989052439</v>
      </c>
      <c r="J271" s="15" t="n">
        <f aca="true">RAND()</f>
        <v>0.0930995693368648</v>
      </c>
      <c r="K271" s="15" t="n">
        <f aca="true">RAND()</f>
        <v>0.959145436152428</v>
      </c>
      <c r="L271" s="15" t="n">
        <f aca="true">RAND()</f>
        <v>0.0463842960714294</v>
      </c>
      <c r="M271" s="15" t="n">
        <f aca="true">RAND()</f>
        <v>0.969551496897123</v>
      </c>
      <c r="N271" s="15" t="n">
        <f aca="true">RAND()</f>
        <v>0.21925183145404</v>
      </c>
      <c r="O271" s="15" t="n">
        <f aca="true">RAND()</f>
        <v>0.247598265080155</v>
      </c>
      <c r="P271" s="15" t="n">
        <f aca="true">RAND()</f>
        <v>0.602089688465571</v>
      </c>
      <c r="Q271" s="15" t="n">
        <f aca="true">RAND()</f>
        <v>0.236530072369218</v>
      </c>
      <c r="R271" s="15" t="n">
        <f aca="true">RAND()</f>
        <v>0.668131140319521</v>
      </c>
      <c r="S271" s="15" t="n">
        <f aca="true">RAND()</f>
        <v>0.454594544651744</v>
      </c>
      <c r="T271" s="16" t="n">
        <f aca="false">LOOKUP(D271,$E$23:$E$26,$A$23:$A$26)+LOOKUP(D271,$E$23:$E$26,$D$23:$D$26)*(D271-LOOKUP(D271,$E$23:$E$26))/LOOKUP(D271,$E$23:$E$26,$C$23:$C$26)</f>
        <v>5.97496771792025</v>
      </c>
      <c r="U271" s="16" t="n">
        <f aca="false">LOOKUP(E271,$E$23:$E$26,$A$23:$A$26)+LOOKUP(E271,$E$23:$E$26,$D$23:$D$26)*(E271-LOOKUP(E271,$E$23:$E$26))/LOOKUP(E271,$E$23:$E$26,$C$23:$C$26)</f>
        <v>4.24764255087083</v>
      </c>
      <c r="V271" s="16" t="n">
        <f aca="false">LOOKUP(F271,$E$23:$E$26,$A$23:$A$26)+LOOKUP(F271,$E$23:$E$26,$D$23:$D$26)*(F271-LOOKUP(F271,$E$23:$E$26))/LOOKUP(F271,$E$23:$E$26,$C$23:$C$26)</f>
        <v>4.58039587196932</v>
      </c>
      <c r="W271" s="16" t="n">
        <f aca="false">LOOKUP(G271,$E$23:$E$26,$A$23:$A$26)+LOOKUP(G271,$E$23:$E$26,$D$23:$D$26)*(G271-LOOKUP(G271,$E$23:$E$26))/LOOKUP(G271,$E$23:$E$26,$C$23:$C$26)</f>
        <v>5.33230374786055</v>
      </c>
      <c r="X271" s="16" t="n">
        <f aca="false">LOOKUP(H271,$E$23:$E$26,$A$23:$A$26)+LOOKUP(H271,$E$23:$E$26,$D$23:$D$26)*(H271-LOOKUP(H271,$E$23:$E$26))/LOOKUP(H271,$E$23:$E$26,$C$23:$C$26)</f>
        <v>4.66886734541715</v>
      </c>
      <c r="Y271" s="16" t="n">
        <f aca="false">LOOKUP(I271,$E$23:$E$26,$A$23:$A$26)+LOOKUP(I271,$E$23:$E$26,$D$23:$D$26)*(I271-LOOKUP(I271,$E$23:$E$26))/LOOKUP(I271,$E$23:$E$26,$C$23:$C$26)</f>
        <v>4.01901083150874</v>
      </c>
      <c r="Z271" s="16" t="n">
        <f aca="false">LOOKUP(J271,$E$23:$E$26,$A$23:$A$26)+LOOKUP(J271,$E$23:$E$26,$D$23:$D$26)*(J271-LOOKUP(J271,$E$23:$E$26))/LOOKUP(J271,$E$23:$E$26,$C$23:$C$26)</f>
        <v>4.15516594889477</v>
      </c>
      <c r="AA271" s="16" t="n">
        <f aca="false">LOOKUP(K271,$E$23:$E$26,$A$23:$A$26)+LOOKUP(K271,$E$23:$E$26,$D$23:$D$26)*(K271-LOOKUP(K271,$E$23:$E$26))/LOOKUP(K271,$E$23:$E$26,$C$23:$C$26)</f>
        <v>5.79572718076214</v>
      </c>
      <c r="AB271" s="16" t="n">
        <f aca="false">LOOKUP(L271,$E$23:$E$26,$A$23:$A$26)+LOOKUP(L271,$E$23:$E$26,$D$23:$D$26)*(L271-LOOKUP(L271,$E$23:$E$26))/LOOKUP(L271,$E$23:$E$26,$C$23:$C$26)</f>
        <v>4.07730716011905</v>
      </c>
      <c r="AC271" s="16" t="n">
        <f aca="false">LOOKUP(M271,$E$23:$E$26,$A$23:$A$26)+LOOKUP(M271,$E$23:$E$26,$D$23:$D$26)*(M271-LOOKUP(M271,$E$23:$E$26))/LOOKUP(M271,$E$23:$E$26,$C$23:$C$26)</f>
        <v>5.84775748448562</v>
      </c>
      <c r="AD271" s="16" t="n">
        <f aca="false">LOOKUP(N271,$E$23:$E$26,$A$23:$A$26)+LOOKUP(N271,$E$23:$E$26,$D$23:$D$26)*(N271-LOOKUP(N271,$E$23:$E$26))/LOOKUP(N271,$E$23:$E$26,$C$23:$C$26)</f>
        <v>4.36541971909007</v>
      </c>
      <c r="AE271" s="16" t="n">
        <f aca="false">LOOKUP(O271,$E$23:$E$26,$A$23:$A$26)+LOOKUP(O271,$E$23:$E$26,$D$23:$D$26)*(O271-LOOKUP(O271,$E$23:$E$26))/LOOKUP(O271,$E$23:$E$26,$C$23:$C$26)</f>
        <v>4.41266377513359</v>
      </c>
      <c r="AF271" s="16" t="n">
        <f aca="false">LOOKUP(P271,$E$23:$E$26,$A$23:$A$26)+LOOKUP(P271,$E$23:$E$26,$D$23:$D$26)*(P271-LOOKUP(P271,$E$23:$E$26))/LOOKUP(P271,$E$23:$E$26,$C$23:$C$26)</f>
        <v>4.87761211058196</v>
      </c>
      <c r="AG271" s="16" t="n">
        <f aca="false">LOOKUP(Q271,$E$23:$E$26,$A$23:$A$26)+LOOKUP(Q271,$E$23:$E$26,$D$23:$D$26)*(Q271-LOOKUP(Q271,$E$23:$E$26))/LOOKUP(Q271,$E$23:$E$26,$C$23:$C$26)</f>
        <v>4.39421678728203</v>
      </c>
      <c r="AH271" s="16" t="n">
        <f aca="false">LOOKUP(R271,$E$23:$E$26,$A$23:$A$26)+LOOKUP(R271,$E$23:$E$26,$D$23:$D$26)*(R271-LOOKUP(R271,$E$23:$E$26))/LOOKUP(R271,$E$23:$E$26,$C$23:$C$26)</f>
        <v>4.9601639253994</v>
      </c>
      <c r="AI271" s="16" t="n">
        <f aca="false">LOOKUP(S271,$E$23:$E$26,$A$23:$A$26)+LOOKUP(S271,$E$23:$E$26,$D$23:$D$26)*(S271-LOOKUP(S271,$E$23:$E$26))/LOOKUP(S271,$E$23:$E$26,$C$23:$C$26)</f>
        <v>4.69324318081468</v>
      </c>
      <c r="AJ271" s="16" t="n">
        <f aca="false">SUM($T271:T271)</f>
        <v>5.97496771792025</v>
      </c>
      <c r="AK271" s="16" t="n">
        <f aca="false">SUM($T271:U271)</f>
        <v>10.2226102687911</v>
      </c>
      <c r="AL271" s="16" t="n">
        <f aca="false">SUM($T271:V271)</f>
        <v>14.8030061407604</v>
      </c>
      <c r="AM271" s="16" t="n">
        <f aca="false">SUM($T271:W271)</f>
        <v>20.1353098886209</v>
      </c>
      <c r="AN271" s="16" t="n">
        <f aca="false">SUM($T271:X271)</f>
        <v>24.8041772340381</v>
      </c>
      <c r="AO271" s="16" t="n">
        <f aca="false">SUM($T271:Y271)</f>
        <v>28.8231880655468</v>
      </c>
      <c r="AP271" s="16" t="n">
        <f aca="false">SUM($T271:Z271)</f>
        <v>32.9783540144416</v>
      </c>
      <c r="AQ271" s="16" t="n">
        <f aca="false">SUM($T271:AA271)</f>
        <v>38.7740811952038</v>
      </c>
      <c r="AR271" s="16" t="n">
        <f aca="false">SUM($T271:AB271)</f>
        <v>42.8513883553228</v>
      </c>
      <c r="AS271" s="16" t="n">
        <f aca="false">SUM($T271:AC271)</f>
        <v>48.6991458398084</v>
      </c>
      <c r="AT271" s="16" t="n">
        <f aca="false">SUM($T271:AD271)</f>
        <v>53.0645655588985</v>
      </c>
      <c r="AU271" s="16" t="n">
        <f aca="false">SUM($T271:AE271)</f>
        <v>57.4772293340321</v>
      </c>
      <c r="AV271" s="16" t="n">
        <f aca="false">SUM($T271:AF271)</f>
        <v>62.354841444614</v>
      </c>
      <c r="AW271" s="16" t="n">
        <f aca="false">SUM($T271:AG271)</f>
        <v>66.7490582318961</v>
      </c>
      <c r="AX271" s="16" t="n">
        <f aca="false">SUM($T271:AH271)</f>
        <v>71.7092221572955</v>
      </c>
      <c r="AY271" s="16" t="n">
        <f aca="false">SUM($T271:AI271)</f>
        <v>76.4024653381102</v>
      </c>
      <c r="AZ271" s="16" t="n">
        <f aca="false">MAX(C271-AJ271,0)</f>
        <v>52.5580154714442</v>
      </c>
      <c r="BA271" s="16" t="n">
        <f aca="false">MAX(C271-AK271,0)</f>
        <v>48.3103729205734</v>
      </c>
      <c r="BB271" s="16" t="n">
        <f aca="false">MAX(C271-AL271,0)</f>
        <v>43.729977048604</v>
      </c>
      <c r="BC271" s="16" t="n">
        <f aca="false">MAX(C271-AM271,0)</f>
        <v>38.3976733007435</v>
      </c>
      <c r="BD271" s="16" t="n">
        <f aca="false">MAX(C271-AN271,0)</f>
        <v>33.7288059553263</v>
      </c>
      <c r="BE271" s="16" t="n">
        <f aca="false">MAX(C271-AO271,0)</f>
        <v>29.7097951238176</v>
      </c>
      <c r="BF271" s="16" t="n">
        <f aca="false">MAX(C271-AP271,0)</f>
        <v>25.5546291749228</v>
      </c>
      <c r="BG271" s="16" t="n">
        <f aca="false">MAX(C271-AQ271,0)</f>
        <v>19.7589019941607</v>
      </c>
      <c r="BH271" s="16" t="n">
        <f aca="false">MAX(C271-AR271,0)</f>
        <v>15.6815948340416</v>
      </c>
      <c r="BI271" s="16" t="n">
        <f aca="false">MAX(C271-AS271,0)</f>
        <v>9.83383734955602</v>
      </c>
      <c r="BJ271" s="16" t="n">
        <f aca="false">MAX(C271-AT271,0)</f>
        <v>5.46841763046595</v>
      </c>
      <c r="BK271" s="16" t="n">
        <f aca="false">MAX(C271-AU271,0)</f>
        <v>1.05575385533236</v>
      </c>
      <c r="BL271" s="16" t="n">
        <f aca="false">MAX(C271-AV271,0)</f>
        <v>0</v>
      </c>
      <c r="BM271" s="16" t="n">
        <f aca="false">MAX(C271-AW271,0)</f>
        <v>0</v>
      </c>
      <c r="BN271" s="16" t="n">
        <f aca="false">MAX(C271-AX271,0)</f>
        <v>0</v>
      </c>
      <c r="BO271" s="16" t="n">
        <f aca="false">MAX(C271-AY271,0)</f>
        <v>0</v>
      </c>
    </row>
    <row r="272" customFormat="false" ht="15" hidden="false" customHeight="false" outlineLevel="0" collapsed="false">
      <c r="A272" s="3" t="n">
        <v>242</v>
      </c>
      <c r="B272" s="15" t="n">
        <f aca="true">RAND()</f>
        <v>0.328825435475794</v>
      </c>
      <c r="C272" s="16" t="n">
        <f aca="false">LOOKUP(B272,$E$12:$E$17,$A$12:$A$17)+LOOKUP(B272,$E$12:$E$17,$D$12:$D$17)*(B272-LOOKUP(B272,$E$12:$E$17))/LOOKUP(B272,$E$12:$E$17,$C$12:$C$17)</f>
        <v>61.3137572579299</v>
      </c>
      <c r="D272" s="15" t="n">
        <f aca="true">RAND()</f>
        <v>0.776831967828016</v>
      </c>
      <c r="E272" s="15" t="n">
        <f aca="true">RAND()</f>
        <v>0.319635412350279</v>
      </c>
      <c r="F272" s="15" t="n">
        <f aca="true">RAND()</f>
        <v>0.445689365546099</v>
      </c>
      <c r="G272" s="15" t="n">
        <f aca="true">RAND()</f>
        <v>0.578476517462754</v>
      </c>
      <c r="H272" s="15" t="n">
        <f aca="true">RAND()</f>
        <v>0.318423422635095</v>
      </c>
      <c r="I272" s="15" t="n">
        <f aca="true">RAND()</f>
        <v>0.667173120008043</v>
      </c>
      <c r="J272" s="15" t="n">
        <f aca="true">RAND()</f>
        <v>0.228830206389594</v>
      </c>
      <c r="K272" s="15" t="n">
        <f aca="true">RAND()</f>
        <v>0.840565301367123</v>
      </c>
      <c r="L272" s="15" t="n">
        <f aca="true">RAND()</f>
        <v>0.28021611661479</v>
      </c>
      <c r="M272" s="15" t="n">
        <f aca="true">RAND()</f>
        <v>0.277376013047719</v>
      </c>
      <c r="N272" s="15" t="n">
        <f aca="true">RAND()</f>
        <v>0.650754254560461</v>
      </c>
      <c r="O272" s="15" t="n">
        <f aca="true">RAND()</f>
        <v>0.725289094523912</v>
      </c>
      <c r="P272" s="15" t="n">
        <f aca="true">RAND()</f>
        <v>0.655883830337415</v>
      </c>
      <c r="Q272" s="15" t="n">
        <f aca="true">RAND()</f>
        <v>0.7681254755562</v>
      </c>
      <c r="R272" s="15" t="n">
        <f aca="true">RAND()</f>
        <v>0.774877613076003</v>
      </c>
      <c r="S272" s="15" t="n">
        <f aca="true">RAND()</f>
        <v>0.479227036861598</v>
      </c>
      <c r="T272" s="16" t="n">
        <f aca="false">LOOKUP(D272,$E$23:$E$26,$A$23:$A$26)+LOOKUP(D272,$E$23:$E$26,$D$23:$D$26)*(D272-LOOKUP(D272,$E$23:$E$26))/LOOKUP(D272,$E$23:$E$26,$C$23:$C$26)</f>
        <v>5.19207991957004</v>
      </c>
      <c r="U272" s="16" t="n">
        <f aca="false">LOOKUP(E272,$E$23:$E$26,$A$23:$A$26)+LOOKUP(E272,$E$23:$E$26,$D$23:$D$26)*(E272-LOOKUP(E272,$E$23:$E$26))/LOOKUP(E272,$E$23:$E$26,$C$23:$C$26)</f>
        <v>4.52454426543785</v>
      </c>
      <c r="V272" s="16" t="n">
        <f aca="false">LOOKUP(F272,$E$23:$E$26,$A$23:$A$26)+LOOKUP(F272,$E$23:$E$26,$D$23:$D$26)*(F272-LOOKUP(F272,$E$23:$E$26))/LOOKUP(F272,$E$23:$E$26,$C$23:$C$26)</f>
        <v>4.68211170693262</v>
      </c>
      <c r="W272" s="16" t="n">
        <f aca="false">LOOKUP(G272,$E$23:$E$26,$A$23:$A$26)+LOOKUP(G272,$E$23:$E$26,$D$23:$D$26)*(G272-LOOKUP(G272,$E$23:$E$26))/LOOKUP(G272,$E$23:$E$26,$C$23:$C$26)</f>
        <v>4.84809564682844</v>
      </c>
      <c r="X272" s="16" t="n">
        <f aca="false">LOOKUP(H272,$E$23:$E$26,$A$23:$A$26)+LOOKUP(H272,$E$23:$E$26,$D$23:$D$26)*(H272-LOOKUP(H272,$E$23:$E$26))/LOOKUP(H272,$E$23:$E$26,$C$23:$C$26)</f>
        <v>4.52302927829387</v>
      </c>
      <c r="Y272" s="16" t="n">
        <f aca="false">LOOKUP(I272,$E$23:$E$26,$A$23:$A$26)+LOOKUP(I272,$E$23:$E$26,$D$23:$D$26)*(I272-LOOKUP(I272,$E$23:$E$26))/LOOKUP(I272,$E$23:$E$26,$C$23:$C$26)</f>
        <v>4.95896640001005</v>
      </c>
      <c r="Z272" s="16" t="n">
        <f aca="false">LOOKUP(J272,$E$23:$E$26,$A$23:$A$26)+LOOKUP(J272,$E$23:$E$26,$D$23:$D$26)*(J272-LOOKUP(J272,$E$23:$E$26))/LOOKUP(J272,$E$23:$E$26,$C$23:$C$26)</f>
        <v>4.38138367731599</v>
      </c>
      <c r="AA272" s="16" t="n">
        <f aca="false">LOOKUP(K272,$E$23:$E$26,$A$23:$A$26)+LOOKUP(K272,$E$23:$E$26,$D$23:$D$26)*(K272-LOOKUP(K272,$E$23:$E$26))/LOOKUP(K272,$E$23:$E$26,$C$23:$C$26)</f>
        <v>5.35141325341781</v>
      </c>
      <c r="AB272" s="16" t="n">
        <f aca="false">LOOKUP(L272,$E$23:$E$26,$A$23:$A$26)+LOOKUP(L272,$E$23:$E$26,$D$23:$D$26)*(L272-LOOKUP(L272,$E$23:$E$26))/LOOKUP(L272,$E$23:$E$26,$C$23:$C$26)</f>
        <v>4.46702686102465</v>
      </c>
      <c r="AC272" s="16" t="n">
        <f aca="false">LOOKUP(M272,$E$23:$E$26,$A$23:$A$26)+LOOKUP(M272,$E$23:$E$26,$D$23:$D$26)*(M272-LOOKUP(M272,$E$23:$E$26))/LOOKUP(M272,$E$23:$E$26,$C$23:$C$26)</f>
        <v>4.46229335507953</v>
      </c>
      <c r="AD272" s="16" t="n">
        <f aca="false">LOOKUP(N272,$E$23:$E$26,$A$23:$A$26)+LOOKUP(N272,$E$23:$E$26,$D$23:$D$26)*(N272-LOOKUP(N272,$E$23:$E$26))/LOOKUP(N272,$E$23:$E$26,$C$23:$C$26)</f>
        <v>4.93844281820058</v>
      </c>
      <c r="AE272" s="16" t="n">
        <f aca="false">LOOKUP(O272,$E$23:$E$26,$A$23:$A$26)+LOOKUP(O272,$E$23:$E$26,$D$23:$D$26)*(O272-LOOKUP(O272,$E$23:$E$26))/LOOKUP(O272,$E$23:$E$26,$C$23:$C$26)</f>
        <v>5.06322273630978</v>
      </c>
      <c r="AF272" s="16" t="n">
        <f aca="false">LOOKUP(P272,$E$23:$E$26,$A$23:$A$26)+LOOKUP(P272,$E$23:$E$26,$D$23:$D$26)*(P272-LOOKUP(P272,$E$23:$E$26))/LOOKUP(P272,$E$23:$E$26,$C$23:$C$26)</f>
        <v>4.94485478792177</v>
      </c>
      <c r="AG272" s="16" t="n">
        <f aca="false">LOOKUP(Q272,$E$23:$E$26,$A$23:$A$26)+LOOKUP(Q272,$E$23:$E$26,$D$23:$D$26)*(Q272-LOOKUP(Q272,$E$23:$E$26))/LOOKUP(Q272,$E$23:$E$26,$C$23:$C$26)</f>
        <v>5.1703136888905</v>
      </c>
      <c r="AH272" s="16" t="n">
        <f aca="false">LOOKUP(R272,$E$23:$E$26,$A$23:$A$26)+LOOKUP(R272,$E$23:$E$26,$D$23:$D$26)*(R272-LOOKUP(R272,$E$23:$E$26))/LOOKUP(R272,$E$23:$E$26,$C$23:$C$26)</f>
        <v>5.18719403269001</v>
      </c>
      <c r="AI272" s="16" t="n">
        <f aca="false">LOOKUP(S272,$E$23:$E$26,$A$23:$A$26)+LOOKUP(S272,$E$23:$E$26,$D$23:$D$26)*(S272-LOOKUP(S272,$E$23:$E$26))/LOOKUP(S272,$E$23:$E$26,$C$23:$C$26)</f>
        <v>4.724033796077</v>
      </c>
      <c r="AJ272" s="16" t="n">
        <f aca="false">SUM($T272:T272)</f>
        <v>5.19207991957004</v>
      </c>
      <c r="AK272" s="16" t="n">
        <f aca="false">SUM($T272:U272)</f>
        <v>9.71662418500789</v>
      </c>
      <c r="AL272" s="16" t="n">
        <f aca="false">SUM($T272:V272)</f>
        <v>14.3987358919405</v>
      </c>
      <c r="AM272" s="16" t="n">
        <f aca="false">SUM($T272:W272)</f>
        <v>19.246831538769</v>
      </c>
      <c r="AN272" s="16" t="n">
        <f aca="false">SUM($T272:X272)</f>
        <v>23.7698608170628</v>
      </c>
      <c r="AO272" s="16" t="n">
        <f aca="false">SUM($T272:Y272)</f>
        <v>28.7288272170729</v>
      </c>
      <c r="AP272" s="16" t="n">
        <f aca="false">SUM($T272:Z272)</f>
        <v>33.1102108943889</v>
      </c>
      <c r="AQ272" s="16" t="n">
        <f aca="false">SUM($T272:AA272)</f>
        <v>38.4616241478067</v>
      </c>
      <c r="AR272" s="16" t="n">
        <f aca="false">SUM($T272:AB272)</f>
        <v>42.9286510088313</v>
      </c>
      <c r="AS272" s="16" t="n">
        <f aca="false">SUM($T272:AC272)</f>
        <v>47.3909443639109</v>
      </c>
      <c r="AT272" s="16" t="n">
        <f aca="false">SUM($T272:AD272)</f>
        <v>52.3293871821114</v>
      </c>
      <c r="AU272" s="16" t="n">
        <f aca="false">SUM($T272:AE272)</f>
        <v>57.3926099184212</v>
      </c>
      <c r="AV272" s="16" t="n">
        <f aca="false">SUM($T272:AF272)</f>
        <v>62.337464706343</v>
      </c>
      <c r="AW272" s="16" t="n">
        <f aca="false">SUM($T272:AG272)</f>
        <v>67.5077783952335</v>
      </c>
      <c r="AX272" s="16" t="n">
        <f aca="false">SUM($T272:AH272)</f>
        <v>72.6949724279235</v>
      </c>
      <c r="AY272" s="16" t="n">
        <f aca="false">SUM($T272:AI272)</f>
        <v>77.4190062240005</v>
      </c>
      <c r="AZ272" s="16" t="n">
        <f aca="false">MAX(C272-AJ272,0)</f>
        <v>56.1216773383599</v>
      </c>
      <c r="BA272" s="16" t="n">
        <f aca="false">MAX(C272-AK272,0)</f>
        <v>51.597133072922</v>
      </c>
      <c r="BB272" s="16" t="n">
        <f aca="false">MAX(C272-AL272,0)</f>
        <v>46.9150213659894</v>
      </c>
      <c r="BC272" s="16" t="n">
        <f aca="false">MAX(C272-AM272,0)</f>
        <v>42.0669257191609</v>
      </c>
      <c r="BD272" s="16" t="n">
        <f aca="false">MAX(C272-AN272,0)</f>
        <v>37.5438964408671</v>
      </c>
      <c r="BE272" s="16" t="n">
        <f aca="false">MAX(C272-AO272,0)</f>
        <v>32.584930040857</v>
      </c>
      <c r="BF272" s="16" t="n">
        <f aca="false">MAX(C272-AP272,0)</f>
        <v>28.203546363541</v>
      </c>
      <c r="BG272" s="16" t="n">
        <f aca="false">MAX(C272-AQ272,0)</f>
        <v>22.8521331101232</v>
      </c>
      <c r="BH272" s="16" t="n">
        <f aca="false">MAX(C272-AR272,0)</f>
        <v>18.3851062490986</v>
      </c>
      <c r="BI272" s="16" t="n">
        <f aca="false">MAX(C272-AS272,0)</f>
        <v>13.922812894019</v>
      </c>
      <c r="BJ272" s="16" t="n">
        <f aca="false">MAX(C272-AT272,0)</f>
        <v>8.98437007581846</v>
      </c>
      <c r="BK272" s="16" t="n">
        <f aca="false">MAX(C272-AU272,0)</f>
        <v>3.92114733950868</v>
      </c>
      <c r="BL272" s="16" t="n">
        <f aca="false">MAX(C272-AV272,0)</f>
        <v>0</v>
      </c>
      <c r="BM272" s="16" t="n">
        <f aca="false">MAX(C272-AW272,0)</f>
        <v>0</v>
      </c>
      <c r="BN272" s="16" t="n">
        <f aca="false">MAX(C272-AX272,0)</f>
        <v>0</v>
      </c>
      <c r="BO272" s="16" t="n">
        <f aca="false">MAX(C272-AY272,0)</f>
        <v>0</v>
      </c>
    </row>
    <row r="273" customFormat="false" ht="15" hidden="false" customHeight="false" outlineLevel="0" collapsed="false">
      <c r="A273" s="3" t="n">
        <v>243</v>
      </c>
      <c r="B273" s="15" t="n">
        <f aca="true">RAND()</f>
        <v>0.514955502428745</v>
      </c>
      <c r="C273" s="16" t="n">
        <f aca="false">LOOKUP(B273,$E$12:$E$17,$A$12:$A$17)+LOOKUP(B273,$E$12:$E$17,$D$12:$D$17)*(B273-LOOKUP(B273,$E$12:$E$17))/LOOKUP(B273,$E$12:$E$17,$C$12:$C$17)</f>
        <v>64.4159250404791</v>
      </c>
      <c r="D273" s="15" t="n">
        <f aca="true">RAND()</f>
        <v>0.207316256925335</v>
      </c>
      <c r="E273" s="15" t="n">
        <f aca="true">RAND()</f>
        <v>0.256916874067759</v>
      </c>
      <c r="F273" s="15" t="n">
        <f aca="true">RAND()</f>
        <v>0.061805394579089</v>
      </c>
      <c r="G273" s="15" t="n">
        <f aca="true">RAND()</f>
        <v>0.464304071015161</v>
      </c>
      <c r="H273" s="15" t="n">
        <f aca="true">RAND()</f>
        <v>0.914061552813351</v>
      </c>
      <c r="I273" s="15" t="n">
        <f aca="true">RAND()</f>
        <v>0.319864762819972</v>
      </c>
      <c r="J273" s="15" t="n">
        <f aca="true">RAND()</f>
        <v>0.968306060837734</v>
      </c>
      <c r="K273" s="15" t="n">
        <f aca="true">RAND()</f>
        <v>0.792242508061555</v>
      </c>
      <c r="L273" s="15" t="n">
        <f aca="true">RAND()</f>
        <v>0.278159582698914</v>
      </c>
      <c r="M273" s="15" t="n">
        <f aca="true">RAND()</f>
        <v>0.920285060807761</v>
      </c>
      <c r="N273" s="15" t="n">
        <f aca="true">RAND()</f>
        <v>0.78501601863113</v>
      </c>
      <c r="O273" s="15" t="n">
        <f aca="true">RAND()</f>
        <v>0.502978572640946</v>
      </c>
      <c r="P273" s="15" t="n">
        <f aca="true">RAND()</f>
        <v>0.531648140025956</v>
      </c>
      <c r="Q273" s="15" t="n">
        <f aca="true">RAND()</f>
        <v>0.508167699078752</v>
      </c>
      <c r="R273" s="15" t="n">
        <f aca="true">RAND()</f>
        <v>0.32024979089656</v>
      </c>
      <c r="S273" s="15" t="n">
        <f aca="true">RAND()</f>
        <v>0.613620669504358</v>
      </c>
      <c r="T273" s="16" t="n">
        <f aca="false">LOOKUP(D273,$E$23:$E$26,$A$23:$A$26)+LOOKUP(D273,$E$23:$E$26,$D$23:$D$26)*(D273-LOOKUP(D273,$E$23:$E$26))/LOOKUP(D273,$E$23:$E$26,$C$23:$C$26)</f>
        <v>4.34552709487556</v>
      </c>
      <c r="U273" s="16" t="n">
        <f aca="false">LOOKUP(E273,$E$23:$E$26,$A$23:$A$26)+LOOKUP(E273,$E$23:$E$26,$D$23:$D$26)*(E273-LOOKUP(E273,$E$23:$E$26))/LOOKUP(E273,$E$23:$E$26,$C$23:$C$26)</f>
        <v>4.42819479011293</v>
      </c>
      <c r="V273" s="16" t="n">
        <f aca="false">LOOKUP(F273,$E$23:$E$26,$A$23:$A$26)+LOOKUP(F273,$E$23:$E$26,$D$23:$D$26)*(F273-LOOKUP(F273,$E$23:$E$26))/LOOKUP(F273,$E$23:$E$26,$C$23:$C$26)</f>
        <v>4.10300899096515</v>
      </c>
      <c r="W273" s="16" t="n">
        <f aca="false">LOOKUP(G273,$E$23:$E$26,$A$23:$A$26)+LOOKUP(G273,$E$23:$E$26,$D$23:$D$26)*(G273-LOOKUP(G273,$E$23:$E$26))/LOOKUP(G273,$E$23:$E$26,$C$23:$C$26)</f>
        <v>4.70538008876895</v>
      </c>
      <c r="X273" s="16" t="n">
        <f aca="false">LOOKUP(H273,$E$23:$E$26,$A$23:$A$26)+LOOKUP(H273,$E$23:$E$26,$D$23:$D$26)*(H273-LOOKUP(H273,$E$23:$E$26))/LOOKUP(H273,$E$23:$E$26,$C$23:$C$26)</f>
        <v>5.57030776406676</v>
      </c>
      <c r="Y273" s="16" t="n">
        <f aca="false">LOOKUP(I273,$E$23:$E$26,$A$23:$A$26)+LOOKUP(I273,$E$23:$E$26,$D$23:$D$26)*(I273-LOOKUP(I273,$E$23:$E$26))/LOOKUP(I273,$E$23:$E$26,$C$23:$C$26)</f>
        <v>4.52483095352497</v>
      </c>
      <c r="Z273" s="16" t="n">
        <f aca="false">LOOKUP(J273,$E$23:$E$26,$A$23:$A$26)+LOOKUP(J273,$E$23:$E$26,$D$23:$D$26)*(J273-LOOKUP(J273,$E$23:$E$26))/LOOKUP(J273,$E$23:$E$26,$C$23:$C$26)</f>
        <v>5.84153030418867</v>
      </c>
      <c r="AA273" s="16" t="n">
        <f aca="false">LOOKUP(K273,$E$23:$E$26,$A$23:$A$26)+LOOKUP(K273,$E$23:$E$26,$D$23:$D$26)*(K273-LOOKUP(K273,$E$23:$E$26))/LOOKUP(K273,$E$23:$E$26,$C$23:$C$26)</f>
        <v>5.23060627015389</v>
      </c>
      <c r="AB273" s="16" t="n">
        <f aca="false">LOOKUP(L273,$E$23:$E$26,$A$23:$A$26)+LOOKUP(L273,$E$23:$E$26,$D$23:$D$26)*(L273-LOOKUP(L273,$E$23:$E$26))/LOOKUP(L273,$E$23:$E$26,$C$23:$C$26)</f>
        <v>4.46359930449819</v>
      </c>
      <c r="AC273" s="16" t="n">
        <f aca="false">LOOKUP(M273,$E$23:$E$26,$A$23:$A$26)+LOOKUP(M273,$E$23:$E$26,$D$23:$D$26)*(M273-LOOKUP(M273,$E$23:$E$26))/LOOKUP(M273,$E$23:$E$26,$C$23:$C$26)</f>
        <v>5.60142530403881</v>
      </c>
      <c r="AD273" s="16" t="n">
        <f aca="false">LOOKUP(N273,$E$23:$E$26,$A$23:$A$26)+LOOKUP(N273,$E$23:$E$26,$D$23:$D$26)*(N273-LOOKUP(N273,$E$23:$E$26))/LOOKUP(N273,$E$23:$E$26,$C$23:$C$26)</f>
        <v>5.21254004657782</v>
      </c>
      <c r="AE273" s="16" t="n">
        <f aca="false">LOOKUP(O273,$E$23:$E$26,$A$23:$A$26)+LOOKUP(O273,$E$23:$E$26,$D$23:$D$26)*(O273-LOOKUP(O273,$E$23:$E$26))/LOOKUP(O273,$E$23:$E$26,$C$23:$C$26)</f>
        <v>4.75372321580118</v>
      </c>
      <c r="AF273" s="16" t="n">
        <f aca="false">LOOKUP(P273,$E$23:$E$26,$A$23:$A$26)+LOOKUP(P273,$E$23:$E$26,$D$23:$D$26)*(P273-LOOKUP(P273,$E$23:$E$26))/LOOKUP(P273,$E$23:$E$26,$C$23:$C$26)</f>
        <v>4.78956017503245</v>
      </c>
      <c r="AG273" s="16" t="n">
        <f aca="false">LOOKUP(Q273,$E$23:$E$26,$A$23:$A$26)+LOOKUP(Q273,$E$23:$E$26,$D$23:$D$26)*(Q273-LOOKUP(Q273,$E$23:$E$26))/LOOKUP(Q273,$E$23:$E$26,$C$23:$C$26)</f>
        <v>4.76020962384844</v>
      </c>
      <c r="AH273" s="16" t="n">
        <f aca="false">LOOKUP(R273,$E$23:$E$26,$A$23:$A$26)+LOOKUP(R273,$E$23:$E$26,$D$23:$D$26)*(R273-LOOKUP(R273,$E$23:$E$26))/LOOKUP(R273,$E$23:$E$26,$C$23:$C$26)</f>
        <v>4.5253122386207</v>
      </c>
      <c r="AI273" s="16" t="n">
        <f aca="false">LOOKUP(S273,$E$23:$E$26,$A$23:$A$26)+LOOKUP(S273,$E$23:$E$26,$D$23:$D$26)*(S273-LOOKUP(S273,$E$23:$E$26))/LOOKUP(S273,$E$23:$E$26,$C$23:$C$26)</f>
        <v>4.89202583688045</v>
      </c>
      <c r="AJ273" s="16" t="n">
        <f aca="false">SUM($T273:T273)</f>
        <v>4.34552709487556</v>
      </c>
      <c r="AK273" s="16" t="n">
        <f aca="false">SUM($T273:U273)</f>
        <v>8.77372188498849</v>
      </c>
      <c r="AL273" s="16" t="n">
        <f aca="false">SUM($T273:V273)</f>
        <v>12.8767308759536</v>
      </c>
      <c r="AM273" s="16" t="n">
        <f aca="false">SUM($T273:W273)</f>
        <v>17.5821109647226</v>
      </c>
      <c r="AN273" s="16" t="n">
        <f aca="false">SUM($T273:X273)</f>
        <v>23.1524187287893</v>
      </c>
      <c r="AO273" s="16" t="n">
        <f aca="false">SUM($T273:Y273)</f>
        <v>27.6772496823143</v>
      </c>
      <c r="AP273" s="16" t="n">
        <f aca="false">SUM($T273:Z273)</f>
        <v>33.518779986503</v>
      </c>
      <c r="AQ273" s="16" t="n">
        <f aca="false">SUM($T273:AA273)</f>
        <v>38.7493862566569</v>
      </c>
      <c r="AR273" s="16" t="n">
        <f aca="false">SUM($T273:AB273)</f>
        <v>43.2129855611551</v>
      </c>
      <c r="AS273" s="16" t="n">
        <f aca="false">SUM($T273:AC273)</f>
        <v>48.8144108651939</v>
      </c>
      <c r="AT273" s="16" t="n">
        <f aca="false">SUM($T273:AD273)</f>
        <v>54.0269509117717</v>
      </c>
      <c r="AU273" s="16" t="n">
        <f aca="false">SUM($T273:AE273)</f>
        <v>58.7806741275729</v>
      </c>
      <c r="AV273" s="16" t="n">
        <f aca="false">SUM($T273:AF273)</f>
        <v>63.5702343026053</v>
      </c>
      <c r="AW273" s="16" t="n">
        <f aca="false">SUM($T273:AG273)</f>
        <v>68.3304439264538</v>
      </c>
      <c r="AX273" s="16" t="n">
        <f aca="false">SUM($T273:AH273)</f>
        <v>72.8557561650745</v>
      </c>
      <c r="AY273" s="16" t="n">
        <f aca="false">SUM($T273:AI273)</f>
        <v>77.7477820019549</v>
      </c>
      <c r="AZ273" s="16" t="n">
        <f aca="false">MAX(C273-AJ273,0)</f>
        <v>60.0703979456035</v>
      </c>
      <c r="BA273" s="16" t="n">
        <f aca="false">MAX(C273-AK273,0)</f>
        <v>55.6422031554906</v>
      </c>
      <c r="BB273" s="16" t="n">
        <f aca="false">MAX(C273-AL273,0)</f>
        <v>51.5391941645254</v>
      </c>
      <c r="BC273" s="16" t="n">
        <f aca="false">MAX(C273-AM273,0)</f>
        <v>46.8338140757565</v>
      </c>
      <c r="BD273" s="16" t="n">
        <f aca="false">MAX(C273-AN273,0)</f>
        <v>41.2635063116897</v>
      </c>
      <c r="BE273" s="16" t="n">
        <f aca="false">MAX(C273-AO273,0)</f>
        <v>36.7386753581648</v>
      </c>
      <c r="BF273" s="16" t="n">
        <f aca="false">MAX(C273-AP273,0)</f>
        <v>30.8971450539761</v>
      </c>
      <c r="BG273" s="16" t="n">
        <f aca="false">MAX(C273-AQ273,0)</f>
        <v>25.6665387838222</v>
      </c>
      <c r="BH273" s="16" t="n">
        <f aca="false">MAX(C273-AR273,0)</f>
        <v>21.202939479324</v>
      </c>
      <c r="BI273" s="16" t="n">
        <f aca="false">MAX(C273-AS273,0)</f>
        <v>15.6015141752852</v>
      </c>
      <c r="BJ273" s="16" t="n">
        <f aca="false">MAX(C273-AT273,0)</f>
        <v>10.3889741287074</v>
      </c>
      <c r="BK273" s="16" t="n">
        <f aca="false">MAX(C273-AU273,0)</f>
        <v>5.63525091290621</v>
      </c>
      <c r="BL273" s="16" t="n">
        <f aca="false">MAX(C273-AV273,0)</f>
        <v>0.845690737873767</v>
      </c>
      <c r="BM273" s="16" t="n">
        <f aca="false">MAX(C273-AW273,0)</f>
        <v>0</v>
      </c>
      <c r="BN273" s="16" t="n">
        <f aca="false">MAX(C273-AX273,0)</f>
        <v>0</v>
      </c>
      <c r="BO273" s="16" t="n">
        <f aca="false">MAX(C273-AY273,0)</f>
        <v>0</v>
      </c>
    </row>
    <row r="274" customFormat="false" ht="15" hidden="false" customHeight="false" outlineLevel="0" collapsed="false">
      <c r="A274" s="3" t="n">
        <v>244</v>
      </c>
      <c r="B274" s="15" t="n">
        <f aca="true">RAND()</f>
        <v>0.15795666305439</v>
      </c>
      <c r="C274" s="16" t="n">
        <f aca="false">LOOKUP(B274,$E$12:$E$17,$A$12:$A$17)+LOOKUP(B274,$E$12:$E$17,$D$12:$D$17)*(B274-LOOKUP(B274,$E$12:$E$17))/LOOKUP(B274,$E$12:$E$17,$C$12:$C$17)</f>
        <v>56.9318887684797</v>
      </c>
      <c r="D274" s="15" t="n">
        <f aca="true">RAND()</f>
        <v>0.718617569103421</v>
      </c>
      <c r="E274" s="15" t="n">
        <f aca="true">RAND()</f>
        <v>0.823228521539749</v>
      </c>
      <c r="F274" s="15" t="n">
        <f aca="true">RAND()</f>
        <v>0.620062572882373</v>
      </c>
      <c r="G274" s="15" t="n">
        <f aca="true">RAND()</f>
        <v>0.721013115713174</v>
      </c>
      <c r="H274" s="15" t="n">
        <f aca="true">RAND()</f>
        <v>0.0644528432496103</v>
      </c>
      <c r="I274" s="15" t="n">
        <f aca="true">RAND()</f>
        <v>0.427646563733228</v>
      </c>
      <c r="J274" s="15" t="n">
        <f aca="true">RAND()</f>
        <v>0.00906540050695315</v>
      </c>
      <c r="K274" s="15" t="n">
        <f aca="true">RAND()</f>
        <v>0.56661660836606</v>
      </c>
      <c r="L274" s="15" t="n">
        <f aca="true">RAND()</f>
        <v>0.120822369250466</v>
      </c>
      <c r="M274" s="15" t="n">
        <f aca="true">RAND()</f>
        <v>0.869741949312017</v>
      </c>
      <c r="N274" s="15" t="n">
        <f aca="true">RAND()</f>
        <v>0.0611808421997676</v>
      </c>
      <c r="O274" s="15" t="n">
        <f aca="true">RAND()</f>
        <v>0.354621519590831</v>
      </c>
      <c r="P274" s="15" t="n">
        <f aca="true">RAND()</f>
        <v>0.38621271764795</v>
      </c>
      <c r="Q274" s="15" t="n">
        <f aca="true">RAND()</f>
        <v>0.179205124315945</v>
      </c>
      <c r="R274" s="15" t="n">
        <f aca="true">RAND()</f>
        <v>0.788077351049251</v>
      </c>
      <c r="S274" s="15" t="n">
        <f aca="true">RAND()</f>
        <v>0.281816219097359</v>
      </c>
      <c r="T274" s="16" t="n">
        <f aca="false">LOOKUP(D274,$E$23:$E$26,$A$23:$A$26)+LOOKUP(D274,$E$23:$E$26,$D$23:$D$26)*(D274-LOOKUP(D274,$E$23:$E$26))/LOOKUP(D274,$E$23:$E$26,$C$23:$C$26)</f>
        <v>5.04654392275855</v>
      </c>
      <c r="U274" s="16" t="n">
        <f aca="false">LOOKUP(E274,$E$23:$E$26,$A$23:$A$26)+LOOKUP(E274,$E$23:$E$26,$D$23:$D$26)*(E274-LOOKUP(E274,$E$23:$E$26))/LOOKUP(E274,$E$23:$E$26,$C$23:$C$26)</f>
        <v>5.30807130384937</v>
      </c>
      <c r="V274" s="16" t="n">
        <f aca="false">LOOKUP(F274,$E$23:$E$26,$A$23:$A$26)+LOOKUP(F274,$E$23:$E$26,$D$23:$D$26)*(F274-LOOKUP(F274,$E$23:$E$26))/LOOKUP(F274,$E$23:$E$26,$C$23:$C$26)</f>
        <v>4.90007821610297</v>
      </c>
      <c r="W274" s="16" t="n">
        <f aca="false">LOOKUP(G274,$E$23:$E$26,$A$23:$A$26)+LOOKUP(G274,$E$23:$E$26,$D$23:$D$26)*(G274-LOOKUP(G274,$E$23:$E$26))/LOOKUP(G274,$E$23:$E$26,$C$23:$C$26)</f>
        <v>5.05253278928293</v>
      </c>
      <c r="X274" s="16" t="n">
        <f aca="false">LOOKUP(H274,$E$23:$E$26,$A$23:$A$26)+LOOKUP(H274,$E$23:$E$26,$D$23:$D$26)*(H274-LOOKUP(H274,$E$23:$E$26))/LOOKUP(H274,$E$23:$E$26,$C$23:$C$26)</f>
        <v>4.10742140541602</v>
      </c>
      <c r="Y274" s="16" t="n">
        <f aca="false">LOOKUP(I274,$E$23:$E$26,$A$23:$A$26)+LOOKUP(I274,$E$23:$E$26,$D$23:$D$26)*(I274-LOOKUP(I274,$E$23:$E$26))/LOOKUP(I274,$E$23:$E$26,$C$23:$C$26)</f>
        <v>4.65955820466654</v>
      </c>
      <c r="Z274" s="16" t="n">
        <f aca="false">LOOKUP(J274,$E$23:$E$26,$A$23:$A$26)+LOOKUP(J274,$E$23:$E$26,$D$23:$D$26)*(J274-LOOKUP(J274,$E$23:$E$26))/LOOKUP(J274,$E$23:$E$26,$C$23:$C$26)</f>
        <v>4.01510900084492</v>
      </c>
      <c r="AA274" s="16" t="n">
        <f aca="false">LOOKUP(K274,$E$23:$E$26,$A$23:$A$26)+LOOKUP(K274,$E$23:$E$26,$D$23:$D$26)*(K274-LOOKUP(K274,$E$23:$E$26))/LOOKUP(K274,$E$23:$E$26,$C$23:$C$26)</f>
        <v>4.83327076045758</v>
      </c>
      <c r="AB274" s="16" t="n">
        <f aca="false">LOOKUP(L274,$E$23:$E$26,$A$23:$A$26)+LOOKUP(L274,$E$23:$E$26,$D$23:$D$26)*(L274-LOOKUP(L274,$E$23:$E$26))/LOOKUP(L274,$E$23:$E$26,$C$23:$C$26)</f>
        <v>4.20137061541744</v>
      </c>
      <c r="AC274" s="16" t="n">
        <f aca="false">LOOKUP(M274,$E$23:$E$26,$A$23:$A$26)+LOOKUP(M274,$E$23:$E$26,$D$23:$D$26)*(M274-LOOKUP(M274,$E$23:$E$26))/LOOKUP(M274,$E$23:$E$26,$C$23:$C$26)</f>
        <v>5.42435487328004</v>
      </c>
      <c r="AD274" s="16" t="n">
        <f aca="false">LOOKUP(N274,$E$23:$E$26,$A$23:$A$26)+LOOKUP(N274,$E$23:$E$26,$D$23:$D$26)*(N274-LOOKUP(N274,$E$23:$E$26))/LOOKUP(N274,$E$23:$E$26,$C$23:$C$26)</f>
        <v>4.10196807033295</v>
      </c>
      <c r="AE274" s="16" t="n">
        <f aca="false">LOOKUP(O274,$E$23:$E$26,$A$23:$A$26)+LOOKUP(O274,$E$23:$E$26,$D$23:$D$26)*(O274-LOOKUP(O274,$E$23:$E$26))/LOOKUP(O274,$E$23:$E$26,$C$23:$C$26)</f>
        <v>4.56827689948854</v>
      </c>
      <c r="AF274" s="16" t="n">
        <f aca="false">LOOKUP(P274,$E$23:$E$26,$A$23:$A$26)+LOOKUP(P274,$E$23:$E$26,$D$23:$D$26)*(P274-LOOKUP(P274,$E$23:$E$26))/LOOKUP(P274,$E$23:$E$26,$C$23:$C$26)</f>
        <v>4.60776589705994</v>
      </c>
      <c r="AG274" s="16" t="n">
        <f aca="false">LOOKUP(Q274,$E$23:$E$26,$A$23:$A$26)+LOOKUP(Q274,$E$23:$E$26,$D$23:$D$26)*(Q274-LOOKUP(Q274,$E$23:$E$26))/LOOKUP(Q274,$E$23:$E$26,$C$23:$C$26)</f>
        <v>4.29867520719324</v>
      </c>
      <c r="AH274" s="16" t="n">
        <f aca="false">LOOKUP(R274,$E$23:$E$26,$A$23:$A$26)+LOOKUP(R274,$E$23:$E$26,$D$23:$D$26)*(R274-LOOKUP(R274,$E$23:$E$26))/LOOKUP(R274,$E$23:$E$26,$C$23:$C$26)</f>
        <v>5.22019337762313</v>
      </c>
      <c r="AI274" s="16" t="n">
        <f aca="false">LOOKUP(S274,$E$23:$E$26,$A$23:$A$26)+LOOKUP(S274,$E$23:$E$26,$D$23:$D$26)*(S274-LOOKUP(S274,$E$23:$E$26))/LOOKUP(S274,$E$23:$E$26,$C$23:$C$26)</f>
        <v>4.4696936984956</v>
      </c>
      <c r="AJ274" s="16" t="n">
        <f aca="false">SUM($T274:T274)</f>
        <v>5.04654392275855</v>
      </c>
      <c r="AK274" s="16" t="n">
        <f aca="false">SUM($T274:U274)</f>
        <v>10.3546152266079</v>
      </c>
      <c r="AL274" s="16" t="n">
        <f aca="false">SUM($T274:V274)</f>
        <v>15.2546934427109</v>
      </c>
      <c r="AM274" s="16" t="n">
        <f aca="false">SUM($T274:W274)</f>
        <v>20.3072262319938</v>
      </c>
      <c r="AN274" s="16" t="n">
        <f aca="false">SUM($T274:X274)</f>
        <v>24.4146476374098</v>
      </c>
      <c r="AO274" s="16" t="n">
        <f aca="false">SUM($T274:Y274)</f>
        <v>29.0742058420764</v>
      </c>
      <c r="AP274" s="16" t="n">
        <f aca="false">SUM($T274:Z274)</f>
        <v>33.0893148429213</v>
      </c>
      <c r="AQ274" s="16" t="n">
        <f aca="false">SUM($T274:AA274)</f>
        <v>37.9225856033789</v>
      </c>
      <c r="AR274" s="16" t="n">
        <f aca="false">SUM($T274:AB274)</f>
        <v>42.1239562187963</v>
      </c>
      <c r="AS274" s="16" t="n">
        <f aca="false">SUM($T274:AC274)</f>
        <v>47.5483110920764</v>
      </c>
      <c r="AT274" s="16" t="n">
        <f aca="false">SUM($T274:AD274)</f>
        <v>51.6502791624093</v>
      </c>
      <c r="AU274" s="16" t="n">
        <f aca="false">SUM($T274:AE274)</f>
        <v>56.2185560618978</v>
      </c>
      <c r="AV274" s="16" t="n">
        <f aca="false">SUM($T274:AF274)</f>
        <v>60.8263219589578</v>
      </c>
      <c r="AW274" s="16" t="n">
        <f aca="false">SUM($T274:AG274)</f>
        <v>65.124997166151</v>
      </c>
      <c r="AX274" s="16" t="n">
        <f aca="false">SUM($T274:AH274)</f>
        <v>70.3451905437742</v>
      </c>
      <c r="AY274" s="16" t="n">
        <f aca="false">SUM($T274:AI274)</f>
        <v>74.8148842422698</v>
      </c>
      <c r="AZ274" s="16" t="n">
        <f aca="false">MAX(C274-AJ274,0)</f>
        <v>51.8853448457211</v>
      </c>
      <c r="BA274" s="16" t="n">
        <f aca="false">MAX(C274-AK274,0)</f>
        <v>46.5772735418717</v>
      </c>
      <c r="BB274" s="16" t="n">
        <f aca="false">MAX(C274-AL274,0)</f>
        <v>41.6771953257688</v>
      </c>
      <c r="BC274" s="16" t="n">
        <f aca="false">MAX(C274-AM274,0)</f>
        <v>36.6246625364858</v>
      </c>
      <c r="BD274" s="16" t="n">
        <f aca="false">MAX(C274-AN274,0)</f>
        <v>32.5172411310698</v>
      </c>
      <c r="BE274" s="16" t="n">
        <f aca="false">MAX(C274-AO274,0)</f>
        <v>27.8576829264033</v>
      </c>
      <c r="BF274" s="16" t="n">
        <f aca="false">MAX(C274-AP274,0)</f>
        <v>23.8425739255584</v>
      </c>
      <c r="BG274" s="16" t="n">
        <f aca="false">MAX(C274-AQ274,0)</f>
        <v>19.0093031651008</v>
      </c>
      <c r="BH274" s="16" t="n">
        <f aca="false">MAX(C274-AR274,0)</f>
        <v>14.8079325496833</v>
      </c>
      <c r="BI274" s="16" t="n">
        <f aca="false">MAX(C274-AS274,0)</f>
        <v>9.3835776764033</v>
      </c>
      <c r="BJ274" s="16" t="n">
        <f aca="false">MAX(C274-AT274,0)</f>
        <v>5.28160960607035</v>
      </c>
      <c r="BK274" s="16" t="n">
        <f aca="false">MAX(C274-AU274,0)</f>
        <v>0.713332706581817</v>
      </c>
      <c r="BL274" s="16" t="n">
        <f aca="false">MAX(C274-AV274,0)</f>
        <v>0</v>
      </c>
      <c r="BM274" s="16" t="n">
        <f aca="false">MAX(C274-AW274,0)</f>
        <v>0</v>
      </c>
      <c r="BN274" s="16" t="n">
        <f aca="false">MAX(C274-AX274,0)</f>
        <v>0</v>
      </c>
      <c r="BO274" s="16" t="n">
        <f aca="false">MAX(C274-AY274,0)</f>
        <v>0</v>
      </c>
    </row>
    <row r="275" customFormat="false" ht="15" hidden="false" customHeight="false" outlineLevel="0" collapsed="false">
      <c r="A275" s="3" t="n">
        <v>245</v>
      </c>
      <c r="B275" s="15" t="n">
        <f aca="true">RAND()</f>
        <v>0.313608400572292</v>
      </c>
      <c r="C275" s="16" t="n">
        <f aca="false">LOOKUP(B275,$E$12:$E$17,$A$12:$A$17)+LOOKUP(B275,$E$12:$E$17,$D$12:$D$17)*(B275-LOOKUP(B275,$E$12:$E$17))/LOOKUP(B275,$E$12:$E$17,$C$12:$C$17)</f>
        <v>61.0601400095382</v>
      </c>
      <c r="D275" s="15" t="n">
        <f aca="true">RAND()</f>
        <v>0.227832123249973</v>
      </c>
      <c r="E275" s="15" t="n">
        <f aca="true">RAND()</f>
        <v>0.0306306540022443</v>
      </c>
      <c r="F275" s="15" t="n">
        <f aca="true">RAND()</f>
        <v>0.836007288503996</v>
      </c>
      <c r="G275" s="15" t="n">
        <f aca="true">RAND()</f>
        <v>0.867553262146353</v>
      </c>
      <c r="H275" s="15" t="n">
        <f aca="true">RAND()</f>
        <v>0.365514938751225</v>
      </c>
      <c r="I275" s="15" t="n">
        <f aca="true">RAND()</f>
        <v>0.588021995077006</v>
      </c>
      <c r="J275" s="15" t="n">
        <f aca="true">RAND()</f>
        <v>0.0262977503197892</v>
      </c>
      <c r="K275" s="15" t="n">
        <f aca="true">RAND()</f>
        <v>0.0550417486064151</v>
      </c>
      <c r="L275" s="15" t="n">
        <f aca="true">RAND()</f>
        <v>0.400247290720077</v>
      </c>
      <c r="M275" s="15" t="n">
        <f aca="true">RAND()</f>
        <v>0.0364376147986404</v>
      </c>
      <c r="N275" s="15" t="n">
        <f aca="true">RAND()</f>
        <v>0.754822736448561</v>
      </c>
      <c r="O275" s="15" t="n">
        <f aca="true">RAND()</f>
        <v>0.241378570333842</v>
      </c>
      <c r="P275" s="15" t="n">
        <f aca="true">RAND()</f>
        <v>0.56955108720201</v>
      </c>
      <c r="Q275" s="15" t="n">
        <f aca="true">RAND()</f>
        <v>0.0819589813333934</v>
      </c>
      <c r="R275" s="15" t="n">
        <f aca="true">RAND()</f>
        <v>0.360355181736547</v>
      </c>
      <c r="S275" s="15" t="n">
        <f aca="true">RAND()</f>
        <v>0.152707778141917</v>
      </c>
      <c r="T275" s="16" t="n">
        <f aca="false">LOOKUP(D275,$E$23:$E$26,$A$23:$A$26)+LOOKUP(D275,$E$23:$E$26,$D$23:$D$26)*(D275-LOOKUP(D275,$E$23:$E$26))/LOOKUP(D275,$E$23:$E$26,$C$23:$C$26)</f>
        <v>4.37972020541662</v>
      </c>
      <c r="U275" s="16" t="n">
        <f aca="false">LOOKUP(E275,$E$23:$E$26,$A$23:$A$26)+LOOKUP(E275,$E$23:$E$26,$D$23:$D$26)*(E275-LOOKUP(E275,$E$23:$E$26))/LOOKUP(E275,$E$23:$E$26,$C$23:$C$26)</f>
        <v>4.05105109000374</v>
      </c>
      <c r="V275" s="16" t="n">
        <f aca="false">LOOKUP(F275,$E$23:$E$26,$A$23:$A$26)+LOOKUP(F275,$E$23:$E$26,$D$23:$D$26)*(F275-LOOKUP(F275,$E$23:$E$26))/LOOKUP(F275,$E$23:$E$26,$C$23:$C$26)</f>
        <v>5.34001822125999</v>
      </c>
      <c r="W275" s="16" t="n">
        <f aca="false">LOOKUP(G275,$E$23:$E$26,$A$23:$A$26)+LOOKUP(G275,$E$23:$E$26,$D$23:$D$26)*(G275-LOOKUP(G275,$E$23:$E$26))/LOOKUP(G275,$E$23:$E$26,$C$23:$C$26)</f>
        <v>5.41888315536588</v>
      </c>
      <c r="X275" s="16" t="n">
        <f aca="false">LOOKUP(H275,$E$23:$E$26,$A$23:$A$26)+LOOKUP(H275,$E$23:$E$26,$D$23:$D$26)*(H275-LOOKUP(H275,$E$23:$E$26))/LOOKUP(H275,$E$23:$E$26,$C$23:$C$26)</f>
        <v>4.58189367343903</v>
      </c>
      <c r="Y275" s="16" t="n">
        <f aca="false">LOOKUP(I275,$E$23:$E$26,$A$23:$A$26)+LOOKUP(I275,$E$23:$E$26,$D$23:$D$26)*(I275-LOOKUP(I275,$E$23:$E$26))/LOOKUP(I275,$E$23:$E$26,$C$23:$C$26)</f>
        <v>4.86002749384626</v>
      </c>
      <c r="Z275" s="16" t="n">
        <f aca="false">LOOKUP(J275,$E$23:$E$26,$A$23:$A$26)+LOOKUP(J275,$E$23:$E$26,$D$23:$D$26)*(J275-LOOKUP(J275,$E$23:$E$26))/LOOKUP(J275,$E$23:$E$26,$C$23:$C$26)</f>
        <v>4.04382958386632</v>
      </c>
      <c r="AA275" s="16" t="n">
        <f aca="false">LOOKUP(K275,$E$23:$E$26,$A$23:$A$26)+LOOKUP(K275,$E$23:$E$26,$D$23:$D$26)*(K275-LOOKUP(K275,$E$23:$E$26))/LOOKUP(K275,$E$23:$E$26,$C$23:$C$26)</f>
        <v>4.09173624767736</v>
      </c>
      <c r="AB275" s="16" t="n">
        <f aca="false">LOOKUP(L275,$E$23:$E$26,$A$23:$A$26)+LOOKUP(L275,$E$23:$E$26,$D$23:$D$26)*(L275-LOOKUP(L275,$E$23:$E$26))/LOOKUP(L275,$E$23:$E$26,$C$23:$C$26)</f>
        <v>4.6253091134001</v>
      </c>
      <c r="AC275" s="16" t="n">
        <f aca="false">LOOKUP(M275,$E$23:$E$26,$A$23:$A$26)+LOOKUP(M275,$E$23:$E$26,$D$23:$D$26)*(M275-LOOKUP(M275,$E$23:$E$26))/LOOKUP(M275,$E$23:$E$26,$C$23:$C$26)</f>
        <v>4.06072935799773</v>
      </c>
      <c r="AD275" s="16" t="n">
        <f aca="false">LOOKUP(N275,$E$23:$E$26,$A$23:$A$26)+LOOKUP(N275,$E$23:$E$26,$D$23:$D$26)*(N275-LOOKUP(N275,$E$23:$E$26))/LOOKUP(N275,$E$23:$E$26,$C$23:$C$26)</f>
        <v>5.1370568411214</v>
      </c>
      <c r="AE275" s="16" t="n">
        <f aca="false">LOOKUP(O275,$E$23:$E$26,$A$23:$A$26)+LOOKUP(O275,$E$23:$E$26,$D$23:$D$26)*(O275-LOOKUP(O275,$E$23:$E$26))/LOOKUP(O275,$E$23:$E$26,$C$23:$C$26)</f>
        <v>4.40229761722307</v>
      </c>
      <c r="AF275" s="16" t="n">
        <f aca="false">LOOKUP(P275,$E$23:$E$26,$A$23:$A$26)+LOOKUP(P275,$E$23:$E$26,$D$23:$D$26)*(P275-LOOKUP(P275,$E$23:$E$26))/LOOKUP(P275,$E$23:$E$26,$C$23:$C$26)</f>
        <v>4.83693885900251</v>
      </c>
      <c r="AG275" s="16" t="n">
        <f aca="false">LOOKUP(Q275,$E$23:$E$26,$A$23:$A$26)+LOOKUP(Q275,$E$23:$E$26,$D$23:$D$26)*(Q275-LOOKUP(Q275,$E$23:$E$26))/LOOKUP(Q275,$E$23:$E$26,$C$23:$C$26)</f>
        <v>4.13659830222232</v>
      </c>
      <c r="AH275" s="16" t="n">
        <f aca="false">LOOKUP(R275,$E$23:$E$26,$A$23:$A$26)+LOOKUP(R275,$E$23:$E$26,$D$23:$D$26)*(R275-LOOKUP(R275,$E$23:$E$26))/LOOKUP(R275,$E$23:$E$26,$C$23:$C$26)</f>
        <v>4.57544397717068</v>
      </c>
      <c r="AI275" s="16" t="n">
        <f aca="false">LOOKUP(S275,$E$23:$E$26,$A$23:$A$26)+LOOKUP(S275,$E$23:$E$26,$D$23:$D$26)*(S275-LOOKUP(S275,$E$23:$E$26))/LOOKUP(S275,$E$23:$E$26,$C$23:$C$26)</f>
        <v>4.25451296356986</v>
      </c>
      <c r="AJ275" s="16" t="n">
        <f aca="false">SUM($T275:T275)</f>
        <v>4.37972020541662</v>
      </c>
      <c r="AK275" s="16" t="n">
        <f aca="false">SUM($T275:U275)</f>
        <v>8.43077129542036</v>
      </c>
      <c r="AL275" s="16" t="n">
        <f aca="false">SUM($T275:V275)</f>
        <v>13.7707895166804</v>
      </c>
      <c r="AM275" s="16" t="n">
        <f aca="false">SUM($T275:W275)</f>
        <v>19.1896726720462</v>
      </c>
      <c r="AN275" s="16" t="n">
        <f aca="false">SUM($T275:X275)</f>
        <v>23.7715663454853</v>
      </c>
      <c r="AO275" s="16" t="n">
        <f aca="false">SUM($T275:Y275)</f>
        <v>28.6315938393315</v>
      </c>
      <c r="AP275" s="16" t="n">
        <f aca="false">SUM($T275:Z275)</f>
        <v>32.6754234231978</v>
      </c>
      <c r="AQ275" s="16" t="n">
        <f aca="false">SUM($T275:AA275)</f>
        <v>36.7671596708752</v>
      </c>
      <c r="AR275" s="16" t="n">
        <f aca="false">SUM($T275:AB275)</f>
        <v>41.3924687842753</v>
      </c>
      <c r="AS275" s="16" t="n">
        <f aca="false">SUM($T275:AC275)</f>
        <v>45.453198142273</v>
      </c>
      <c r="AT275" s="16" t="n">
        <f aca="false">SUM($T275:AD275)</f>
        <v>50.5902549833944</v>
      </c>
      <c r="AU275" s="16" t="n">
        <f aca="false">SUM($T275:AE275)</f>
        <v>54.9925526006175</v>
      </c>
      <c r="AV275" s="16" t="n">
        <f aca="false">SUM($T275:AF275)</f>
        <v>59.82949145962</v>
      </c>
      <c r="AW275" s="16" t="n">
        <f aca="false">SUM($T275:AG275)</f>
        <v>63.9660897618423</v>
      </c>
      <c r="AX275" s="16" t="n">
        <f aca="false">SUM($T275:AH275)</f>
        <v>68.541533739013</v>
      </c>
      <c r="AY275" s="16" t="n">
        <f aca="false">SUM($T275:AI275)</f>
        <v>72.7960467025829</v>
      </c>
      <c r="AZ275" s="16" t="n">
        <f aca="false">MAX(C275-AJ275,0)</f>
        <v>56.6804198041216</v>
      </c>
      <c r="BA275" s="16" t="n">
        <f aca="false">MAX(C275-AK275,0)</f>
        <v>52.6293687141178</v>
      </c>
      <c r="BB275" s="16" t="n">
        <f aca="false">MAX(C275-AL275,0)</f>
        <v>47.2893504928579</v>
      </c>
      <c r="BC275" s="16" t="n">
        <f aca="false">MAX(C275-AM275,0)</f>
        <v>41.870467337492</v>
      </c>
      <c r="BD275" s="16" t="n">
        <f aca="false">MAX(C275-AN275,0)</f>
        <v>37.2885736640529</v>
      </c>
      <c r="BE275" s="16" t="n">
        <f aca="false">MAX(C275-AO275,0)</f>
        <v>32.4285461702067</v>
      </c>
      <c r="BF275" s="16" t="n">
        <f aca="false">MAX(C275-AP275,0)</f>
        <v>28.3847165863404</v>
      </c>
      <c r="BG275" s="16" t="n">
        <f aca="false">MAX(C275-AQ275,0)</f>
        <v>24.292980338663</v>
      </c>
      <c r="BH275" s="16" t="n">
        <f aca="false">MAX(C275-AR275,0)</f>
        <v>19.6676712252629</v>
      </c>
      <c r="BI275" s="16" t="n">
        <f aca="false">MAX(C275-AS275,0)</f>
        <v>15.6069418672652</v>
      </c>
      <c r="BJ275" s="16" t="n">
        <f aca="false">MAX(C275-AT275,0)</f>
        <v>10.4698850261438</v>
      </c>
      <c r="BK275" s="16" t="n">
        <f aca="false">MAX(C275-AU275,0)</f>
        <v>6.0675874089207</v>
      </c>
      <c r="BL275" s="16" t="n">
        <f aca="false">MAX(C275-AV275,0)</f>
        <v>1.23064854991819</v>
      </c>
      <c r="BM275" s="16" t="n">
        <f aca="false">MAX(C275-AW275,0)</f>
        <v>0</v>
      </c>
      <c r="BN275" s="16" t="n">
        <f aca="false">MAX(C275-AX275,0)</f>
        <v>0</v>
      </c>
      <c r="BO275" s="16" t="n">
        <f aca="false">MAX(C275-AY275,0)</f>
        <v>0</v>
      </c>
    </row>
    <row r="276" customFormat="false" ht="15" hidden="false" customHeight="false" outlineLevel="0" collapsed="false">
      <c r="A276" s="3" t="n">
        <v>246</v>
      </c>
      <c r="B276" s="15" t="n">
        <f aca="true">RAND()</f>
        <v>0.293537348597231</v>
      </c>
      <c r="C276" s="16" t="n">
        <f aca="false">LOOKUP(B276,$E$12:$E$17,$A$12:$A$17)+LOOKUP(B276,$E$12:$E$17,$D$12:$D$17)*(B276-LOOKUP(B276,$E$12:$E$17))/LOOKUP(B276,$E$12:$E$17,$C$12:$C$17)</f>
        <v>60.7256224766205</v>
      </c>
      <c r="D276" s="15" t="n">
        <f aca="true">RAND()</f>
        <v>0.835675004112182</v>
      </c>
      <c r="E276" s="15" t="n">
        <f aca="true">RAND()</f>
        <v>0.263724904409923</v>
      </c>
      <c r="F276" s="15" t="n">
        <f aca="true">RAND()</f>
        <v>0.50917873625529</v>
      </c>
      <c r="G276" s="15" t="n">
        <f aca="true">RAND()</f>
        <v>0.384488422953499</v>
      </c>
      <c r="H276" s="15" t="n">
        <f aca="true">RAND()</f>
        <v>0.0283967660264971</v>
      </c>
      <c r="I276" s="15" t="n">
        <f aca="true">RAND()</f>
        <v>0.0429127610443641</v>
      </c>
      <c r="J276" s="15" t="n">
        <f aca="true">RAND()</f>
        <v>0.435576949088885</v>
      </c>
      <c r="K276" s="15" t="n">
        <f aca="true">RAND()</f>
        <v>0.97203762025045</v>
      </c>
      <c r="L276" s="15" t="n">
        <f aca="true">RAND()</f>
        <v>0.805152071024744</v>
      </c>
      <c r="M276" s="15" t="n">
        <f aca="true">RAND()</f>
        <v>0.0680028936307891</v>
      </c>
      <c r="N276" s="15" t="n">
        <f aca="true">RAND()</f>
        <v>0.593490281616223</v>
      </c>
      <c r="O276" s="15" t="n">
        <f aca="true">RAND()</f>
        <v>0.0513396048363398</v>
      </c>
      <c r="P276" s="15" t="n">
        <f aca="true">RAND()</f>
        <v>0.204291828400575</v>
      </c>
      <c r="Q276" s="15" t="n">
        <f aca="true">RAND()</f>
        <v>0.399889472784415</v>
      </c>
      <c r="R276" s="15" t="n">
        <f aca="true">RAND()</f>
        <v>0.658238520477509</v>
      </c>
      <c r="S276" s="15" t="n">
        <f aca="true">RAND()</f>
        <v>0.65654438852745</v>
      </c>
      <c r="T276" s="16" t="n">
        <f aca="false">LOOKUP(D276,$E$23:$E$26,$A$23:$A$26)+LOOKUP(D276,$E$23:$E$26,$D$23:$D$26)*(D276-LOOKUP(D276,$E$23:$E$26))/LOOKUP(D276,$E$23:$E$26,$C$23:$C$26)</f>
        <v>5.33918751028046</v>
      </c>
      <c r="U276" s="16" t="n">
        <f aca="false">LOOKUP(E276,$E$23:$E$26,$A$23:$A$26)+LOOKUP(E276,$E$23:$E$26,$D$23:$D$26)*(E276-LOOKUP(E276,$E$23:$E$26))/LOOKUP(E276,$E$23:$E$26,$C$23:$C$26)</f>
        <v>4.43954150734987</v>
      </c>
      <c r="V276" s="16" t="n">
        <f aca="false">LOOKUP(F276,$E$23:$E$26,$A$23:$A$26)+LOOKUP(F276,$E$23:$E$26,$D$23:$D$26)*(F276-LOOKUP(F276,$E$23:$E$26))/LOOKUP(F276,$E$23:$E$26,$C$23:$C$26)</f>
        <v>4.76147342031911</v>
      </c>
      <c r="W276" s="16" t="n">
        <f aca="false">LOOKUP(G276,$E$23:$E$26,$A$23:$A$26)+LOOKUP(G276,$E$23:$E$26,$D$23:$D$26)*(G276-LOOKUP(G276,$E$23:$E$26))/LOOKUP(G276,$E$23:$E$26,$C$23:$C$26)</f>
        <v>4.60561052869187</v>
      </c>
      <c r="X276" s="16" t="n">
        <f aca="false">LOOKUP(H276,$E$23:$E$26,$A$23:$A$26)+LOOKUP(H276,$E$23:$E$26,$D$23:$D$26)*(H276-LOOKUP(H276,$E$23:$E$26))/LOOKUP(H276,$E$23:$E$26,$C$23:$C$26)</f>
        <v>4.0473279433775</v>
      </c>
      <c r="Y276" s="16" t="n">
        <f aca="false">LOOKUP(I276,$E$23:$E$26,$A$23:$A$26)+LOOKUP(I276,$E$23:$E$26,$D$23:$D$26)*(I276-LOOKUP(I276,$E$23:$E$26))/LOOKUP(I276,$E$23:$E$26,$C$23:$C$26)</f>
        <v>4.07152126840727</v>
      </c>
      <c r="Z276" s="16" t="n">
        <f aca="false">LOOKUP(J276,$E$23:$E$26,$A$23:$A$26)+LOOKUP(J276,$E$23:$E$26,$D$23:$D$26)*(J276-LOOKUP(J276,$E$23:$E$26))/LOOKUP(J276,$E$23:$E$26,$C$23:$C$26)</f>
        <v>4.66947118636111</v>
      </c>
      <c r="AA276" s="16" t="n">
        <f aca="false">LOOKUP(K276,$E$23:$E$26,$A$23:$A$26)+LOOKUP(K276,$E$23:$E$26,$D$23:$D$26)*(K276-LOOKUP(K276,$E$23:$E$26))/LOOKUP(K276,$E$23:$E$26,$C$23:$C$26)</f>
        <v>5.86018810125225</v>
      </c>
      <c r="AB276" s="16" t="n">
        <f aca="false">LOOKUP(L276,$E$23:$E$26,$A$23:$A$26)+LOOKUP(L276,$E$23:$E$26,$D$23:$D$26)*(L276-LOOKUP(L276,$E$23:$E$26))/LOOKUP(L276,$E$23:$E$26,$C$23:$C$26)</f>
        <v>5.26288017756186</v>
      </c>
      <c r="AC276" s="16" t="n">
        <f aca="false">LOOKUP(M276,$E$23:$E$26,$A$23:$A$26)+LOOKUP(M276,$E$23:$E$26,$D$23:$D$26)*(M276-LOOKUP(M276,$E$23:$E$26))/LOOKUP(M276,$E$23:$E$26,$C$23:$C$26)</f>
        <v>4.11333815605132</v>
      </c>
      <c r="AD276" s="16" t="n">
        <f aca="false">LOOKUP(N276,$E$23:$E$26,$A$23:$A$26)+LOOKUP(N276,$E$23:$E$26,$D$23:$D$26)*(N276-LOOKUP(N276,$E$23:$E$26))/LOOKUP(N276,$E$23:$E$26,$C$23:$C$26)</f>
        <v>4.86686285202028</v>
      </c>
      <c r="AE276" s="16" t="n">
        <f aca="false">LOOKUP(O276,$E$23:$E$26,$A$23:$A$26)+LOOKUP(O276,$E$23:$E$26,$D$23:$D$26)*(O276-LOOKUP(O276,$E$23:$E$26))/LOOKUP(O276,$E$23:$E$26,$C$23:$C$26)</f>
        <v>4.08556600806057</v>
      </c>
      <c r="AF276" s="16" t="n">
        <f aca="false">LOOKUP(P276,$E$23:$E$26,$A$23:$A$26)+LOOKUP(P276,$E$23:$E$26,$D$23:$D$26)*(P276-LOOKUP(P276,$E$23:$E$26))/LOOKUP(P276,$E$23:$E$26,$C$23:$C$26)</f>
        <v>4.34048638066763</v>
      </c>
      <c r="AG276" s="16" t="n">
        <f aca="false">LOOKUP(Q276,$E$23:$E$26,$A$23:$A$26)+LOOKUP(Q276,$E$23:$E$26,$D$23:$D$26)*(Q276-LOOKUP(Q276,$E$23:$E$26))/LOOKUP(Q276,$E$23:$E$26,$C$23:$C$26)</f>
        <v>4.62486184098052</v>
      </c>
      <c r="AH276" s="16" t="n">
        <f aca="false">LOOKUP(R276,$E$23:$E$26,$A$23:$A$26)+LOOKUP(R276,$E$23:$E$26,$D$23:$D$26)*(R276-LOOKUP(R276,$E$23:$E$26))/LOOKUP(R276,$E$23:$E$26,$C$23:$C$26)</f>
        <v>4.94779815059689</v>
      </c>
      <c r="AI276" s="16" t="n">
        <f aca="false">LOOKUP(S276,$E$23:$E$26,$A$23:$A$26)+LOOKUP(S276,$E$23:$E$26,$D$23:$D$26)*(S276-LOOKUP(S276,$E$23:$E$26))/LOOKUP(S276,$E$23:$E$26,$C$23:$C$26)</f>
        <v>4.94568048565931</v>
      </c>
      <c r="AJ276" s="16" t="n">
        <f aca="false">SUM($T276:T276)</f>
        <v>5.33918751028046</v>
      </c>
      <c r="AK276" s="16" t="n">
        <f aca="false">SUM($T276:U276)</f>
        <v>9.77872901763033</v>
      </c>
      <c r="AL276" s="16" t="n">
        <f aca="false">SUM($T276:V276)</f>
        <v>14.5402024379494</v>
      </c>
      <c r="AM276" s="16" t="n">
        <f aca="false">SUM($T276:W276)</f>
        <v>19.1458129666413</v>
      </c>
      <c r="AN276" s="16" t="n">
        <f aca="false">SUM($T276:X276)</f>
        <v>23.1931409100188</v>
      </c>
      <c r="AO276" s="16" t="n">
        <f aca="false">SUM($T276:Y276)</f>
        <v>27.2646621784261</v>
      </c>
      <c r="AP276" s="16" t="n">
        <f aca="false">SUM($T276:Z276)</f>
        <v>31.9341333647872</v>
      </c>
      <c r="AQ276" s="16" t="n">
        <f aca="false">SUM($T276:AA276)</f>
        <v>37.7943214660394</v>
      </c>
      <c r="AR276" s="16" t="n">
        <f aca="false">SUM($T276:AB276)</f>
        <v>43.0572016436013</v>
      </c>
      <c r="AS276" s="16" t="n">
        <f aca="false">SUM($T276:AC276)</f>
        <v>47.1705397996526</v>
      </c>
      <c r="AT276" s="16" t="n">
        <f aca="false">SUM($T276:AD276)</f>
        <v>52.0374026516729</v>
      </c>
      <c r="AU276" s="16" t="n">
        <f aca="false">SUM($T276:AE276)</f>
        <v>56.1229686597335</v>
      </c>
      <c r="AV276" s="16" t="n">
        <f aca="false">SUM($T276:AF276)</f>
        <v>60.4634550404011</v>
      </c>
      <c r="AW276" s="16" t="n">
        <f aca="false">SUM($T276:AG276)</f>
        <v>65.0883168813816</v>
      </c>
      <c r="AX276" s="16" t="n">
        <f aca="false">SUM($T276:AH276)</f>
        <v>70.0361150319785</v>
      </c>
      <c r="AY276" s="16" t="n">
        <f aca="false">SUM($T276:AI276)</f>
        <v>74.9817955176378</v>
      </c>
      <c r="AZ276" s="16" t="n">
        <f aca="false">MAX(C276-AJ276,0)</f>
        <v>55.3864349663401</v>
      </c>
      <c r="BA276" s="16" t="n">
        <f aca="false">MAX(C276-AK276,0)</f>
        <v>50.9468934589902</v>
      </c>
      <c r="BB276" s="16" t="n">
        <f aca="false">MAX(C276-AL276,0)</f>
        <v>46.1854200386711</v>
      </c>
      <c r="BC276" s="16" t="n">
        <f aca="false">MAX(C276-AM276,0)</f>
        <v>41.5798095099792</v>
      </c>
      <c r="BD276" s="16" t="n">
        <f aca="false">MAX(C276-AN276,0)</f>
        <v>37.5324815666017</v>
      </c>
      <c r="BE276" s="16" t="n">
        <f aca="false">MAX(C276-AO276,0)</f>
        <v>33.4609602981944</v>
      </c>
      <c r="BF276" s="16" t="n">
        <f aca="false">MAX(C276-AP276,0)</f>
        <v>28.7914891118333</v>
      </c>
      <c r="BG276" s="16" t="n">
        <f aca="false">MAX(C276-AQ276,0)</f>
        <v>22.9313010105811</v>
      </c>
      <c r="BH276" s="16" t="n">
        <f aca="false">MAX(C276-AR276,0)</f>
        <v>17.6684208330192</v>
      </c>
      <c r="BI276" s="16" t="n">
        <f aca="false">MAX(C276-AS276,0)</f>
        <v>13.5550826769679</v>
      </c>
      <c r="BJ276" s="16" t="n">
        <f aca="false">MAX(C276-AT276,0)</f>
        <v>8.68821982494763</v>
      </c>
      <c r="BK276" s="16" t="n">
        <f aca="false">MAX(C276-AU276,0)</f>
        <v>4.60265381688706</v>
      </c>
      <c r="BL276" s="16" t="n">
        <f aca="false">MAX(C276-AV276,0)</f>
        <v>0.262167436219436</v>
      </c>
      <c r="BM276" s="16" t="n">
        <f aca="false">MAX(C276-AW276,0)</f>
        <v>0</v>
      </c>
      <c r="BN276" s="16" t="n">
        <f aca="false">MAX(C276-AX276,0)</f>
        <v>0</v>
      </c>
      <c r="BO276" s="16" t="n">
        <f aca="false">MAX(C276-AY276,0)</f>
        <v>0</v>
      </c>
    </row>
    <row r="277" customFormat="false" ht="15" hidden="false" customHeight="false" outlineLevel="0" collapsed="false">
      <c r="A277" s="3" t="n">
        <v>247</v>
      </c>
      <c r="B277" s="15" t="n">
        <f aca="true">RAND()</f>
        <v>0.310630329576248</v>
      </c>
      <c r="C277" s="16" t="n">
        <f aca="false">LOOKUP(B277,$E$12:$E$17,$A$12:$A$17)+LOOKUP(B277,$E$12:$E$17,$D$12:$D$17)*(B277-LOOKUP(B277,$E$12:$E$17))/LOOKUP(B277,$E$12:$E$17,$C$12:$C$17)</f>
        <v>61.0105054929375</v>
      </c>
      <c r="D277" s="15" t="n">
        <f aca="true">RAND()</f>
        <v>0.377046889651325</v>
      </c>
      <c r="E277" s="15" t="n">
        <f aca="true">RAND()</f>
        <v>0.799895434129</v>
      </c>
      <c r="F277" s="15" t="n">
        <f aca="true">RAND()</f>
        <v>0.235127422785686</v>
      </c>
      <c r="G277" s="15" t="n">
        <f aca="true">RAND()</f>
        <v>0.267000777501496</v>
      </c>
      <c r="H277" s="15" t="n">
        <f aca="true">RAND()</f>
        <v>7.90330234005234E-005</v>
      </c>
      <c r="I277" s="15" t="n">
        <f aca="true">RAND()</f>
        <v>0.806686779735902</v>
      </c>
      <c r="J277" s="15" t="n">
        <f aca="true">RAND()</f>
        <v>0.63304178123688</v>
      </c>
      <c r="K277" s="15" t="n">
        <f aca="true">RAND()</f>
        <v>0.517842305378504</v>
      </c>
      <c r="L277" s="15" t="n">
        <f aca="true">RAND()</f>
        <v>0.482743566815413</v>
      </c>
      <c r="M277" s="15" t="n">
        <f aca="true">RAND()</f>
        <v>0.818103319836874</v>
      </c>
      <c r="N277" s="15" t="n">
        <f aca="true">RAND()</f>
        <v>0.778997344121051</v>
      </c>
      <c r="O277" s="15" t="n">
        <f aca="true">RAND()</f>
        <v>0.780472889071961</v>
      </c>
      <c r="P277" s="15" t="n">
        <f aca="true">RAND()</f>
        <v>0.441462772453588</v>
      </c>
      <c r="Q277" s="15" t="n">
        <f aca="true">RAND()</f>
        <v>0.590508969208262</v>
      </c>
      <c r="R277" s="15" t="n">
        <f aca="true">RAND()</f>
        <v>0.178681402013506</v>
      </c>
      <c r="S277" s="15" t="n">
        <f aca="true">RAND()</f>
        <v>0.0230688960324989</v>
      </c>
      <c r="T277" s="16" t="n">
        <f aca="false">LOOKUP(D277,$E$23:$E$26,$A$23:$A$26)+LOOKUP(D277,$E$23:$E$26,$D$23:$D$26)*(D277-LOOKUP(D277,$E$23:$E$26))/LOOKUP(D277,$E$23:$E$26,$C$23:$C$26)</f>
        <v>4.59630861206416</v>
      </c>
      <c r="U277" s="16" t="n">
        <f aca="false">LOOKUP(E277,$E$23:$E$26,$A$23:$A$26)+LOOKUP(E277,$E$23:$E$26,$D$23:$D$26)*(E277-LOOKUP(E277,$E$23:$E$26))/LOOKUP(E277,$E$23:$E$26,$C$23:$C$26)</f>
        <v>5.2497385853225</v>
      </c>
      <c r="V277" s="16" t="n">
        <f aca="false">LOOKUP(F277,$E$23:$E$26,$A$23:$A$26)+LOOKUP(F277,$E$23:$E$26,$D$23:$D$26)*(F277-LOOKUP(F277,$E$23:$E$26))/LOOKUP(F277,$E$23:$E$26,$C$23:$C$26)</f>
        <v>4.39187903797614</v>
      </c>
      <c r="W277" s="16" t="n">
        <f aca="false">LOOKUP(G277,$E$23:$E$26,$A$23:$A$26)+LOOKUP(G277,$E$23:$E$26,$D$23:$D$26)*(G277-LOOKUP(G277,$E$23:$E$26))/LOOKUP(G277,$E$23:$E$26,$C$23:$C$26)</f>
        <v>4.44500129583583</v>
      </c>
      <c r="X277" s="16" t="n">
        <f aca="false">LOOKUP(H277,$E$23:$E$26,$A$23:$A$26)+LOOKUP(H277,$E$23:$E$26,$D$23:$D$26)*(H277-LOOKUP(H277,$E$23:$E$26))/LOOKUP(H277,$E$23:$E$26,$C$23:$C$26)</f>
        <v>4.00013172170567</v>
      </c>
      <c r="Y277" s="16" t="n">
        <f aca="false">LOOKUP(I277,$E$23:$E$26,$A$23:$A$26)+LOOKUP(I277,$E$23:$E$26,$D$23:$D$26)*(I277-LOOKUP(I277,$E$23:$E$26))/LOOKUP(I277,$E$23:$E$26,$C$23:$C$26)</f>
        <v>5.26671694933976</v>
      </c>
      <c r="Z277" s="16" t="n">
        <f aca="false">LOOKUP(J277,$E$23:$E$26,$A$23:$A$26)+LOOKUP(J277,$E$23:$E$26,$D$23:$D$26)*(J277-LOOKUP(J277,$E$23:$E$26))/LOOKUP(J277,$E$23:$E$26,$C$23:$C$26)</f>
        <v>4.9163022265461</v>
      </c>
      <c r="AA277" s="16" t="n">
        <f aca="false">LOOKUP(K277,$E$23:$E$26,$A$23:$A$26)+LOOKUP(K277,$E$23:$E$26,$D$23:$D$26)*(K277-LOOKUP(K277,$E$23:$E$26))/LOOKUP(K277,$E$23:$E$26,$C$23:$C$26)</f>
        <v>4.77230288172313</v>
      </c>
      <c r="AB277" s="16" t="n">
        <f aca="false">LOOKUP(L277,$E$23:$E$26,$A$23:$A$26)+LOOKUP(L277,$E$23:$E$26,$D$23:$D$26)*(L277-LOOKUP(L277,$E$23:$E$26))/LOOKUP(L277,$E$23:$E$26,$C$23:$C$26)</f>
        <v>4.72842945851927</v>
      </c>
      <c r="AC277" s="16" t="n">
        <f aca="false">LOOKUP(M277,$E$23:$E$26,$A$23:$A$26)+LOOKUP(M277,$E$23:$E$26,$D$23:$D$26)*(M277-LOOKUP(M277,$E$23:$E$26))/LOOKUP(M277,$E$23:$E$26,$C$23:$C$26)</f>
        <v>5.29525829959218</v>
      </c>
      <c r="AD277" s="16" t="n">
        <f aca="false">LOOKUP(N277,$E$23:$E$26,$A$23:$A$26)+LOOKUP(N277,$E$23:$E$26,$D$23:$D$26)*(N277-LOOKUP(N277,$E$23:$E$26))/LOOKUP(N277,$E$23:$E$26,$C$23:$C$26)</f>
        <v>5.19749336030263</v>
      </c>
      <c r="AE277" s="16" t="n">
        <f aca="false">LOOKUP(O277,$E$23:$E$26,$A$23:$A$26)+LOOKUP(O277,$E$23:$E$26,$D$23:$D$26)*(O277-LOOKUP(O277,$E$23:$E$26))/LOOKUP(O277,$E$23:$E$26,$C$23:$C$26)</f>
        <v>5.2011822226799</v>
      </c>
      <c r="AF277" s="16" t="n">
        <f aca="false">LOOKUP(P277,$E$23:$E$26,$A$23:$A$26)+LOOKUP(P277,$E$23:$E$26,$D$23:$D$26)*(P277-LOOKUP(P277,$E$23:$E$26))/LOOKUP(P277,$E$23:$E$26,$C$23:$C$26)</f>
        <v>4.67682846556699</v>
      </c>
      <c r="AG277" s="16" t="n">
        <f aca="false">LOOKUP(Q277,$E$23:$E$26,$A$23:$A$26)+LOOKUP(Q277,$E$23:$E$26,$D$23:$D$26)*(Q277-LOOKUP(Q277,$E$23:$E$26))/LOOKUP(Q277,$E$23:$E$26,$C$23:$C$26)</f>
        <v>4.86313621151033</v>
      </c>
      <c r="AH277" s="16" t="n">
        <f aca="false">LOOKUP(R277,$E$23:$E$26,$A$23:$A$26)+LOOKUP(R277,$E$23:$E$26,$D$23:$D$26)*(R277-LOOKUP(R277,$E$23:$E$26))/LOOKUP(R277,$E$23:$E$26,$C$23:$C$26)</f>
        <v>4.29780233668918</v>
      </c>
      <c r="AI277" s="16" t="n">
        <f aca="false">LOOKUP(S277,$E$23:$E$26,$A$23:$A$26)+LOOKUP(S277,$E$23:$E$26,$D$23:$D$26)*(S277-LOOKUP(S277,$E$23:$E$26))/LOOKUP(S277,$E$23:$E$26,$C$23:$C$26)</f>
        <v>4.03844816005416</v>
      </c>
      <c r="AJ277" s="16" t="n">
        <f aca="false">SUM($T277:T277)</f>
        <v>4.59630861206416</v>
      </c>
      <c r="AK277" s="16" t="n">
        <f aca="false">SUM($T277:U277)</f>
        <v>9.84604719738666</v>
      </c>
      <c r="AL277" s="16" t="n">
        <f aca="false">SUM($T277:V277)</f>
        <v>14.2379262353628</v>
      </c>
      <c r="AM277" s="16" t="n">
        <f aca="false">SUM($T277:W277)</f>
        <v>18.6829275311986</v>
      </c>
      <c r="AN277" s="16" t="n">
        <f aca="false">SUM($T277:X277)</f>
        <v>22.6830592529043</v>
      </c>
      <c r="AO277" s="16" t="n">
        <f aca="false">SUM($T277:Y277)</f>
        <v>27.9497762022441</v>
      </c>
      <c r="AP277" s="16" t="n">
        <f aca="false">SUM($T277:Z277)</f>
        <v>32.8660784287901</v>
      </c>
      <c r="AQ277" s="16" t="n">
        <f aca="false">SUM($T277:AA277)</f>
        <v>37.6383813105133</v>
      </c>
      <c r="AR277" s="16" t="n">
        <f aca="false">SUM($T277:AB277)</f>
        <v>42.3668107690325</v>
      </c>
      <c r="AS277" s="16" t="n">
        <f aca="false">SUM($T277:AC277)</f>
        <v>47.6620690686247</v>
      </c>
      <c r="AT277" s="16" t="n">
        <f aca="false">SUM($T277:AD277)</f>
        <v>52.8595624289274</v>
      </c>
      <c r="AU277" s="16" t="n">
        <f aca="false">SUM($T277:AE277)</f>
        <v>58.0607446516073</v>
      </c>
      <c r="AV277" s="16" t="n">
        <f aca="false">SUM($T277:AF277)</f>
        <v>62.7375731171742</v>
      </c>
      <c r="AW277" s="16" t="n">
        <f aca="false">SUM($T277:AG277)</f>
        <v>67.6007093286846</v>
      </c>
      <c r="AX277" s="16" t="n">
        <f aca="false">SUM($T277:AH277)</f>
        <v>71.8985116653738</v>
      </c>
      <c r="AY277" s="16" t="n">
        <f aca="false">SUM($T277:AI277)</f>
        <v>75.9369598254279</v>
      </c>
      <c r="AZ277" s="16" t="n">
        <f aca="false">MAX(C277-AJ277,0)</f>
        <v>56.4141968808733</v>
      </c>
      <c r="BA277" s="16" t="n">
        <f aca="false">MAX(C277-AK277,0)</f>
        <v>51.1644582955508</v>
      </c>
      <c r="BB277" s="16" t="n">
        <f aca="false">MAX(C277-AL277,0)</f>
        <v>46.7725792575747</v>
      </c>
      <c r="BC277" s="16" t="n">
        <f aca="false">MAX(C277-AM277,0)</f>
        <v>42.3275779617388</v>
      </c>
      <c r="BD277" s="16" t="n">
        <f aca="false">MAX(C277-AN277,0)</f>
        <v>38.3274462400332</v>
      </c>
      <c r="BE277" s="16" t="n">
        <f aca="false">MAX(C277-AO277,0)</f>
        <v>33.0607292906934</v>
      </c>
      <c r="BF277" s="16" t="n">
        <f aca="false">MAX(C277-AP277,0)</f>
        <v>28.1444270641473</v>
      </c>
      <c r="BG277" s="16" t="n">
        <f aca="false">MAX(C277-AQ277,0)</f>
        <v>23.3721241824242</v>
      </c>
      <c r="BH277" s="16" t="n">
        <f aca="false">MAX(C277-AR277,0)</f>
        <v>18.6436947239049</v>
      </c>
      <c r="BI277" s="16" t="n">
        <f aca="false">MAX(C277-AS277,0)</f>
        <v>13.3484364243127</v>
      </c>
      <c r="BJ277" s="16" t="n">
        <f aca="false">MAX(C277-AT277,0)</f>
        <v>8.1509430640101</v>
      </c>
      <c r="BK277" s="16" t="n">
        <f aca="false">MAX(C277-AU277,0)</f>
        <v>2.9497608413302</v>
      </c>
      <c r="BL277" s="16" t="n">
        <f aca="false">MAX(C277-AV277,0)</f>
        <v>0</v>
      </c>
      <c r="BM277" s="16" t="n">
        <f aca="false">MAX(C277-AW277,0)</f>
        <v>0</v>
      </c>
      <c r="BN277" s="16" t="n">
        <f aca="false">MAX(C277-AX277,0)</f>
        <v>0</v>
      </c>
      <c r="BO277" s="16" t="n">
        <f aca="false">MAX(C277-AY277,0)</f>
        <v>0</v>
      </c>
    </row>
    <row r="278" customFormat="false" ht="15" hidden="false" customHeight="false" outlineLevel="0" collapsed="false">
      <c r="A278" s="3" t="n">
        <v>248</v>
      </c>
      <c r="B278" s="15" t="n">
        <f aca="true">RAND()</f>
        <v>0.998865215307991</v>
      </c>
      <c r="C278" s="16" t="n">
        <f aca="false">LOOKUP(B278,$E$12:$E$17,$A$12:$A$17)+LOOKUP(B278,$E$12:$E$17,$D$12:$D$17)*(B278-LOOKUP(B278,$E$12:$E$17))/LOOKUP(B278,$E$12:$E$17,$C$12:$C$17)</f>
        <v>84.7163038269979</v>
      </c>
      <c r="D278" s="15" t="n">
        <f aca="true">RAND()</f>
        <v>0.0317666449617037</v>
      </c>
      <c r="E278" s="15" t="n">
        <f aca="true">RAND()</f>
        <v>0.50279721170945</v>
      </c>
      <c r="F278" s="15" t="n">
        <f aca="true">RAND()</f>
        <v>0.725444974291364</v>
      </c>
      <c r="G278" s="15" t="n">
        <f aca="true">RAND()</f>
        <v>0.857747961295028</v>
      </c>
      <c r="H278" s="15" t="n">
        <f aca="true">RAND()</f>
        <v>0.762633726079373</v>
      </c>
      <c r="I278" s="15" t="n">
        <f aca="true">RAND()</f>
        <v>0.649674257883991</v>
      </c>
      <c r="J278" s="15" t="n">
        <f aca="true">RAND()</f>
        <v>0.0627576161898564</v>
      </c>
      <c r="K278" s="15" t="n">
        <f aca="true">RAND()</f>
        <v>0.596216013456304</v>
      </c>
      <c r="L278" s="15" t="n">
        <f aca="true">RAND()</f>
        <v>0.845849124977703</v>
      </c>
      <c r="M278" s="15" t="n">
        <f aca="true">RAND()</f>
        <v>0.458108696074896</v>
      </c>
      <c r="N278" s="15" t="n">
        <f aca="true">RAND()</f>
        <v>0.993651169922695</v>
      </c>
      <c r="O278" s="15" t="n">
        <f aca="true">RAND()</f>
        <v>0.517080916646147</v>
      </c>
      <c r="P278" s="15" t="n">
        <f aca="true">RAND()</f>
        <v>0.181173760767014</v>
      </c>
      <c r="Q278" s="15" t="n">
        <f aca="true">RAND()</f>
        <v>0.880328492721469</v>
      </c>
      <c r="R278" s="15" t="n">
        <f aca="true">RAND()</f>
        <v>0.508053422064219</v>
      </c>
      <c r="S278" s="15" t="n">
        <f aca="true">RAND()</f>
        <v>0.346802341842376</v>
      </c>
      <c r="T278" s="16" t="n">
        <f aca="false">LOOKUP(D278,$E$23:$E$26,$A$23:$A$26)+LOOKUP(D278,$E$23:$E$26,$D$23:$D$26)*(D278-LOOKUP(D278,$E$23:$E$26))/LOOKUP(D278,$E$23:$E$26,$C$23:$C$26)</f>
        <v>4.05294440826951</v>
      </c>
      <c r="U278" s="16" t="n">
        <f aca="false">LOOKUP(E278,$E$23:$E$26,$A$23:$A$26)+LOOKUP(E278,$E$23:$E$26,$D$23:$D$26)*(E278-LOOKUP(E278,$E$23:$E$26))/LOOKUP(E278,$E$23:$E$26,$C$23:$C$26)</f>
        <v>4.75349651463681</v>
      </c>
      <c r="V278" s="16" t="n">
        <f aca="false">LOOKUP(F278,$E$23:$E$26,$A$23:$A$26)+LOOKUP(F278,$E$23:$E$26,$D$23:$D$26)*(F278-LOOKUP(F278,$E$23:$E$26))/LOOKUP(F278,$E$23:$E$26,$C$23:$C$26)</f>
        <v>5.06361243572841</v>
      </c>
      <c r="W278" s="16" t="n">
        <f aca="false">LOOKUP(G278,$E$23:$E$26,$A$23:$A$26)+LOOKUP(G278,$E$23:$E$26,$D$23:$D$26)*(G278-LOOKUP(G278,$E$23:$E$26))/LOOKUP(G278,$E$23:$E$26,$C$23:$C$26)</f>
        <v>5.39436990323757</v>
      </c>
      <c r="X278" s="16" t="n">
        <f aca="false">LOOKUP(H278,$E$23:$E$26,$A$23:$A$26)+LOOKUP(H278,$E$23:$E$26,$D$23:$D$26)*(H278-LOOKUP(H278,$E$23:$E$26))/LOOKUP(H278,$E$23:$E$26,$C$23:$C$26)</f>
        <v>5.15658431519843</v>
      </c>
      <c r="Y278" s="16" t="n">
        <f aca="false">LOOKUP(I278,$E$23:$E$26,$A$23:$A$26)+LOOKUP(I278,$E$23:$E$26,$D$23:$D$26)*(I278-LOOKUP(I278,$E$23:$E$26))/LOOKUP(I278,$E$23:$E$26,$C$23:$C$26)</f>
        <v>4.93709282235499</v>
      </c>
      <c r="Z278" s="16" t="n">
        <f aca="false">LOOKUP(J278,$E$23:$E$26,$A$23:$A$26)+LOOKUP(J278,$E$23:$E$26,$D$23:$D$26)*(J278-LOOKUP(J278,$E$23:$E$26))/LOOKUP(J278,$E$23:$E$26,$C$23:$C$26)</f>
        <v>4.10459602698309</v>
      </c>
      <c r="AA278" s="16" t="n">
        <f aca="false">LOOKUP(K278,$E$23:$E$26,$A$23:$A$26)+LOOKUP(K278,$E$23:$E$26,$D$23:$D$26)*(K278-LOOKUP(K278,$E$23:$E$26))/LOOKUP(K278,$E$23:$E$26,$C$23:$C$26)</f>
        <v>4.87027001682038</v>
      </c>
      <c r="AB278" s="16" t="n">
        <f aca="false">LOOKUP(L278,$E$23:$E$26,$A$23:$A$26)+LOOKUP(L278,$E$23:$E$26,$D$23:$D$26)*(L278-LOOKUP(L278,$E$23:$E$26))/LOOKUP(L278,$E$23:$E$26,$C$23:$C$26)</f>
        <v>5.36462281244426</v>
      </c>
      <c r="AC278" s="16" t="n">
        <f aca="false">LOOKUP(M278,$E$23:$E$26,$A$23:$A$26)+LOOKUP(M278,$E$23:$E$26,$D$23:$D$26)*(M278-LOOKUP(M278,$E$23:$E$26))/LOOKUP(M278,$E$23:$E$26,$C$23:$C$26)</f>
        <v>4.69763587009362</v>
      </c>
      <c r="AD278" s="16" t="n">
        <f aca="false">LOOKUP(N278,$E$23:$E$26,$A$23:$A$26)+LOOKUP(N278,$E$23:$E$26,$D$23:$D$26)*(N278-LOOKUP(N278,$E$23:$E$26))/LOOKUP(N278,$E$23:$E$26,$C$23:$C$26)</f>
        <v>5.96825584961347</v>
      </c>
      <c r="AE278" s="16" t="n">
        <f aca="false">LOOKUP(O278,$E$23:$E$26,$A$23:$A$26)+LOOKUP(O278,$E$23:$E$26,$D$23:$D$26)*(O278-LOOKUP(O278,$E$23:$E$26))/LOOKUP(O278,$E$23:$E$26,$C$23:$C$26)</f>
        <v>4.77135114580768</v>
      </c>
      <c r="AF278" s="16" t="n">
        <f aca="false">LOOKUP(P278,$E$23:$E$26,$A$23:$A$26)+LOOKUP(P278,$E$23:$E$26,$D$23:$D$26)*(P278-LOOKUP(P278,$E$23:$E$26))/LOOKUP(P278,$E$23:$E$26,$C$23:$C$26)</f>
        <v>4.30195626794502</v>
      </c>
      <c r="AG278" s="16" t="n">
        <f aca="false">LOOKUP(Q278,$E$23:$E$26,$A$23:$A$26)+LOOKUP(Q278,$E$23:$E$26,$D$23:$D$26)*(Q278-LOOKUP(Q278,$E$23:$E$26))/LOOKUP(Q278,$E$23:$E$26,$C$23:$C$26)</f>
        <v>5.45082123180367</v>
      </c>
      <c r="AH278" s="16" t="n">
        <f aca="false">LOOKUP(R278,$E$23:$E$26,$A$23:$A$26)+LOOKUP(R278,$E$23:$E$26,$D$23:$D$26)*(R278-LOOKUP(R278,$E$23:$E$26))/LOOKUP(R278,$E$23:$E$26,$C$23:$C$26)</f>
        <v>4.76006677758027</v>
      </c>
      <c r="AI278" s="16" t="n">
        <f aca="false">LOOKUP(S278,$E$23:$E$26,$A$23:$A$26)+LOOKUP(S278,$E$23:$E$26,$D$23:$D$26)*(S278-LOOKUP(S278,$E$23:$E$26))/LOOKUP(S278,$E$23:$E$26,$C$23:$C$26)</f>
        <v>4.55850292730297</v>
      </c>
      <c r="AJ278" s="16" t="n">
        <f aca="false">SUM($T278:T278)</f>
        <v>4.05294440826951</v>
      </c>
      <c r="AK278" s="16" t="n">
        <f aca="false">SUM($T278:U278)</f>
        <v>8.80644092290632</v>
      </c>
      <c r="AL278" s="16" t="n">
        <f aca="false">SUM($T278:V278)</f>
        <v>13.8700533586347</v>
      </c>
      <c r="AM278" s="16" t="n">
        <f aca="false">SUM($T278:W278)</f>
        <v>19.2644232618723</v>
      </c>
      <c r="AN278" s="16" t="n">
        <f aca="false">SUM($T278:X278)</f>
        <v>24.4210075770707</v>
      </c>
      <c r="AO278" s="16" t="n">
        <f aca="false">SUM($T278:Y278)</f>
        <v>29.3581003994257</v>
      </c>
      <c r="AP278" s="16" t="n">
        <f aca="false">SUM($T278:Z278)</f>
        <v>33.4626964264088</v>
      </c>
      <c r="AQ278" s="16" t="n">
        <f aca="false">SUM($T278:AA278)</f>
        <v>38.3329664432292</v>
      </c>
      <c r="AR278" s="16" t="n">
        <f aca="false">SUM($T278:AB278)</f>
        <v>43.6975892556735</v>
      </c>
      <c r="AS278" s="16" t="n">
        <f aca="false">SUM($T278:AC278)</f>
        <v>48.3952251257671</v>
      </c>
      <c r="AT278" s="16" t="n">
        <f aca="false">SUM($T278:AD278)</f>
        <v>54.3634809753805</v>
      </c>
      <c r="AU278" s="16" t="n">
        <f aca="false">SUM($T278:AE278)</f>
        <v>59.1348321211882</v>
      </c>
      <c r="AV278" s="16" t="n">
        <f aca="false">SUM($T278:AF278)</f>
        <v>63.4367883891333</v>
      </c>
      <c r="AW278" s="16" t="n">
        <f aca="false">SUM($T278:AG278)</f>
        <v>68.8876096209369</v>
      </c>
      <c r="AX278" s="16" t="n">
        <f aca="false">SUM($T278:AH278)</f>
        <v>73.6476763985172</v>
      </c>
      <c r="AY278" s="16" t="n">
        <f aca="false">SUM($T278:AI278)</f>
        <v>78.2061793258202</v>
      </c>
      <c r="AZ278" s="16" t="n">
        <f aca="false">MAX(C278-AJ278,0)</f>
        <v>80.6633594187284</v>
      </c>
      <c r="BA278" s="16" t="n">
        <f aca="false">MAX(C278-AK278,0)</f>
        <v>75.9098629040915</v>
      </c>
      <c r="BB278" s="16" t="n">
        <f aca="false">MAX(C278-AL278,0)</f>
        <v>70.8462504683631</v>
      </c>
      <c r="BC278" s="16" t="n">
        <f aca="false">MAX(C278-AM278,0)</f>
        <v>65.4518805651256</v>
      </c>
      <c r="BD278" s="16" t="n">
        <f aca="false">MAX(C278-AN278,0)</f>
        <v>60.2952962499271</v>
      </c>
      <c r="BE278" s="16" t="n">
        <f aca="false">MAX(C278-AO278,0)</f>
        <v>55.3582034275721</v>
      </c>
      <c r="BF278" s="16" t="n">
        <f aca="false">MAX(C278-AP278,0)</f>
        <v>51.2536074005891</v>
      </c>
      <c r="BG278" s="16" t="n">
        <f aca="false">MAX(C278-AQ278,0)</f>
        <v>46.3833373837687</v>
      </c>
      <c r="BH278" s="16" t="n">
        <f aca="false">MAX(C278-AR278,0)</f>
        <v>41.0187145713244</v>
      </c>
      <c r="BI278" s="16" t="n">
        <f aca="false">MAX(C278-AS278,0)</f>
        <v>36.3210787012308</v>
      </c>
      <c r="BJ278" s="16" t="n">
        <f aca="false">MAX(C278-AT278,0)</f>
        <v>30.3528228516173</v>
      </c>
      <c r="BK278" s="16" t="n">
        <f aca="false">MAX(C278-AU278,0)</f>
        <v>25.5814717058096</v>
      </c>
      <c r="BL278" s="16" t="n">
        <f aca="false">MAX(C278-AV278,0)</f>
        <v>21.2795154378646</v>
      </c>
      <c r="BM278" s="16" t="n">
        <f aca="false">MAX(C278-AW278,0)</f>
        <v>15.8286942060609</v>
      </c>
      <c r="BN278" s="16" t="n">
        <f aca="false">MAX(C278-AX278,0)</f>
        <v>11.0686274284807</v>
      </c>
      <c r="BO278" s="16" t="n">
        <f aca="false">MAX(C278-AY278,0)</f>
        <v>6.5101245011777</v>
      </c>
    </row>
    <row r="279" customFormat="false" ht="15" hidden="false" customHeight="false" outlineLevel="0" collapsed="false">
      <c r="A279" s="3" t="n">
        <v>249</v>
      </c>
      <c r="B279" s="15" t="n">
        <f aca="true">RAND()</f>
        <v>0.331490596744991</v>
      </c>
      <c r="C279" s="16" t="n">
        <f aca="false">LOOKUP(B279,$E$12:$E$17,$A$12:$A$17)+LOOKUP(B279,$E$12:$E$17,$D$12:$D$17)*(B279-LOOKUP(B279,$E$12:$E$17))/LOOKUP(B279,$E$12:$E$17,$C$12:$C$17)</f>
        <v>61.3581766124165</v>
      </c>
      <c r="D279" s="15" t="n">
        <f aca="true">RAND()</f>
        <v>0.685154537697588</v>
      </c>
      <c r="E279" s="15" t="n">
        <f aca="true">RAND()</f>
        <v>0.633612707065414</v>
      </c>
      <c r="F279" s="15" t="n">
        <f aca="true">RAND()</f>
        <v>0.594295102765682</v>
      </c>
      <c r="G279" s="15" t="n">
        <f aca="true">RAND()</f>
        <v>0.494847152680679</v>
      </c>
      <c r="H279" s="15" t="n">
        <f aca="true">RAND()</f>
        <v>0.656357807438028</v>
      </c>
      <c r="I279" s="15" t="n">
        <f aca="true">RAND()</f>
        <v>0.565244639185756</v>
      </c>
      <c r="J279" s="15" t="n">
        <f aca="true">RAND()</f>
        <v>0.974189307911179</v>
      </c>
      <c r="K279" s="15" t="n">
        <f aca="true">RAND()</f>
        <v>0.0898281015104319</v>
      </c>
      <c r="L279" s="15" t="n">
        <f aca="true">RAND()</f>
        <v>0.0706023819773221</v>
      </c>
      <c r="M279" s="15" t="n">
        <f aca="true">RAND()</f>
        <v>0.105037043050396</v>
      </c>
      <c r="N279" s="15" t="n">
        <f aca="true">RAND()</f>
        <v>0.604752475042275</v>
      </c>
      <c r="O279" s="15" t="n">
        <f aca="true">RAND()</f>
        <v>0.724185520820542</v>
      </c>
      <c r="P279" s="15" t="n">
        <f aca="true">RAND()</f>
        <v>0.822005999048542</v>
      </c>
      <c r="Q279" s="15" t="n">
        <f aca="true">RAND()</f>
        <v>0.918500656676051</v>
      </c>
      <c r="R279" s="15" t="n">
        <f aca="true">RAND()</f>
        <v>0.44469556108143</v>
      </c>
      <c r="S279" s="15" t="n">
        <f aca="true">RAND()</f>
        <v>0.922630852007704</v>
      </c>
      <c r="T279" s="16" t="n">
        <f aca="false">LOOKUP(D279,$E$23:$E$26,$A$23:$A$26)+LOOKUP(D279,$E$23:$E$26,$D$23:$D$26)*(D279-LOOKUP(D279,$E$23:$E$26))/LOOKUP(D279,$E$23:$E$26,$C$23:$C$26)</f>
        <v>4.98144317212199</v>
      </c>
      <c r="U279" s="16" t="n">
        <f aca="false">LOOKUP(E279,$E$23:$E$26,$A$23:$A$26)+LOOKUP(E279,$E$23:$E$26,$D$23:$D$26)*(E279-LOOKUP(E279,$E$23:$E$26))/LOOKUP(E279,$E$23:$E$26,$C$23:$C$26)</f>
        <v>4.91701588383177</v>
      </c>
      <c r="V279" s="16" t="n">
        <f aca="false">LOOKUP(F279,$E$23:$E$26,$A$23:$A$26)+LOOKUP(F279,$E$23:$E$26,$D$23:$D$26)*(F279-LOOKUP(F279,$E$23:$E$26))/LOOKUP(F279,$E$23:$E$26,$C$23:$C$26)</f>
        <v>4.8678688784571</v>
      </c>
      <c r="W279" s="16" t="n">
        <f aca="false">LOOKUP(G279,$E$23:$E$26,$A$23:$A$26)+LOOKUP(G279,$E$23:$E$26,$D$23:$D$26)*(G279-LOOKUP(G279,$E$23:$E$26))/LOOKUP(G279,$E$23:$E$26,$C$23:$C$26)</f>
        <v>4.74355894085085</v>
      </c>
      <c r="X279" s="16" t="n">
        <f aca="false">LOOKUP(H279,$E$23:$E$26,$A$23:$A$26)+LOOKUP(H279,$E$23:$E$26,$D$23:$D$26)*(H279-LOOKUP(H279,$E$23:$E$26))/LOOKUP(H279,$E$23:$E$26,$C$23:$C$26)</f>
        <v>4.94544725929753</v>
      </c>
      <c r="Y279" s="16" t="n">
        <f aca="false">LOOKUP(I279,$E$23:$E$26,$A$23:$A$26)+LOOKUP(I279,$E$23:$E$26,$D$23:$D$26)*(I279-LOOKUP(I279,$E$23:$E$26))/LOOKUP(I279,$E$23:$E$26,$C$23:$C$26)</f>
        <v>4.8315557989822</v>
      </c>
      <c r="Z279" s="16" t="n">
        <f aca="false">LOOKUP(J279,$E$23:$E$26,$A$23:$A$26)+LOOKUP(J279,$E$23:$E$26,$D$23:$D$26)*(J279-LOOKUP(J279,$E$23:$E$26))/LOOKUP(J279,$E$23:$E$26,$C$23:$C$26)</f>
        <v>5.87094653955589</v>
      </c>
      <c r="AA279" s="16" t="n">
        <f aca="false">LOOKUP(K279,$E$23:$E$26,$A$23:$A$26)+LOOKUP(K279,$E$23:$E$26,$D$23:$D$26)*(K279-LOOKUP(K279,$E$23:$E$26))/LOOKUP(K279,$E$23:$E$26,$C$23:$C$26)</f>
        <v>4.14971350251739</v>
      </c>
      <c r="AB279" s="16" t="n">
        <f aca="false">LOOKUP(L279,$E$23:$E$26,$A$23:$A$26)+LOOKUP(L279,$E$23:$E$26,$D$23:$D$26)*(L279-LOOKUP(L279,$E$23:$E$26))/LOOKUP(L279,$E$23:$E$26,$C$23:$C$26)</f>
        <v>4.11767063662887</v>
      </c>
      <c r="AC279" s="16" t="n">
        <f aca="false">LOOKUP(M279,$E$23:$E$26,$A$23:$A$26)+LOOKUP(M279,$E$23:$E$26,$D$23:$D$26)*(M279-LOOKUP(M279,$E$23:$E$26))/LOOKUP(M279,$E$23:$E$26,$C$23:$C$26)</f>
        <v>4.17506173841733</v>
      </c>
      <c r="AD279" s="16" t="n">
        <f aca="false">LOOKUP(N279,$E$23:$E$26,$A$23:$A$26)+LOOKUP(N279,$E$23:$E$26,$D$23:$D$26)*(N279-LOOKUP(N279,$E$23:$E$26))/LOOKUP(N279,$E$23:$E$26,$C$23:$C$26)</f>
        <v>4.88094059380284</v>
      </c>
      <c r="AE279" s="16" t="n">
        <f aca="false">LOOKUP(O279,$E$23:$E$26,$A$23:$A$26)+LOOKUP(O279,$E$23:$E$26,$D$23:$D$26)*(O279-LOOKUP(O279,$E$23:$E$26))/LOOKUP(O279,$E$23:$E$26,$C$23:$C$26)</f>
        <v>5.06046380205136</v>
      </c>
      <c r="AF279" s="16" t="n">
        <f aca="false">LOOKUP(P279,$E$23:$E$26,$A$23:$A$26)+LOOKUP(P279,$E$23:$E$26,$D$23:$D$26)*(P279-LOOKUP(P279,$E$23:$E$26))/LOOKUP(P279,$E$23:$E$26,$C$23:$C$26)</f>
        <v>5.30501499762136</v>
      </c>
      <c r="AG279" s="16" t="n">
        <f aca="false">LOOKUP(Q279,$E$23:$E$26,$A$23:$A$26)+LOOKUP(Q279,$E$23:$E$26,$D$23:$D$26)*(Q279-LOOKUP(Q279,$E$23:$E$26))/LOOKUP(Q279,$E$23:$E$26,$C$23:$C$26)</f>
        <v>5.59250328338025</v>
      </c>
      <c r="AH279" s="16" t="n">
        <f aca="false">LOOKUP(R279,$E$23:$E$26,$A$23:$A$26)+LOOKUP(R279,$E$23:$E$26,$D$23:$D$26)*(R279-LOOKUP(R279,$E$23:$E$26))/LOOKUP(R279,$E$23:$E$26,$C$23:$C$26)</f>
        <v>4.68086945135179</v>
      </c>
      <c r="AI279" s="16" t="n">
        <f aca="false">LOOKUP(S279,$E$23:$E$26,$A$23:$A$26)+LOOKUP(S279,$E$23:$E$26,$D$23:$D$26)*(S279-LOOKUP(S279,$E$23:$E$26))/LOOKUP(S279,$E$23:$E$26,$C$23:$C$26)</f>
        <v>5.61315426003852</v>
      </c>
      <c r="AJ279" s="16" t="n">
        <f aca="false">SUM($T279:T279)</f>
        <v>4.98144317212199</v>
      </c>
      <c r="AK279" s="16" t="n">
        <f aca="false">SUM($T279:U279)</f>
        <v>9.89845905595375</v>
      </c>
      <c r="AL279" s="16" t="n">
        <f aca="false">SUM($T279:V279)</f>
        <v>14.7663279344109</v>
      </c>
      <c r="AM279" s="16" t="n">
        <f aca="false">SUM($T279:W279)</f>
        <v>19.5098868752617</v>
      </c>
      <c r="AN279" s="16" t="n">
        <f aca="false">SUM($T279:X279)</f>
        <v>24.4553341345592</v>
      </c>
      <c r="AO279" s="16" t="n">
        <f aca="false">SUM($T279:Y279)</f>
        <v>29.2868899335414</v>
      </c>
      <c r="AP279" s="16" t="n">
        <f aca="false">SUM($T279:Z279)</f>
        <v>35.1578364730973</v>
      </c>
      <c r="AQ279" s="16" t="n">
        <f aca="false">SUM($T279:AA279)</f>
        <v>39.3075499756147</v>
      </c>
      <c r="AR279" s="16" t="n">
        <f aca="false">SUM($T279:AB279)</f>
        <v>43.4252206122436</v>
      </c>
      <c r="AS279" s="16" t="n">
        <f aca="false">SUM($T279:AC279)</f>
        <v>47.6002823506609</v>
      </c>
      <c r="AT279" s="16" t="n">
        <f aca="false">SUM($T279:AD279)</f>
        <v>52.4812229444637</v>
      </c>
      <c r="AU279" s="16" t="n">
        <f aca="false">SUM($T279:AE279)</f>
        <v>57.5416867465151</v>
      </c>
      <c r="AV279" s="16" t="n">
        <f aca="false">SUM($T279:AF279)</f>
        <v>62.8467017441365</v>
      </c>
      <c r="AW279" s="16" t="n">
        <f aca="false">SUM($T279:AG279)</f>
        <v>68.4392050275167</v>
      </c>
      <c r="AX279" s="16" t="n">
        <f aca="false">SUM($T279:AH279)</f>
        <v>73.1200744788685</v>
      </c>
      <c r="AY279" s="16" t="n">
        <f aca="false">SUM($T279:AI279)</f>
        <v>78.733228738907</v>
      </c>
      <c r="AZ279" s="16" t="n">
        <f aca="false">MAX(C279-AJ279,0)</f>
        <v>56.3767334402945</v>
      </c>
      <c r="BA279" s="16" t="n">
        <f aca="false">MAX(C279-AK279,0)</f>
        <v>51.4597175564628</v>
      </c>
      <c r="BB279" s="16" t="n">
        <f aca="false">MAX(C279-AL279,0)</f>
        <v>46.5918486780057</v>
      </c>
      <c r="BC279" s="16" t="n">
        <f aca="false">MAX(C279-AM279,0)</f>
        <v>41.8482897371548</v>
      </c>
      <c r="BD279" s="16" t="n">
        <f aca="false">MAX(C279-AN279,0)</f>
        <v>36.9028424778573</v>
      </c>
      <c r="BE279" s="16" t="n">
        <f aca="false">MAX(C279-AO279,0)</f>
        <v>32.0712866788751</v>
      </c>
      <c r="BF279" s="16" t="n">
        <f aca="false">MAX(C279-AP279,0)</f>
        <v>26.2003401393192</v>
      </c>
      <c r="BG279" s="16" t="n">
        <f aca="false">MAX(C279-AQ279,0)</f>
        <v>22.0506266368018</v>
      </c>
      <c r="BH279" s="16" t="n">
        <f aca="false">MAX(C279-AR279,0)</f>
        <v>17.9329560001729</v>
      </c>
      <c r="BI279" s="16" t="n">
        <f aca="false">MAX(C279-AS279,0)</f>
        <v>13.7578942617556</v>
      </c>
      <c r="BJ279" s="16" t="n">
        <f aca="false">MAX(C279-AT279,0)</f>
        <v>8.87695366795278</v>
      </c>
      <c r="BK279" s="16" t="n">
        <f aca="false">MAX(C279-AU279,0)</f>
        <v>3.81648986590141</v>
      </c>
      <c r="BL279" s="16" t="n">
        <f aca="false">MAX(C279-AV279,0)</f>
        <v>0</v>
      </c>
      <c r="BM279" s="16" t="n">
        <f aca="false">MAX(C279-AW279,0)</f>
        <v>0</v>
      </c>
      <c r="BN279" s="16" t="n">
        <f aca="false">MAX(C279-AX279,0)</f>
        <v>0</v>
      </c>
      <c r="BO279" s="16" t="n">
        <f aca="false">MAX(C279-AY279,0)</f>
        <v>0</v>
      </c>
    </row>
    <row r="280" customFormat="false" ht="15" hidden="false" customHeight="false" outlineLevel="0" collapsed="false">
      <c r="A280" s="3" t="n">
        <v>250</v>
      </c>
      <c r="B280" s="15" t="n">
        <f aca="true">RAND()</f>
        <v>0.325880526299837</v>
      </c>
      <c r="C280" s="16" t="n">
        <f aca="false">LOOKUP(B280,$E$12:$E$17,$A$12:$A$17)+LOOKUP(B280,$E$12:$E$17,$D$12:$D$17)*(B280-LOOKUP(B280,$E$12:$E$17))/LOOKUP(B280,$E$12:$E$17,$C$12:$C$17)</f>
        <v>61.2646754383306</v>
      </c>
      <c r="D280" s="15" t="n">
        <f aca="true">RAND()</f>
        <v>0.376648732838246</v>
      </c>
      <c r="E280" s="15" t="n">
        <f aca="true">RAND()</f>
        <v>0.144096362945577</v>
      </c>
      <c r="F280" s="15" t="n">
        <f aca="true">RAND()</f>
        <v>0.725647290889693</v>
      </c>
      <c r="G280" s="15" t="n">
        <f aca="true">RAND()</f>
        <v>0.314019189487752</v>
      </c>
      <c r="H280" s="15" t="n">
        <f aca="true">RAND()</f>
        <v>0.77291486906347</v>
      </c>
      <c r="I280" s="15" t="n">
        <f aca="true">RAND()</f>
        <v>0.754025728188925</v>
      </c>
      <c r="J280" s="15" t="n">
        <f aca="true">RAND()</f>
        <v>0.648758901509634</v>
      </c>
      <c r="K280" s="15" t="n">
        <f aca="true">RAND()</f>
        <v>0.207892167911676</v>
      </c>
      <c r="L280" s="15" t="n">
        <f aca="true">RAND()</f>
        <v>0.89491784608038</v>
      </c>
      <c r="M280" s="15" t="n">
        <f aca="true">RAND()</f>
        <v>0.182226147871122</v>
      </c>
      <c r="N280" s="15" t="n">
        <f aca="true">RAND()</f>
        <v>0.74370867541732</v>
      </c>
      <c r="O280" s="15" t="n">
        <f aca="true">RAND()</f>
        <v>0.0587741660321299</v>
      </c>
      <c r="P280" s="15" t="n">
        <f aca="true">RAND()</f>
        <v>0.191273971689006</v>
      </c>
      <c r="Q280" s="15" t="n">
        <f aca="true">RAND()</f>
        <v>0.474275980638879</v>
      </c>
      <c r="R280" s="15" t="n">
        <f aca="true">RAND()</f>
        <v>0.314452343545184</v>
      </c>
      <c r="S280" s="15" t="n">
        <f aca="true">RAND()</f>
        <v>0.571167236008791</v>
      </c>
      <c r="T280" s="16" t="n">
        <f aca="false">LOOKUP(D280,$E$23:$E$26,$A$23:$A$26)+LOOKUP(D280,$E$23:$E$26,$D$23:$D$26)*(D280-LOOKUP(D280,$E$23:$E$26))/LOOKUP(D280,$E$23:$E$26,$C$23:$C$26)</f>
        <v>4.59581091604781</v>
      </c>
      <c r="U280" s="16" t="n">
        <f aca="false">LOOKUP(E280,$E$23:$E$26,$A$23:$A$26)+LOOKUP(E280,$E$23:$E$26,$D$23:$D$26)*(E280-LOOKUP(E280,$E$23:$E$26))/LOOKUP(E280,$E$23:$E$26,$C$23:$C$26)</f>
        <v>4.2401606049093</v>
      </c>
      <c r="V280" s="16" t="n">
        <f aca="false">LOOKUP(F280,$E$23:$E$26,$A$23:$A$26)+LOOKUP(F280,$E$23:$E$26,$D$23:$D$26)*(F280-LOOKUP(F280,$E$23:$E$26))/LOOKUP(F280,$E$23:$E$26,$C$23:$C$26)</f>
        <v>5.06411822722423</v>
      </c>
      <c r="W280" s="16" t="n">
        <f aca="false">LOOKUP(G280,$E$23:$E$26,$A$23:$A$26)+LOOKUP(G280,$E$23:$E$26,$D$23:$D$26)*(G280-LOOKUP(G280,$E$23:$E$26))/LOOKUP(G280,$E$23:$E$26,$C$23:$C$26)</f>
        <v>4.51752398685969</v>
      </c>
      <c r="X280" s="16" t="n">
        <f aca="false">LOOKUP(H280,$E$23:$E$26,$A$23:$A$26)+LOOKUP(H280,$E$23:$E$26,$D$23:$D$26)*(H280-LOOKUP(H280,$E$23:$E$26))/LOOKUP(H280,$E$23:$E$26,$C$23:$C$26)</f>
        <v>5.18228717265868</v>
      </c>
      <c r="Y280" s="16" t="n">
        <f aca="false">LOOKUP(I280,$E$23:$E$26,$A$23:$A$26)+LOOKUP(I280,$E$23:$E$26,$D$23:$D$26)*(I280-LOOKUP(I280,$E$23:$E$26))/LOOKUP(I280,$E$23:$E$26,$C$23:$C$26)</f>
        <v>5.13506432047231</v>
      </c>
      <c r="Z280" s="16" t="n">
        <f aca="false">LOOKUP(J280,$E$23:$E$26,$A$23:$A$26)+LOOKUP(J280,$E$23:$E$26,$D$23:$D$26)*(J280-LOOKUP(J280,$E$23:$E$26))/LOOKUP(J280,$E$23:$E$26,$C$23:$C$26)</f>
        <v>4.93594862688704</v>
      </c>
      <c r="AA280" s="16" t="n">
        <f aca="false">LOOKUP(K280,$E$23:$E$26,$A$23:$A$26)+LOOKUP(K280,$E$23:$E$26,$D$23:$D$26)*(K280-LOOKUP(K280,$E$23:$E$26))/LOOKUP(K280,$E$23:$E$26,$C$23:$C$26)</f>
        <v>4.34648694651946</v>
      </c>
      <c r="AB280" s="16" t="n">
        <f aca="false">LOOKUP(L280,$E$23:$E$26,$A$23:$A$26)+LOOKUP(L280,$E$23:$E$26,$D$23:$D$26)*(L280-LOOKUP(L280,$E$23:$E$26))/LOOKUP(L280,$E$23:$E$26,$C$23:$C$26)</f>
        <v>5.48729461520095</v>
      </c>
      <c r="AC280" s="16" t="n">
        <f aca="false">LOOKUP(M280,$E$23:$E$26,$A$23:$A$26)+LOOKUP(M280,$E$23:$E$26,$D$23:$D$26)*(M280-LOOKUP(M280,$E$23:$E$26))/LOOKUP(M280,$E$23:$E$26,$C$23:$C$26)</f>
        <v>4.30371024645187</v>
      </c>
      <c r="AD280" s="16" t="n">
        <f aca="false">LOOKUP(N280,$E$23:$E$26,$A$23:$A$26)+LOOKUP(N280,$E$23:$E$26,$D$23:$D$26)*(N280-LOOKUP(N280,$E$23:$E$26))/LOOKUP(N280,$E$23:$E$26,$C$23:$C$26)</f>
        <v>5.1092716885433</v>
      </c>
      <c r="AE280" s="16" t="n">
        <f aca="false">LOOKUP(O280,$E$23:$E$26,$A$23:$A$26)+LOOKUP(O280,$E$23:$E$26,$D$23:$D$26)*(O280-LOOKUP(O280,$E$23:$E$26))/LOOKUP(O280,$E$23:$E$26,$C$23:$C$26)</f>
        <v>4.09795694338688</v>
      </c>
      <c r="AF280" s="16" t="n">
        <f aca="false">LOOKUP(P280,$E$23:$E$26,$A$23:$A$26)+LOOKUP(P280,$E$23:$E$26,$D$23:$D$26)*(P280-LOOKUP(P280,$E$23:$E$26))/LOOKUP(P280,$E$23:$E$26,$C$23:$C$26)</f>
        <v>4.31878995281501</v>
      </c>
      <c r="AG280" s="16" t="n">
        <f aca="false">LOOKUP(Q280,$E$23:$E$26,$A$23:$A$26)+LOOKUP(Q280,$E$23:$E$26,$D$23:$D$26)*(Q280-LOOKUP(Q280,$E$23:$E$26))/LOOKUP(Q280,$E$23:$E$26,$C$23:$C$26)</f>
        <v>4.7178449757986</v>
      </c>
      <c r="AH280" s="16" t="n">
        <f aca="false">LOOKUP(R280,$E$23:$E$26,$A$23:$A$26)+LOOKUP(R280,$E$23:$E$26,$D$23:$D$26)*(R280-LOOKUP(R280,$E$23:$E$26))/LOOKUP(R280,$E$23:$E$26,$C$23:$C$26)</f>
        <v>4.51806542943148</v>
      </c>
      <c r="AI280" s="16" t="n">
        <f aca="false">LOOKUP(S280,$E$23:$E$26,$A$23:$A$26)+LOOKUP(S280,$E$23:$E$26,$D$23:$D$26)*(S280-LOOKUP(S280,$E$23:$E$26))/LOOKUP(S280,$E$23:$E$26,$C$23:$C$26)</f>
        <v>4.83895904501099</v>
      </c>
      <c r="AJ280" s="16" t="n">
        <f aca="false">SUM($T280:T280)</f>
        <v>4.59581091604781</v>
      </c>
      <c r="AK280" s="16" t="n">
        <f aca="false">SUM($T280:U280)</f>
        <v>8.8359715209571</v>
      </c>
      <c r="AL280" s="16" t="n">
        <f aca="false">SUM($T280:V280)</f>
        <v>13.9000897481813</v>
      </c>
      <c r="AM280" s="16" t="n">
        <f aca="false">SUM($T280:W280)</f>
        <v>18.417613735041</v>
      </c>
      <c r="AN280" s="16" t="n">
        <f aca="false">SUM($T280:X280)</f>
        <v>23.5999009076997</v>
      </c>
      <c r="AO280" s="16" t="n">
        <f aca="false">SUM($T280:Y280)</f>
        <v>28.734965228172</v>
      </c>
      <c r="AP280" s="16" t="n">
        <f aca="false">SUM($T280:Z280)</f>
        <v>33.6709138550591</v>
      </c>
      <c r="AQ280" s="16" t="n">
        <f aca="false">SUM($T280:AA280)</f>
        <v>38.0174008015785</v>
      </c>
      <c r="AR280" s="16" t="n">
        <f aca="false">SUM($T280:AB280)</f>
        <v>43.5046954167795</v>
      </c>
      <c r="AS280" s="16" t="n">
        <f aca="false">SUM($T280:AC280)</f>
        <v>47.8084056632313</v>
      </c>
      <c r="AT280" s="16" t="n">
        <f aca="false">SUM($T280:AD280)</f>
        <v>52.9176773517746</v>
      </c>
      <c r="AU280" s="16" t="n">
        <f aca="false">SUM($T280:AE280)</f>
        <v>57.0156342951615</v>
      </c>
      <c r="AV280" s="16" t="n">
        <f aca="false">SUM($T280:AF280)</f>
        <v>61.3344242479765</v>
      </c>
      <c r="AW280" s="16" t="n">
        <f aca="false">SUM($T280:AG280)</f>
        <v>66.0522692237751</v>
      </c>
      <c r="AX280" s="16" t="n">
        <f aca="false">SUM($T280:AH280)</f>
        <v>70.5703346532066</v>
      </c>
      <c r="AY280" s="16" t="n">
        <f aca="false">SUM($T280:AI280)</f>
        <v>75.4092936982176</v>
      </c>
      <c r="AZ280" s="16" t="n">
        <f aca="false">MAX(C280-AJ280,0)</f>
        <v>56.6688645222828</v>
      </c>
      <c r="BA280" s="16" t="n">
        <f aca="false">MAX(C280-AK280,0)</f>
        <v>52.4287039173735</v>
      </c>
      <c r="BB280" s="16" t="n">
        <f aca="false">MAX(C280-AL280,0)</f>
        <v>47.3645856901493</v>
      </c>
      <c r="BC280" s="16" t="n">
        <f aca="false">MAX(C280-AM280,0)</f>
        <v>42.8470617032896</v>
      </c>
      <c r="BD280" s="16" t="n">
        <f aca="false">MAX(C280-AN280,0)</f>
        <v>37.6647745306309</v>
      </c>
      <c r="BE280" s="16" t="n">
        <f aca="false">MAX(C280-AO280,0)</f>
        <v>32.5297102101586</v>
      </c>
      <c r="BF280" s="16" t="n">
        <f aca="false">MAX(C280-AP280,0)</f>
        <v>27.5937615832716</v>
      </c>
      <c r="BG280" s="16" t="n">
        <f aca="false">MAX(C280-AQ280,0)</f>
        <v>23.2472746367521</v>
      </c>
      <c r="BH280" s="16" t="n">
        <f aca="false">MAX(C280-AR280,0)</f>
        <v>17.7599800215512</v>
      </c>
      <c r="BI280" s="16" t="n">
        <f aca="false">MAX(C280-AS280,0)</f>
        <v>13.4562697750993</v>
      </c>
      <c r="BJ280" s="16" t="n">
        <f aca="false">MAX(C280-AT280,0)</f>
        <v>8.34699808655599</v>
      </c>
      <c r="BK280" s="16" t="n">
        <f aca="false">MAX(C280-AU280,0)</f>
        <v>4.2490411431691</v>
      </c>
      <c r="BL280" s="16" t="n">
        <f aca="false">MAX(C280-AV280,0)</f>
        <v>0</v>
      </c>
      <c r="BM280" s="16" t="n">
        <f aca="false">MAX(C280-AW280,0)</f>
        <v>0</v>
      </c>
      <c r="BN280" s="16" t="n">
        <f aca="false">MAX(C280-AX280,0)</f>
        <v>0</v>
      </c>
      <c r="BO280" s="16" t="n">
        <f aca="false">MAX(C280-AY280,0)</f>
        <v>0</v>
      </c>
    </row>
    <row r="282" customFormat="false" ht="15" hidden="false" customHeight="false" outlineLevel="0" collapsed="false">
      <c r="A282" s="2" t="s">
        <v>185</v>
      </c>
    </row>
    <row r="283" customFormat="false" ht="52.2" hidden="false" customHeight="false" outlineLevel="0" collapsed="false">
      <c r="A283" s="14" t="s">
        <v>186</v>
      </c>
      <c r="B283" s="14" t="s">
        <v>187</v>
      </c>
      <c r="C283" s="14" t="s">
        <v>188</v>
      </c>
      <c r="D283" s="14" t="s">
        <v>189</v>
      </c>
      <c r="E283" s="14" t="s">
        <v>190</v>
      </c>
    </row>
    <row r="284" customFormat="false" ht="15" hidden="false" customHeight="false" outlineLevel="0" collapsed="false">
      <c r="A284" s="3" t="n">
        <v>1</v>
      </c>
      <c r="B284" s="23" t="n">
        <f aca="false">SUM(AZ31:AZ280)</f>
        <v>14904.1947635871</v>
      </c>
      <c r="C284" s="6" t="n">
        <f aca="false">B284*$B$5</f>
        <v>1490419.47635871</v>
      </c>
      <c r="D284" s="6" t="n">
        <f aca="false">A284*$B$4</f>
        <v>100000</v>
      </c>
      <c r="E284" s="6" t="n">
        <f aca="false">C284+D284</f>
        <v>1590419.47635871</v>
      </c>
    </row>
    <row r="285" customFormat="false" ht="15" hidden="false" customHeight="false" outlineLevel="0" collapsed="false">
      <c r="A285" s="3" t="n">
        <v>2</v>
      </c>
      <c r="B285" s="23" t="n">
        <f aca="false">SUM(BA31:BA280)</f>
        <v>13702.9903474289</v>
      </c>
      <c r="C285" s="6" t="n">
        <f aca="false">B285*$B$5</f>
        <v>1370299.03474289</v>
      </c>
      <c r="D285" s="6" t="n">
        <f aca="false">A285*$B$4</f>
        <v>200000</v>
      </c>
      <c r="E285" s="6" t="n">
        <f aca="false">C285+D285</f>
        <v>1570299.03474289</v>
      </c>
    </row>
    <row r="286" customFormat="false" ht="15" hidden="false" customHeight="false" outlineLevel="0" collapsed="false">
      <c r="A286" s="3" t="n">
        <v>3</v>
      </c>
      <c r="B286" s="23" t="n">
        <f aca="false">SUM(BB31:BB280)</f>
        <v>12517.9081124083</v>
      </c>
      <c r="C286" s="6" t="n">
        <f aca="false">B286*$B$5</f>
        <v>1251790.81124083</v>
      </c>
      <c r="D286" s="6" t="n">
        <f aca="false">A286*$B$4</f>
        <v>300000</v>
      </c>
      <c r="E286" s="6" t="n">
        <f aca="false">C286+D286</f>
        <v>1551790.81124083</v>
      </c>
    </row>
    <row r="287" customFormat="false" ht="15" hidden="false" customHeight="false" outlineLevel="0" collapsed="false">
      <c r="A287" s="3" t="n">
        <v>4</v>
      </c>
      <c r="B287" s="23" t="n">
        <f aca="false">SUM(BC31:BC280)</f>
        <v>11307.1040613096</v>
      </c>
      <c r="C287" s="6" t="n">
        <f aca="false">B287*$B$5</f>
        <v>1130710.40613096</v>
      </c>
      <c r="D287" s="6" t="n">
        <f aca="false">A287*$B$4</f>
        <v>400000</v>
      </c>
      <c r="E287" s="6" t="n">
        <f aca="false">C287+D287</f>
        <v>1530710.40613096</v>
      </c>
    </row>
    <row r="288" customFormat="false" ht="15" hidden="false" customHeight="false" outlineLevel="0" collapsed="false">
      <c r="A288" s="3" t="n">
        <v>5</v>
      </c>
      <c r="B288" s="23" t="n">
        <f aca="false">SUM(BD31:BD280)</f>
        <v>10106.4475714901</v>
      </c>
      <c r="C288" s="6" t="n">
        <f aca="false">B288*$B$5</f>
        <v>1010644.75714901</v>
      </c>
      <c r="D288" s="6" t="n">
        <f aca="false">A288*$B$4</f>
        <v>500000</v>
      </c>
      <c r="E288" s="6" t="n">
        <f aca="false">C288+D288</f>
        <v>1510644.75714901</v>
      </c>
    </row>
    <row r="289" customFormat="false" ht="15" hidden="false" customHeight="false" outlineLevel="0" collapsed="false">
      <c r="A289" s="3" t="n">
        <v>6</v>
      </c>
      <c r="B289" s="23" t="n">
        <f aca="false">SUM(BE31:BE280)</f>
        <v>8912.67537713989</v>
      </c>
      <c r="C289" s="6" t="n">
        <f aca="false">B289*$B$5</f>
        <v>891267.537713989</v>
      </c>
      <c r="D289" s="6" t="n">
        <f aca="false">A289*$B$4</f>
        <v>600000</v>
      </c>
      <c r="E289" s="6" t="n">
        <f aca="false">C289+D289</f>
        <v>1491267.53771399</v>
      </c>
    </row>
    <row r="290" customFormat="false" ht="15" hidden="false" customHeight="false" outlineLevel="0" collapsed="false">
      <c r="A290" s="3" t="n">
        <v>7</v>
      </c>
      <c r="B290" s="23" t="n">
        <f aca="false">SUM(BF31:BF280)</f>
        <v>7706.83989988308</v>
      </c>
      <c r="C290" s="6" t="n">
        <f aca="false">B290*$B$5</f>
        <v>770683.989988308</v>
      </c>
      <c r="D290" s="6" t="n">
        <f aca="false">A290*$B$4</f>
        <v>700000</v>
      </c>
      <c r="E290" s="6" t="n">
        <f aca="false">C290+D290</f>
        <v>1470683.98998831</v>
      </c>
    </row>
    <row r="291" customFormat="false" ht="15" hidden="false" customHeight="false" outlineLevel="0" collapsed="false">
      <c r="A291" s="3" t="n">
        <v>8</v>
      </c>
      <c r="B291" s="23" t="n">
        <f aca="false">SUM(BG31:BG280)</f>
        <v>6509.49072255509</v>
      </c>
      <c r="C291" s="6" t="n">
        <f aca="false">B291*$B$5</f>
        <v>650949.072255509</v>
      </c>
      <c r="D291" s="6" t="n">
        <f aca="false">A291*$B$4</f>
        <v>800000</v>
      </c>
      <c r="E291" s="6" t="n">
        <f aca="false">C291+D291</f>
        <v>1450949.07225551</v>
      </c>
    </row>
    <row r="292" customFormat="false" ht="15" hidden="false" customHeight="false" outlineLevel="0" collapsed="false">
      <c r="A292" s="3" t="n">
        <v>9</v>
      </c>
      <c r="B292" s="23" t="n">
        <f aca="false">SUM(BH31:BH280)</f>
        <v>5310.63114200196</v>
      </c>
      <c r="C292" s="6" t="n">
        <f aca="false">B292*$B$5</f>
        <v>531063.114200196</v>
      </c>
      <c r="D292" s="6" t="n">
        <f aca="false">A292*$B$4</f>
        <v>900000</v>
      </c>
      <c r="E292" s="6" t="n">
        <f aca="false">C292+D292</f>
        <v>1431063.1142002</v>
      </c>
    </row>
    <row r="293" customFormat="false" ht="15" hidden="false" customHeight="false" outlineLevel="0" collapsed="false">
      <c r="A293" s="3" t="n">
        <v>10</v>
      </c>
      <c r="B293" s="23" t="n">
        <f aca="false">SUM(BI31:BI280)</f>
        <v>4110.52525027964</v>
      </c>
      <c r="C293" s="6" t="n">
        <f aca="false">B293*$B$5</f>
        <v>411052.525027964</v>
      </c>
      <c r="D293" s="6" t="n">
        <f aca="false">A293*$B$4</f>
        <v>1000000</v>
      </c>
      <c r="E293" s="6" t="n">
        <f aca="false">C293+D293</f>
        <v>1411052.52502796</v>
      </c>
    </row>
    <row r="294" customFormat="false" ht="15" hidden="false" customHeight="false" outlineLevel="0" collapsed="false">
      <c r="A294" s="3" t="n">
        <v>11</v>
      </c>
      <c r="B294" s="23" t="n">
        <f aca="false">SUM(BJ31:BJ280)</f>
        <v>2926.31672011007</v>
      </c>
      <c r="C294" s="6" t="n">
        <f aca="false">B294*$B$5</f>
        <v>292631.672011007</v>
      </c>
      <c r="D294" s="6" t="n">
        <f aca="false">A294*$B$4</f>
        <v>1100000</v>
      </c>
      <c r="E294" s="6" t="n">
        <f aca="false">C294+D294</f>
        <v>1392631.67201101</v>
      </c>
    </row>
    <row r="295" customFormat="false" ht="15" hidden="false" customHeight="false" outlineLevel="0" collapsed="false">
      <c r="A295" s="3" t="n">
        <v>12</v>
      </c>
      <c r="B295" s="23" t="n">
        <f aca="false">SUM(BK31:BK280)</f>
        <v>1838.14443984089</v>
      </c>
      <c r="C295" s="6" t="n">
        <f aca="false">B295*$B$5</f>
        <v>183814.443984089</v>
      </c>
      <c r="D295" s="6" t="n">
        <f aca="false">A295*$B$4</f>
        <v>1200000</v>
      </c>
      <c r="E295" s="6" t="n">
        <f aca="false">C295+D295</f>
        <v>1383814.44398409</v>
      </c>
    </row>
    <row r="296" customFormat="false" ht="15" hidden="false" customHeight="false" outlineLevel="0" collapsed="false">
      <c r="A296" s="3" t="n">
        <v>13</v>
      </c>
      <c r="B296" s="23" t="n">
        <f aca="false">SUM(BL31:BL280)</f>
        <v>941.816864612585</v>
      </c>
      <c r="C296" s="6" t="n">
        <f aca="false">B296*$B$5</f>
        <v>94181.6864612585</v>
      </c>
      <c r="D296" s="6" t="n">
        <f aca="false">A296*$B$4</f>
        <v>1300000</v>
      </c>
      <c r="E296" s="6" t="n">
        <f aca="false">C296+D296</f>
        <v>1394181.68646126</v>
      </c>
    </row>
    <row r="297" customFormat="false" ht="15" hidden="false" customHeight="false" outlineLevel="0" collapsed="false">
      <c r="A297" s="3" t="n">
        <v>14</v>
      </c>
      <c r="B297" s="23" t="n">
        <f aca="false">SUM(BM31:BM280)</f>
        <v>380.106255068048</v>
      </c>
      <c r="C297" s="6" t="n">
        <f aca="false">B297*$B$5</f>
        <v>38010.6255068048</v>
      </c>
      <c r="D297" s="6" t="n">
        <f aca="false">A297*$B$4</f>
        <v>1400000</v>
      </c>
      <c r="E297" s="6" t="n">
        <f aca="false">C297+D297</f>
        <v>1438010.6255068</v>
      </c>
    </row>
    <row r="298" customFormat="false" ht="15" hidden="false" customHeight="false" outlineLevel="0" collapsed="false">
      <c r="A298" s="3" t="n">
        <v>15</v>
      </c>
      <c r="B298" s="23" t="n">
        <f aca="false">SUM(BN31:BN280)</f>
        <v>154.598502613765</v>
      </c>
      <c r="C298" s="6" t="n">
        <f aca="false">B298*$B$5</f>
        <v>15459.8502613765</v>
      </c>
      <c r="D298" s="6" t="n">
        <f aca="false">A298*$B$4</f>
        <v>1500000</v>
      </c>
      <c r="E298" s="6" t="n">
        <f aca="false">C298+D298</f>
        <v>1515459.85026138</v>
      </c>
    </row>
    <row r="299" customFormat="false" ht="15" hidden="false" customHeight="false" outlineLevel="0" collapsed="false">
      <c r="A299" s="3" t="n">
        <v>16</v>
      </c>
      <c r="B299" s="23" t="n">
        <f aca="false">SUM(BO31:BO280)</f>
        <v>55.6107201654466</v>
      </c>
      <c r="C299" s="6" t="n">
        <f aca="false">B299*$B$5</f>
        <v>5561.07201654466</v>
      </c>
      <c r="D299" s="6" t="n">
        <f aca="false">A299*$B$4</f>
        <v>1600000</v>
      </c>
      <c r="E299" s="6" t="n">
        <f aca="false">C299+D299</f>
        <v>1605561.07201654</v>
      </c>
    </row>
    <row r="301" customFormat="false" ht="15" hidden="false" customHeight="false" outlineLevel="0" collapsed="false">
      <c r="A301" s="5" t="s">
        <v>191</v>
      </c>
      <c r="B301" s="5" t="n">
        <f aca="false">INDEX(A284:A299,MATCH(MIN(E284:E299),E284:E299,0))</f>
        <v>12</v>
      </c>
    </row>
    <row r="302" customFormat="false" ht="15" hidden="false" customHeight="false" outlineLevel="0" collapsed="false">
      <c r="A302" s="5" t="s">
        <v>9</v>
      </c>
      <c r="B302" s="6" t="n">
        <f aca="false">MIN(E284:E299)</f>
        <v>1383814.44398409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2026-08-26T03:36:50Z</dcterms:created>
  <dc:creator>openpyxl</dc:creator>
  <dc:description/>
  <dc:language>en-US</dc:language>
  <cp:lastModifiedBy/>
  <dcterms:modified xsi:type="dcterms:W3CDTF">2026-08-26T03:36:53Z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