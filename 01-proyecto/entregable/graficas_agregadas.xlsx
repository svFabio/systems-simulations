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jercicio 1 - Trapezoidal" sheetId="1" state="visible" r:id="rId3"/>
    <sheet name="Ejercicio 2 - Triangular" sheetId="2" state="visible" r:id="rId4"/>
    <sheet name="Ejercicio 4 - Camio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<sst xmlns="http://schemas.openxmlformats.org/spreadsheetml/2006/main" count="105" uniqueCount="85">
  <si>
    <t xml:space="preserve">Ejercicio 1 — Distribución Trapezoidal (Método de Composición)</t>
  </si>
  <si>
    <t xml:space="preserve">Celda</t>
  </si>
  <si>
    <t xml:space="preserve">Contiene</t>
  </si>
  <si>
    <t xml:space="preserve">Parámetros</t>
  </si>
  <si>
    <t xml:space="preserve">$B$4</t>
  </si>
  <si>
    <t xml:space="preserve">a</t>
  </si>
  <si>
    <t xml:space="preserve">a =</t>
  </si>
  <si>
    <t xml:space="preserve">Debe cumplirse: 0 &lt; a &lt; b &lt; c</t>
  </si>
  <si>
    <t xml:space="preserve">$B$5</t>
  </si>
  <si>
    <t xml:space="preserve">b</t>
  </si>
  <si>
    <t xml:space="preserve">b =</t>
  </si>
  <si>
    <t xml:space="preserve">$B$6</t>
  </si>
  <si>
    <t xml:space="preserve">c</t>
  </si>
  <si>
    <t xml:space="preserve">c =</t>
  </si>
  <si>
    <t xml:space="preserve">$B$10</t>
  </si>
  <si>
    <t xml:space="preserve">A1</t>
  </si>
  <si>
    <t xml:space="preserve">N° simulaciones =</t>
  </si>
  <si>
    <t xml:space="preserve">$B$11</t>
  </si>
  <si>
    <t xml:space="preserve">A2</t>
  </si>
  <si>
    <t xml:space="preserve">Columna B (fila actual)</t>
  </si>
  <si>
    <t xml:space="preserve">R_region</t>
  </si>
  <si>
    <t xml:space="preserve">Áreas (deducidas en la teoría, Paso 1)</t>
  </si>
  <si>
    <t xml:space="preserve">Columna C (fila actual)</t>
  </si>
  <si>
    <t xml:space="preserve">R_valor</t>
  </si>
  <si>
    <t xml:space="preserve">A1 =</t>
  </si>
  <si>
    <t xml:space="preserve">Columna D (fila actual)</t>
  </si>
  <si>
    <t xml:space="preserve">Región (1, 2 o 3)</t>
  </si>
  <si>
    <t xml:space="preserve">A2 =</t>
  </si>
  <si>
    <t xml:space="preserve">A3 =</t>
  </si>
  <si>
    <t xml:space="preserve">Suma (debe dar 1) =</t>
  </si>
  <si>
    <t xml:space="preserve">Región 1: X = a*√R                 Región 2: X = a + (b−a)*R       Región 3: X = c − (c−b)*√(1−R)</t>
  </si>
  <si>
    <t xml:space="preserve">i</t>
  </si>
  <si>
    <t xml:space="preserve">Región</t>
  </si>
  <si>
    <t xml:space="preserve">X</t>
  </si>
  <si>
    <t xml:space="preserve">Fórmula de X según región (Paso 5 de la teoría): Región 1 -&gt; a*SQRT(R_valor) | Región 2 -&gt; a+(b-a)*R_valor | Región 3 -&gt; c-(c-b)*SQRT(1-R_valor)</t>
  </si>
  <si>
    <t xml:space="preserve">Promedio X =</t>
  </si>
  <si>
    <t xml:space="preserve">Mínimo X =</t>
  </si>
  <si>
    <t xml:space="preserve">Máximo X =</t>
  </si>
  <si>
    <t xml:space="preserve">Histograma vs. densidad teórica (dominio [0, c])</t>
  </si>
  <si>
    <t xml:space="preserve">h (altura meseta) =</t>
  </si>
  <si>
    <t xml:space="preserve">Bin</t>
  </si>
  <si>
    <t xml:space="preserve">Lím. inf.</t>
  </si>
  <si>
    <t xml:space="preserve">Lím. sup.</t>
  </si>
  <si>
    <t xml:space="preserve">Punto medio</t>
  </si>
  <si>
    <t xml:space="preserve">Frecuencia</t>
  </si>
  <si>
    <t xml:space="preserve">Densidad emp.</t>
  </si>
  <si>
    <t xml:space="preserve">Densidad teór.</t>
  </si>
  <si>
    <t xml:space="preserve">Ejercicio 2 — Distribución Triangular (Método de Composición)</t>
  </si>
  <si>
    <t xml:space="preserve">a (punto 1) =</t>
  </si>
  <si>
    <t xml:space="preserve">Debe cumplirse: a &lt; c &lt; b</t>
  </si>
  <si>
    <t xml:space="preserve">c (vértice) =</t>
  </si>
  <si>
    <t xml:space="preserve">b (punto 3) =</t>
  </si>
  <si>
    <t xml:space="preserve">Áreas (Paso 1 de la teoría)</t>
  </si>
  <si>
    <t xml:space="preserve">iteracion</t>
  </si>
  <si>
    <t xml:space="preserve">Region</t>
  </si>
  <si>
    <t xml:space="preserve">Histograma vs. densidad teórica (dominio [a, b])</t>
  </si>
  <si>
    <t xml:space="preserve">Ejercicio 4 — Número óptimo de camiones (distribución empírica agrupada)</t>
  </si>
  <si>
    <t xml:space="preserve">Nº camiones a comprar (B1):</t>
  </si>
  <si>
    <t xml:space="preserve">&lt;- cambia este valor y presiona F9 para recalcular</t>
  </si>
  <si>
    <t xml:space="preserve">Tabla de Producción Diaria (toneladas)</t>
  </si>
  <si>
    <t xml:space="preserve">Tabla de Capacidad por Camión (ton/día)</t>
  </si>
  <si>
    <t xml:space="preserve">Prob. acumulada (F)</t>
  </si>
  <si>
    <t xml:space="preserve">Lím. inf. ton (G)</t>
  </si>
  <si>
    <t xml:space="preserve">Lím. sup. ton (H)</t>
  </si>
  <si>
    <t xml:space="preserve">Prob. acum. (K)</t>
  </si>
  <si>
    <t xml:space="preserve">Lím. inf. ton (L)</t>
  </si>
  <si>
    <t xml:space="preserve">Lím. sup. ton (M)</t>
  </si>
  <si>
    <t xml:space="preserve">Día</t>
  </si>
  <si>
    <t xml:space="preserve">R_Producción</t>
  </si>
  <si>
    <t xml:space="preserve">Producción del Día</t>
  </si>
  <si>
    <t xml:space="preserve">R_Camión</t>
  </si>
  <si>
    <t xml:space="preserve">Capacidad Prom. x Camión</t>
  </si>
  <si>
    <t xml:space="preserve">Capacidad Flotilla Total</t>
  </si>
  <si>
    <t xml:space="preserve">Excedente (Ton)</t>
  </si>
  <si>
    <t xml:space="preserve">Costo Flete Externo</t>
  </si>
  <si>
    <t xml:space="preserve">Costo Anual de Camiones =</t>
  </si>
  <si>
    <t xml:space="preserve">Costo Anual Flete Externo =</t>
  </si>
  <si>
    <t xml:space="preserve">COSTO TOTAL =</t>
  </si>
  <si>
    <t xml:space="preserve">Para encontrar el óptimo: cambia B3 (10,11,12,13,14...), presiona F9, y anota el COSTO TOTAL de cada uno.</t>
  </si>
  <si>
    <t xml:space="preserve">Tabla de referencia (promedio de 500 corridas de 250 días cada una, calculada aparte para validar):</t>
  </si>
  <si>
    <t xml:space="preserve">N° camiones</t>
  </si>
  <si>
    <t xml:space="preserve">Costo camiones</t>
  </si>
  <si>
    <t xml:space="preserve">Flete externo (prom.)</t>
  </si>
  <si>
    <t xml:space="preserve">Costo total (prom.)</t>
  </si>
  <si>
    <t xml:space="preserve">Con estos datos, 11 camiones da el menor costo total esperado (muy cerca de 12).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</si>
</sst>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rgb="FF0000FF"/>
      <name val="Arial"/>
      <family val="0"/>
      <charset val="1"/>
    </font>
    <font>
      <sz val="9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/>
        <bgColor rgb="FFF2F2F2"/>
      </patternFill>
    </fill>
    <fill>
      <patternFill patternType="solid">
        <fgColor rgb="FF4472C4"/>
        <bgColor rgb="FF666666"/>
      </patternFill>
    </fill>
    <fill>
      <patternFill patternType="solid">
        <fgColor theme="0" tint="-0.05"/>
        <bgColor rgb="FFF9F9F9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medium"/>
      <right style="thin">
        <color rgb="FFB0B0B0"/>
      </right>
      <top style="medium"/>
      <bottom style="medium"/>
      <diagonal/>
    </border>
    <border diagonalUp="false" diagonalDown="false">
      <left style="thin">
        <color rgb="FFB0B0B0"/>
      </left>
      <right style="thin">
        <color rgb="FFB0B0B0"/>
      </right>
      <top style="medium"/>
      <bottom style="medium"/>
      <diagonal/>
    </border>
    <border diagonalUp="false" diagonalDown="false">
      <left style="thin">
        <color rgb="FFB0B0B0"/>
      </left>
      <right style="medium"/>
      <top style="medium"/>
      <bottom style="medium"/>
      <diagonal/>
    </border>
    <border diagonalUp="false" diagonalDown="false">
      <left style="medium"/>
      <right style="thin">
        <color rgb="FFB0B0B0"/>
      </right>
      <top/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 diagonalUp="false" diagonalDown="false">
      <left style="thin">
        <color rgb="FFB0B0B0"/>
      </left>
      <right style="medium"/>
      <top/>
      <bottom style="thin">
        <color rgb="FFB0B0B0"/>
      </bottom>
      <diagonal/>
    </border>
    <border diagonalUp="false" diagonalDown="false">
      <left style="medium"/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medium"/>
      <top style="thin">
        <color rgb="FFB0B0B0"/>
      </top>
      <bottom style="thin">
        <color rgb="FFB0B0B0"/>
      </bottom>
      <diagonal/>
    </border>
    <border diagonalUp="false" diagonalDown="false">
      <left style="medium"/>
      <right style="thin">
        <color rgb="FFB0B0B0"/>
      </right>
      <top style="thin">
        <color rgb="FFB0B0B0"/>
      </top>
      <bottom style="medium"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medium"/>
      <diagonal/>
    </border>
    <border diagonalUp="false" diagonalDown="false">
      <left style="thin">
        <color rgb="FFB0B0B0"/>
      </left>
      <right style="medium"/>
      <top style="thin">
        <color rgb="FFB0B0B0"/>
      </top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CE1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06C3C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Ejercicio 1 — Histograma (empírico) vs. densidad teórica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'Ejercicio 1 - Trapezoidal'!G1025</c:f>
              <c:strCache>
                <c:ptCount val="1"/>
                <c:pt idx="0">
                  <c:v>Densidad emp.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'Ejercicio 1 - Trapezoidal'!$E$1026:$E$1045</c:f>
              <c:strCache>
                <c:ptCount val="20"/>
                <c:pt idx="0">
                  <c:v>0.25</c:v>
                </c:pt>
                <c:pt idx="1">
                  <c:v>0.75</c:v>
                </c:pt>
                <c:pt idx="2">
                  <c:v>1.25</c:v>
                </c:pt>
                <c:pt idx="3">
                  <c:v>1.75</c:v>
                </c:pt>
                <c:pt idx="4">
                  <c:v>2.25</c:v>
                </c:pt>
                <c:pt idx="5">
                  <c:v>2.75</c:v>
                </c:pt>
                <c:pt idx="6">
                  <c:v>3.25</c:v>
                </c:pt>
                <c:pt idx="7">
                  <c:v>3.75</c:v>
                </c:pt>
                <c:pt idx="8">
                  <c:v>4.25</c:v>
                </c:pt>
                <c:pt idx="9">
                  <c:v>4.75</c:v>
                </c:pt>
                <c:pt idx="10">
                  <c:v>5.25</c:v>
                </c:pt>
                <c:pt idx="11">
                  <c:v>5.75</c:v>
                </c:pt>
                <c:pt idx="12">
                  <c:v>6.25</c:v>
                </c:pt>
                <c:pt idx="13">
                  <c:v>6.75</c:v>
                </c:pt>
                <c:pt idx="14">
                  <c:v>7.25</c:v>
                </c:pt>
                <c:pt idx="15">
                  <c:v>7.75</c:v>
                </c:pt>
                <c:pt idx="16">
                  <c:v>8.25</c:v>
                </c:pt>
                <c:pt idx="17">
                  <c:v>8.75</c:v>
                </c:pt>
                <c:pt idx="18">
                  <c:v>9.25</c:v>
                </c:pt>
                <c:pt idx="19">
                  <c:v>9.75</c:v>
                </c:pt>
              </c:strCache>
            </c:strRef>
          </c:cat>
          <c:val>
            <c:numRef>
              <c:f>'Ejercicio 1 - Trapezoidal'!$G$1026:$G$1045</c:f>
              <c:numCache>
                <c:formatCode>General</c:formatCode>
                <c:ptCount val="20"/>
                <c:pt idx="0">
                  <c:v>0.008</c:v>
                </c:pt>
                <c:pt idx="1">
                  <c:v>0.034</c:v>
                </c:pt>
                <c:pt idx="2">
                  <c:v>0.06</c:v>
                </c:pt>
                <c:pt idx="3">
                  <c:v>0.068</c:v>
                </c:pt>
                <c:pt idx="4">
                  <c:v>0.094</c:v>
                </c:pt>
                <c:pt idx="5">
                  <c:v>0.144</c:v>
                </c:pt>
                <c:pt idx="6">
                  <c:v>0.134</c:v>
                </c:pt>
                <c:pt idx="7">
                  <c:v>0.13</c:v>
                </c:pt>
                <c:pt idx="8">
                  <c:v>0.152</c:v>
                </c:pt>
                <c:pt idx="9">
                  <c:v>0.18</c:v>
                </c:pt>
                <c:pt idx="10">
                  <c:v>0.138</c:v>
                </c:pt>
                <c:pt idx="11">
                  <c:v>0.138</c:v>
                </c:pt>
                <c:pt idx="12">
                  <c:v>0.14</c:v>
                </c:pt>
                <c:pt idx="13">
                  <c:v>0.134</c:v>
                </c:pt>
                <c:pt idx="14">
                  <c:v>0.136</c:v>
                </c:pt>
                <c:pt idx="15">
                  <c:v>0.124</c:v>
                </c:pt>
                <c:pt idx="16">
                  <c:v>0.072</c:v>
                </c:pt>
                <c:pt idx="17">
                  <c:v>0.068</c:v>
                </c:pt>
                <c:pt idx="18">
                  <c:v>0.032</c:v>
                </c:pt>
                <c:pt idx="19">
                  <c:v>0.014</c:v>
                </c:pt>
              </c:numCache>
            </c:numRef>
          </c:val>
        </c:ser>
        <c:gapWidth val="150"/>
        <c:overlap val="0"/>
        <c:axId val="56305985"/>
        <c:axId val="56386561"/>
      </c:barChart>
      <c:lineChart>
        <c:grouping val="standard"/>
        <c:varyColors val="0"/>
        <c:ser>
          <c:idx val="1"/>
          <c:order val="1"/>
          <c:tx>
            <c:strRef>
              <c:f>'Ejercicio 1 - Trapezoidal'!H1025</c:f>
              <c:strCache>
                <c:ptCount val="1"/>
                <c:pt idx="0">
                  <c:v>Densidad teór.</c:v>
                </c:pt>
              </c:strCache>
            </c:strRef>
          </c:tx>
          <c:spPr>
            <a:solidFill>
              <a:srgbClr val="e06c3c"/>
            </a:solidFill>
            <a:ln w="24840">
              <a:solidFill>
                <a:srgbClr val="e06c3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'Ejercicio 1 - Trapezoidal'!$E$1026:$E$1045</c:f>
              <c:strCache>
                <c:ptCount val="20"/>
                <c:pt idx="0">
                  <c:v>0.25</c:v>
                </c:pt>
                <c:pt idx="1">
                  <c:v>0.75</c:v>
                </c:pt>
                <c:pt idx="2">
                  <c:v>1.25</c:v>
                </c:pt>
                <c:pt idx="3">
                  <c:v>1.75</c:v>
                </c:pt>
                <c:pt idx="4">
                  <c:v>2.25</c:v>
                </c:pt>
                <c:pt idx="5">
                  <c:v>2.75</c:v>
                </c:pt>
                <c:pt idx="6">
                  <c:v>3.25</c:v>
                </c:pt>
                <c:pt idx="7">
                  <c:v>3.75</c:v>
                </c:pt>
                <c:pt idx="8">
                  <c:v>4.25</c:v>
                </c:pt>
                <c:pt idx="9">
                  <c:v>4.75</c:v>
                </c:pt>
                <c:pt idx="10">
                  <c:v>5.25</c:v>
                </c:pt>
                <c:pt idx="11">
                  <c:v>5.75</c:v>
                </c:pt>
                <c:pt idx="12">
                  <c:v>6.25</c:v>
                </c:pt>
                <c:pt idx="13">
                  <c:v>6.75</c:v>
                </c:pt>
                <c:pt idx="14">
                  <c:v>7.25</c:v>
                </c:pt>
                <c:pt idx="15">
                  <c:v>7.75</c:v>
                </c:pt>
                <c:pt idx="16">
                  <c:v>8.25</c:v>
                </c:pt>
                <c:pt idx="17">
                  <c:v>8.75</c:v>
                </c:pt>
                <c:pt idx="18">
                  <c:v>9.25</c:v>
                </c:pt>
                <c:pt idx="19">
                  <c:v>9.75</c:v>
                </c:pt>
              </c:strCache>
            </c:strRef>
          </c:cat>
          <c:val>
            <c:numRef>
              <c:f>'Ejercicio 1 - Trapezoidal'!$H$1026:$H$1045</c:f>
              <c:numCache>
                <c:formatCode>General</c:formatCode>
                <c:ptCount val="20"/>
                <c:pt idx="0">
                  <c:v>0.0119047619047619</c:v>
                </c:pt>
                <c:pt idx="1">
                  <c:v>0.0357142857142857</c:v>
                </c:pt>
                <c:pt idx="2">
                  <c:v>0.0595238095238095</c:v>
                </c:pt>
                <c:pt idx="3">
                  <c:v>0.0833333333333333</c:v>
                </c:pt>
                <c:pt idx="4">
                  <c:v>0.107142857142857</c:v>
                </c:pt>
                <c:pt idx="5">
                  <c:v>0.130952380952381</c:v>
                </c:pt>
                <c:pt idx="6">
                  <c:v>0.142857142857143</c:v>
                </c:pt>
                <c:pt idx="7">
                  <c:v>0.142857142857143</c:v>
                </c:pt>
                <c:pt idx="8">
                  <c:v>0.142857142857143</c:v>
                </c:pt>
                <c:pt idx="9">
                  <c:v>0.142857142857143</c:v>
                </c:pt>
                <c:pt idx="10">
                  <c:v>0.142857142857143</c:v>
                </c:pt>
                <c:pt idx="11">
                  <c:v>0.142857142857143</c:v>
                </c:pt>
                <c:pt idx="12">
                  <c:v>0.142857142857143</c:v>
                </c:pt>
                <c:pt idx="13">
                  <c:v>0.142857142857143</c:v>
                </c:pt>
                <c:pt idx="14">
                  <c:v>0.130952380952381</c:v>
                </c:pt>
                <c:pt idx="15">
                  <c:v>0.107142857142857</c:v>
                </c:pt>
                <c:pt idx="16">
                  <c:v>0.0833333333333333</c:v>
                </c:pt>
                <c:pt idx="17">
                  <c:v>0.0595238095238095</c:v>
                </c:pt>
                <c:pt idx="18">
                  <c:v>0.0357142857142857</c:v>
                </c:pt>
                <c:pt idx="19">
                  <c:v>0.0119047619047619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305985"/>
        <c:axId val="56386561"/>
      </c:lineChart>
      <c:catAx>
        <c:axId val="563059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86561"/>
        <c:crosses val="autoZero"/>
        <c:auto val="1"/>
        <c:lblAlgn val="ctr"/>
        <c:lblOffset val="100"/>
        <c:noMultiLvlLbl val="0"/>
      </c:catAx>
      <c:valAx>
        <c:axId val="563865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Densidad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059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Ejercicio 2 — Histograma (empírico) vs. densidad teórica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'Ejercicio 2 - Triangular'!G1024</c:f>
              <c:strCache>
                <c:ptCount val="1"/>
                <c:pt idx="0">
                  <c:v>Densidad emp.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'Ejercicio 2 - Triangular'!$E$1025:$E$1044</c:f>
              <c:strCache>
                <c:ptCount val="20"/>
                <c:pt idx="0">
                  <c:v>8.05</c:v>
                </c:pt>
                <c:pt idx="1">
                  <c:v>8.15</c:v>
                </c:pt>
                <c:pt idx="2">
                  <c:v>8.25</c:v>
                </c:pt>
                <c:pt idx="3">
                  <c:v>8.35</c:v>
                </c:pt>
                <c:pt idx="4">
                  <c:v>8.45</c:v>
                </c:pt>
                <c:pt idx="5">
                  <c:v>8.55</c:v>
                </c:pt>
                <c:pt idx="6">
                  <c:v>8.65</c:v>
                </c:pt>
                <c:pt idx="7">
                  <c:v>8.75</c:v>
                </c:pt>
                <c:pt idx="8">
                  <c:v>8.85</c:v>
                </c:pt>
                <c:pt idx="9">
                  <c:v>8.95</c:v>
                </c:pt>
                <c:pt idx="10">
                  <c:v>9.05</c:v>
                </c:pt>
                <c:pt idx="11">
                  <c:v>9.15</c:v>
                </c:pt>
                <c:pt idx="12">
                  <c:v>9.25</c:v>
                </c:pt>
                <c:pt idx="13">
                  <c:v>9.35</c:v>
                </c:pt>
                <c:pt idx="14">
                  <c:v>9.45</c:v>
                </c:pt>
                <c:pt idx="15">
                  <c:v>9.55</c:v>
                </c:pt>
                <c:pt idx="16">
                  <c:v>9.65</c:v>
                </c:pt>
                <c:pt idx="17">
                  <c:v>9.75</c:v>
                </c:pt>
                <c:pt idx="18">
                  <c:v>9.85</c:v>
                </c:pt>
                <c:pt idx="19">
                  <c:v>9.95</c:v>
                </c:pt>
              </c:strCache>
            </c:strRef>
          </c:cat>
          <c:val>
            <c:numRef>
              <c:f>'Ejercicio 2 - Triangular'!$G$1025:$G$1044</c:f>
              <c:numCache>
                <c:formatCode>General</c:formatCode>
                <c:ptCount val="20"/>
                <c:pt idx="0">
                  <c:v>0.0300000000000001</c:v>
                </c:pt>
                <c:pt idx="1">
                  <c:v>0.1</c:v>
                </c:pt>
                <c:pt idx="2">
                  <c:v>0.159999999999998</c:v>
                </c:pt>
                <c:pt idx="3">
                  <c:v>0.14</c:v>
                </c:pt>
                <c:pt idx="4">
                  <c:v>0.240000000000001</c:v>
                </c:pt>
                <c:pt idx="5">
                  <c:v>0.370000000000001</c:v>
                </c:pt>
                <c:pt idx="6">
                  <c:v>1.07</c:v>
                </c:pt>
                <c:pt idx="7">
                  <c:v>1.10999999999998</c:v>
                </c:pt>
                <c:pt idx="8">
                  <c:v>1.01</c:v>
                </c:pt>
                <c:pt idx="9">
                  <c:v>1.04</c:v>
                </c:pt>
                <c:pt idx="10">
                  <c:v>1.12</c:v>
                </c:pt>
                <c:pt idx="11">
                  <c:v>0.790000000000003</c:v>
                </c:pt>
                <c:pt idx="12">
                  <c:v>1.01999999999999</c:v>
                </c:pt>
                <c:pt idx="13">
                  <c:v>0.930000000000003</c:v>
                </c:pt>
                <c:pt idx="14">
                  <c:v>0.380000000000001</c:v>
                </c:pt>
                <c:pt idx="15">
                  <c:v>0.150000000000001</c:v>
                </c:pt>
                <c:pt idx="16">
                  <c:v>0.160000000000001</c:v>
                </c:pt>
                <c:pt idx="17">
                  <c:v>0.0899999999999987</c:v>
                </c:pt>
                <c:pt idx="18">
                  <c:v>0.0900000000000003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50772358"/>
        <c:axId val="9277461"/>
      </c:barChart>
      <c:lineChart>
        <c:grouping val="standard"/>
        <c:varyColors val="0"/>
        <c:ser>
          <c:idx val="1"/>
          <c:order val="1"/>
          <c:tx>
            <c:strRef>
              <c:f>'Ejercicio 2 - Triangular'!H1024</c:f>
              <c:strCache>
                <c:ptCount val="1"/>
                <c:pt idx="0">
                  <c:v>Densidad teór.</c:v>
                </c:pt>
              </c:strCache>
            </c:strRef>
          </c:tx>
          <c:spPr>
            <a:solidFill>
              <a:srgbClr val="e06c3c"/>
            </a:solidFill>
            <a:ln w="24840">
              <a:solidFill>
                <a:srgbClr val="e06c3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'Ejercicio 2 - Triangular'!$E$1025:$E$1044</c:f>
              <c:strCache>
                <c:ptCount val="20"/>
                <c:pt idx="0">
                  <c:v>8.05</c:v>
                </c:pt>
                <c:pt idx="1">
                  <c:v>8.15</c:v>
                </c:pt>
                <c:pt idx="2">
                  <c:v>8.25</c:v>
                </c:pt>
                <c:pt idx="3">
                  <c:v>8.35</c:v>
                </c:pt>
                <c:pt idx="4">
                  <c:v>8.45</c:v>
                </c:pt>
                <c:pt idx="5">
                  <c:v>8.55</c:v>
                </c:pt>
                <c:pt idx="6">
                  <c:v>8.65</c:v>
                </c:pt>
                <c:pt idx="7">
                  <c:v>8.75</c:v>
                </c:pt>
                <c:pt idx="8">
                  <c:v>8.85</c:v>
                </c:pt>
                <c:pt idx="9">
                  <c:v>8.95</c:v>
                </c:pt>
                <c:pt idx="10">
                  <c:v>9.05</c:v>
                </c:pt>
                <c:pt idx="11">
                  <c:v>9.15</c:v>
                </c:pt>
                <c:pt idx="12">
                  <c:v>9.25</c:v>
                </c:pt>
                <c:pt idx="13">
                  <c:v>9.35</c:v>
                </c:pt>
                <c:pt idx="14">
                  <c:v>9.45</c:v>
                </c:pt>
                <c:pt idx="15">
                  <c:v>9.55</c:v>
                </c:pt>
                <c:pt idx="16">
                  <c:v>9.65</c:v>
                </c:pt>
                <c:pt idx="17">
                  <c:v>9.75</c:v>
                </c:pt>
                <c:pt idx="18">
                  <c:v>9.85</c:v>
                </c:pt>
                <c:pt idx="19">
                  <c:v>9.95</c:v>
                </c:pt>
              </c:strCache>
            </c:strRef>
          </c:cat>
          <c:val>
            <c:numRef>
              <c:f>'Ejercicio 2 - Triangular'!$H$1025:$H$1044</c:f>
              <c:numCache>
                <c:formatCode>General</c:formatCode>
                <c:ptCount val="20"/>
                <c:pt idx="0">
                  <c:v>0.0500000000000007</c:v>
                </c:pt>
                <c:pt idx="1">
                  <c:v>0.149999999999999</c:v>
                </c:pt>
                <c:pt idx="2">
                  <c:v>0.25</c:v>
                </c:pt>
                <c:pt idx="3">
                  <c:v>0.350000000000001</c:v>
                </c:pt>
                <c:pt idx="4">
                  <c:v>0.449999999999999</c:v>
                </c:pt>
                <c:pt idx="5">
                  <c:v>0.550000000000001</c:v>
                </c:pt>
                <c:pt idx="6">
                  <c:v>0.649999999999999</c:v>
                </c:pt>
                <c:pt idx="7">
                  <c:v>0.75</c:v>
                </c:pt>
                <c:pt idx="8">
                  <c:v>0.850000000000001</c:v>
                </c:pt>
                <c:pt idx="9">
                  <c:v>0.949999999999999</c:v>
                </c:pt>
                <c:pt idx="10">
                  <c:v>0.949999999999999</c:v>
                </c:pt>
                <c:pt idx="11">
                  <c:v>0.850000000000001</c:v>
                </c:pt>
                <c:pt idx="12">
                  <c:v>0.75</c:v>
                </c:pt>
                <c:pt idx="13">
                  <c:v>0.649999999999999</c:v>
                </c:pt>
                <c:pt idx="14">
                  <c:v>0.550000000000001</c:v>
                </c:pt>
                <c:pt idx="15">
                  <c:v>0.449999999999999</c:v>
                </c:pt>
                <c:pt idx="16">
                  <c:v>0.350000000000001</c:v>
                </c:pt>
                <c:pt idx="17">
                  <c:v>0.25</c:v>
                </c:pt>
                <c:pt idx="18">
                  <c:v>0.149999999999999</c:v>
                </c:pt>
                <c:pt idx="19">
                  <c:v>0.0500000000000007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772358"/>
        <c:axId val="9277461"/>
      </c:lineChart>
      <c:catAx>
        <c:axId val="507723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7461"/>
        <c:crosses val="autoZero"/>
        <c:auto val="1"/>
        <c:lblAlgn val="ctr"/>
        <c:lblOffset val="100"/>
        <c:noMultiLvlLbl val="0"/>
      </c:catAx>
      <c:valAx>
        <c:axId val="92774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Densidad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72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Costo total anual vs. número de camiones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'Ejercicio 4 - Camiones'!D274</c:f>
              <c:strCache>
                <c:ptCount val="1"/>
                <c:pt idx="0">
                  <c:v>Costo total (prom.)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'Ejercicio 4 - Camiones'!$A$275:$A$280</c:f>
              <c:strCach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strCache>
            </c:strRef>
          </c:cat>
          <c:val>
            <c:numRef>
              <c:f>'Ejercicio 4 - Camiones'!$D$275:$D$280</c:f>
              <c:numCache>
                <c:formatCode>General</c:formatCode>
                <c:ptCount val="6"/>
                <c:pt idx="0">
                  <c:v>1404778</c:v>
                </c:pt>
                <c:pt idx="1">
                  <c:v>1393293</c:v>
                </c:pt>
                <c:pt idx="2">
                  <c:v>1394157</c:v>
                </c:pt>
                <c:pt idx="3">
                  <c:v>1416862</c:v>
                </c:pt>
                <c:pt idx="4">
                  <c:v>1463358</c:v>
                </c:pt>
                <c:pt idx="5">
                  <c:v>1530183</c:v>
                </c:pt>
              </c:numCache>
            </c:numRef>
          </c:val>
        </c:ser>
        <c:gapWidth val="150"/>
        <c:overlap val="0"/>
        <c:axId val="67087026"/>
        <c:axId val="24208967"/>
      </c:barChart>
      <c:catAx>
        <c:axId val="670870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N° de camiones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08967"/>
        <c:crosses val="autoZero"/>
        <c:auto val="1"/>
        <c:lblAlgn val="ctr"/>
        <c:lblOffset val="100"/>
        <c:noMultiLvlLbl val="0"/>
      </c:catAx>
      <c:valAx>
        <c:axId val="242089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Costo total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87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1019</xdr:row>
      <xdr:rowOff>32400</xdr:rowOff>
    </xdr:from>
    <xdr:to>
      <xdr:col>20</xdr:col>
      <xdr:colOff>364680</xdr:colOff>
      <xdr:row>1038</xdr:row>
      <xdr:rowOff>12240</xdr:rowOff>
    </xdr:to>
    <xdr:graphicFrame>
      <xdr:nvGraphicFramePr>
        <xdr:cNvPr id="0" name="Chart 1"/>
        <xdr:cNvGraphicFramePr/>
      </xdr:nvGraphicFramePr>
      <xdr:xfrm>
        <a:off x="13477320" y="19469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1021</xdr:row>
      <xdr:rowOff>160560</xdr:rowOff>
    </xdr:from>
    <xdr:to>
      <xdr:col>20</xdr:col>
      <xdr:colOff>364680</xdr:colOff>
      <xdr:row>1040</xdr:row>
      <xdr:rowOff>140760</xdr:rowOff>
    </xdr:to>
    <xdr:graphicFrame>
      <xdr:nvGraphicFramePr>
        <xdr:cNvPr id="1" name="Chart 1"/>
        <xdr:cNvGraphicFramePr/>
      </xdr:nvGraphicFramePr>
      <xdr:xfrm>
        <a:off x="11976840" y="19469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271</xdr:row>
      <xdr:rowOff>160560</xdr:rowOff>
    </xdr:from>
    <xdr:to>
      <xdr:col>10</xdr:col>
      <xdr:colOff>404280</xdr:colOff>
      <xdr:row>288</xdr:row>
      <xdr:rowOff>161640</xdr:rowOff>
    </xdr:to>
    <xdr:graphicFrame>
      <xdr:nvGraphicFramePr>
        <xdr:cNvPr id="2" name="Chart 1"/>
        <xdr:cNvGraphicFramePr/>
      </xdr:nvGraphicFramePr>
      <xdr:xfrm>
        <a:off x="6151320" y="51815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0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7.69"/>
    <col collapsed="false" customWidth="true" hidden="false" outlineLevel="0" max="3" min="3" style="0" width="17.2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7.28"/>
    <col collapsed="false" customWidth="true" hidden="false" outlineLevel="0" max="7" min="7" style="0" width="45"/>
    <col collapsed="false" customWidth="true" hidden="false" outlineLevel="0" max="9" min="9" style="0" width="19.7"/>
    <col collapsed="false" customWidth="true" hidden="false" outlineLevel="0" max="10" min="10" style="0" width="20.93"/>
  </cols>
  <sheetData>
    <row r="1" customFormat="false" ht="17.35" hidden="false" customHeight="false" outlineLevel="0" collapsed="false">
      <c r="B1" s="1" t="s">
        <v>0</v>
      </c>
      <c r="C1" s="1"/>
      <c r="D1" s="1"/>
      <c r="E1" s="1"/>
      <c r="F1" s="1"/>
    </row>
    <row r="2" customFormat="false" ht="15" hidden="false" customHeight="false" outlineLevel="0" collapsed="false">
      <c r="I2" s="2" t="s">
        <v>1</v>
      </c>
      <c r="J2" s="2" t="s">
        <v>2</v>
      </c>
    </row>
    <row r="3" customFormat="false" ht="15" hidden="false" customHeight="false" outlineLevel="0" collapsed="false">
      <c r="B3" s="3" t="s">
        <v>3</v>
      </c>
      <c r="I3" s="4" t="s">
        <v>4</v>
      </c>
      <c r="J3" s="4" t="s">
        <v>5</v>
      </c>
    </row>
    <row r="4" customFormat="false" ht="15" hidden="false" customHeight="false" outlineLevel="0" collapsed="false">
      <c r="B4" s="0" t="s">
        <v>6</v>
      </c>
      <c r="C4" s="5" t="n">
        <v>3</v>
      </c>
      <c r="G4" s="6" t="s">
        <v>7</v>
      </c>
      <c r="I4" s="4" t="s">
        <v>8</v>
      </c>
      <c r="J4" s="4" t="s">
        <v>9</v>
      </c>
    </row>
    <row r="5" customFormat="false" ht="15" hidden="false" customHeight="false" outlineLevel="0" collapsed="false">
      <c r="B5" s="0" t="s">
        <v>10</v>
      </c>
      <c r="C5" s="5" t="n">
        <v>7</v>
      </c>
      <c r="I5" s="4" t="s">
        <v>11</v>
      </c>
      <c r="J5" s="4" t="s">
        <v>12</v>
      </c>
    </row>
    <row r="6" customFormat="false" ht="15" hidden="false" customHeight="false" outlineLevel="0" collapsed="false">
      <c r="B6" s="0" t="s">
        <v>13</v>
      </c>
      <c r="C6" s="5" t="n">
        <v>10</v>
      </c>
      <c r="I6" s="4" t="s">
        <v>14</v>
      </c>
      <c r="J6" s="4" t="s">
        <v>15</v>
      </c>
    </row>
    <row r="7" customFormat="false" ht="15" hidden="false" customHeight="false" outlineLevel="0" collapsed="false">
      <c r="B7" s="0" t="s">
        <v>16</v>
      </c>
      <c r="C7" s="5" t="n">
        <v>1000</v>
      </c>
      <c r="I7" s="4" t="s">
        <v>17</v>
      </c>
      <c r="J7" s="4" t="s">
        <v>18</v>
      </c>
    </row>
    <row r="8" customFormat="false" ht="15" hidden="false" customHeight="false" outlineLevel="0" collapsed="false">
      <c r="I8" s="4" t="s">
        <v>19</v>
      </c>
      <c r="J8" s="4" t="s">
        <v>20</v>
      </c>
    </row>
    <row r="9" customFormat="false" ht="15" hidden="false" customHeight="false" outlineLevel="0" collapsed="false">
      <c r="B9" s="3" t="s">
        <v>21</v>
      </c>
      <c r="I9" s="4" t="s">
        <v>22</v>
      </c>
      <c r="J9" s="4" t="s">
        <v>23</v>
      </c>
    </row>
    <row r="10" customFormat="false" ht="28.35" hidden="false" customHeight="false" outlineLevel="0" collapsed="false">
      <c r="B10" s="0" t="s">
        <v>24</v>
      </c>
      <c r="C10" s="7" t="n">
        <f aca="false">C4/(-C4+C5+C6)</f>
        <v>0.214285714285714</v>
      </c>
      <c r="I10" s="4" t="s">
        <v>25</v>
      </c>
      <c r="J10" s="4" t="s">
        <v>26</v>
      </c>
    </row>
    <row r="11" customFormat="false" ht="15" hidden="false" customHeight="false" outlineLevel="0" collapsed="false">
      <c r="B11" s="0" t="s">
        <v>27</v>
      </c>
      <c r="C11" s="7" t="n">
        <f aca="false">(2*C5-2*C4)/(-C4+C5+C6)</f>
        <v>0.571428571428571</v>
      </c>
    </row>
    <row r="12" customFormat="false" ht="15" hidden="false" customHeight="false" outlineLevel="0" collapsed="false">
      <c r="B12" s="0" t="s">
        <v>28</v>
      </c>
      <c r="C12" s="7" t="n">
        <f aca="false">(C6-C5)/(-C4+C5+C6)</f>
        <v>0.214285714285714</v>
      </c>
    </row>
    <row r="13" customFormat="false" ht="41.75" hidden="false" customHeight="false" outlineLevel="0" collapsed="false">
      <c r="B13" s="0" t="s">
        <v>29</v>
      </c>
      <c r="C13" s="7" t="n">
        <f aca="false">C10+C11+C12</f>
        <v>1</v>
      </c>
      <c r="F13" s="8" t="s">
        <v>30</v>
      </c>
    </row>
    <row r="16" customFormat="false" ht="15" hidden="false" customHeight="false" outlineLevel="0" collapsed="false">
      <c r="B16" s="9" t="s">
        <v>31</v>
      </c>
      <c r="C16" s="10" t="s">
        <v>20</v>
      </c>
      <c r="D16" s="10" t="s">
        <v>23</v>
      </c>
      <c r="E16" s="10" t="s">
        <v>32</v>
      </c>
      <c r="F16" s="11" t="s">
        <v>33</v>
      </c>
      <c r="G16" s="6" t="s">
        <v>34</v>
      </c>
    </row>
    <row r="17" customFormat="false" ht="15" hidden="false" customHeight="false" outlineLevel="0" collapsed="false">
      <c r="B17" s="12" t="n">
        <v>1</v>
      </c>
      <c r="C17" s="13" t="n">
        <f aca="true">RAND()</f>
        <v>0.15399522008652</v>
      </c>
      <c r="D17" s="13" t="n">
        <f aca="true">RAND()</f>
        <v>0.645922046550936</v>
      </c>
      <c r="E17" s="13" t="n">
        <f aca="false">IF(C17&lt;=$C$10,1,IF(C17&lt;=$C$10+$C$11,2,3))</f>
        <v>1</v>
      </c>
      <c r="F17" s="14" t="n">
        <f aca="false">IF(E17=1,$C$4*SQRT(D17),IF(E17=2,$C$4+($C$5-$C$4)*D17,$C$6-($C$6-$C$5)*SQRT(1-D17)))</f>
        <v>2.41107826894077</v>
      </c>
    </row>
    <row r="18" customFormat="false" ht="15" hidden="false" customHeight="false" outlineLevel="0" collapsed="false">
      <c r="B18" s="15" t="n">
        <v>2</v>
      </c>
      <c r="C18" s="16" t="n">
        <f aca="true">RAND()</f>
        <v>0.814225509298144</v>
      </c>
      <c r="D18" s="16" t="n">
        <f aca="true">RAND()</f>
        <v>0.653697260382294</v>
      </c>
      <c r="E18" s="16" t="n">
        <f aca="false">IF(C18&lt;=$C$10,1,IF(C18&lt;=$C$10+$C$11,2,3))</f>
        <v>3</v>
      </c>
      <c r="F18" s="17" t="n">
        <f aca="false">IF(E18=1,$C$4*SQRT(D18),IF(E18=2,$C$4+($C$5-$C$4)*D18,$C$6-($C$6-$C$5)*SQRT(1-D18)))</f>
        <v>8.23457521922928</v>
      </c>
    </row>
    <row r="19" customFormat="false" ht="15" hidden="false" customHeight="false" outlineLevel="0" collapsed="false">
      <c r="B19" s="15" t="n">
        <v>3</v>
      </c>
      <c r="C19" s="16" t="n">
        <f aca="true">RAND()</f>
        <v>0.471368690855152</v>
      </c>
      <c r="D19" s="16" t="n">
        <f aca="true">RAND()</f>
        <v>0.405808774717034</v>
      </c>
      <c r="E19" s="16" t="n">
        <f aca="false">IF(C19&lt;=$C$10,1,IF(C19&lt;=$C$10+$C$11,2,3))</f>
        <v>2</v>
      </c>
      <c r="F19" s="17" t="n">
        <f aca="false">IF(E19=1,$C$4*SQRT(D19),IF(E19=2,$C$4+($C$5-$C$4)*D19,$C$6-($C$6-$C$5)*SQRT(1-D19)))</f>
        <v>4.62323509886814</v>
      </c>
    </row>
    <row r="20" customFormat="false" ht="15" hidden="false" customHeight="false" outlineLevel="0" collapsed="false">
      <c r="B20" s="15" t="n">
        <v>4</v>
      </c>
      <c r="C20" s="16" t="n">
        <f aca="true">RAND()</f>
        <v>0.534808387200638</v>
      </c>
      <c r="D20" s="16" t="n">
        <f aca="true">RAND()</f>
        <v>0.0854874541829608</v>
      </c>
      <c r="E20" s="16" t="n">
        <f aca="false">IF(C20&lt;=$C$10,1,IF(C20&lt;=$C$10+$C$11,2,3))</f>
        <v>2</v>
      </c>
      <c r="F20" s="17" t="n">
        <f aca="false">IF(E20=1,$C$4*SQRT(D20),IF(E20=2,$C$4+($C$5-$C$4)*D20,$C$6-($C$6-$C$5)*SQRT(1-D20)))</f>
        <v>3.34194981673184</v>
      </c>
    </row>
    <row r="21" customFormat="false" ht="15" hidden="false" customHeight="false" outlineLevel="0" collapsed="false">
      <c r="B21" s="15" t="n">
        <v>5</v>
      </c>
      <c r="C21" s="16" t="n">
        <f aca="true">RAND()</f>
        <v>0.287000522143307</v>
      </c>
      <c r="D21" s="16" t="n">
        <f aca="true">RAND()</f>
        <v>0.828666755161382</v>
      </c>
      <c r="E21" s="16" t="n">
        <f aca="false">IF(C21&lt;=$C$10,1,IF(C21&lt;=$C$10+$C$11,2,3))</f>
        <v>2</v>
      </c>
      <c r="F21" s="17" t="n">
        <f aca="false">IF(E21=1,$C$4*SQRT(D21),IF(E21=2,$C$4+($C$5-$C$4)*D21,$C$6-($C$6-$C$5)*SQRT(1-D21)))</f>
        <v>6.31466702064553</v>
      </c>
    </row>
    <row r="22" customFormat="false" ht="15" hidden="false" customHeight="false" outlineLevel="0" collapsed="false">
      <c r="B22" s="15" t="n">
        <v>6</v>
      </c>
      <c r="C22" s="16" t="n">
        <f aca="true">RAND()</f>
        <v>0.989558214008611</v>
      </c>
      <c r="D22" s="16" t="n">
        <f aca="true">RAND()</f>
        <v>0.60151644303788</v>
      </c>
      <c r="E22" s="16" t="n">
        <f aca="false">IF(C22&lt;=$C$10,1,IF(C22&lt;=$C$10+$C$11,2,3))</f>
        <v>3</v>
      </c>
      <c r="F22" s="17" t="n">
        <f aca="false">IF(E22=1,$C$4*SQRT(D22),IF(E22=2,$C$4+($C$5-$C$4)*D22,$C$6-($C$6-$C$5)*SQRT(1-D22)))</f>
        <v>8.10623337956889</v>
      </c>
    </row>
    <row r="23" customFormat="false" ht="15" hidden="false" customHeight="false" outlineLevel="0" collapsed="false">
      <c r="B23" s="15" t="n">
        <v>7</v>
      </c>
      <c r="C23" s="16" t="n">
        <f aca="true">RAND()</f>
        <v>0.372207577156817</v>
      </c>
      <c r="D23" s="16" t="n">
        <f aca="true">RAND()</f>
        <v>0.947203614095143</v>
      </c>
      <c r="E23" s="16" t="n">
        <f aca="false">IF(C23&lt;=$C$10,1,IF(C23&lt;=$C$10+$C$11,2,3))</f>
        <v>2</v>
      </c>
      <c r="F23" s="17" t="n">
        <f aca="false">IF(E23=1,$C$4*SQRT(D23),IF(E23=2,$C$4+($C$5-$C$4)*D23,$C$6-($C$6-$C$5)*SQRT(1-D23)))</f>
        <v>6.78881445638057</v>
      </c>
    </row>
    <row r="24" customFormat="false" ht="15" hidden="false" customHeight="false" outlineLevel="0" collapsed="false">
      <c r="B24" s="15" t="n">
        <v>8</v>
      </c>
      <c r="C24" s="16" t="n">
        <f aca="true">RAND()</f>
        <v>0.732078927969289</v>
      </c>
      <c r="D24" s="16" t="n">
        <f aca="true">RAND()</f>
        <v>0.420550384003633</v>
      </c>
      <c r="E24" s="16" t="n">
        <f aca="false">IF(C24&lt;=$C$10,1,IF(C24&lt;=$C$10+$C$11,2,3))</f>
        <v>2</v>
      </c>
      <c r="F24" s="17" t="n">
        <f aca="false">IF(E24=1,$C$4*SQRT(D24),IF(E24=2,$C$4+($C$5-$C$4)*D24,$C$6-($C$6-$C$5)*SQRT(1-D24)))</f>
        <v>4.68220153601453</v>
      </c>
    </row>
    <row r="25" customFormat="false" ht="15" hidden="false" customHeight="false" outlineLevel="0" collapsed="false">
      <c r="B25" s="15" t="n">
        <v>9</v>
      </c>
      <c r="C25" s="16" t="n">
        <f aca="true">RAND()</f>
        <v>0.311585732704822</v>
      </c>
      <c r="D25" s="16" t="n">
        <f aca="true">RAND()</f>
        <v>0.882171917173212</v>
      </c>
      <c r="E25" s="16" t="n">
        <f aca="false">IF(C25&lt;=$C$10,1,IF(C25&lt;=$C$10+$C$11,2,3))</f>
        <v>2</v>
      </c>
      <c r="F25" s="17" t="n">
        <f aca="false">IF(E25=1,$C$4*SQRT(D25),IF(E25=2,$C$4+($C$5-$C$4)*D25,$C$6-($C$6-$C$5)*SQRT(1-D25)))</f>
        <v>6.52868766869285</v>
      </c>
    </row>
    <row r="26" customFormat="false" ht="15" hidden="false" customHeight="false" outlineLevel="0" collapsed="false">
      <c r="B26" s="15" t="n">
        <v>10</v>
      </c>
      <c r="C26" s="16" t="n">
        <f aca="true">RAND()</f>
        <v>0.436285322145844</v>
      </c>
      <c r="D26" s="16" t="n">
        <f aca="true">RAND()</f>
        <v>0.978232891630037</v>
      </c>
      <c r="E26" s="16" t="n">
        <f aca="false">IF(C26&lt;=$C$10,1,IF(C26&lt;=$C$10+$C$11,2,3))</f>
        <v>2</v>
      </c>
      <c r="F26" s="17" t="n">
        <f aca="false">IF(E26=1,$C$4*SQRT(D26),IF(E26=2,$C$4+($C$5-$C$4)*D26,$C$6-($C$6-$C$5)*SQRT(1-D26)))</f>
        <v>6.91293156652015</v>
      </c>
    </row>
    <row r="27" customFormat="false" ht="15" hidden="false" customHeight="false" outlineLevel="0" collapsed="false">
      <c r="B27" s="15" t="n">
        <v>11</v>
      </c>
      <c r="C27" s="16" t="n">
        <f aca="true">RAND()</f>
        <v>0.0835249330984553</v>
      </c>
      <c r="D27" s="16" t="n">
        <f aca="true">RAND()</f>
        <v>0.159438774177866</v>
      </c>
      <c r="E27" s="16" t="n">
        <f aca="false">IF(C27&lt;=$C$10,1,IF(C27&lt;=$C$10+$C$11,2,3))</f>
        <v>1</v>
      </c>
      <c r="F27" s="17" t="n">
        <f aca="false">IF(E27=1,$C$4*SQRT(D27),IF(E27=2,$C$4+($C$5-$C$4)*D27,$C$6-($C$6-$C$5)*SQRT(1-D27)))</f>
        <v>1.19789355436983</v>
      </c>
    </row>
    <row r="28" customFormat="false" ht="15" hidden="false" customHeight="false" outlineLevel="0" collapsed="false">
      <c r="B28" s="15" t="n">
        <v>12</v>
      </c>
      <c r="C28" s="16" t="n">
        <f aca="true">RAND()</f>
        <v>0.214524351661787</v>
      </c>
      <c r="D28" s="16" t="n">
        <f aca="true">RAND()</f>
        <v>0.14385387064384</v>
      </c>
      <c r="E28" s="16" t="n">
        <f aca="false">IF(C28&lt;=$C$10,1,IF(C28&lt;=$C$10+$C$11,2,3))</f>
        <v>2</v>
      </c>
      <c r="F28" s="17" t="n">
        <f aca="false">IF(E28=1,$C$4*SQRT(D28),IF(E28=2,$C$4+($C$5-$C$4)*D28,$C$6-($C$6-$C$5)*SQRT(1-D28)))</f>
        <v>3.57541548257536</v>
      </c>
    </row>
    <row r="29" customFormat="false" ht="15" hidden="false" customHeight="false" outlineLevel="0" collapsed="false">
      <c r="B29" s="15" t="n">
        <v>13</v>
      </c>
      <c r="C29" s="16" t="n">
        <f aca="true">RAND()</f>
        <v>0.190832323517326</v>
      </c>
      <c r="D29" s="16" t="n">
        <f aca="true">RAND()</f>
        <v>0.2900896017243</v>
      </c>
      <c r="E29" s="16" t="n">
        <f aca="false">IF(C29&lt;=$C$10,1,IF(C29&lt;=$C$10+$C$11,2,3))</f>
        <v>1</v>
      </c>
      <c r="F29" s="17" t="n">
        <f aca="false">IF(E29=1,$C$4*SQRT(D29),IF(E29=2,$C$4+($C$5-$C$4)*D29,$C$6-($C$6-$C$5)*SQRT(1-D29)))</f>
        <v>1.61579900220253</v>
      </c>
    </row>
    <row r="30" customFormat="false" ht="15" hidden="false" customHeight="false" outlineLevel="0" collapsed="false">
      <c r="B30" s="15" t="n">
        <v>14</v>
      </c>
      <c r="C30" s="16" t="n">
        <f aca="true">RAND()</f>
        <v>0.308478859117326</v>
      </c>
      <c r="D30" s="16" t="n">
        <f aca="true">RAND()</f>
        <v>0.152616774019362</v>
      </c>
      <c r="E30" s="16" t="n">
        <f aca="false">IF(C30&lt;=$C$10,1,IF(C30&lt;=$C$10+$C$11,2,3))</f>
        <v>2</v>
      </c>
      <c r="F30" s="17" t="n">
        <f aca="false">IF(E30=1,$C$4*SQRT(D30),IF(E30=2,$C$4+($C$5-$C$4)*D30,$C$6-($C$6-$C$5)*SQRT(1-D30)))</f>
        <v>3.61046709607745</v>
      </c>
    </row>
    <row r="31" customFormat="false" ht="15" hidden="false" customHeight="false" outlineLevel="0" collapsed="false">
      <c r="B31" s="15" t="n">
        <v>15</v>
      </c>
      <c r="C31" s="16" t="n">
        <f aca="true">RAND()</f>
        <v>0.312405415487992</v>
      </c>
      <c r="D31" s="16" t="n">
        <f aca="true">RAND()</f>
        <v>0.492561476258006</v>
      </c>
      <c r="E31" s="16" t="n">
        <f aca="false">IF(C31&lt;=$C$10,1,IF(C31&lt;=$C$10+$C$11,2,3))</f>
        <v>2</v>
      </c>
      <c r="F31" s="17" t="n">
        <f aca="false">IF(E31=1,$C$4*SQRT(D31),IF(E31=2,$C$4+($C$5-$C$4)*D31,$C$6-($C$6-$C$5)*SQRT(1-D31)))</f>
        <v>4.97024590503203</v>
      </c>
    </row>
    <row r="32" customFormat="false" ht="15" hidden="false" customHeight="false" outlineLevel="0" collapsed="false">
      <c r="B32" s="15" t="n">
        <v>16</v>
      </c>
      <c r="C32" s="16" t="n">
        <f aca="true">RAND()</f>
        <v>0.212797235729783</v>
      </c>
      <c r="D32" s="16" t="n">
        <f aca="true">RAND()</f>
        <v>0.793777957145389</v>
      </c>
      <c r="E32" s="16" t="n">
        <f aca="false">IF(C32&lt;=$C$10,1,IF(C32&lt;=$C$10+$C$11,2,3))</f>
        <v>1</v>
      </c>
      <c r="F32" s="17" t="n">
        <f aca="false">IF(E32=1,$C$4*SQRT(D32),IF(E32=2,$C$4+($C$5-$C$4)*D32,$C$6-($C$6-$C$5)*SQRT(1-D32)))</f>
        <v>2.67282652155139</v>
      </c>
    </row>
    <row r="33" customFormat="false" ht="15" hidden="false" customHeight="false" outlineLevel="0" collapsed="false">
      <c r="B33" s="15" t="n">
        <v>17</v>
      </c>
      <c r="C33" s="16" t="n">
        <f aca="true">RAND()</f>
        <v>0.924616080331481</v>
      </c>
      <c r="D33" s="16" t="n">
        <f aca="true">RAND()</f>
        <v>0.715993121740515</v>
      </c>
      <c r="E33" s="16" t="n">
        <f aca="false">IF(C33&lt;=$C$10,1,IF(C33&lt;=$C$10+$C$11,2,3))</f>
        <v>3</v>
      </c>
      <c r="F33" s="17" t="n">
        <f aca="false">IF(E33=1,$C$4*SQRT(D33),IF(E33=2,$C$4+($C$5-$C$4)*D33,$C$6-($C$6-$C$5)*SQRT(1-D33)))</f>
        <v>8.40123112854442</v>
      </c>
    </row>
    <row r="34" customFormat="false" ht="15" hidden="false" customHeight="false" outlineLevel="0" collapsed="false">
      <c r="B34" s="15" t="n">
        <v>18</v>
      </c>
      <c r="C34" s="16" t="n">
        <f aca="true">RAND()</f>
        <v>0.208247054068966</v>
      </c>
      <c r="D34" s="16" t="n">
        <f aca="true">RAND()</f>
        <v>0.835738879857052</v>
      </c>
      <c r="E34" s="16" t="n">
        <f aca="false">IF(C34&lt;=$C$10,1,IF(C34&lt;=$C$10+$C$11,2,3))</f>
        <v>1</v>
      </c>
      <c r="F34" s="17" t="n">
        <f aca="false">IF(E34=1,$C$4*SQRT(D34),IF(E34=2,$C$4+($C$5-$C$4)*D34,$C$6-($C$6-$C$5)*SQRT(1-D34)))</f>
        <v>2.74256265538519</v>
      </c>
    </row>
    <row r="35" customFormat="false" ht="15" hidden="false" customHeight="false" outlineLevel="0" collapsed="false">
      <c r="B35" s="15" t="n">
        <v>19</v>
      </c>
      <c r="C35" s="16" t="n">
        <f aca="true">RAND()</f>
        <v>0.842915732605889</v>
      </c>
      <c r="D35" s="16" t="n">
        <f aca="true">RAND()</f>
        <v>0.478279532519059</v>
      </c>
      <c r="E35" s="16" t="n">
        <f aca="false">IF(C35&lt;=$C$10,1,IF(C35&lt;=$C$10+$C$11,2,3))</f>
        <v>3</v>
      </c>
      <c r="F35" s="17" t="n">
        <f aca="false">IF(E35=1,$C$4*SQRT(D35),IF(E35=2,$C$4+($C$5-$C$4)*D35,$C$6-($C$6-$C$5)*SQRT(1-D35)))</f>
        <v>7.83309340133718</v>
      </c>
    </row>
    <row r="36" customFormat="false" ht="15" hidden="false" customHeight="false" outlineLevel="0" collapsed="false">
      <c r="B36" s="15" t="n">
        <v>20</v>
      </c>
      <c r="C36" s="16" t="n">
        <f aca="true">RAND()</f>
        <v>0.801769836746185</v>
      </c>
      <c r="D36" s="16" t="n">
        <f aca="true">RAND()</f>
        <v>0.436875016921978</v>
      </c>
      <c r="E36" s="16" t="n">
        <f aca="false">IF(C36&lt;=$C$10,1,IF(C36&lt;=$C$10+$C$11,2,3))</f>
        <v>3</v>
      </c>
      <c r="F36" s="17" t="n">
        <f aca="false">IF(E36=1,$C$4*SQRT(D36),IF(E36=2,$C$4+($C$5-$C$4)*D36,$C$6-($C$6-$C$5)*SQRT(1-D36)))</f>
        <v>7.74875038085463</v>
      </c>
    </row>
    <row r="37" customFormat="false" ht="15" hidden="false" customHeight="false" outlineLevel="0" collapsed="false">
      <c r="B37" s="15" t="n">
        <v>21</v>
      </c>
      <c r="C37" s="16" t="n">
        <f aca="true">RAND()</f>
        <v>0.955829531442544</v>
      </c>
      <c r="D37" s="16" t="n">
        <f aca="true">RAND()</f>
        <v>0.644647049123742</v>
      </c>
      <c r="E37" s="16" t="n">
        <f aca="false">IF(C37&lt;=$C$10,1,IF(C37&lt;=$C$10+$C$11,2,3))</f>
        <v>3</v>
      </c>
      <c r="F37" s="17" t="n">
        <f aca="false">IF(E37=1,$C$4*SQRT(D37),IF(E37=2,$C$4+($C$5-$C$4)*D37,$C$6-($C$6-$C$5)*SQRT(1-D37)))</f>
        <v>8.21165535819118</v>
      </c>
    </row>
    <row r="38" customFormat="false" ht="15" hidden="false" customHeight="false" outlineLevel="0" collapsed="false">
      <c r="B38" s="15" t="n">
        <v>22</v>
      </c>
      <c r="C38" s="16" t="n">
        <f aca="true">RAND()</f>
        <v>0.544120660593194</v>
      </c>
      <c r="D38" s="16" t="n">
        <f aca="true">RAND()</f>
        <v>0.820967231638439</v>
      </c>
      <c r="E38" s="16" t="n">
        <f aca="false">IF(C38&lt;=$C$10,1,IF(C38&lt;=$C$10+$C$11,2,3))</f>
        <v>2</v>
      </c>
      <c r="F38" s="17" t="n">
        <f aca="false">IF(E38=1,$C$4*SQRT(D38),IF(E38=2,$C$4+($C$5-$C$4)*D38,$C$6-($C$6-$C$5)*SQRT(1-D38)))</f>
        <v>6.28386892655376</v>
      </c>
    </row>
    <row r="39" customFormat="false" ht="15" hidden="false" customHeight="false" outlineLevel="0" collapsed="false">
      <c r="B39" s="15" t="n">
        <v>23</v>
      </c>
      <c r="C39" s="16" t="n">
        <f aca="true">RAND()</f>
        <v>0.445559697233032</v>
      </c>
      <c r="D39" s="16" t="n">
        <f aca="true">RAND()</f>
        <v>0.0467425288667785</v>
      </c>
      <c r="E39" s="16" t="n">
        <f aca="false">IF(C39&lt;=$C$10,1,IF(C39&lt;=$C$10+$C$11,2,3))</f>
        <v>2</v>
      </c>
      <c r="F39" s="17" t="n">
        <f aca="false">IF(E39=1,$C$4*SQRT(D39),IF(E39=2,$C$4+($C$5-$C$4)*D39,$C$6-($C$6-$C$5)*SQRT(1-D39)))</f>
        <v>3.18697011546711</v>
      </c>
    </row>
    <row r="40" customFormat="false" ht="15" hidden="false" customHeight="false" outlineLevel="0" collapsed="false">
      <c r="B40" s="15" t="n">
        <v>24</v>
      </c>
      <c r="C40" s="16" t="n">
        <f aca="true">RAND()</f>
        <v>0.891912693144865</v>
      </c>
      <c r="D40" s="16" t="n">
        <f aca="true">RAND()</f>
        <v>0.544636397864135</v>
      </c>
      <c r="E40" s="16" t="n">
        <f aca="false">IF(C40&lt;=$C$10,1,IF(C40&lt;=$C$10+$C$11,2,3))</f>
        <v>3</v>
      </c>
      <c r="F40" s="17" t="n">
        <f aca="false">IF(E40=1,$C$4*SQRT(D40),IF(E40=2,$C$4+($C$5-$C$4)*D40,$C$6-($C$6-$C$5)*SQRT(1-D40)))</f>
        <v>7.97558096748159</v>
      </c>
    </row>
    <row r="41" customFormat="false" ht="15" hidden="false" customHeight="false" outlineLevel="0" collapsed="false">
      <c r="B41" s="15" t="n">
        <v>25</v>
      </c>
      <c r="C41" s="16" t="n">
        <f aca="true">RAND()</f>
        <v>0.193283422710403</v>
      </c>
      <c r="D41" s="16" t="n">
        <f aca="true">RAND()</f>
        <v>0.175057820519994</v>
      </c>
      <c r="E41" s="16" t="n">
        <f aca="false">IF(C41&lt;=$C$10,1,IF(C41&lt;=$C$10+$C$11,2,3))</f>
        <v>1</v>
      </c>
      <c r="F41" s="17" t="n">
        <f aca="false">IF(E41=1,$C$4*SQRT(D41),IF(E41=2,$C$4+($C$5-$C$4)*D41,$C$6-($C$6-$C$5)*SQRT(1-D41)))</f>
        <v>1.25519734889775</v>
      </c>
    </row>
    <row r="42" customFormat="false" ht="15" hidden="false" customHeight="false" outlineLevel="0" collapsed="false">
      <c r="B42" s="15" t="n">
        <v>26</v>
      </c>
      <c r="C42" s="16" t="n">
        <f aca="true">RAND()</f>
        <v>0.310469827171785</v>
      </c>
      <c r="D42" s="16" t="n">
        <f aca="true">RAND()</f>
        <v>0.577311765309852</v>
      </c>
      <c r="E42" s="16" t="n">
        <f aca="false">IF(C42&lt;=$C$10,1,IF(C42&lt;=$C$10+$C$11,2,3))</f>
        <v>2</v>
      </c>
      <c r="F42" s="17" t="n">
        <f aca="false">IF(E42=1,$C$4*SQRT(D42),IF(E42=2,$C$4+($C$5-$C$4)*D42,$C$6-($C$6-$C$5)*SQRT(1-D42)))</f>
        <v>5.30924706123941</v>
      </c>
    </row>
    <row r="43" customFormat="false" ht="15" hidden="false" customHeight="false" outlineLevel="0" collapsed="false">
      <c r="B43" s="15" t="n">
        <v>27</v>
      </c>
      <c r="C43" s="16" t="n">
        <f aca="true">RAND()</f>
        <v>0.110423793394033</v>
      </c>
      <c r="D43" s="16" t="n">
        <f aca="true">RAND()</f>
        <v>0.228860738868732</v>
      </c>
      <c r="E43" s="16" t="n">
        <f aca="false">IF(C43&lt;=$C$10,1,IF(C43&lt;=$C$10+$C$11,2,3))</f>
        <v>1</v>
      </c>
      <c r="F43" s="17" t="n">
        <f aca="false">IF(E43=1,$C$4*SQRT(D43),IF(E43=2,$C$4+($C$5-$C$4)*D43,$C$6-($C$6-$C$5)*SQRT(1-D43)))</f>
        <v>1.43518174800915</v>
      </c>
    </row>
    <row r="44" customFormat="false" ht="15" hidden="false" customHeight="false" outlineLevel="0" collapsed="false">
      <c r="B44" s="15" t="n">
        <v>28</v>
      </c>
      <c r="C44" s="16" t="n">
        <f aca="true">RAND()</f>
        <v>0.384678517780902</v>
      </c>
      <c r="D44" s="16" t="n">
        <f aca="true">RAND()</f>
        <v>0.292249254993277</v>
      </c>
      <c r="E44" s="16" t="n">
        <f aca="false">IF(C44&lt;=$C$10,1,IF(C44&lt;=$C$10+$C$11,2,3))</f>
        <v>2</v>
      </c>
      <c r="F44" s="17" t="n">
        <f aca="false">IF(E44=1,$C$4*SQRT(D44),IF(E44=2,$C$4+($C$5-$C$4)*D44,$C$6-($C$6-$C$5)*SQRT(1-D44)))</f>
        <v>4.16899701997311</v>
      </c>
    </row>
    <row r="45" customFormat="false" ht="15" hidden="false" customHeight="false" outlineLevel="0" collapsed="false">
      <c r="B45" s="15" t="n">
        <v>29</v>
      </c>
      <c r="C45" s="16" t="n">
        <f aca="true">RAND()</f>
        <v>0.917847210918289</v>
      </c>
      <c r="D45" s="16" t="n">
        <f aca="true">RAND()</f>
        <v>0.762449058687388</v>
      </c>
      <c r="E45" s="16" t="n">
        <f aca="false">IF(C45&lt;=$C$10,1,IF(C45&lt;=$C$10+$C$11,2,3))</f>
        <v>3</v>
      </c>
      <c r="F45" s="17" t="n">
        <f aca="false">IF(E45=1,$C$4*SQRT(D45),IF(E45=2,$C$4+($C$5-$C$4)*D45,$C$6-($C$6-$C$5)*SQRT(1-D45)))</f>
        <v>8.53782406263353</v>
      </c>
    </row>
    <row r="46" customFormat="false" ht="15" hidden="false" customHeight="false" outlineLevel="0" collapsed="false">
      <c r="B46" s="18" t="n">
        <v>30</v>
      </c>
      <c r="C46" s="19" t="n">
        <f aca="true">RAND()</f>
        <v>0.499230909323635</v>
      </c>
      <c r="D46" s="19" t="n">
        <f aca="true">RAND()</f>
        <v>0.697993202286917</v>
      </c>
      <c r="E46" s="19" t="n">
        <f aca="false">IF(C46&lt;=$C$10,1,IF(C46&lt;=$C$10+$C$11,2,3))</f>
        <v>2</v>
      </c>
      <c r="F46" s="20" t="n">
        <f aca="false">IF(E46=1,$C$4*SQRT(D46),IF(E46=2,$C$4+($C$5-$C$4)*D46,$C$6-($C$6-$C$5)*SQRT(1-D46)))</f>
        <v>5.79197280914767</v>
      </c>
    </row>
    <row r="47" customFormat="false" ht="15" hidden="false" customHeight="false" outlineLevel="0" collapsed="false">
      <c r="B47" s="0" t="n">
        <v>31</v>
      </c>
      <c r="C47" s="0" t="n">
        <f aca="true">RAND()</f>
        <v>0.428768134641439</v>
      </c>
      <c r="D47" s="0" t="n">
        <f aca="true">RAND()</f>
        <v>0.583103323863858</v>
      </c>
      <c r="E47" s="0" t="n">
        <f aca="false">IF(C47&lt;=$C$10,1,IF(C47&lt;=$C$10+$C$11,2,3))</f>
        <v>2</v>
      </c>
      <c r="F47" s="0" t="n">
        <f aca="false">IF(E47=1,$C$4*SQRT(D47),IF(E47=2,$C$4+($C$5-$C$4)*D47,$C$6-($C$6-$C$5)*SQRT(1-D47)))</f>
        <v>5.33241329545543</v>
      </c>
    </row>
    <row r="48" customFormat="false" ht="15" hidden="false" customHeight="false" outlineLevel="0" collapsed="false">
      <c r="B48" s="3" t="n">
        <v>32</v>
      </c>
      <c r="C48" s="21" t="n">
        <f aca="true">RAND()</f>
        <v>0.675624978868607</v>
      </c>
      <c r="D48" s="22" t="n">
        <f aca="true">RAND()</f>
        <v>0.574332595399275</v>
      </c>
      <c r="E48" s="22" t="n">
        <f aca="false">IF(C48&lt;=$C$10,1,IF(C48&lt;=$C$10+$C$11,2,3))</f>
        <v>2</v>
      </c>
      <c r="F48" s="22" t="n">
        <f aca="false">IF(E48=1,$C$4*SQRT(D48),IF(E48=2,$C$4+($C$5-$C$4)*D48,$C$6-($C$6-$C$5)*SQRT(1-D48)))</f>
        <v>5.2973303815971</v>
      </c>
    </row>
    <row r="49" customFormat="false" ht="15" hidden="false" customHeight="false" outlineLevel="0" collapsed="false">
      <c r="B49" s="3" t="n">
        <v>33</v>
      </c>
      <c r="C49" s="21" t="n">
        <f aca="true">RAND()</f>
        <v>0.322011489805634</v>
      </c>
      <c r="D49" s="22" t="n">
        <f aca="true">RAND()</f>
        <v>0.42746834599863</v>
      </c>
      <c r="E49" s="22" t="n">
        <f aca="false">IF(C49&lt;=$C$10,1,IF(C49&lt;=$C$10+$C$11,2,3))</f>
        <v>2</v>
      </c>
      <c r="F49" s="22" t="n">
        <f aca="false">IF(E49=1,$C$4*SQRT(D49),IF(E49=2,$C$4+($C$5-$C$4)*D49,$C$6-($C$6-$C$5)*SQRT(1-D49)))</f>
        <v>4.70987338399452</v>
      </c>
    </row>
    <row r="50" customFormat="false" ht="15" hidden="false" customHeight="false" outlineLevel="0" collapsed="false">
      <c r="B50" s="3" t="n">
        <v>34</v>
      </c>
      <c r="C50" s="21" t="n">
        <f aca="true">RAND()</f>
        <v>0.456306118878769</v>
      </c>
      <c r="D50" s="22" t="n">
        <f aca="true">RAND()</f>
        <v>0.596136579909934</v>
      </c>
      <c r="E50" s="22" t="n">
        <f aca="false">IF(C50&lt;=$C$10,1,IF(C50&lt;=$C$10+$C$11,2,3))</f>
        <v>2</v>
      </c>
      <c r="F50" s="22" t="n">
        <f aca="false">IF(E50=1,$C$4*SQRT(D50),IF(E50=2,$C$4+($C$5-$C$4)*D50,$C$6-($C$6-$C$5)*SQRT(1-D50)))</f>
        <v>5.38454631963974</v>
      </c>
    </row>
    <row r="51" customFormat="false" ht="15" hidden="false" customHeight="false" outlineLevel="0" collapsed="false">
      <c r="B51" s="0" t="n">
        <v>35</v>
      </c>
      <c r="C51" s="0" t="n">
        <f aca="true">RAND()</f>
        <v>0.807064026159842</v>
      </c>
      <c r="D51" s="0" t="n">
        <f aca="true">RAND()</f>
        <v>0.0769770345197349</v>
      </c>
      <c r="E51" s="0" t="n">
        <f aca="false">IF(C51&lt;=$C$10,1,IF(C51&lt;=$C$10+$C$11,2,3))</f>
        <v>3</v>
      </c>
      <c r="F51" s="0" t="n">
        <f aca="false">IF(E51=1,$C$4*SQRT(D51),IF(E51=2,$C$4+($C$5-$C$4)*D51,$C$6-($C$6-$C$5)*SQRT(1-D51)))</f>
        <v>7.11777747401031</v>
      </c>
    </row>
    <row r="52" customFormat="false" ht="15" hidden="false" customHeight="false" outlineLevel="0" collapsed="false">
      <c r="B52" s="0" t="n">
        <v>36</v>
      </c>
      <c r="C52" s="0" t="n">
        <f aca="true">RAND()</f>
        <v>0.540999588574068</v>
      </c>
      <c r="D52" s="0" t="n">
        <f aca="true">RAND()</f>
        <v>0.577670153321171</v>
      </c>
      <c r="E52" s="0" t="n">
        <f aca="false">IF(C52&lt;=$C$10,1,IF(C52&lt;=$C$10+$C$11,2,3))</f>
        <v>2</v>
      </c>
      <c r="F52" s="0" t="n">
        <f aca="false">IF(E52=1,$C$4*SQRT(D52),IF(E52=2,$C$4+($C$5-$C$4)*D52,$C$6-($C$6-$C$5)*SQRT(1-D52)))</f>
        <v>5.31068061328468</v>
      </c>
    </row>
    <row r="53" customFormat="false" ht="15" hidden="false" customHeight="false" outlineLevel="0" collapsed="false">
      <c r="B53" s="0" t="n">
        <v>37</v>
      </c>
      <c r="C53" s="0" t="n">
        <f aca="true">RAND()</f>
        <v>0.941837215035794</v>
      </c>
      <c r="D53" s="0" t="n">
        <f aca="true">RAND()</f>
        <v>0.0515680789301234</v>
      </c>
      <c r="E53" s="0" t="n">
        <f aca="false">IF(C53&lt;=$C$10,1,IF(C53&lt;=$C$10+$C$11,2,3))</f>
        <v>3</v>
      </c>
      <c r="F53" s="0" t="n">
        <f aca="false">IF(E53=1,$C$4*SQRT(D53),IF(E53=2,$C$4+($C$5-$C$4)*D53,$C$6-($C$6-$C$5)*SQRT(1-D53)))</f>
        <v>7.07837591575698</v>
      </c>
    </row>
    <row r="54" customFormat="false" ht="15" hidden="false" customHeight="false" outlineLevel="0" collapsed="false">
      <c r="B54" s="0" t="n">
        <v>38</v>
      </c>
      <c r="C54" s="0" t="n">
        <f aca="true">RAND()</f>
        <v>0.520363709983444</v>
      </c>
      <c r="D54" s="0" t="n">
        <f aca="true">RAND()</f>
        <v>0.403157245454827</v>
      </c>
      <c r="E54" s="0" t="n">
        <f aca="false">IF(C54&lt;=$C$10,1,IF(C54&lt;=$C$10+$C$11,2,3))</f>
        <v>2</v>
      </c>
      <c r="F54" s="0" t="n">
        <f aca="false">IF(E54=1,$C$4*SQRT(D54),IF(E54=2,$C$4+($C$5-$C$4)*D54,$C$6-($C$6-$C$5)*SQRT(1-D54)))</f>
        <v>4.61262898181931</v>
      </c>
    </row>
    <row r="55" customFormat="false" ht="15" hidden="false" customHeight="false" outlineLevel="0" collapsed="false">
      <c r="B55" s="0" t="n">
        <v>39</v>
      </c>
      <c r="C55" s="0" t="n">
        <f aca="true">RAND()</f>
        <v>0.291769386018991</v>
      </c>
      <c r="D55" s="0" t="n">
        <f aca="true">RAND()</f>
        <v>0.743467544044312</v>
      </c>
      <c r="E55" s="0" t="n">
        <f aca="false">IF(C55&lt;=$C$10,1,IF(C55&lt;=$C$10+$C$11,2,3))</f>
        <v>2</v>
      </c>
      <c r="F55" s="0" t="n">
        <f aca="false">IF(E55=1,$C$4*SQRT(D55),IF(E55=2,$C$4+($C$5-$C$4)*D55,$C$6-($C$6-$C$5)*SQRT(1-D55)))</f>
        <v>5.97387017617725</v>
      </c>
    </row>
    <row r="56" customFormat="false" ht="15" hidden="false" customHeight="false" outlineLevel="0" collapsed="false">
      <c r="B56" s="0" t="n">
        <v>40</v>
      </c>
      <c r="C56" s="0" t="n">
        <f aca="true">RAND()</f>
        <v>0.183488720652271</v>
      </c>
      <c r="D56" s="0" t="n">
        <f aca="true">RAND()</f>
        <v>0.436929560760256</v>
      </c>
      <c r="E56" s="0" t="n">
        <f aca="false">IF(C56&lt;=$C$10,1,IF(C56&lt;=$C$10+$C$11,2,3))</f>
        <v>1</v>
      </c>
      <c r="F56" s="0" t="n">
        <f aca="false">IF(E56=1,$C$4*SQRT(D56),IF(E56=2,$C$4+($C$5-$C$4)*D56,$C$6-($C$6-$C$5)*SQRT(1-D56)))</f>
        <v>1.98301942674355</v>
      </c>
    </row>
    <row r="57" customFormat="false" ht="15" hidden="false" customHeight="false" outlineLevel="0" collapsed="false">
      <c r="B57" s="0" t="n">
        <v>41</v>
      </c>
      <c r="C57" s="0" t="n">
        <f aca="true">RAND()</f>
        <v>0.618574297851178</v>
      </c>
      <c r="D57" s="0" t="n">
        <f aca="true">RAND()</f>
        <v>0.258495975080609</v>
      </c>
      <c r="E57" s="0" t="n">
        <f aca="false">IF(C57&lt;=$C$10,1,IF(C57&lt;=$C$10+$C$11,2,3))</f>
        <v>2</v>
      </c>
      <c r="F57" s="0" t="n">
        <f aca="false">IF(E57=1,$C$4*SQRT(D57),IF(E57=2,$C$4+($C$5-$C$4)*D57,$C$6-($C$6-$C$5)*SQRT(1-D57)))</f>
        <v>4.03398390032244</v>
      </c>
    </row>
    <row r="58" customFormat="false" ht="15" hidden="false" customHeight="false" outlineLevel="0" collapsed="false">
      <c r="B58" s="0" t="n">
        <v>42</v>
      </c>
      <c r="C58" s="0" t="n">
        <f aca="true">RAND()</f>
        <v>0.451581012843067</v>
      </c>
      <c r="D58" s="0" t="n">
        <f aca="true">RAND()</f>
        <v>0.88819514070661</v>
      </c>
      <c r="E58" s="0" t="n">
        <f aca="false">IF(C58&lt;=$C$10,1,IF(C58&lt;=$C$10+$C$11,2,3))</f>
        <v>2</v>
      </c>
      <c r="F58" s="0" t="n">
        <f aca="false">IF(E58=1,$C$4*SQRT(D58),IF(E58=2,$C$4+($C$5-$C$4)*D58,$C$6-($C$6-$C$5)*SQRT(1-D58)))</f>
        <v>6.55278056282644</v>
      </c>
    </row>
    <row r="59" customFormat="false" ht="15" hidden="false" customHeight="false" outlineLevel="0" collapsed="false">
      <c r="B59" s="0" t="n">
        <v>43</v>
      </c>
      <c r="C59" s="0" t="n">
        <f aca="true">RAND()</f>
        <v>0.845295159986912</v>
      </c>
      <c r="D59" s="0" t="n">
        <f aca="true">RAND()</f>
        <v>0.993217160817925</v>
      </c>
      <c r="E59" s="0" t="n">
        <f aca="false">IF(C59&lt;=$C$10,1,IF(C59&lt;=$C$10+$C$11,2,3))</f>
        <v>3</v>
      </c>
      <c r="F59" s="0" t="n">
        <f aca="false">IF(E59=1,$C$4*SQRT(D59),IF(E59=2,$C$4+($C$5-$C$4)*D59,$C$6-($C$6-$C$5)*SQRT(1-D59)))</f>
        <v>9.75292601788397</v>
      </c>
    </row>
    <row r="60" customFormat="false" ht="15" hidden="false" customHeight="false" outlineLevel="0" collapsed="false">
      <c r="B60" s="0" t="n">
        <v>44</v>
      </c>
      <c r="C60" s="0" t="n">
        <f aca="true">RAND()</f>
        <v>0.198695814959256</v>
      </c>
      <c r="D60" s="0" t="n">
        <f aca="true">RAND()</f>
        <v>0.293637545081613</v>
      </c>
      <c r="E60" s="0" t="n">
        <f aca="false">IF(C60&lt;=$C$10,1,IF(C60&lt;=$C$10+$C$11,2,3))</f>
        <v>1</v>
      </c>
      <c r="F60" s="0" t="n">
        <f aca="false">IF(E60=1,$C$4*SQRT(D60),IF(E60=2,$C$4+($C$5-$C$4)*D60,$C$6-($C$6-$C$5)*SQRT(1-D60)))</f>
        <v>1.62564999484345</v>
      </c>
    </row>
    <row r="61" customFormat="false" ht="15" hidden="false" customHeight="false" outlineLevel="0" collapsed="false">
      <c r="B61" s="0" t="n">
        <v>45</v>
      </c>
      <c r="C61" s="0" t="n">
        <f aca="true">RAND()</f>
        <v>0.0130607053368009</v>
      </c>
      <c r="D61" s="0" t="n">
        <f aca="true">RAND()</f>
        <v>0.596717279109274</v>
      </c>
      <c r="E61" s="0" t="n">
        <f aca="false">IF(C61&lt;=$C$10,1,IF(C61&lt;=$C$10+$C$11,2,3))</f>
        <v>1</v>
      </c>
      <c r="F61" s="0" t="n">
        <f aca="false">IF(E61=1,$C$4*SQRT(D61),IF(E61=2,$C$4+($C$5-$C$4)*D61,$C$6-($C$6-$C$5)*SQRT(1-D61)))</f>
        <v>2.31742432713206</v>
      </c>
    </row>
    <row r="62" customFormat="false" ht="15" hidden="false" customHeight="false" outlineLevel="0" collapsed="false">
      <c r="B62" s="0" t="n">
        <v>46</v>
      </c>
      <c r="C62" s="0" t="n">
        <f aca="true">RAND()</f>
        <v>0.114704568056326</v>
      </c>
      <c r="D62" s="0" t="n">
        <f aca="true">RAND()</f>
        <v>0.0377205946712696</v>
      </c>
      <c r="E62" s="0" t="n">
        <f aca="false">IF(C62&lt;=$C$10,1,IF(C62&lt;=$C$10+$C$11,2,3))</f>
        <v>1</v>
      </c>
      <c r="F62" s="0" t="n">
        <f aca="false">IF(E62=1,$C$4*SQRT(D62),IF(E62=2,$C$4+($C$5-$C$4)*D62,$C$6-($C$6-$C$5)*SQRT(1-D62)))</f>
        <v>0.582653715375974</v>
      </c>
    </row>
    <row r="63" customFormat="false" ht="15" hidden="false" customHeight="false" outlineLevel="0" collapsed="false">
      <c r="B63" s="0" t="n">
        <v>47</v>
      </c>
      <c r="C63" s="0" t="n">
        <f aca="true">RAND()</f>
        <v>0.265135161861531</v>
      </c>
      <c r="D63" s="0" t="n">
        <f aca="true">RAND()</f>
        <v>0.305481364830952</v>
      </c>
      <c r="E63" s="0" t="n">
        <f aca="false">IF(C63&lt;=$C$10,1,IF(C63&lt;=$C$10+$C$11,2,3))</f>
        <v>2</v>
      </c>
      <c r="F63" s="0" t="n">
        <f aca="false">IF(E63=1,$C$4*SQRT(D63),IF(E63=2,$C$4+($C$5-$C$4)*D63,$C$6-($C$6-$C$5)*SQRT(1-D63)))</f>
        <v>4.22192545932381</v>
      </c>
    </row>
    <row r="64" customFormat="false" ht="15" hidden="false" customHeight="false" outlineLevel="0" collapsed="false">
      <c r="B64" s="0" t="n">
        <v>48</v>
      </c>
      <c r="C64" s="0" t="n">
        <f aca="true">RAND()</f>
        <v>0.87350071391997</v>
      </c>
      <c r="D64" s="0" t="n">
        <f aca="true">RAND()</f>
        <v>0.824486405990389</v>
      </c>
      <c r="E64" s="0" t="n">
        <f aca="false">IF(C64&lt;=$C$10,1,IF(C64&lt;=$C$10+$C$11,2,3))</f>
        <v>3</v>
      </c>
      <c r="F64" s="0" t="n">
        <f aca="false">IF(E64=1,$C$4*SQRT(D64),IF(E64=2,$C$4+($C$5-$C$4)*D64,$C$6-($C$6-$C$5)*SQRT(1-D64)))</f>
        <v>8.74316972264092</v>
      </c>
    </row>
    <row r="65" customFormat="false" ht="15" hidden="false" customHeight="false" outlineLevel="0" collapsed="false">
      <c r="B65" s="0" t="n">
        <v>49</v>
      </c>
      <c r="C65" s="0" t="n">
        <f aca="true">RAND()</f>
        <v>0.72754359867936</v>
      </c>
      <c r="D65" s="0" t="n">
        <f aca="true">RAND()</f>
        <v>0.622588741983464</v>
      </c>
      <c r="E65" s="0" t="n">
        <f aca="false">IF(C65&lt;=$C$10,1,IF(C65&lt;=$C$10+$C$11,2,3))</f>
        <v>2</v>
      </c>
      <c r="F65" s="0" t="n">
        <f aca="false">IF(E65=1,$C$4*SQRT(D65),IF(E65=2,$C$4+($C$5-$C$4)*D65,$C$6-($C$6-$C$5)*SQRT(1-D65)))</f>
        <v>5.49035496793386</v>
      </c>
    </row>
    <row r="66" customFormat="false" ht="15" hidden="false" customHeight="false" outlineLevel="0" collapsed="false">
      <c r="B66" s="0" t="n">
        <v>50</v>
      </c>
      <c r="C66" s="0" t="n">
        <f aca="true">RAND()</f>
        <v>0.504731748653057</v>
      </c>
      <c r="D66" s="0" t="n">
        <f aca="true">RAND()</f>
        <v>0.842464201980436</v>
      </c>
      <c r="E66" s="0" t="n">
        <f aca="false">IF(C66&lt;=$C$10,1,IF(C66&lt;=$C$10+$C$11,2,3))</f>
        <v>2</v>
      </c>
      <c r="F66" s="0" t="n">
        <f aca="false">IF(E66=1,$C$4*SQRT(D66),IF(E66=2,$C$4+($C$5-$C$4)*D66,$C$6-($C$6-$C$5)*SQRT(1-D66)))</f>
        <v>6.36985680792174</v>
      </c>
    </row>
    <row r="67" customFormat="false" ht="15" hidden="false" customHeight="false" outlineLevel="0" collapsed="false">
      <c r="B67" s="0" t="n">
        <v>51</v>
      </c>
      <c r="C67" s="0" t="n">
        <f aca="true">RAND()</f>
        <v>0.126949826245599</v>
      </c>
      <c r="D67" s="0" t="n">
        <f aca="true">RAND()</f>
        <v>0.0659173255666665</v>
      </c>
      <c r="E67" s="0" t="n">
        <f aca="false">IF(C67&lt;=$C$10,1,IF(C67&lt;=$C$10+$C$11,2,3))</f>
        <v>1</v>
      </c>
      <c r="F67" s="0" t="n">
        <f aca="false">IF(E67=1,$C$4*SQRT(D67),IF(E67=2,$C$4+($C$5-$C$4)*D67,$C$6-($C$6-$C$5)*SQRT(1-D67)))</f>
        <v>0.770231088764923</v>
      </c>
    </row>
    <row r="68" customFormat="false" ht="15" hidden="false" customHeight="false" outlineLevel="0" collapsed="false">
      <c r="B68" s="0" t="n">
        <v>52</v>
      </c>
      <c r="C68" s="0" t="n">
        <f aca="true">RAND()</f>
        <v>0.668803223856785</v>
      </c>
      <c r="D68" s="0" t="n">
        <f aca="true">RAND()</f>
        <v>0.859871564466259</v>
      </c>
      <c r="E68" s="0" t="n">
        <f aca="false">IF(C68&lt;=$C$10,1,IF(C68&lt;=$C$10+$C$11,2,3))</f>
        <v>2</v>
      </c>
      <c r="F68" s="0" t="n">
        <f aca="false">IF(E68=1,$C$4*SQRT(D68),IF(E68=2,$C$4+($C$5-$C$4)*D68,$C$6-($C$6-$C$5)*SQRT(1-D68)))</f>
        <v>6.43948625786504</v>
      </c>
    </row>
    <row r="69" customFormat="false" ht="15" hidden="false" customHeight="false" outlineLevel="0" collapsed="false">
      <c r="B69" s="0" t="n">
        <v>53</v>
      </c>
      <c r="C69" s="0" t="n">
        <f aca="true">RAND()</f>
        <v>0.9796656064735</v>
      </c>
      <c r="D69" s="0" t="n">
        <f aca="true">RAND()</f>
        <v>0.689401996327819</v>
      </c>
      <c r="E69" s="0" t="n">
        <f aca="false">IF(C69&lt;=$C$10,1,IF(C69&lt;=$C$10+$C$11,2,3))</f>
        <v>3</v>
      </c>
      <c r="F69" s="0" t="n">
        <f aca="false">IF(E69=1,$C$4*SQRT(D69),IF(E69=2,$C$4+($C$5-$C$4)*D69,$C$6-($C$6-$C$5)*SQRT(1-D69)))</f>
        <v>8.32806039790618</v>
      </c>
    </row>
    <row r="70" customFormat="false" ht="15" hidden="false" customHeight="false" outlineLevel="0" collapsed="false">
      <c r="B70" s="0" t="n">
        <v>54</v>
      </c>
      <c r="C70" s="0" t="n">
        <f aca="true">RAND()</f>
        <v>0.226521249018348</v>
      </c>
      <c r="D70" s="0" t="n">
        <f aca="true">RAND()</f>
        <v>0.607450898718465</v>
      </c>
      <c r="E70" s="0" t="n">
        <f aca="false">IF(C70&lt;=$C$10,1,IF(C70&lt;=$C$10+$C$11,2,3))</f>
        <v>2</v>
      </c>
      <c r="F70" s="0" t="n">
        <f aca="false">IF(E70=1,$C$4*SQRT(D70),IF(E70=2,$C$4+($C$5-$C$4)*D70,$C$6-($C$6-$C$5)*SQRT(1-D70)))</f>
        <v>5.42980359487386</v>
      </c>
    </row>
    <row r="71" customFormat="false" ht="15" hidden="false" customHeight="false" outlineLevel="0" collapsed="false">
      <c r="B71" s="0" t="n">
        <v>55</v>
      </c>
      <c r="C71" s="0" t="n">
        <f aca="true">RAND()</f>
        <v>0.123982923082778</v>
      </c>
      <c r="D71" s="0" t="n">
        <f aca="true">RAND()</f>
        <v>0.237430589757188</v>
      </c>
      <c r="E71" s="0" t="n">
        <f aca="false">IF(C71&lt;=$C$10,1,IF(C71&lt;=$C$10+$C$11,2,3))</f>
        <v>1</v>
      </c>
      <c r="F71" s="0" t="n">
        <f aca="false">IF(E71=1,$C$4*SQRT(D71),IF(E71=2,$C$4+($C$5-$C$4)*D71,$C$6-($C$6-$C$5)*SQRT(1-D71)))</f>
        <v>1.46180549589017</v>
      </c>
    </row>
    <row r="72" customFormat="false" ht="15" hidden="false" customHeight="false" outlineLevel="0" collapsed="false">
      <c r="B72" s="0" t="n">
        <v>56</v>
      </c>
      <c r="C72" s="0" t="n">
        <f aca="true">RAND()</f>
        <v>0.69379776434079</v>
      </c>
      <c r="D72" s="0" t="n">
        <f aca="true">RAND()</f>
        <v>0.045692618997429</v>
      </c>
      <c r="E72" s="0" t="n">
        <f aca="false">IF(C72&lt;=$C$10,1,IF(C72&lt;=$C$10+$C$11,2,3))</f>
        <v>2</v>
      </c>
      <c r="F72" s="0" t="n">
        <f aca="false">IF(E72=1,$C$4*SQRT(D72),IF(E72=2,$C$4+($C$5-$C$4)*D72,$C$6-($C$6-$C$5)*SQRT(1-D72)))</f>
        <v>3.18277047598972</v>
      </c>
    </row>
    <row r="73" customFormat="false" ht="15" hidden="false" customHeight="false" outlineLevel="0" collapsed="false">
      <c r="B73" s="0" t="n">
        <v>57</v>
      </c>
      <c r="C73" s="0" t="n">
        <f aca="true">RAND()</f>
        <v>0.897416789815364</v>
      </c>
      <c r="D73" s="0" t="n">
        <f aca="true">RAND()</f>
        <v>0.85305944131384</v>
      </c>
      <c r="E73" s="0" t="n">
        <f aca="false">IF(C73&lt;=$C$10,1,IF(C73&lt;=$C$10+$C$11,2,3))</f>
        <v>3</v>
      </c>
      <c r="F73" s="0" t="n">
        <f aca="false">IF(E73=1,$C$4*SQRT(D73),IF(E73=2,$C$4+($C$5-$C$4)*D73,$C$6-($C$6-$C$5)*SQRT(1-D73)))</f>
        <v>8.85001520524163</v>
      </c>
    </row>
    <row r="74" customFormat="false" ht="15" hidden="false" customHeight="false" outlineLevel="0" collapsed="false">
      <c r="B74" s="0" t="n">
        <v>58</v>
      </c>
      <c r="C74" s="0" t="n">
        <f aca="true">RAND()</f>
        <v>0.864665925767488</v>
      </c>
      <c r="D74" s="0" t="n">
        <f aca="true">RAND()</f>
        <v>0.88281256384794</v>
      </c>
      <c r="E74" s="0" t="n">
        <f aca="false">IF(C74&lt;=$C$10,1,IF(C74&lt;=$C$10+$C$11,2,3))</f>
        <v>3</v>
      </c>
      <c r="F74" s="0" t="n">
        <f aca="false">IF(E74=1,$C$4*SQRT(D74),IF(E74=2,$C$4+($C$5-$C$4)*D74,$C$6-($C$6-$C$5)*SQRT(1-D74)))</f>
        <v>8.97302048444551</v>
      </c>
    </row>
    <row r="75" customFormat="false" ht="15" hidden="false" customHeight="false" outlineLevel="0" collapsed="false">
      <c r="B75" s="0" t="n">
        <v>59</v>
      </c>
      <c r="C75" s="0" t="n">
        <f aca="true">RAND()</f>
        <v>0.153719455726122</v>
      </c>
      <c r="D75" s="0" t="n">
        <f aca="true">RAND()</f>
        <v>0.963155108544923</v>
      </c>
      <c r="E75" s="0" t="n">
        <f aca="false">IF(C75&lt;=$C$10,1,IF(C75&lt;=$C$10+$C$11,2,3))</f>
        <v>1</v>
      </c>
      <c r="F75" s="0" t="n">
        <f aca="false">IF(E75=1,$C$4*SQRT(D75),IF(E75=2,$C$4+($C$5-$C$4)*D75,$C$6-($C$6-$C$5)*SQRT(1-D75)))</f>
        <v>2.94421398286611</v>
      </c>
    </row>
    <row r="76" customFormat="false" ht="15" hidden="false" customHeight="false" outlineLevel="0" collapsed="false">
      <c r="B76" s="0" t="n">
        <v>60</v>
      </c>
      <c r="C76" s="0" t="n">
        <f aca="true">RAND()</f>
        <v>0.100871729123035</v>
      </c>
      <c r="D76" s="0" t="n">
        <f aca="true">RAND()</f>
        <v>0.810603926290849</v>
      </c>
      <c r="E76" s="0" t="n">
        <f aca="false">IF(C76&lt;=$C$10,1,IF(C76&lt;=$C$10+$C$11,2,3))</f>
        <v>1</v>
      </c>
      <c r="F76" s="0" t="n">
        <f aca="false">IF(E76=1,$C$4*SQRT(D76),IF(E76=2,$C$4+($C$5-$C$4)*D76,$C$6-($C$6-$C$5)*SQRT(1-D76)))</f>
        <v>2.70100635627124</v>
      </c>
    </row>
    <row r="77" customFormat="false" ht="15" hidden="false" customHeight="false" outlineLevel="0" collapsed="false">
      <c r="B77" s="0" t="n">
        <v>61</v>
      </c>
      <c r="C77" s="0" t="n">
        <f aca="true">RAND()</f>
        <v>0.0840524007627841</v>
      </c>
      <c r="D77" s="0" t="n">
        <f aca="true">RAND()</f>
        <v>0.586518043350986</v>
      </c>
      <c r="E77" s="0" t="n">
        <f aca="false">IF(C77&lt;=$C$10,1,IF(C77&lt;=$C$10+$C$11,2,3))</f>
        <v>1</v>
      </c>
      <c r="F77" s="0" t="n">
        <f aca="false">IF(E77=1,$C$4*SQRT(D77),IF(E77=2,$C$4+($C$5-$C$4)*D77,$C$6-($C$6-$C$5)*SQRT(1-D77)))</f>
        <v>2.29753398019678</v>
      </c>
    </row>
    <row r="78" customFormat="false" ht="15" hidden="false" customHeight="false" outlineLevel="0" collapsed="false">
      <c r="B78" s="0" t="n">
        <v>62</v>
      </c>
      <c r="C78" s="0" t="n">
        <f aca="true">RAND()</f>
        <v>0.865338620874844</v>
      </c>
      <c r="D78" s="0" t="n">
        <f aca="true">RAND()</f>
        <v>0.308949653669689</v>
      </c>
      <c r="E78" s="0" t="n">
        <f aca="false">IF(C78&lt;=$C$10,1,IF(C78&lt;=$C$10+$C$11,2,3))</f>
        <v>3</v>
      </c>
      <c r="F78" s="0" t="n">
        <f aca="false">IF(E78=1,$C$4*SQRT(D78),IF(E78=2,$C$4+($C$5-$C$4)*D78,$C$6-($C$6-$C$5)*SQRT(1-D78)))</f>
        <v>7.5061168598002</v>
      </c>
    </row>
    <row r="79" customFormat="false" ht="15" hidden="false" customHeight="false" outlineLevel="0" collapsed="false">
      <c r="B79" s="0" t="n">
        <v>63</v>
      </c>
      <c r="C79" s="0" t="n">
        <f aca="true">RAND()</f>
        <v>0.17405851511547</v>
      </c>
      <c r="D79" s="0" t="n">
        <f aca="true">RAND()</f>
        <v>0.98273448544655</v>
      </c>
      <c r="E79" s="0" t="n">
        <f aca="false">IF(C79&lt;=$C$10,1,IF(C79&lt;=$C$10+$C$11,2,3))</f>
        <v>1</v>
      </c>
      <c r="F79" s="0" t="n">
        <f aca="false">IF(E79=1,$C$4*SQRT(D79),IF(E79=2,$C$4+($C$5-$C$4)*D79,$C$6-($C$6-$C$5)*SQRT(1-D79)))</f>
        <v>2.9739889658536</v>
      </c>
    </row>
    <row r="80" customFormat="false" ht="15" hidden="false" customHeight="false" outlineLevel="0" collapsed="false">
      <c r="B80" s="0" t="n">
        <v>64</v>
      </c>
      <c r="C80" s="0" t="n">
        <f aca="true">RAND()</f>
        <v>0.670082974106308</v>
      </c>
      <c r="D80" s="0" t="n">
        <f aca="true">RAND()</f>
        <v>0.870531089830438</v>
      </c>
      <c r="E80" s="0" t="n">
        <f aca="false">IF(C80&lt;=$C$10,1,IF(C80&lt;=$C$10+$C$11,2,3))</f>
        <v>2</v>
      </c>
      <c r="F80" s="0" t="n">
        <f aca="false">IF(E80=1,$C$4*SQRT(D80),IF(E80=2,$C$4+($C$5-$C$4)*D80,$C$6-($C$6-$C$5)*SQRT(1-D80)))</f>
        <v>6.48212435932175</v>
      </c>
    </row>
    <row r="81" customFormat="false" ht="15" hidden="false" customHeight="false" outlineLevel="0" collapsed="false">
      <c r="B81" s="0" t="n">
        <v>65</v>
      </c>
      <c r="C81" s="0" t="n">
        <f aca="true">RAND()</f>
        <v>0.924321231810026</v>
      </c>
      <c r="D81" s="0" t="n">
        <f aca="true">RAND()</f>
        <v>0.233495272099135</v>
      </c>
      <c r="E81" s="0" t="n">
        <f aca="false">IF(C81&lt;=$C$10,1,IF(C81&lt;=$C$10+$C$11,2,3))</f>
        <v>3</v>
      </c>
      <c r="F81" s="0" t="n">
        <f aca="false">IF(E81=1,$C$4*SQRT(D81),IF(E81=2,$C$4+($C$5-$C$4)*D81,$C$6-($C$6-$C$5)*SQRT(1-D81)))</f>
        <v>7.37349232799373</v>
      </c>
    </row>
    <row r="82" customFormat="false" ht="15" hidden="false" customHeight="false" outlineLevel="0" collapsed="false">
      <c r="B82" s="0" t="n">
        <v>66</v>
      </c>
      <c r="C82" s="0" t="n">
        <f aca="true">RAND()</f>
        <v>0.0986092595979024</v>
      </c>
      <c r="D82" s="0" t="n">
        <f aca="true">RAND()</f>
        <v>0.471680949222452</v>
      </c>
      <c r="E82" s="0" t="n">
        <f aca="false">IF(C82&lt;=$C$10,1,IF(C82&lt;=$C$10+$C$11,2,3))</f>
        <v>1</v>
      </c>
      <c r="F82" s="0" t="n">
        <f aca="false">IF(E82=1,$C$4*SQRT(D82),IF(E82=2,$C$4+($C$5-$C$4)*D82,$C$6-($C$6-$C$5)*SQRT(1-D82)))</f>
        <v>2.06037097218003</v>
      </c>
    </row>
    <row r="83" customFormat="false" ht="15" hidden="false" customHeight="false" outlineLevel="0" collapsed="false">
      <c r="B83" s="0" t="n">
        <v>67</v>
      </c>
      <c r="C83" s="0" t="n">
        <f aca="true">RAND()</f>
        <v>0.305972572388164</v>
      </c>
      <c r="D83" s="0" t="n">
        <f aca="true">RAND()</f>
        <v>0.224984254460105</v>
      </c>
      <c r="E83" s="0" t="n">
        <f aca="false">IF(C83&lt;=$C$10,1,IF(C83&lt;=$C$10+$C$11,2,3))</f>
        <v>2</v>
      </c>
      <c r="F83" s="0" t="n">
        <f aca="false">IF(E83=1,$C$4*SQRT(D83),IF(E83=2,$C$4+($C$5-$C$4)*D83,$C$6-($C$6-$C$5)*SQRT(1-D83)))</f>
        <v>3.89993701784042</v>
      </c>
    </row>
    <row r="84" customFormat="false" ht="15" hidden="false" customHeight="false" outlineLevel="0" collapsed="false">
      <c r="B84" s="0" t="n">
        <v>68</v>
      </c>
      <c r="C84" s="0" t="n">
        <f aca="true">RAND()</f>
        <v>0.336600946549388</v>
      </c>
      <c r="D84" s="0" t="n">
        <f aca="true">RAND()</f>
        <v>0.422435377949045</v>
      </c>
      <c r="E84" s="0" t="n">
        <f aca="false">IF(C84&lt;=$C$10,1,IF(C84&lt;=$C$10+$C$11,2,3))</f>
        <v>2</v>
      </c>
      <c r="F84" s="0" t="n">
        <f aca="false">IF(E84=1,$C$4*SQRT(D84),IF(E84=2,$C$4+($C$5-$C$4)*D84,$C$6-($C$6-$C$5)*SQRT(1-D84)))</f>
        <v>4.68974151179618</v>
      </c>
    </row>
    <row r="85" customFormat="false" ht="15" hidden="false" customHeight="false" outlineLevel="0" collapsed="false">
      <c r="B85" s="0" t="n">
        <v>69</v>
      </c>
      <c r="C85" s="0" t="n">
        <f aca="true">RAND()</f>
        <v>0.320903548563339</v>
      </c>
      <c r="D85" s="0" t="n">
        <f aca="true">RAND()</f>
        <v>0.334113117441213</v>
      </c>
      <c r="E85" s="0" t="n">
        <f aca="false">IF(C85&lt;=$C$10,1,IF(C85&lt;=$C$10+$C$11,2,3))</f>
        <v>2</v>
      </c>
      <c r="F85" s="0" t="n">
        <f aca="false">IF(E85=1,$C$4*SQRT(D85),IF(E85=2,$C$4+($C$5-$C$4)*D85,$C$6-($C$6-$C$5)*SQRT(1-D85)))</f>
        <v>4.33645246976485</v>
      </c>
    </row>
    <row r="86" customFormat="false" ht="15" hidden="false" customHeight="false" outlineLevel="0" collapsed="false">
      <c r="B86" s="0" t="n">
        <v>70</v>
      </c>
      <c r="C86" s="0" t="n">
        <f aca="true">RAND()</f>
        <v>0.613366129937337</v>
      </c>
      <c r="D86" s="0" t="n">
        <f aca="true">RAND()</f>
        <v>0.498540737860221</v>
      </c>
      <c r="E86" s="0" t="n">
        <f aca="false">IF(C86&lt;=$C$10,1,IF(C86&lt;=$C$10+$C$11,2,3))</f>
        <v>2</v>
      </c>
      <c r="F86" s="0" t="n">
        <f aca="false">IF(E86=1,$C$4*SQRT(D86),IF(E86=2,$C$4+($C$5-$C$4)*D86,$C$6-($C$6-$C$5)*SQRT(1-D86)))</f>
        <v>4.99416295144088</v>
      </c>
    </row>
    <row r="87" customFormat="false" ht="15" hidden="false" customHeight="false" outlineLevel="0" collapsed="false">
      <c r="B87" s="0" t="n">
        <v>71</v>
      </c>
      <c r="C87" s="0" t="n">
        <f aca="true">RAND()</f>
        <v>0.773026481465356</v>
      </c>
      <c r="D87" s="0" t="n">
        <f aca="true">RAND()</f>
        <v>0.937760891049298</v>
      </c>
      <c r="E87" s="0" t="n">
        <f aca="false">IF(C87&lt;=$C$10,1,IF(C87&lt;=$C$10+$C$11,2,3))</f>
        <v>2</v>
      </c>
      <c r="F87" s="0" t="n">
        <f aca="false">IF(E87=1,$C$4*SQRT(D87),IF(E87=2,$C$4+($C$5-$C$4)*D87,$C$6-($C$6-$C$5)*SQRT(1-D87)))</f>
        <v>6.75104356419719</v>
      </c>
    </row>
    <row r="88" customFormat="false" ht="15" hidden="false" customHeight="false" outlineLevel="0" collapsed="false">
      <c r="B88" s="0" t="n">
        <v>72</v>
      </c>
      <c r="C88" s="0" t="n">
        <f aca="true">RAND()</f>
        <v>0.363369056279349</v>
      </c>
      <c r="D88" s="0" t="n">
        <f aca="true">RAND()</f>
        <v>0.00815316534398522</v>
      </c>
      <c r="E88" s="0" t="n">
        <f aca="false">IF(C88&lt;=$C$10,1,IF(C88&lt;=$C$10+$C$11,2,3))</f>
        <v>2</v>
      </c>
      <c r="F88" s="0" t="n">
        <f aca="false">IF(E88=1,$C$4*SQRT(D88),IF(E88=2,$C$4+($C$5-$C$4)*D88,$C$6-($C$6-$C$5)*SQRT(1-D88)))</f>
        <v>3.03261266137594</v>
      </c>
    </row>
    <row r="89" customFormat="false" ht="15" hidden="false" customHeight="false" outlineLevel="0" collapsed="false">
      <c r="B89" s="0" t="n">
        <v>73</v>
      </c>
      <c r="C89" s="0" t="n">
        <f aca="true">RAND()</f>
        <v>0.704289714647046</v>
      </c>
      <c r="D89" s="0" t="n">
        <f aca="true">RAND()</f>
        <v>0.00988252497752556</v>
      </c>
      <c r="E89" s="0" t="n">
        <f aca="false">IF(C89&lt;=$C$10,1,IF(C89&lt;=$C$10+$C$11,2,3))</f>
        <v>2</v>
      </c>
      <c r="F89" s="0" t="n">
        <f aca="false">IF(E89=1,$C$4*SQRT(D89),IF(E89=2,$C$4+($C$5-$C$4)*D89,$C$6-($C$6-$C$5)*SQRT(1-D89)))</f>
        <v>3.0395300999101</v>
      </c>
    </row>
    <row r="90" customFormat="false" ht="15" hidden="false" customHeight="false" outlineLevel="0" collapsed="false">
      <c r="B90" s="0" t="n">
        <v>74</v>
      </c>
      <c r="C90" s="0" t="n">
        <f aca="true">RAND()</f>
        <v>0.278786718293917</v>
      </c>
      <c r="D90" s="0" t="n">
        <f aca="true">RAND()</f>
        <v>0.663871776203668</v>
      </c>
      <c r="E90" s="0" t="n">
        <f aca="false">IF(C90&lt;=$C$10,1,IF(C90&lt;=$C$10+$C$11,2,3))</f>
        <v>2</v>
      </c>
      <c r="F90" s="0" t="n">
        <f aca="false">IF(E90=1,$C$4*SQRT(D90),IF(E90=2,$C$4+($C$5-$C$4)*D90,$C$6-($C$6-$C$5)*SQRT(1-D90)))</f>
        <v>5.65548710481467</v>
      </c>
    </row>
    <row r="91" customFormat="false" ht="15" hidden="false" customHeight="false" outlineLevel="0" collapsed="false">
      <c r="B91" s="0" t="n">
        <v>75</v>
      </c>
      <c r="C91" s="0" t="n">
        <f aca="true">RAND()</f>
        <v>0.797229863288198</v>
      </c>
      <c r="D91" s="0" t="n">
        <f aca="true">RAND()</f>
        <v>0.645574216149796</v>
      </c>
      <c r="E91" s="0" t="n">
        <f aca="false">IF(C91&lt;=$C$10,1,IF(C91&lt;=$C$10+$C$11,2,3))</f>
        <v>3</v>
      </c>
      <c r="F91" s="0" t="n">
        <f aca="false">IF(E91=1,$C$4*SQRT(D91),IF(E91=2,$C$4+($C$5-$C$4)*D91,$C$6-($C$6-$C$5)*SQRT(1-D91)))</f>
        <v>8.213989906341</v>
      </c>
    </row>
    <row r="92" customFormat="false" ht="15" hidden="false" customHeight="false" outlineLevel="0" collapsed="false">
      <c r="B92" s="0" t="n">
        <v>76</v>
      </c>
      <c r="C92" s="0" t="n">
        <f aca="true">RAND()</f>
        <v>0.29777680488265</v>
      </c>
      <c r="D92" s="0" t="n">
        <f aca="true">RAND()</f>
        <v>0.720244083599931</v>
      </c>
      <c r="E92" s="0" t="n">
        <f aca="false">IF(C92&lt;=$C$10,1,IF(C92&lt;=$C$10+$C$11,2,3))</f>
        <v>2</v>
      </c>
      <c r="F92" s="0" t="n">
        <f aca="false">IF(E92=1,$C$4*SQRT(D92),IF(E92=2,$C$4+($C$5-$C$4)*D92,$C$6-($C$6-$C$5)*SQRT(1-D92)))</f>
        <v>5.88097633439972</v>
      </c>
    </row>
    <row r="93" customFormat="false" ht="15" hidden="false" customHeight="false" outlineLevel="0" collapsed="false">
      <c r="B93" s="0" t="n">
        <v>77</v>
      </c>
      <c r="C93" s="0" t="n">
        <f aca="true">RAND()</f>
        <v>0.0196019199384316</v>
      </c>
      <c r="D93" s="0" t="n">
        <f aca="true">RAND()</f>
        <v>0.251950525827168</v>
      </c>
      <c r="E93" s="0" t="n">
        <f aca="false">IF(C93&lt;=$C$10,1,IF(C93&lt;=$C$10+$C$11,2,3))</f>
        <v>1</v>
      </c>
      <c r="F93" s="0" t="n">
        <f aca="false">IF(E93=1,$C$4*SQRT(D93),IF(E93=2,$C$4+($C$5-$C$4)*D93,$C$6-($C$6-$C$5)*SQRT(1-D93)))</f>
        <v>1.50584020813781</v>
      </c>
    </row>
    <row r="94" customFormat="false" ht="15" hidden="false" customHeight="false" outlineLevel="0" collapsed="false">
      <c r="B94" s="0" t="n">
        <v>78</v>
      </c>
      <c r="C94" s="0" t="n">
        <f aca="true">RAND()</f>
        <v>0.507140911272512</v>
      </c>
      <c r="D94" s="0" t="n">
        <f aca="true">RAND()</f>
        <v>0.9658598129229</v>
      </c>
      <c r="E94" s="0" t="n">
        <f aca="false">IF(C94&lt;=$C$10,1,IF(C94&lt;=$C$10+$C$11,2,3))</f>
        <v>2</v>
      </c>
      <c r="F94" s="0" t="n">
        <f aca="false">IF(E94=1,$C$4*SQRT(D94),IF(E94=2,$C$4+($C$5-$C$4)*D94,$C$6-($C$6-$C$5)*SQRT(1-D94)))</f>
        <v>6.8634392516916</v>
      </c>
    </row>
    <row r="95" customFormat="false" ht="15" hidden="false" customHeight="false" outlineLevel="0" collapsed="false">
      <c r="B95" s="0" t="n">
        <v>79</v>
      </c>
      <c r="C95" s="0" t="n">
        <f aca="true">RAND()</f>
        <v>0.340422799381414</v>
      </c>
      <c r="D95" s="0" t="n">
        <f aca="true">RAND()</f>
        <v>0.270909841211717</v>
      </c>
      <c r="E95" s="0" t="n">
        <f aca="false">IF(C95&lt;=$C$10,1,IF(C95&lt;=$C$10+$C$11,2,3))</f>
        <v>2</v>
      </c>
      <c r="F95" s="0" t="n">
        <f aca="false">IF(E95=1,$C$4*SQRT(D95),IF(E95=2,$C$4+($C$5-$C$4)*D95,$C$6-($C$6-$C$5)*SQRT(1-D95)))</f>
        <v>4.08363936484687</v>
      </c>
    </row>
    <row r="96" customFormat="false" ht="15" hidden="false" customHeight="false" outlineLevel="0" collapsed="false">
      <c r="B96" s="0" t="n">
        <v>80</v>
      </c>
      <c r="C96" s="0" t="n">
        <f aca="true">RAND()</f>
        <v>0.542663887410443</v>
      </c>
      <c r="D96" s="0" t="n">
        <f aca="true">RAND()</f>
        <v>0.191398933464201</v>
      </c>
      <c r="E96" s="0" t="n">
        <f aca="false">IF(C96&lt;=$C$10,1,IF(C96&lt;=$C$10+$C$11,2,3))</f>
        <v>2</v>
      </c>
      <c r="F96" s="0" t="n">
        <f aca="false">IF(E96=1,$C$4*SQRT(D96),IF(E96=2,$C$4+($C$5-$C$4)*D96,$C$6-($C$6-$C$5)*SQRT(1-D96)))</f>
        <v>3.7655957338568</v>
      </c>
    </row>
    <row r="97" customFormat="false" ht="15" hidden="false" customHeight="false" outlineLevel="0" collapsed="false">
      <c r="B97" s="0" t="n">
        <v>81</v>
      </c>
      <c r="C97" s="0" t="n">
        <f aca="true">RAND()</f>
        <v>0.315079725622542</v>
      </c>
      <c r="D97" s="0" t="n">
        <f aca="true">RAND()</f>
        <v>0.26832496388855</v>
      </c>
      <c r="E97" s="0" t="n">
        <f aca="false">IF(C97&lt;=$C$10,1,IF(C97&lt;=$C$10+$C$11,2,3))</f>
        <v>2</v>
      </c>
      <c r="F97" s="0" t="n">
        <f aca="false">IF(E97=1,$C$4*SQRT(D97),IF(E97=2,$C$4+($C$5-$C$4)*D97,$C$6-($C$6-$C$5)*SQRT(1-D97)))</f>
        <v>4.0732998555542</v>
      </c>
    </row>
    <row r="98" customFormat="false" ht="15" hidden="false" customHeight="false" outlineLevel="0" collapsed="false">
      <c r="B98" s="0" t="n">
        <v>82</v>
      </c>
      <c r="C98" s="0" t="n">
        <f aca="true">RAND()</f>
        <v>0.73635626503099</v>
      </c>
      <c r="D98" s="0" t="n">
        <f aca="true">RAND()</f>
        <v>0.489847014024929</v>
      </c>
      <c r="E98" s="0" t="n">
        <f aca="false">IF(C98&lt;=$C$10,1,IF(C98&lt;=$C$10+$C$11,2,3))</f>
        <v>2</v>
      </c>
      <c r="F98" s="0" t="n">
        <f aca="false">IF(E98=1,$C$4*SQRT(D98),IF(E98=2,$C$4+($C$5-$C$4)*D98,$C$6-($C$6-$C$5)*SQRT(1-D98)))</f>
        <v>4.95938805609972</v>
      </c>
    </row>
    <row r="99" customFormat="false" ht="15" hidden="false" customHeight="false" outlineLevel="0" collapsed="false">
      <c r="B99" s="0" t="n">
        <v>83</v>
      </c>
      <c r="C99" s="0" t="n">
        <f aca="true">RAND()</f>
        <v>0.834058632086384</v>
      </c>
      <c r="D99" s="0" t="n">
        <f aca="true">RAND()</f>
        <v>0.860697365897181</v>
      </c>
      <c r="E99" s="0" t="n">
        <f aca="false">IF(C99&lt;=$C$10,1,IF(C99&lt;=$C$10+$C$11,2,3))</f>
        <v>3</v>
      </c>
      <c r="F99" s="0" t="n">
        <f aca="false">IF(E99=1,$C$4*SQRT(D99),IF(E99=2,$C$4+($C$5-$C$4)*D99,$C$6-($C$6-$C$5)*SQRT(1-D99)))</f>
        <v>8.88030195725572</v>
      </c>
    </row>
    <row r="100" customFormat="false" ht="15" hidden="false" customHeight="false" outlineLevel="0" collapsed="false">
      <c r="B100" s="0" t="n">
        <v>84</v>
      </c>
      <c r="C100" s="0" t="n">
        <f aca="true">RAND()</f>
        <v>0.836068292012797</v>
      </c>
      <c r="D100" s="0" t="n">
        <f aca="true">RAND()</f>
        <v>0.210737415547028</v>
      </c>
      <c r="E100" s="0" t="n">
        <f aca="false">IF(C100&lt;=$C$10,1,IF(C100&lt;=$C$10+$C$11,2,3))</f>
        <v>3</v>
      </c>
      <c r="F100" s="0" t="n">
        <f aca="false">IF(E100=1,$C$4*SQRT(D100),IF(E100=2,$C$4+($C$5-$C$4)*D100,$C$6-($C$6-$C$5)*SQRT(1-D100)))</f>
        <v>7.33478645131825</v>
      </c>
    </row>
    <row r="101" customFormat="false" ht="15" hidden="false" customHeight="false" outlineLevel="0" collapsed="false">
      <c r="B101" s="0" t="n">
        <v>85</v>
      </c>
      <c r="C101" s="0" t="n">
        <f aca="true">RAND()</f>
        <v>0.345582436721054</v>
      </c>
      <c r="D101" s="0" t="n">
        <f aca="true">RAND()</f>
        <v>0.487180968411162</v>
      </c>
      <c r="E101" s="0" t="n">
        <f aca="false">IF(C101&lt;=$C$10,1,IF(C101&lt;=$C$10+$C$11,2,3))</f>
        <v>2</v>
      </c>
      <c r="F101" s="0" t="n">
        <f aca="false">IF(E101=1,$C$4*SQRT(D101),IF(E101=2,$C$4+($C$5-$C$4)*D101,$C$6-($C$6-$C$5)*SQRT(1-D101)))</f>
        <v>4.94872387364465</v>
      </c>
    </row>
    <row r="102" customFormat="false" ht="15" hidden="false" customHeight="false" outlineLevel="0" collapsed="false">
      <c r="B102" s="0" t="n">
        <v>86</v>
      </c>
      <c r="C102" s="0" t="n">
        <f aca="true">RAND()</f>
        <v>0.52919716347996</v>
      </c>
      <c r="D102" s="0" t="n">
        <f aca="true">RAND()</f>
        <v>0.286525833425183</v>
      </c>
      <c r="E102" s="0" t="n">
        <f aca="false">IF(C102&lt;=$C$10,1,IF(C102&lt;=$C$10+$C$11,2,3))</f>
        <v>2</v>
      </c>
      <c r="F102" s="0" t="n">
        <f aca="false">IF(E102=1,$C$4*SQRT(D102),IF(E102=2,$C$4+($C$5-$C$4)*D102,$C$6-($C$6-$C$5)*SQRT(1-D102)))</f>
        <v>4.14610333370073</v>
      </c>
    </row>
    <row r="103" customFormat="false" ht="15" hidden="false" customHeight="false" outlineLevel="0" collapsed="false">
      <c r="B103" s="0" t="n">
        <v>87</v>
      </c>
      <c r="C103" s="0" t="n">
        <f aca="true">RAND()</f>
        <v>0.54086469258894</v>
      </c>
      <c r="D103" s="0" t="n">
        <f aca="true">RAND()</f>
        <v>0.510353965315269</v>
      </c>
      <c r="E103" s="0" t="n">
        <f aca="false">IF(C103&lt;=$C$10,1,IF(C103&lt;=$C$10+$C$11,2,3))</f>
        <v>2</v>
      </c>
      <c r="F103" s="0" t="n">
        <f aca="false">IF(E103=1,$C$4*SQRT(D103),IF(E103=2,$C$4+($C$5-$C$4)*D103,$C$6-($C$6-$C$5)*SQRT(1-D103)))</f>
        <v>5.04141586126108</v>
      </c>
    </row>
    <row r="104" customFormat="false" ht="15" hidden="false" customHeight="false" outlineLevel="0" collapsed="false">
      <c r="B104" s="0" t="n">
        <v>88</v>
      </c>
      <c r="C104" s="0" t="n">
        <f aca="true">RAND()</f>
        <v>0.467163356280173</v>
      </c>
      <c r="D104" s="0" t="n">
        <f aca="true">RAND()</f>
        <v>0.225919610898509</v>
      </c>
      <c r="E104" s="0" t="n">
        <f aca="false">IF(C104&lt;=$C$10,1,IF(C104&lt;=$C$10+$C$11,2,3))</f>
        <v>2</v>
      </c>
      <c r="F104" s="0" t="n">
        <f aca="false">IF(E104=1,$C$4*SQRT(D104),IF(E104=2,$C$4+($C$5-$C$4)*D104,$C$6-($C$6-$C$5)*SQRT(1-D104)))</f>
        <v>3.90367844359404</v>
      </c>
    </row>
    <row r="105" customFormat="false" ht="15" hidden="false" customHeight="false" outlineLevel="0" collapsed="false">
      <c r="B105" s="0" t="n">
        <v>89</v>
      </c>
      <c r="C105" s="0" t="n">
        <f aca="true">RAND()</f>
        <v>0.278212758496018</v>
      </c>
      <c r="D105" s="0" t="n">
        <f aca="true">RAND()</f>
        <v>0.981415447097912</v>
      </c>
      <c r="E105" s="0" t="n">
        <f aca="false">IF(C105&lt;=$C$10,1,IF(C105&lt;=$C$10+$C$11,2,3))</f>
        <v>2</v>
      </c>
      <c r="F105" s="0" t="n">
        <f aca="false">IF(E105=1,$C$4*SQRT(D105),IF(E105=2,$C$4+($C$5-$C$4)*D105,$C$6-($C$6-$C$5)*SQRT(1-D105)))</f>
        <v>6.92566178839165</v>
      </c>
    </row>
    <row r="106" customFormat="false" ht="15" hidden="false" customHeight="false" outlineLevel="0" collapsed="false">
      <c r="B106" s="0" t="n">
        <v>90</v>
      </c>
      <c r="C106" s="0" t="n">
        <f aca="true">RAND()</f>
        <v>0.943395309095925</v>
      </c>
      <c r="D106" s="0" t="n">
        <f aca="true">RAND()</f>
        <v>0.359482288405452</v>
      </c>
      <c r="E106" s="0" t="n">
        <f aca="false">IF(C106&lt;=$C$10,1,IF(C106&lt;=$C$10+$C$11,2,3))</f>
        <v>3</v>
      </c>
      <c r="F106" s="0" t="n">
        <f aca="false">IF(E106=1,$C$4*SQRT(D106),IF(E106=2,$C$4+($C$5-$C$4)*D106,$C$6-($C$6-$C$5)*SQRT(1-D106)))</f>
        <v>7.59902948698845</v>
      </c>
    </row>
    <row r="107" customFormat="false" ht="15" hidden="false" customHeight="false" outlineLevel="0" collapsed="false">
      <c r="B107" s="0" t="n">
        <v>91</v>
      </c>
      <c r="C107" s="0" t="n">
        <f aca="true">RAND()</f>
        <v>0.284050933754466</v>
      </c>
      <c r="D107" s="0" t="n">
        <f aca="true">RAND()</f>
        <v>0.217135019412175</v>
      </c>
      <c r="E107" s="0" t="n">
        <f aca="false">IF(C107&lt;=$C$10,1,IF(C107&lt;=$C$10+$C$11,2,3))</f>
        <v>2</v>
      </c>
      <c r="F107" s="0" t="n">
        <f aca="false">IF(E107=1,$C$4*SQRT(D107),IF(E107=2,$C$4+($C$5-$C$4)*D107,$C$6-($C$6-$C$5)*SQRT(1-D107)))</f>
        <v>3.8685400776487</v>
      </c>
    </row>
    <row r="108" customFormat="false" ht="15" hidden="false" customHeight="false" outlineLevel="0" collapsed="false">
      <c r="B108" s="0" t="n">
        <v>92</v>
      </c>
      <c r="C108" s="0" t="n">
        <f aca="true">RAND()</f>
        <v>0.4355230675376</v>
      </c>
      <c r="D108" s="0" t="n">
        <f aca="true">RAND()</f>
        <v>0.978299353318596</v>
      </c>
      <c r="E108" s="0" t="n">
        <f aca="false">IF(C108&lt;=$C$10,1,IF(C108&lt;=$C$10+$C$11,2,3))</f>
        <v>2</v>
      </c>
      <c r="F108" s="0" t="n">
        <f aca="false">IF(E108=1,$C$4*SQRT(D108),IF(E108=2,$C$4+($C$5-$C$4)*D108,$C$6-($C$6-$C$5)*SQRT(1-D108)))</f>
        <v>6.91319741327438</v>
      </c>
    </row>
    <row r="109" customFormat="false" ht="15" hidden="false" customHeight="false" outlineLevel="0" collapsed="false">
      <c r="B109" s="0" t="n">
        <v>93</v>
      </c>
      <c r="C109" s="0" t="n">
        <f aca="true">RAND()</f>
        <v>0.041017409815358</v>
      </c>
      <c r="D109" s="0" t="n">
        <f aca="true">RAND()</f>
        <v>0.53234232687503</v>
      </c>
      <c r="E109" s="0" t="n">
        <f aca="false">IF(C109&lt;=$C$10,1,IF(C109&lt;=$C$10+$C$11,2,3))</f>
        <v>1</v>
      </c>
      <c r="F109" s="0" t="n">
        <f aca="false">IF(E109=1,$C$4*SQRT(D109),IF(E109=2,$C$4+($C$5-$C$4)*D109,$C$6-($C$6-$C$5)*SQRT(1-D109)))</f>
        <v>2.18885379636815</v>
      </c>
    </row>
    <row r="110" customFormat="false" ht="15" hidden="false" customHeight="false" outlineLevel="0" collapsed="false">
      <c r="B110" s="0" t="n">
        <v>94</v>
      </c>
      <c r="C110" s="0" t="n">
        <f aca="true">RAND()</f>
        <v>0.168817736353308</v>
      </c>
      <c r="D110" s="0" t="n">
        <f aca="true">RAND()</f>
        <v>0.896129735063518</v>
      </c>
      <c r="E110" s="0" t="n">
        <f aca="false">IF(C110&lt;=$C$10,1,IF(C110&lt;=$C$10+$C$11,2,3))</f>
        <v>1</v>
      </c>
      <c r="F110" s="0" t="n">
        <f aca="false">IF(E110=1,$C$4*SQRT(D110),IF(E110=2,$C$4+($C$5-$C$4)*D110,$C$6-($C$6-$C$5)*SQRT(1-D110)))</f>
        <v>2.83992387496068</v>
      </c>
    </row>
    <row r="111" customFormat="false" ht="15" hidden="false" customHeight="false" outlineLevel="0" collapsed="false">
      <c r="B111" s="0" t="n">
        <v>95</v>
      </c>
      <c r="C111" s="0" t="n">
        <f aca="true">RAND()</f>
        <v>0.685380939091875</v>
      </c>
      <c r="D111" s="0" t="n">
        <f aca="true">RAND()</f>
        <v>0.142050633426265</v>
      </c>
      <c r="E111" s="0" t="n">
        <f aca="false">IF(C111&lt;=$C$10,1,IF(C111&lt;=$C$10+$C$11,2,3))</f>
        <v>2</v>
      </c>
      <c r="F111" s="0" t="n">
        <f aca="false">IF(E111=1,$C$4*SQRT(D111),IF(E111=2,$C$4+($C$5-$C$4)*D111,$C$6-($C$6-$C$5)*SQRT(1-D111)))</f>
        <v>3.56820253370506</v>
      </c>
    </row>
    <row r="112" customFormat="false" ht="15" hidden="false" customHeight="false" outlineLevel="0" collapsed="false">
      <c r="B112" s="0" t="n">
        <v>96</v>
      </c>
      <c r="C112" s="0" t="n">
        <f aca="true">RAND()</f>
        <v>0.949965348244457</v>
      </c>
      <c r="D112" s="0" t="n">
        <f aca="true">RAND()</f>
        <v>0.155361156983467</v>
      </c>
      <c r="E112" s="0" t="n">
        <f aca="false">IF(C112&lt;=$C$10,1,IF(C112&lt;=$C$10+$C$11,2,3))</f>
        <v>3</v>
      </c>
      <c r="F112" s="0" t="n">
        <f aca="false">IF(E112=1,$C$4*SQRT(D112),IF(E112=2,$C$4+($C$5-$C$4)*D112,$C$6-($C$6-$C$5)*SQRT(1-D112)))</f>
        <v>7.24287294686139</v>
      </c>
    </row>
    <row r="113" customFormat="false" ht="15" hidden="false" customHeight="false" outlineLevel="0" collapsed="false">
      <c r="B113" s="0" t="n">
        <v>97</v>
      </c>
      <c r="C113" s="0" t="n">
        <f aca="true">RAND()</f>
        <v>0.44337951355725</v>
      </c>
      <c r="D113" s="0" t="n">
        <f aca="true">RAND()</f>
        <v>0.282669662139833</v>
      </c>
      <c r="E113" s="0" t="n">
        <f aca="false">IF(C113&lt;=$C$10,1,IF(C113&lt;=$C$10+$C$11,2,3))</f>
        <v>2</v>
      </c>
      <c r="F113" s="0" t="n">
        <f aca="false">IF(E113=1,$C$4*SQRT(D113),IF(E113=2,$C$4+($C$5-$C$4)*D113,$C$6-($C$6-$C$5)*SQRT(1-D113)))</f>
        <v>4.13067864855933</v>
      </c>
    </row>
    <row r="114" customFormat="false" ht="15" hidden="false" customHeight="false" outlineLevel="0" collapsed="false">
      <c r="B114" s="0" t="n">
        <v>98</v>
      </c>
      <c r="C114" s="0" t="n">
        <f aca="true">RAND()</f>
        <v>0.773574289509652</v>
      </c>
      <c r="D114" s="0" t="n">
        <f aca="true">RAND()</f>
        <v>0.92179949782905</v>
      </c>
      <c r="E114" s="0" t="n">
        <f aca="false">IF(C114&lt;=$C$10,1,IF(C114&lt;=$C$10+$C$11,2,3))</f>
        <v>2</v>
      </c>
      <c r="F114" s="0" t="n">
        <f aca="false">IF(E114=1,$C$4*SQRT(D114),IF(E114=2,$C$4+($C$5-$C$4)*D114,$C$6-($C$6-$C$5)*SQRT(1-D114)))</f>
        <v>6.6871979913162</v>
      </c>
    </row>
    <row r="115" customFormat="false" ht="15" hidden="false" customHeight="false" outlineLevel="0" collapsed="false">
      <c r="B115" s="0" t="n">
        <v>99</v>
      </c>
      <c r="C115" s="0" t="n">
        <f aca="true">RAND()</f>
        <v>0.485787141758174</v>
      </c>
      <c r="D115" s="0" t="n">
        <f aca="true">RAND()</f>
        <v>0.469126617371652</v>
      </c>
      <c r="E115" s="0" t="n">
        <f aca="false">IF(C115&lt;=$C$10,1,IF(C115&lt;=$C$10+$C$11,2,3))</f>
        <v>2</v>
      </c>
      <c r="F115" s="0" t="n">
        <f aca="false">IF(E115=1,$C$4*SQRT(D115),IF(E115=2,$C$4+($C$5-$C$4)*D115,$C$6-($C$6-$C$5)*SQRT(1-D115)))</f>
        <v>4.87650646948661</v>
      </c>
    </row>
    <row r="116" customFormat="false" ht="15" hidden="false" customHeight="false" outlineLevel="0" collapsed="false">
      <c r="B116" s="0" t="n">
        <v>100</v>
      </c>
      <c r="C116" s="0" t="n">
        <f aca="true">RAND()</f>
        <v>0.330509747605526</v>
      </c>
      <c r="D116" s="0" t="n">
        <f aca="true">RAND()</f>
        <v>0.0395122087216754</v>
      </c>
      <c r="E116" s="0" t="n">
        <f aca="false">IF(C116&lt;=$C$10,1,IF(C116&lt;=$C$10+$C$11,2,3))</f>
        <v>2</v>
      </c>
      <c r="F116" s="0" t="n">
        <f aca="false">IF(E116=1,$C$4*SQRT(D116),IF(E116=2,$C$4+($C$5-$C$4)*D116,$C$6-($C$6-$C$5)*SQRT(1-D116)))</f>
        <v>3.1580488348867</v>
      </c>
    </row>
    <row r="117" customFormat="false" ht="15" hidden="false" customHeight="false" outlineLevel="0" collapsed="false">
      <c r="B117" s="0" t="n">
        <v>101</v>
      </c>
      <c r="C117" s="0" t="n">
        <f aca="true">RAND()</f>
        <v>0.922174353906715</v>
      </c>
      <c r="D117" s="0" t="n">
        <f aca="true">RAND()</f>
        <v>0.548354561602255</v>
      </c>
      <c r="E117" s="0" t="n">
        <f aca="false">IF(C117&lt;=$C$10,1,IF(C117&lt;=$C$10+$C$11,2,3))</f>
        <v>3</v>
      </c>
      <c r="F117" s="0" t="n">
        <f aca="false">IF(E117=1,$C$4*SQRT(D117),IF(E117=2,$C$4+($C$5-$C$4)*D117,$C$6-($C$6-$C$5)*SQRT(1-D117)))</f>
        <v>7.98386286538348</v>
      </c>
    </row>
    <row r="118" customFormat="false" ht="15" hidden="false" customHeight="false" outlineLevel="0" collapsed="false">
      <c r="B118" s="0" t="n">
        <v>102</v>
      </c>
      <c r="C118" s="0" t="n">
        <f aca="true">RAND()</f>
        <v>0.144609691225254</v>
      </c>
      <c r="D118" s="0" t="n">
        <f aca="true">RAND()</f>
        <v>0.85448959649352</v>
      </c>
      <c r="E118" s="0" t="n">
        <f aca="false">IF(C118&lt;=$C$10,1,IF(C118&lt;=$C$10+$C$11,2,3))</f>
        <v>1</v>
      </c>
      <c r="F118" s="0" t="n">
        <f aca="false">IF(E118=1,$C$4*SQRT(D118),IF(E118=2,$C$4+($C$5-$C$4)*D118,$C$6-($C$6-$C$5)*SQRT(1-D118)))</f>
        <v>2.77315819390847</v>
      </c>
    </row>
    <row r="119" customFormat="false" ht="15" hidden="false" customHeight="false" outlineLevel="0" collapsed="false">
      <c r="B119" s="0" t="n">
        <v>103</v>
      </c>
      <c r="C119" s="0" t="n">
        <f aca="true">RAND()</f>
        <v>0.782464144991939</v>
      </c>
      <c r="D119" s="0" t="n">
        <f aca="true">RAND()</f>
        <v>0.439682468777029</v>
      </c>
      <c r="E119" s="0" t="n">
        <f aca="false">IF(C119&lt;=$C$10,1,IF(C119&lt;=$C$10+$C$11,2,3))</f>
        <v>2</v>
      </c>
      <c r="F119" s="0" t="n">
        <f aca="false">IF(E119=1,$C$4*SQRT(D119),IF(E119=2,$C$4+($C$5-$C$4)*D119,$C$6-($C$6-$C$5)*SQRT(1-D119)))</f>
        <v>4.75872987510812</v>
      </c>
    </row>
    <row r="120" customFormat="false" ht="15" hidden="false" customHeight="false" outlineLevel="0" collapsed="false">
      <c r="B120" s="0" t="n">
        <v>104</v>
      </c>
      <c r="C120" s="0" t="n">
        <f aca="true">RAND()</f>
        <v>0.903111867099323</v>
      </c>
      <c r="D120" s="0" t="n">
        <f aca="true">RAND()</f>
        <v>0.0131525562779806</v>
      </c>
      <c r="E120" s="0" t="n">
        <f aca="false">IF(C120&lt;=$C$10,1,IF(C120&lt;=$C$10+$C$11,2,3))</f>
        <v>3</v>
      </c>
      <c r="F120" s="0" t="n">
        <f aca="false">IF(E120=1,$C$4*SQRT(D120),IF(E120=2,$C$4+($C$5-$C$4)*D120,$C$6-($C$6-$C$5)*SQRT(1-D120)))</f>
        <v>7.01979413571844</v>
      </c>
    </row>
    <row r="121" customFormat="false" ht="15" hidden="false" customHeight="false" outlineLevel="0" collapsed="false">
      <c r="B121" s="0" t="n">
        <v>105</v>
      </c>
      <c r="C121" s="0" t="n">
        <f aca="true">RAND()</f>
        <v>0.8701529027375</v>
      </c>
      <c r="D121" s="0" t="n">
        <f aca="true">RAND()</f>
        <v>0.878105656436808</v>
      </c>
      <c r="E121" s="0" t="n">
        <f aca="false">IF(C121&lt;=$C$10,1,IF(C121&lt;=$C$10+$C$11,2,3))</f>
        <v>3</v>
      </c>
      <c r="F121" s="0" t="n">
        <f aca="false">IF(E121=1,$C$4*SQRT(D121),IF(E121=2,$C$4+($C$5-$C$4)*D121,$C$6-($C$6-$C$5)*SQRT(1-D121)))</f>
        <v>8.95259888673502</v>
      </c>
    </row>
    <row r="122" customFormat="false" ht="15" hidden="false" customHeight="false" outlineLevel="0" collapsed="false">
      <c r="B122" s="0" t="n">
        <v>106</v>
      </c>
      <c r="C122" s="0" t="n">
        <f aca="true">RAND()</f>
        <v>0.489815580881778</v>
      </c>
      <c r="D122" s="0" t="n">
        <f aca="true">RAND()</f>
        <v>0.64374201620301</v>
      </c>
      <c r="E122" s="0" t="n">
        <f aca="false">IF(C122&lt;=$C$10,1,IF(C122&lt;=$C$10+$C$11,2,3))</f>
        <v>2</v>
      </c>
      <c r="F122" s="0" t="n">
        <f aca="false">IF(E122=1,$C$4*SQRT(D122),IF(E122=2,$C$4+($C$5-$C$4)*D122,$C$6-($C$6-$C$5)*SQRT(1-D122)))</f>
        <v>5.57496806481204</v>
      </c>
    </row>
    <row r="123" customFormat="false" ht="15" hidden="false" customHeight="false" outlineLevel="0" collapsed="false">
      <c r="B123" s="0" t="n">
        <v>107</v>
      </c>
      <c r="C123" s="0" t="n">
        <f aca="true">RAND()</f>
        <v>0.788583708790437</v>
      </c>
      <c r="D123" s="0" t="n">
        <f aca="true">RAND()</f>
        <v>0.257249136825823</v>
      </c>
      <c r="E123" s="0" t="n">
        <f aca="false">IF(C123&lt;=$C$10,1,IF(C123&lt;=$C$10+$C$11,2,3))</f>
        <v>3</v>
      </c>
      <c r="F123" s="0" t="n">
        <f aca="false">IF(E123=1,$C$4*SQRT(D123),IF(E123=2,$C$4+($C$5-$C$4)*D123,$C$6-($C$6-$C$5)*SQRT(1-D123)))</f>
        <v>7.4145101492043</v>
      </c>
    </row>
    <row r="124" customFormat="false" ht="15" hidden="false" customHeight="false" outlineLevel="0" collapsed="false">
      <c r="B124" s="0" t="n">
        <v>108</v>
      </c>
      <c r="C124" s="0" t="n">
        <f aca="true">RAND()</f>
        <v>0.264821106996509</v>
      </c>
      <c r="D124" s="0" t="n">
        <f aca="true">RAND()</f>
        <v>0.00734104750088563</v>
      </c>
      <c r="E124" s="0" t="n">
        <f aca="false">IF(C124&lt;=$C$10,1,IF(C124&lt;=$C$10+$C$11,2,3))</f>
        <v>2</v>
      </c>
      <c r="F124" s="0" t="n">
        <f aca="false">IF(E124=1,$C$4*SQRT(D124),IF(E124=2,$C$4+($C$5-$C$4)*D124,$C$6-($C$6-$C$5)*SQRT(1-D124)))</f>
        <v>3.02936419000354</v>
      </c>
    </row>
    <row r="125" customFormat="false" ht="15" hidden="false" customHeight="false" outlineLevel="0" collapsed="false">
      <c r="B125" s="0" t="n">
        <v>109</v>
      </c>
      <c r="C125" s="0" t="n">
        <f aca="true">RAND()</f>
        <v>0.528654417172166</v>
      </c>
      <c r="D125" s="0" t="n">
        <f aca="true">RAND()</f>
        <v>0.407521721999661</v>
      </c>
      <c r="E125" s="0" t="n">
        <f aca="false">IF(C125&lt;=$C$10,1,IF(C125&lt;=$C$10+$C$11,2,3))</f>
        <v>2</v>
      </c>
      <c r="F125" s="0" t="n">
        <f aca="false">IF(E125=1,$C$4*SQRT(D125),IF(E125=2,$C$4+($C$5-$C$4)*D125,$C$6-($C$6-$C$5)*SQRT(1-D125)))</f>
        <v>4.63008688799865</v>
      </c>
    </row>
    <row r="126" customFormat="false" ht="15" hidden="false" customHeight="false" outlineLevel="0" collapsed="false">
      <c r="B126" s="0" t="n">
        <v>110</v>
      </c>
      <c r="C126" s="0" t="n">
        <f aca="true">RAND()</f>
        <v>0.0195921896152229</v>
      </c>
      <c r="D126" s="0" t="n">
        <f aca="true">RAND()</f>
        <v>0.954222383075532</v>
      </c>
      <c r="E126" s="0" t="n">
        <f aca="false">IF(C126&lt;=$C$10,1,IF(C126&lt;=$C$10+$C$11,2,3))</f>
        <v>1</v>
      </c>
      <c r="F126" s="0" t="n">
        <f aca="false">IF(E126=1,$C$4*SQRT(D126),IF(E126=2,$C$4+($C$5-$C$4)*D126,$C$6-($C$6-$C$5)*SQRT(1-D126)))</f>
        <v>2.93052920949097</v>
      </c>
    </row>
    <row r="127" customFormat="false" ht="15" hidden="false" customHeight="false" outlineLevel="0" collapsed="false">
      <c r="B127" s="0" t="n">
        <v>111</v>
      </c>
      <c r="C127" s="0" t="n">
        <f aca="true">RAND()</f>
        <v>0.471816299872936</v>
      </c>
      <c r="D127" s="0" t="n">
        <f aca="true">RAND()</f>
        <v>0.202433515641069</v>
      </c>
      <c r="E127" s="0" t="n">
        <f aca="false">IF(C127&lt;=$C$10,1,IF(C127&lt;=$C$10+$C$11,2,3))</f>
        <v>2</v>
      </c>
      <c r="F127" s="0" t="n">
        <f aca="false">IF(E127=1,$C$4*SQRT(D127),IF(E127=2,$C$4+($C$5-$C$4)*D127,$C$6-($C$6-$C$5)*SQRT(1-D127)))</f>
        <v>3.80973406256428</v>
      </c>
    </row>
    <row r="128" customFormat="false" ht="15" hidden="false" customHeight="false" outlineLevel="0" collapsed="false">
      <c r="B128" s="0" t="n">
        <v>112</v>
      </c>
      <c r="C128" s="0" t="n">
        <f aca="true">RAND()</f>
        <v>0.61890384579577</v>
      </c>
      <c r="D128" s="0" t="n">
        <f aca="true">RAND()</f>
        <v>0.723710753818262</v>
      </c>
      <c r="E128" s="0" t="n">
        <f aca="false">IF(C128&lt;=$C$10,1,IF(C128&lt;=$C$10+$C$11,2,3))</f>
        <v>2</v>
      </c>
      <c r="F128" s="0" t="n">
        <f aca="false">IF(E128=1,$C$4*SQRT(D128),IF(E128=2,$C$4+($C$5-$C$4)*D128,$C$6-($C$6-$C$5)*SQRT(1-D128)))</f>
        <v>5.89484301527305</v>
      </c>
    </row>
    <row r="129" customFormat="false" ht="15" hidden="false" customHeight="false" outlineLevel="0" collapsed="false">
      <c r="B129" s="0" t="n">
        <v>113</v>
      </c>
      <c r="C129" s="0" t="n">
        <f aca="true">RAND()</f>
        <v>0.821643464564376</v>
      </c>
      <c r="D129" s="0" t="n">
        <f aca="true">RAND()</f>
        <v>0.811031435300233</v>
      </c>
      <c r="E129" s="0" t="n">
        <f aca="false">IF(C129&lt;=$C$10,1,IF(C129&lt;=$C$10+$C$11,2,3))</f>
        <v>3</v>
      </c>
      <c r="F129" s="0" t="n">
        <f aca="false">IF(E129=1,$C$4*SQRT(D129),IF(E129=2,$C$4+($C$5-$C$4)*D129,$C$6-($C$6-$C$5)*SQRT(1-D129)))</f>
        <v>8.69588455944349</v>
      </c>
    </row>
    <row r="130" customFormat="false" ht="15" hidden="false" customHeight="false" outlineLevel="0" collapsed="false">
      <c r="B130" s="0" t="n">
        <v>114</v>
      </c>
      <c r="C130" s="0" t="n">
        <f aca="true">RAND()</f>
        <v>0.0867914651886434</v>
      </c>
      <c r="D130" s="0" t="n">
        <f aca="true">RAND()</f>
        <v>0.691615408686281</v>
      </c>
      <c r="E130" s="0" t="n">
        <f aca="false">IF(C130&lt;=$C$10,1,IF(C130&lt;=$C$10+$C$11,2,3))</f>
        <v>1</v>
      </c>
      <c r="F130" s="0" t="n">
        <f aca="false">IF(E130=1,$C$4*SQRT(D130),IF(E130=2,$C$4+($C$5-$C$4)*D130,$C$6-($C$6-$C$5)*SQRT(1-D130)))</f>
        <v>2.49490253881319</v>
      </c>
    </row>
    <row r="131" customFormat="false" ht="15" hidden="false" customHeight="false" outlineLevel="0" collapsed="false">
      <c r="B131" s="0" t="n">
        <v>115</v>
      </c>
      <c r="C131" s="0" t="n">
        <f aca="true">RAND()</f>
        <v>0.856028648180121</v>
      </c>
      <c r="D131" s="0" t="n">
        <f aca="true">RAND()</f>
        <v>0.328480600353818</v>
      </c>
      <c r="E131" s="0" t="n">
        <f aca="false">IF(C131&lt;=$C$10,1,IF(C131&lt;=$C$10+$C$11,2,3))</f>
        <v>3</v>
      </c>
      <c r="F131" s="0" t="n">
        <f aca="false">IF(E131=1,$C$4*SQRT(D131),IF(E131=2,$C$4+($C$5-$C$4)*D131,$C$6-($C$6-$C$5)*SQRT(1-D131)))</f>
        <v>7.54161138206027</v>
      </c>
    </row>
    <row r="132" customFormat="false" ht="15" hidden="false" customHeight="false" outlineLevel="0" collapsed="false">
      <c r="B132" s="0" t="n">
        <v>116</v>
      </c>
      <c r="C132" s="0" t="n">
        <f aca="true">RAND()</f>
        <v>0.427605349883682</v>
      </c>
      <c r="D132" s="0" t="n">
        <f aca="true">RAND()</f>
        <v>0.284523307837499</v>
      </c>
      <c r="E132" s="0" t="n">
        <f aca="false">IF(C132&lt;=$C$10,1,IF(C132&lt;=$C$10+$C$11,2,3))</f>
        <v>2</v>
      </c>
      <c r="F132" s="0" t="n">
        <f aca="false">IF(E132=1,$C$4*SQRT(D132),IF(E132=2,$C$4+($C$5-$C$4)*D132,$C$6-($C$6-$C$5)*SQRT(1-D132)))</f>
        <v>4.13809323135</v>
      </c>
    </row>
    <row r="133" customFormat="false" ht="15" hidden="false" customHeight="false" outlineLevel="0" collapsed="false">
      <c r="B133" s="0" t="n">
        <v>117</v>
      </c>
      <c r="C133" s="0" t="n">
        <f aca="true">RAND()</f>
        <v>0.273791888434021</v>
      </c>
      <c r="D133" s="0" t="n">
        <f aca="true">RAND()</f>
        <v>0.309151142012255</v>
      </c>
      <c r="E133" s="0" t="n">
        <f aca="false">IF(C133&lt;=$C$10,1,IF(C133&lt;=$C$10+$C$11,2,3))</f>
        <v>2</v>
      </c>
      <c r="F133" s="0" t="n">
        <f aca="false">IF(E133=1,$C$4*SQRT(D133),IF(E133=2,$C$4+($C$5-$C$4)*D133,$C$6-($C$6-$C$5)*SQRT(1-D133)))</f>
        <v>4.23660456804902</v>
      </c>
    </row>
    <row r="134" customFormat="false" ht="15" hidden="false" customHeight="false" outlineLevel="0" collapsed="false">
      <c r="B134" s="0" t="n">
        <v>118</v>
      </c>
      <c r="C134" s="0" t="n">
        <f aca="true">RAND()</f>
        <v>0.25403277514106</v>
      </c>
      <c r="D134" s="0" t="n">
        <f aca="true">RAND()</f>
        <v>0.225223637339571</v>
      </c>
      <c r="E134" s="0" t="n">
        <f aca="false">IF(C134&lt;=$C$10,1,IF(C134&lt;=$C$10+$C$11,2,3))</f>
        <v>2</v>
      </c>
      <c r="F134" s="0" t="n">
        <f aca="false">IF(E134=1,$C$4*SQRT(D134),IF(E134=2,$C$4+($C$5-$C$4)*D134,$C$6-($C$6-$C$5)*SQRT(1-D134)))</f>
        <v>3.90089454935828</v>
      </c>
    </row>
    <row r="135" customFormat="false" ht="15" hidden="false" customHeight="false" outlineLevel="0" collapsed="false">
      <c r="B135" s="0" t="n">
        <v>119</v>
      </c>
      <c r="C135" s="0" t="n">
        <f aca="true">RAND()</f>
        <v>0.725305136110229</v>
      </c>
      <c r="D135" s="0" t="n">
        <f aca="true">RAND()</f>
        <v>0.328220779940472</v>
      </c>
      <c r="E135" s="0" t="n">
        <f aca="false">IF(C135&lt;=$C$10,1,IF(C135&lt;=$C$10+$C$11,2,3))</f>
        <v>2</v>
      </c>
      <c r="F135" s="0" t="n">
        <f aca="false">IF(E135=1,$C$4*SQRT(D135),IF(E135=2,$C$4+($C$5-$C$4)*D135,$C$6-($C$6-$C$5)*SQRT(1-D135)))</f>
        <v>4.31288311976189</v>
      </c>
    </row>
    <row r="136" customFormat="false" ht="15" hidden="false" customHeight="false" outlineLevel="0" collapsed="false">
      <c r="B136" s="0" t="n">
        <v>120</v>
      </c>
      <c r="C136" s="0" t="n">
        <f aca="true">RAND()</f>
        <v>0.762754481504441</v>
      </c>
      <c r="D136" s="0" t="n">
        <f aca="true">RAND()</f>
        <v>0.965756621301864</v>
      </c>
      <c r="E136" s="0" t="n">
        <f aca="false">IF(C136&lt;=$C$10,1,IF(C136&lt;=$C$10+$C$11,2,3))</f>
        <v>2</v>
      </c>
      <c r="F136" s="0" t="n">
        <f aca="false">IF(E136=1,$C$4*SQRT(D136),IF(E136=2,$C$4+($C$5-$C$4)*D136,$C$6-($C$6-$C$5)*SQRT(1-D136)))</f>
        <v>6.86302648520745</v>
      </c>
    </row>
    <row r="137" customFormat="false" ht="15" hidden="false" customHeight="false" outlineLevel="0" collapsed="false">
      <c r="B137" s="0" t="n">
        <v>121</v>
      </c>
      <c r="C137" s="0" t="n">
        <f aca="true">RAND()</f>
        <v>0.351393021501696</v>
      </c>
      <c r="D137" s="0" t="n">
        <f aca="true">RAND()</f>
        <v>0.579648950426633</v>
      </c>
      <c r="E137" s="0" t="n">
        <f aca="false">IF(C137&lt;=$C$10,1,IF(C137&lt;=$C$10+$C$11,2,3))</f>
        <v>2</v>
      </c>
      <c r="F137" s="0" t="n">
        <f aca="false">IF(E137=1,$C$4*SQRT(D137),IF(E137=2,$C$4+($C$5-$C$4)*D137,$C$6-($C$6-$C$5)*SQRT(1-D137)))</f>
        <v>5.31859580170653</v>
      </c>
    </row>
    <row r="138" customFormat="false" ht="15" hidden="false" customHeight="false" outlineLevel="0" collapsed="false">
      <c r="B138" s="0" t="n">
        <v>122</v>
      </c>
      <c r="C138" s="0" t="n">
        <f aca="true">RAND()</f>
        <v>0.202836226337667</v>
      </c>
      <c r="D138" s="0" t="n">
        <f aca="true">RAND()</f>
        <v>0.867704902241365</v>
      </c>
      <c r="E138" s="0" t="n">
        <f aca="false">IF(C138&lt;=$C$10,1,IF(C138&lt;=$C$10+$C$11,2,3))</f>
        <v>1</v>
      </c>
      <c r="F138" s="0" t="n">
        <f aca="false">IF(E138=1,$C$4*SQRT(D138),IF(E138=2,$C$4+($C$5-$C$4)*D138,$C$6-($C$6-$C$5)*SQRT(1-D138)))</f>
        <v>2.79452037390538</v>
      </c>
    </row>
    <row r="139" customFormat="false" ht="15" hidden="false" customHeight="false" outlineLevel="0" collapsed="false">
      <c r="B139" s="0" t="n">
        <v>123</v>
      </c>
      <c r="C139" s="0" t="n">
        <f aca="true">RAND()</f>
        <v>0.250899683701253</v>
      </c>
      <c r="D139" s="0" t="n">
        <f aca="true">RAND()</f>
        <v>0.862566994469449</v>
      </c>
      <c r="E139" s="0" t="n">
        <f aca="false">IF(C139&lt;=$C$10,1,IF(C139&lt;=$C$10+$C$11,2,3))</f>
        <v>2</v>
      </c>
      <c r="F139" s="0" t="n">
        <f aca="false">IF(E139=1,$C$4*SQRT(D139),IF(E139=2,$C$4+($C$5-$C$4)*D139,$C$6-($C$6-$C$5)*SQRT(1-D139)))</f>
        <v>6.4502679778778</v>
      </c>
    </row>
    <row r="140" customFormat="false" ht="15" hidden="false" customHeight="false" outlineLevel="0" collapsed="false">
      <c r="B140" s="0" t="n">
        <v>124</v>
      </c>
      <c r="C140" s="0" t="n">
        <f aca="true">RAND()</f>
        <v>0.363190472165428</v>
      </c>
      <c r="D140" s="0" t="n">
        <f aca="true">RAND()</f>
        <v>0.42085435108415</v>
      </c>
      <c r="E140" s="0" t="n">
        <f aca="false">IF(C140&lt;=$C$10,1,IF(C140&lt;=$C$10+$C$11,2,3))</f>
        <v>2</v>
      </c>
      <c r="F140" s="0" t="n">
        <f aca="false">IF(E140=1,$C$4*SQRT(D140),IF(E140=2,$C$4+($C$5-$C$4)*D140,$C$6-($C$6-$C$5)*SQRT(1-D140)))</f>
        <v>4.6834174043366</v>
      </c>
    </row>
    <row r="141" customFormat="false" ht="15" hidden="false" customHeight="false" outlineLevel="0" collapsed="false">
      <c r="B141" s="0" t="n">
        <v>125</v>
      </c>
      <c r="C141" s="0" t="n">
        <f aca="true">RAND()</f>
        <v>0.172270744145024</v>
      </c>
      <c r="D141" s="0" t="n">
        <f aca="true">RAND()</f>
        <v>0.831152694900241</v>
      </c>
      <c r="E141" s="0" t="n">
        <f aca="false">IF(C141&lt;=$C$10,1,IF(C141&lt;=$C$10+$C$11,2,3))</f>
        <v>1</v>
      </c>
      <c r="F141" s="0" t="n">
        <f aca="false">IF(E141=1,$C$4*SQRT(D141),IF(E141=2,$C$4+($C$5-$C$4)*D141,$C$6-($C$6-$C$5)*SQRT(1-D141)))</f>
        <v>2.73502728580579</v>
      </c>
    </row>
    <row r="142" customFormat="false" ht="15" hidden="false" customHeight="false" outlineLevel="0" collapsed="false">
      <c r="B142" s="0" t="n">
        <v>126</v>
      </c>
      <c r="C142" s="0" t="n">
        <f aca="true">RAND()</f>
        <v>0.630288888785834</v>
      </c>
      <c r="D142" s="0" t="n">
        <f aca="true">RAND()</f>
        <v>0.288768734262432</v>
      </c>
      <c r="E142" s="0" t="n">
        <f aca="false">IF(C142&lt;=$C$10,1,IF(C142&lt;=$C$10+$C$11,2,3))</f>
        <v>2</v>
      </c>
      <c r="F142" s="0" t="n">
        <f aca="false">IF(E142=1,$C$4*SQRT(D142),IF(E142=2,$C$4+($C$5-$C$4)*D142,$C$6-($C$6-$C$5)*SQRT(1-D142)))</f>
        <v>4.15507493704973</v>
      </c>
    </row>
    <row r="143" customFormat="false" ht="15" hidden="false" customHeight="false" outlineLevel="0" collapsed="false">
      <c r="B143" s="0" t="n">
        <v>127</v>
      </c>
      <c r="C143" s="0" t="n">
        <f aca="true">RAND()</f>
        <v>0.165322772750134</v>
      </c>
      <c r="D143" s="0" t="n">
        <f aca="true">RAND()</f>
        <v>0.617079313454207</v>
      </c>
      <c r="E143" s="0" t="n">
        <f aca="false">IF(C143&lt;=$C$10,1,IF(C143&lt;=$C$10+$C$11,2,3))</f>
        <v>1</v>
      </c>
      <c r="F143" s="0" t="n">
        <f aca="false">IF(E143=1,$C$4*SQRT(D143),IF(E143=2,$C$4+($C$5-$C$4)*D143,$C$6-($C$6-$C$5)*SQRT(1-D143)))</f>
        <v>2.35663188069072</v>
      </c>
    </row>
    <row r="144" customFormat="false" ht="15" hidden="false" customHeight="false" outlineLevel="0" collapsed="false">
      <c r="B144" s="0" t="n">
        <v>128</v>
      </c>
      <c r="C144" s="0" t="n">
        <f aca="true">RAND()</f>
        <v>0.427913760348535</v>
      </c>
      <c r="D144" s="0" t="n">
        <f aca="true">RAND()</f>
        <v>0.182961998423637</v>
      </c>
      <c r="E144" s="0" t="n">
        <f aca="false">IF(C144&lt;=$C$10,1,IF(C144&lt;=$C$10+$C$11,2,3))</f>
        <v>2</v>
      </c>
      <c r="F144" s="0" t="n">
        <f aca="false">IF(E144=1,$C$4*SQRT(D144),IF(E144=2,$C$4+($C$5-$C$4)*D144,$C$6-($C$6-$C$5)*SQRT(1-D144)))</f>
        <v>3.73184799369455</v>
      </c>
    </row>
    <row r="145" customFormat="false" ht="15" hidden="false" customHeight="false" outlineLevel="0" collapsed="false">
      <c r="B145" s="0" t="n">
        <v>129</v>
      </c>
      <c r="C145" s="0" t="n">
        <f aca="true">RAND()</f>
        <v>0.823715494526879</v>
      </c>
      <c r="D145" s="0" t="n">
        <f aca="true">RAND()</f>
        <v>0.148988997358179</v>
      </c>
      <c r="E145" s="0" t="n">
        <f aca="false">IF(C145&lt;=$C$10,1,IF(C145&lt;=$C$10+$C$11,2,3))</f>
        <v>3</v>
      </c>
      <c r="F145" s="0" t="n">
        <f aca="false">IF(E145=1,$C$4*SQRT(D145),IF(E145=2,$C$4+($C$5-$C$4)*D145,$C$6-($C$6-$C$5)*SQRT(1-D145)))</f>
        <v>7.23249227213791</v>
      </c>
    </row>
    <row r="146" customFormat="false" ht="15" hidden="false" customHeight="false" outlineLevel="0" collapsed="false">
      <c r="B146" s="0" t="n">
        <v>130</v>
      </c>
      <c r="C146" s="0" t="n">
        <f aca="true">RAND()</f>
        <v>0.985793893683576</v>
      </c>
      <c r="D146" s="0" t="n">
        <f aca="true">RAND()</f>
        <v>0.0627721244177939</v>
      </c>
      <c r="E146" s="0" t="n">
        <f aca="false">IF(C146&lt;=$C$10,1,IF(C146&lt;=$C$10+$C$11,2,3))</f>
        <v>3</v>
      </c>
      <c r="F146" s="0" t="n">
        <f aca="false">IF(E146=1,$C$4*SQRT(D146),IF(E146=2,$C$4+($C$5-$C$4)*D146,$C$6-($C$6-$C$5)*SQRT(1-D146)))</f>
        <v>7.09568409427627</v>
      </c>
    </row>
    <row r="147" customFormat="false" ht="15" hidden="false" customHeight="false" outlineLevel="0" collapsed="false">
      <c r="B147" s="0" t="n">
        <v>131</v>
      </c>
      <c r="C147" s="0" t="n">
        <f aca="true">RAND()</f>
        <v>0.12118509468973</v>
      </c>
      <c r="D147" s="0" t="n">
        <f aca="true">RAND()</f>
        <v>0.579735267263935</v>
      </c>
      <c r="E147" s="0" t="n">
        <f aca="false">IF(C147&lt;=$C$10,1,IF(C147&lt;=$C$10+$C$11,2,3))</f>
        <v>1</v>
      </c>
      <c r="F147" s="0" t="n">
        <f aca="false">IF(E147=1,$C$4*SQRT(D147),IF(E147=2,$C$4+($C$5-$C$4)*D147,$C$6-($C$6-$C$5)*SQRT(1-D147)))</f>
        <v>2.28421045557878</v>
      </c>
    </row>
    <row r="148" customFormat="false" ht="15" hidden="false" customHeight="false" outlineLevel="0" collapsed="false">
      <c r="B148" s="0" t="n">
        <v>132</v>
      </c>
      <c r="C148" s="0" t="n">
        <f aca="true">RAND()</f>
        <v>0.611372916651238</v>
      </c>
      <c r="D148" s="0" t="n">
        <f aca="true">RAND()</f>
        <v>0.277526874802571</v>
      </c>
      <c r="E148" s="0" t="n">
        <f aca="false">IF(C148&lt;=$C$10,1,IF(C148&lt;=$C$10+$C$11,2,3))</f>
        <v>2</v>
      </c>
      <c r="F148" s="0" t="n">
        <f aca="false">IF(E148=1,$C$4*SQRT(D148),IF(E148=2,$C$4+($C$5-$C$4)*D148,$C$6-($C$6-$C$5)*SQRT(1-D148)))</f>
        <v>4.11010749921029</v>
      </c>
    </row>
    <row r="149" customFormat="false" ht="15" hidden="false" customHeight="false" outlineLevel="0" collapsed="false">
      <c r="B149" s="0" t="n">
        <v>133</v>
      </c>
      <c r="C149" s="0" t="n">
        <f aca="true">RAND()</f>
        <v>0.901852129518779</v>
      </c>
      <c r="D149" s="0" t="n">
        <f aca="true">RAND()</f>
        <v>0.809921892827437</v>
      </c>
      <c r="E149" s="0" t="n">
        <f aca="false">IF(C149&lt;=$C$10,1,IF(C149&lt;=$C$10+$C$11,2,3))</f>
        <v>3</v>
      </c>
      <c r="F149" s="0" t="n">
        <f aca="false">IF(E149=1,$C$4*SQRT(D149),IF(E149=2,$C$4+($C$5-$C$4)*D149,$C$6-($C$6-$C$5)*SQRT(1-D149)))</f>
        <v>8.69206155934116</v>
      </c>
    </row>
    <row r="150" customFormat="false" ht="15" hidden="false" customHeight="false" outlineLevel="0" collapsed="false">
      <c r="B150" s="0" t="n">
        <v>134</v>
      </c>
      <c r="C150" s="0" t="n">
        <f aca="true">RAND()</f>
        <v>0.692651583641</v>
      </c>
      <c r="D150" s="0" t="n">
        <f aca="true">RAND()</f>
        <v>0.632359790993915</v>
      </c>
      <c r="E150" s="0" t="n">
        <f aca="false">IF(C150&lt;=$C$10,1,IF(C150&lt;=$C$10+$C$11,2,3))</f>
        <v>2</v>
      </c>
      <c r="F150" s="0" t="n">
        <f aca="false">IF(E150=1,$C$4*SQRT(D150),IF(E150=2,$C$4+($C$5-$C$4)*D150,$C$6-($C$6-$C$5)*SQRT(1-D150)))</f>
        <v>5.52943916397566</v>
      </c>
    </row>
    <row r="151" customFormat="false" ht="15" hidden="false" customHeight="false" outlineLevel="0" collapsed="false">
      <c r="B151" s="0" t="n">
        <v>135</v>
      </c>
      <c r="C151" s="0" t="n">
        <f aca="true">RAND()</f>
        <v>0.441595173859715</v>
      </c>
      <c r="D151" s="0" t="n">
        <f aca="true">RAND()</f>
        <v>0.527790845953588</v>
      </c>
      <c r="E151" s="0" t="n">
        <f aca="false">IF(C151&lt;=$C$10,1,IF(C151&lt;=$C$10+$C$11,2,3))</f>
        <v>2</v>
      </c>
      <c r="F151" s="0" t="n">
        <f aca="false">IF(E151=1,$C$4*SQRT(D151),IF(E151=2,$C$4+($C$5-$C$4)*D151,$C$6-($C$6-$C$5)*SQRT(1-D151)))</f>
        <v>5.11116338381435</v>
      </c>
    </row>
    <row r="152" customFormat="false" ht="15" hidden="false" customHeight="false" outlineLevel="0" collapsed="false">
      <c r="B152" s="0" t="n">
        <v>136</v>
      </c>
      <c r="C152" s="0" t="n">
        <f aca="true">RAND()</f>
        <v>0.452179974794651</v>
      </c>
      <c r="D152" s="0" t="n">
        <f aca="true">RAND()</f>
        <v>0.445809396181531</v>
      </c>
      <c r="E152" s="0" t="n">
        <f aca="false">IF(C152&lt;=$C$10,1,IF(C152&lt;=$C$10+$C$11,2,3))</f>
        <v>2</v>
      </c>
      <c r="F152" s="0" t="n">
        <f aca="false">IF(E152=1,$C$4*SQRT(D152),IF(E152=2,$C$4+($C$5-$C$4)*D152,$C$6-($C$6-$C$5)*SQRT(1-D152)))</f>
        <v>4.78323758472613</v>
      </c>
    </row>
    <row r="153" customFormat="false" ht="15" hidden="false" customHeight="false" outlineLevel="0" collapsed="false">
      <c r="B153" s="0" t="n">
        <v>137</v>
      </c>
      <c r="C153" s="0" t="n">
        <f aca="true">RAND()</f>
        <v>0.77277195555476</v>
      </c>
      <c r="D153" s="0" t="n">
        <f aca="true">RAND()</f>
        <v>0.101466718969486</v>
      </c>
      <c r="E153" s="0" t="n">
        <f aca="false">IF(C153&lt;=$C$10,1,IF(C153&lt;=$C$10+$C$11,2,3))</f>
        <v>2</v>
      </c>
      <c r="F153" s="0" t="n">
        <f aca="false">IF(E153=1,$C$4*SQRT(D153),IF(E153=2,$C$4+($C$5-$C$4)*D153,$C$6-($C$6-$C$5)*SQRT(1-D153)))</f>
        <v>3.40586687587794</v>
      </c>
    </row>
    <row r="154" customFormat="false" ht="15" hidden="false" customHeight="false" outlineLevel="0" collapsed="false">
      <c r="B154" s="0" t="n">
        <v>138</v>
      </c>
      <c r="C154" s="0" t="n">
        <f aca="true">RAND()</f>
        <v>0.884613901300732</v>
      </c>
      <c r="D154" s="0" t="n">
        <f aca="true">RAND()</f>
        <v>0.435449444140452</v>
      </c>
      <c r="E154" s="0" t="n">
        <f aca="false">IF(C154&lt;=$C$10,1,IF(C154&lt;=$C$10+$C$11,2,3))</f>
        <v>3</v>
      </c>
      <c r="F154" s="0" t="n">
        <f aca="false">IF(E154=1,$C$4*SQRT(D154),IF(E154=2,$C$4+($C$5-$C$4)*D154,$C$6-($C$6-$C$5)*SQRT(1-D154)))</f>
        <v>7.74590261906547</v>
      </c>
    </row>
    <row r="155" customFormat="false" ht="15" hidden="false" customHeight="false" outlineLevel="0" collapsed="false">
      <c r="B155" s="0" t="n">
        <v>139</v>
      </c>
      <c r="C155" s="0" t="n">
        <f aca="true">RAND()</f>
        <v>0.52309405005302</v>
      </c>
      <c r="D155" s="0" t="n">
        <f aca="true">RAND()</f>
        <v>0.689379727458742</v>
      </c>
      <c r="E155" s="0" t="n">
        <f aca="false">IF(C155&lt;=$C$10,1,IF(C155&lt;=$C$10+$C$11,2,3))</f>
        <v>2</v>
      </c>
      <c r="F155" s="0" t="n">
        <f aca="false">IF(E155=1,$C$4*SQRT(D155),IF(E155=2,$C$4+($C$5-$C$4)*D155,$C$6-($C$6-$C$5)*SQRT(1-D155)))</f>
        <v>5.75751890983497</v>
      </c>
    </row>
    <row r="156" customFormat="false" ht="15" hidden="false" customHeight="false" outlineLevel="0" collapsed="false">
      <c r="B156" s="0" t="n">
        <v>140</v>
      </c>
      <c r="C156" s="0" t="n">
        <f aca="true">RAND()</f>
        <v>0.0424256478142515</v>
      </c>
      <c r="D156" s="0" t="n">
        <f aca="true">RAND()</f>
        <v>0.826171693903437</v>
      </c>
      <c r="E156" s="0" t="n">
        <f aca="false">IF(C156&lt;=$C$10,1,IF(C156&lt;=$C$10+$C$11,2,3))</f>
        <v>1</v>
      </c>
      <c r="F156" s="0" t="n">
        <f aca="false">IF(E156=1,$C$4*SQRT(D156),IF(E156=2,$C$4+($C$5-$C$4)*D156,$C$6-($C$6-$C$5)*SQRT(1-D156)))</f>
        <v>2.72681962093772</v>
      </c>
    </row>
    <row r="157" customFormat="false" ht="15" hidden="false" customHeight="false" outlineLevel="0" collapsed="false">
      <c r="B157" s="0" t="n">
        <v>141</v>
      </c>
      <c r="C157" s="0" t="n">
        <f aca="true">RAND()</f>
        <v>0.364061555830953</v>
      </c>
      <c r="D157" s="0" t="n">
        <f aca="true">RAND()</f>
        <v>0.516305877071608</v>
      </c>
      <c r="E157" s="0" t="n">
        <f aca="false">IF(C157&lt;=$C$10,1,IF(C157&lt;=$C$10+$C$11,2,3))</f>
        <v>2</v>
      </c>
      <c r="F157" s="0" t="n">
        <f aca="false">IF(E157=1,$C$4*SQRT(D157),IF(E157=2,$C$4+($C$5-$C$4)*D157,$C$6-($C$6-$C$5)*SQRT(1-D157)))</f>
        <v>5.06522350828643</v>
      </c>
    </row>
    <row r="158" customFormat="false" ht="15" hidden="false" customHeight="false" outlineLevel="0" collapsed="false">
      <c r="B158" s="0" t="n">
        <v>142</v>
      </c>
      <c r="C158" s="0" t="n">
        <f aca="true">RAND()</f>
        <v>0.665013809253416</v>
      </c>
      <c r="D158" s="0" t="n">
        <f aca="true">RAND()</f>
        <v>0.0343374843754294</v>
      </c>
      <c r="E158" s="0" t="n">
        <f aca="false">IF(C158&lt;=$C$10,1,IF(C158&lt;=$C$10+$C$11,2,3))</f>
        <v>2</v>
      </c>
      <c r="F158" s="0" t="n">
        <f aca="false">IF(E158=1,$C$4*SQRT(D158),IF(E158=2,$C$4+($C$5-$C$4)*D158,$C$6-($C$6-$C$5)*SQRT(1-D158)))</f>
        <v>3.13734993750172</v>
      </c>
    </row>
    <row r="159" customFormat="false" ht="15" hidden="false" customHeight="false" outlineLevel="0" collapsed="false">
      <c r="B159" s="0" t="n">
        <v>143</v>
      </c>
      <c r="C159" s="0" t="n">
        <f aca="true">RAND()</f>
        <v>0.462171031970644</v>
      </c>
      <c r="D159" s="0" t="n">
        <f aca="true">RAND()</f>
        <v>0.272600251791011</v>
      </c>
      <c r="E159" s="0" t="n">
        <f aca="false">IF(C159&lt;=$C$10,1,IF(C159&lt;=$C$10+$C$11,2,3))</f>
        <v>2</v>
      </c>
      <c r="F159" s="0" t="n">
        <f aca="false">IF(E159=1,$C$4*SQRT(D159),IF(E159=2,$C$4+($C$5-$C$4)*D159,$C$6-($C$6-$C$5)*SQRT(1-D159)))</f>
        <v>4.09040100716404</v>
      </c>
    </row>
    <row r="160" customFormat="false" ht="15" hidden="false" customHeight="false" outlineLevel="0" collapsed="false">
      <c r="B160" s="0" t="n">
        <v>144</v>
      </c>
      <c r="C160" s="0" t="n">
        <f aca="true">RAND()</f>
        <v>0.786388737837008</v>
      </c>
      <c r="D160" s="0" t="n">
        <f aca="true">RAND()</f>
        <v>0.76735358718228</v>
      </c>
      <c r="E160" s="0" t="n">
        <f aca="false">IF(C160&lt;=$C$10,1,IF(C160&lt;=$C$10+$C$11,2,3))</f>
        <v>3</v>
      </c>
      <c r="F160" s="0" t="n">
        <f aca="false">IF(E160=1,$C$4*SQRT(D160),IF(E160=2,$C$4+($C$5-$C$4)*D160,$C$6-($C$6-$C$5)*SQRT(1-D160)))</f>
        <v>8.55299698847602</v>
      </c>
    </row>
    <row r="161" customFormat="false" ht="15" hidden="false" customHeight="false" outlineLevel="0" collapsed="false">
      <c r="B161" s="0" t="n">
        <v>145</v>
      </c>
      <c r="C161" s="0" t="n">
        <f aca="true">RAND()</f>
        <v>0.80033763235484</v>
      </c>
      <c r="D161" s="0" t="n">
        <f aca="true">RAND()</f>
        <v>0.733609459166942</v>
      </c>
      <c r="E161" s="0" t="n">
        <f aca="false">IF(C161&lt;=$C$10,1,IF(C161&lt;=$C$10+$C$11,2,3))</f>
        <v>3</v>
      </c>
      <c r="F161" s="0" t="n">
        <f aca="false">IF(E161=1,$C$4*SQRT(D161),IF(E161=2,$C$4+($C$5-$C$4)*D161,$C$6-($C$6-$C$5)*SQRT(1-D161)))</f>
        <v>8.45160894232189</v>
      </c>
    </row>
    <row r="162" customFormat="false" ht="15" hidden="false" customHeight="false" outlineLevel="0" collapsed="false">
      <c r="B162" s="0" t="n">
        <v>146</v>
      </c>
      <c r="C162" s="0" t="n">
        <f aca="true">RAND()</f>
        <v>0.591328083866409</v>
      </c>
      <c r="D162" s="0" t="n">
        <f aca="true">RAND()</f>
        <v>0.163766344720118</v>
      </c>
      <c r="E162" s="0" t="n">
        <f aca="false">IF(C162&lt;=$C$10,1,IF(C162&lt;=$C$10+$C$11,2,3))</f>
        <v>2</v>
      </c>
      <c r="F162" s="0" t="n">
        <f aca="false">IF(E162=1,$C$4*SQRT(D162),IF(E162=2,$C$4+($C$5-$C$4)*D162,$C$6-($C$6-$C$5)*SQRT(1-D162)))</f>
        <v>3.65506537888047</v>
      </c>
    </row>
    <row r="163" customFormat="false" ht="15" hidden="false" customHeight="false" outlineLevel="0" collapsed="false">
      <c r="B163" s="0" t="n">
        <v>147</v>
      </c>
      <c r="C163" s="0" t="n">
        <f aca="true">RAND()</f>
        <v>0.243902561596332</v>
      </c>
      <c r="D163" s="0" t="n">
        <f aca="true">RAND()</f>
        <v>0.202361224878317</v>
      </c>
      <c r="E163" s="0" t="n">
        <f aca="false">IF(C163&lt;=$C$10,1,IF(C163&lt;=$C$10+$C$11,2,3))</f>
        <v>2</v>
      </c>
      <c r="F163" s="0" t="n">
        <f aca="false">IF(E163=1,$C$4*SQRT(D163),IF(E163=2,$C$4+($C$5-$C$4)*D163,$C$6-($C$6-$C$5)*SQRT(1-D163)))</f>
        <v>3.80944489951327</v>
      </c>
    </row>
    <row r="164" customFormat="false" ht="15" hidden="false" customHeight="false" outlineLevel="0" collapsed="false">
      <c r="B164" s="0" t="n">
        <v>148</v>
      </c>
      <c r="C164" s="0" t="n">
        <f aca="true">RAND()</f>
        <v>0.857043884507816</v>
      </c>
      <c r="D164" s="0" t="n">
        <f aca="true">RAND()</f>
        <v>0.617630973063057</v>
      </c>
      <c r="E164" s="0" t="n">
        <f aca="false">IF(C164&lt;=$C$10,1,IF(C164&lt;=$C$10+$C$11,2,3))</f>
        <v>3</v>
      </c>
      <c r="F164" s="0" t="n">
        <f aca="false">IF(E164=1,$C$4*SQRT(D164),IF(E164=2,$C$4+($C$5-$C$4)*D164,$C$6-($C$6-$C$5)*SQRT(1-D164)))</f>
        <v>8.14492015200626</v>
      </c>
    </row>
    <row r="165" customFormat="false" ht="15" hidden="false" customHeight="false" outlineLevel="0" collapsed="false">
      <c r="B165" s="0" t="n">
        <v>149</v>
      </c>
      <c r="C165" s="0" t="n">
        <f aca="true">RAND()</f>
        <v>0.591089011066283</v>
      </c>
      <c r="D165" s="0" t="n">
        <f aca="true">RAND()</f>
        <v>0.820220073464881</v>
      </c>
      <c r="E165" s="0" t="n">
        <f aca="false">IF(C165&lt;=$C$10,1,IF(C165&lt;=$C$10+$C$11,2,3))</f>
        <v>2</v>
      </c>
      <c r="F165" s="0" t="n">
        <f aca="false">IF(E165=1,$C$4*SQRT(D165),IF(E165=2,$C$4+($C$5-$C$4)*D165,$C$6-($C$6-$C$5)*SQRT(1-D165)))</f>
        <v>6.28088029385952</v>
      </c>
    </row>
    <row r="166" customFormat="false" ht="15" hidden="false" customHeight="false" outlineLevel="0" collapsed="false">
      <c r="B166" s="0" t="n">
        <v>150</v>
      </c>
      <c r="C166" s="0" t="n">
        <f aca="true">RAND()</f>
        <v>0.495200803724676</v>
      </c>
      <c r="D166" s="0" t="n">
        <f aca="true">RAND()</f>
        <v>0.688567369505189</v>
      </c>
      <c r="E166" s="0" t="n">
        <f aca="false">IF(C166&lt;=$C$10,1,IF(C166&lt;=$C$10+$C$11,2,3))</f>
        <v>2</v>
      </c>
      <c r="F166" s="0" t="n">
        <f aca="false">IF(E166=1,$C$4*SQRT(D166),IF(E166=2,$C$4+($C$5-$C$4)*D166,$C$6-($C$6-$C$5)*SQRT(1-D166)))</f>
        <v>5.75426947802075</v>
      </c>
    </row>
    <row r="167" customFormat="false" ht="15" hidden="false" customHeight="false" outlineLevel="0" collapsed="false">
      <c r="B167" s="0" t="n">
        <v>151</v>
      </c>
      <c r="C167" s="0" t="n">
        <f aca="true">RAND()</f>
        <v>0.349408474520898</v>
      </c>
      <c r="D167" s="0" t="n">
        <f aca="true">RAND()</f>
        <v>0.440504410079538</v>
      </c>
      <c r="E167" s="0" t="n">
        <f aca="false">IF(C167&lt;=$C$10,1,IF(C167&lt;=$C$10+$C$11,2,3))</f>
        <v>2</v>
      </c>
      <c r="F167" s="0" t="n">
        <f aca="false">IF(E167=1,$C$4*SQRT(D167),IF(E167=2,$C$4+($C$5-$C$4)*D167,$C$6-($C$6-$C$5)*SQRT(1-D167)))</f>
        <v>4.76201764031815</v>
      </c>
    </row>
    <row r="168" customFormat="false" ht="15" hidden="false" customHeight="false" outlineLevel="0" collapsed="false">
      <c r="B168" s="0" t="n">
        <v>152</v>
      </c>
      <c r="C168" s="0" t="n">
        <f aca="true">RAND()</f>
        <v>0.61021164374759</v>
      </c>
      <c r="D168" s="0" t="n">
        <f aca="true">RAND()</f>
        <v>0.830505201073392</v>
      </c>
      <c r="E168" s="0" t="n">
        <f aca="false">IF(C168&lt;=$C$10,1,IF(C168&lt;=$C$10+$C$11,2,3))</f>
        <v>2</v>
      </c>
      <c r="F168" s="0" t="n">
        <f aca="false">IF(E168=1,$C$4*SQRT(D168),IF(E168=2,$C$4+($C$5-$C$4)*D168,$C$6-($C$6-$C$5)*SQRT(1-D168)))</f>
        <v>6.32202080429357</v>
      </c>
    </row>
    <row r="169" customFormat="false" ht="15" hidden="false" customHeight="false" outlineLevel="0" collapsed="false">
      <c r="B169" s="0" t="n">
        <v>153</v>
      </c>
      <c r="C169" s="0" t="n">
        <f aca="true">RAND()</f>
        <v>0.967981040008795</v>
      </c>
      <c r="D169" s="0" t="n">
        <f aca="true">RAND()</f>
        <v>0.383038628921223</v>
      </c>
      <c r="E169" s="0" t="n">
        <f aca="false">IF(C169&lt;=$C$10,1,IF(C169&lt;=$C$10+$C$11,2,3))</f>
        <v>3</v>
      </c>
      <c r="F169" s="0" t="n">
        <f aca="false">IF(E169=1,$C$4*SQRT(D169),IF(E169=2,$C$4+($C$5-$C$4)*D169,$C$6-($C$6-$C$5)*SQRT(1-D169)))</f>
        <v>7.6435933416091</v>
      </c>
    </row>
    <row r="170" customFormat="false" ht="15" hidden="false" customHeight="false" outlineLevel="0" collapsed="false">
      <c r="B170" s="0" t="n">
        <v>154</v>
      </c>
      <c r="C170" s="0" t="n">
        <f aca="true">RAND()</f>
        <v>0.216193840755981</v>
      </c>
      <c r="D170" s="0" t="n">
        <f aca="true">RAND()</f>
        <v>0.777808609635894</v>
      </c>
      <c r="E170" s="0" t="n">
        <f aca="false">IF(C170&lt;=$C$10,1,IF(C170&lt;=$C$10+$C$11,2,3))</f>
        <v>2</v>
      </c>
      <c r="F170" s="0" t="n">
        <f aca="false">IF(E170=1,$C$4*SQRT(D170),IF(E170=2,$C$4+($C$5-$C$4)*D170,$C$6-($C$6-$C$5)*SQRT(1-D170)))</f>
        <v>6.11123443854358</v>
      </c>
    </row>
    <row r="171" customFormat="false" ht="15" hidden="false" customHeight="false" outlineLevel="0" collapsed="false">
      <c r="B171" s="0" t="n">
        <v>155</v>
      </c>
      <c r="C171" s="0" t="n">
        <f aca="true">RAND()</f>
        <v>0.770252040398755</v>
      </c>
      <c r="D171" s="0" t="n">
        <f aca="true">RAND()</f>
        <v>0.53648599484743</v>
      </c>
      <c r="E171" s="0" t="n">
        <f aca="false">IF(C171&lt;=$C$10,1,IF(C171&lt;=$C$10+$C$11,2,3))</f>
        <v>2</v>
      </c>
      <c r="F171" s="0" t="n">
        <f aca="false">IF(E171=1,$C$4*SQRT(D171),IF(E171=2,$C$4+($C$5-$C$4)*D171,$C$6-($C$6-$C$5)*SQRT(1-D171)))</f>
        <v>5.14594397938972</v>
      </c>
    </row>
    <row r="172" customFormat="false" ht="15" hidden="false" customHeight="false" outlineLevel="0" collapsed="false">
      <c r="B172" s="0" t="n">
        <v>156</v>
      </c>
      <c r="C172" s="0" t="n">
        <f aca="true">RAND()</f>
        <v>0.883854281327317</v>
      </c>
      <c r="D172" s="0" t="n">
        <f aca="true">RAND()</f>
        <v>0.551137193987458</v>
      </c>
      <c r="E172" s="0" t="n">
        <f aca="false">IF(C172&lt;=$C$10,1,IF(C172&lt;=$C$10+$C$11,2,3))</f>
        <v>3</v>
      </c>
      <c r="F172" s="0" t="n">
        <f aca="false">IF(E172=1,$C$4*SQRT(D172),IF(E172=2,$C$4+($C$5-$C$4)*D172,$C$6-($C$6-$C$5)*SQRT(1-D172)))</f>
        <v>7.9900832718461</v>
      </c>
    </row>
    <row r="173" customFormat="false" ht="15" hidden="false" customHeight="false" outlineLevel="0" collapsed="false">
      <c r="B173" s="0" t="n">
        <v>157</v>
      </c>
      <c r="C173" s="0" t="n">
        <f aca="true">RAND()</f>
        <v>0.462722334118403</v>
      </c>
      <c r="D173" s="0" t="n">
        <f aca="true">RAND()</f>
        <v>0.808388798723208</v>
      </c>
      <c r="E173" s="0" t="n">
        <f aca="false">IF(C173&lt;=$C$10,1,IF(C173&lt;=$C$10+$C$11,2,3))</f>
        <v>2</v>
      </c>
      <c r="F173" s="0" t="n">
        <f aca="false">IF(E173=1,$C$4*SQRT(D173),IF(E173=2,$C$4+($C$5-$C$4)*D173,$C$6-($C$6-$C$5)*SQRT(1-D173)))</f>
        <v>6.23355519489283</v>
      </c>
    </row>
    <row r="174" customFormat="false" ht="15" hidden="false" customHeight="false" outlineLevel="0" collapsed="false">
      <c r="B174" s="0" t="n">
        <v>158</v>
      </c>
      <c r="C174" s="0" t="n">
        <f aca="true">RAND()</f>
        <v>0.212228723547313</v>
      </c>
      <c r="D174" s="0" t="n">
        <f aca="true">RAND()</f>
        <v>0.642314776346481</v>
      </c>
      <c r="E174" s="0" t="n">
        <f aca="false">IF(C174&lt;=$C$10,1,IF(C174&lt;=$C$10+$C$11,2,3))</f>
        <v>1</v>
      </c>
      <c r="F174" s="0" t="n">
        <f aca="false">IF(E174=1,$C$4*SQRT(D174),IF(E174=2,$C$4+($C$5-$C$4)*D174,$C$6-($C$6-$C$5)*SQRT(1-D174)))</f>
        <v>2.40433628827548</v>
      </c>
    </row>
    <row r="175" customFormat="false" ht="15" hidden="false" customHeight="false" outlineLevel="0" collapsed="false">
      <c r="B175" s="0" t="n">
        <v>159</v>
      </c>
      <c r="C175" s="0" t="n">
        <f aca="true">RAND()</f>
        <v>0.786354052799031</v>
      </c>
      <c r="D175" s="0" t="n">
        <f aca="true">RAND()</f>
        <v>0.243322762659316</v>
      </c>
      <c r="E175" s="0" t="n">
        <f aca="false">IF(C175&lt;=$C$10,1,IF(C175&lt;=$C$10+$C$11,2,3))</f>
        <v>3</v>
      </c>
      <c r="F175" s="0" t="n">
        <f aca="false">IF(E175=1,$C$4*SQRT(D175),IF(E175=2,$C$4+($C$5-$C$4)*D175,$C$6-($C$6-$C$5)*SQRT(1-D175)))</f>
        <v>7.3903841018138</v>
      </c>
    </row>
    <row r="176" customFormat="false" ht="15" hidden="false" customHeight="false" outlineLevel="0" collapsed="false">
      <c r="B176" s="0" t="n">
        <v>160</v>
      </c>
      <c r="C176" s="0" t="n">
        <f aca="true">RAND()</f>
        <v>0.368491954003763</v>
      </c>
      <c r="D176" s="0" t="n">
        <f aca="true">RAND()</f>
        <v>0.69204953656216</v>
      </c>
      <c r="E176" s="0" t="n">
        <f aca="false">IF(C176&lt;=$C$10,1,IF(C176&lt;=$C$10+$C$11,2,3))</f>
        <v>2</v>
      </c>
      <c r="F176" s="0" t="n">
        <f aca="false">IF(E176=1,$C$4*SQRT(D176),IF(E176=2,$C$4+($C$5-$C$4)*D176,$C$6-($C$6-$C$5)*SQRT(1-D176)))</f>
        <v>5.76819814624864</v>
      </c>
    </row>
    <row r="177" customFormat="false" ht="15" hidden="false" customHeight="false" outlineLevel="0" collapsed="false">
      <c r="B177" s="0" t="n">
        <v>161</v>
      </c>
      <c r="C177" s="0" t="n">
        <f aca="true">RAND()</f>
        <v>0.207827753156544</v>
      </c>
      <c r="D177" s="0" t="n">
        <f aca="true">RAND()</f>
        <v>0.97491796121093</v>
      </c>
      <c r="E177" s="0" t="n">
        <f aca="false">IF(C177&lt;=$C$10,1,IF(C177&lt;=$C$10+$C$11,2,3))</f>
        <v>1</v>
      </c>
      <c r="F177" s="0" t="n">
        <f aca="false">IF(E177=1,$C$4*SQRT(D177),IF(E177=2,$C$4+($C$5-$C$4)*D177,$C$6-($C$6-$C$5)*SQRT(1-D177)))</f>
        <v>2.96213802023106</v>
      </c>
    </row>
    <row r="178" customFormat="false" ht="15" hidden="false" customHeight="false" outlineLevel="0" collapsed="false">
      <c r="B178" s="0" t="n">
        <v>162</v>
      </c>
      <c r="C178" s="0" t="n">
        <f aca="true">RAND()</f>
        <v>0.604114057383739</v>
      </c>
      <c r="D178" s="0" t="n">
        <f aca="true">RAND()</f>
        <v>0.269631054861235</v>
      </c>
      <c r="E178" s="0" t="n">
        <f aca="false">IF(C178&lt;=$C$10,1,IF(C178&lt;=$C$10+$C$11,2,3))</f>
        <v>2</v>
      </c>
      <c r="F178" s="0" t="n">
        <f aca="false">IF(E178=1,$C$4*SQRT(D178),IF(E178=2,$C$4+($C$5-$C$4)*D178,$C$6-($C$6-$C$5)*SQRT(1-D178)))</f>
        <v>4.07852421944494</v>
      </c>
    </row>
    <row r="179" customFormat="false" ht="15" hidden="false" customHeight="false" outlineLevel="0" collapsed="false">
      <c r="B179" s="0" t="n">
        <v>163</v>
      </c>
      <c r="C179" s="0" t="n">
        <f aca="true">RAND()</f>
        <v>0.73443922773171</v>
      </c>
      <c r="D179" s="0" t="n">
        <f aca="true">RAND()</f>
        <v>0.654626699910791</v>
      </c>
      <c r="E179" s="0" t="n">
        <f aca="false">IF(C179&lt;=$C$10,1,IF(C179&lt;=$C$10+$C$11,2,3))</f>
        <v>2</v>
      </c>
      <c r="F179" s="0" t="n">
        <f aca="false">IF(E179=1,$C$4*SQRT(D179),IF(E179=2,$C$4+($C$5-$C$4)*D179,$C$6-($C$6-$C$5)*SQRT(1-D179)))</f>
        <v>5.61850679964316</v>
      </c>
    </row>
    <row r="180" customFormat="false" ht="15" hidden="false" customHeight="false" outlineLevel="0" collapsed="false">
      <c r="B180" s="0" t="n">
        <v>164</v>
      </c>
      <c r="C180" s="0" t="n">
        <f aca="true">RAND()</f>
        <v>0.400618481883888</v>
      </c>
      <c r="D180" s="0" t="n">
        <f aca="true">RAND()</f>
        <v>0.202485335144851</v>
      </c>
      <c r="E180" s="0" t="n">
        <f aca="false">IF(C180&lt;=$C$10,1,IF(C180&lt;=$C$10+$C$11,2,3))</f>
        <v>2</v>
      </c>
      <c r="F180" s="0" t="n">
        <f aca="false">IF(E180=1,$C$4*SQRT(D180),IF(E180=2,$C$4+($C$5-$C$4)*D180,$C$6-($C$6-$C$5)*SQRT(1-D180)))</f>
        <v>3.8099413405794</v>
      </c>
    </row>
    <row r="181" customFormat="false" ht="15" hidden="false" customHeight="false" outlineLevel="0" collapsed="false">
      <c r="B181" s="0" t="n">
        <v>165</v>
      </c>
      <c r="C181" s="0" t="n">
        <f aca="true">RAND()</f>
        <v>0.210419148737835</v>
      </c>
      <c r="D181" s="0" t="n">
        <f aca="true">RAND()</f>
        <v>0.402170147087904</v>
      </c>
      <c r="E181" s="0" t="n">
        <f aca="false">IF(C181&lt;=$C$10,1,IF(C181&lt;=$C$10+$C$11,2,3))</f>
        <v>1</v>
      </c>
      <c r="F181" s="0" t="n">
        <f aca="false">IF(E181=1,$C$4*SQRT(D181),IF(E181=2,$C$4+($C$5-$C$4)*D181,$C$6-($C$6-$C$5)*SQRT(1-D181)))</f>
        <v>1.90250658968402</v>
      </c>
    </row>
    <row r="182" customFormat="false" ht="15" hidden="false" customHeight="false" outlineLevel="0" collapsed="false">
      <c r="B182" s="0" t="n">
        <v>166</v>
      </c>
      <c r="C182" s="0" t="n">
        <f aca="true">RAND()</f>
        <v>0.669511226783945</v>
      </c>
      <c r="D182" s="0" t="n">
        <f aca="true">RAND()</f>
        <v>0.285525785788039</v>
      </c>
      <c r="E182" s="0" t="n">
        <f aca="false">IF(C182&lt;=$C$10,1,IF(C182&lt;=$C$10+$C$11,2,3))</f>
        <v>2</v>
      </c>
      <c r="F182" s="0" t="n">
        <f aca="false">IF(E182=1,$C$4*SQRT(D182),IF(E182=2,$C$4+($C$5-$C$4)*D182,$C$6-($C$6-$C$5)*SQRT(1-D182)))</f>
        <v>4.14210314315216</v>
      </c>
    </row>
    <row r="183" customFormat="false" ht="15" hidden="false" customHeight="false" outlineLevel="0" collapsed="false">
      <c r="B183" s="0" t="n">
        <v>167</v>
      </c>
      <c r="C183" s="0" t="n">
        <f aca="true">RAND()</f>
        <v>0.615405318167766</v>
      </c>
      <c r="D183" s="0" t="n">
        <f aca="true">RAND()</f>
        <v>0.531767351105708</v>
      </c>
      <c r="E183" s="0" t="n">
        <f aca="false">IF(C183&lt;=$C$10,1,IF(C183&lt;=$C$10+$C$11,2,3))</f>
        <v>2</v>
      </c>
      <c r="F183" s="0" t="n">
        <f aca="false">IF(E183=1,$C$4*SQRT(D183),IF(E183=2,$C$4+($C$5-$C$4)*D183,$C$6-($C$6-$C$5)*SQRT(1-D183)))</f>
        <v>5.12706940442283</v>
      </c>
    </row>
    <row r="184" customFormat="false" ht="15" hidden="false" customHeight="false" outlineLevel="0" collapsed="false">
      <c r="B184" s="0" t="n">
        <v>168</v>
      </c>
      <c r="C184" s="0" t="n">
        <f aca="true">RAND()</f>
        <v>0.529613739208184</v>
      </c>
      <c r="D184" s="0" t="n">
        <f aca="true">RAND()</f>
        <v>0.465999530716995</v>
      </c>
      <c r="E184" s="0" t="n">
        <f aca="false">IF(C184&lt;=$C$10,1,IF(C184&lt;=$C$10+$C$11,2,3))</f>
        <v>2</v>
      </c>
      <c r="F184" s="0" t="n">
        <f aca="false">IF(E184=1,$C$4*SQRT(D184),IF(E184=2,$C$4+($C$5-$C$4)*D184,$C$6-($C$6-$C$5)*SQRT(1-D184)))</f>
        <v>4.86399812286798</v>
      </c>
    </row>
    <row r="185" customFormat="false" ht="15" hidden="false" customHeight="false" outlineLevel="0" collapsed="false">
      <c r="B185" s="0" t="n">
        <v>169</v>
      </c>
      <c r="C185" s="0" t="n">
        <f aca="true">RAND()</f>
        <v>0.17532811871188</v>
      </c>
      <c r="D185" s="0" t="n">
        <f aca="true">RAND()</f>
        <v>0.476353861141178</v>
      </c>
      <c r="E185" s="0" t="n">
        <f aca="false">IF(C185&lt;=$C$10,1,IF(C185&lt;=$C$10+$C$11,2,3))</f>
        <v>1</v>
      </c>
      <c r="F185" s="0" t="n">
        <f aca="false">IF(E185=1,$C$4*SQRT(D185),IF(E185=2,$C$4+($C$5-$C$4)*D185,$C$6-($C$6-$C$5)*SQRT(1-D185)))</f>
        <v>2.07055179849976</v>
      </c>
    </row>
    <row r="186" customFormat="false" ht="15" hidden="false" customHeight="false" outlineLevel="0" collapsed="false">
      <c r="B186" s="0" t="n">
        <v>170</v>
      </c>
      <c r="C186" s="0" t="n">
        <f aca="true">RAND()</f>
        <v>0.339443081316344</v>
      </c>
      <c r="D186" s="0" t="n">
        <f aca="true">RAND()</f>
        <v>0.0339842210123971</v>
      </c>
      <c r="E186" s="0" t="n">
        <f aca="false">IF(C186&lt;=$C$10,1,IF(C186&lt;=$C$10+$C$11,2,3))</f>
        <v>2</v>
      </c>
      <c r="F186" s="0" t="n">
        <f aca="false">IF(E186=1,$C$4*SQRT(D186),IF(E186=2,$C$4+($C$5-$C$4)*D186,$C$6-($C$6-$C$5)*SQRT(1-D186)))</f>
        <v>3.13593688404959</v>
      </c>
    </row>
    <row r="187" customFormat="false" ht="15" hidden="false" customHeight="false" outlineLevel="0" collapsed="false">
      <c r="B187" s="0" t="n">
        <v>171</v>
      </c>
      <c r="C187" s="0" t="n">
        <f aca="true">RAND()</f>
        <v>0.0909438279900553</v>
      </c>
      <c r="D187" s="0" t="n">
        <f aca="true">RAND()</f>
        <v>0.121756458853561</v>
      </c>
      <c r="E187" s="0" t="n">
        <f aca="false">IF(C187&lt;=$C$10,1,IF(C187&lt;=$C$10+$C$11,2,3))</f>
        <v>1</v>
      </c>
      <c r="F187" s="0" t="n">
        <f aca="false">IF(E187=1,$C$4*SQRT(D187),IF(E187=2,$C$4+($C$5-$C$4)*D187,$C$6-($C$6-$C$5)*SQRT(1-D187)))</f>
        <v>1.04680854490306</v>
      </c>
    </row>
    <row r="188" customFormat="false" ht="15" hidden="false" customHeight="false" outlineLevel="0" collapsed="false">
      <c r="B188" s="0" t="n">
        <v>172</v>
      </c>
      <c r="C188" s="0" t="n">
        <f aca="true">RAND()</f>
        <v>0.401204803774851</v>
      </c>
      <c r="D188" s="0" t="n">
        <f aca="true">RAND()</f>
        <v>0.991178153059481</v>
      </c>
      <c r="E188" s="0" t="n">
        <f aca="false">IF(C188&lt;=$C$10,1,IF(C188&lt;=$C$10+$C$11,2,3))</f>
        <v>2</v>
      </c>
      <c r="F188" s="0" t="n">
        <f aca="false">IF(E188=1,$C$4*SQRT(D188),IF(E188=2,$C$4+($C$5-$C$4)*D188,$C$6-($C$6-$C$5)*SQRT(1-D188)))</f>
        <v>6.96471261223792</v>
      </c>
    </row>
    <row r="189" customFormat="false" ht="15" hidden="false" customHeight="false" outlineLevel="0" collapsed="false">
      <c r="B189" s="0" t="n">
        <v>173</v>
      </c>
      <c r="C189" s="0" t="n">
        <f aca="true">RAND()</f>
        <v>0.206095946418862</v>
      </c>
      <c r="D189" s="0" t="n">
        <f aca="true">RAND()</f>
        <v>0.809748518387695</v>
      </c>
      <c r="E189" s="0" t="n">
        <f aca="false">IF(C189&lt;=$C$10,1,IF(C189&lt;=$C$10+$C$11,2,3))</f>
        <v>1</v>
      </c>
      <c r="F189" s="0" t="n">
        <f aca="false">IF(E189=1,$C$4*SQRT(D189),IF(E189=2,$C$4+($C$5-$C$4)*D189,$C$6-($C$6-$C$5)*SQRT(1-D189)))</f>
        <v>2.69958083144203</v>
      </c>
    </row>
    <row r="190" customFormat="false" ht="15" hidden="false" customHeight="false" outlineLevel="0" collapsed="false">
      <c r="B190" s="0" t="n">
        <v>174</v>
      </c>
      <c r="C190" s="0" t="n">
        <f aca="true">RAND()</f>
        <v>0.766736322249765</v>
      </c>
      <c r="D190" s="0" t="n">
        <f aca="true">RAND()</f>
        <v>0.39488002741315</v>
      </c>
      <c r="E190" s="0" t="n">
        <f aca="false">IF(C190&lt;=$C$10,1,IF(C190&lt;=$C$10+$C$11,2,3))</f>
        <v>2</v>
      </c>
      <c r="F190" s="0" t="n">
        <f aca="false">IF(E190=1,$C$4*SQRT(D190),IF(E190=2,$C$4+($C$5-$C$4)*D190,$C$6-($C$6-$C$5)*SQRT(1-D190)))</f>
        <v>4.5795201096526</v>
      </c>
    </row>
    <row r="191" customFormat="false" ht="15" hidden="false" customHeight="false" outlineLevel="0" collapsed="false">
      <c r="B191" s="0" t="n">
        <v>175</v>
      </c>
      <c r="C191" s="0" t="n">
        <f aca="true">RAND()</f>
        <v>0.190362281529812</v>
      </c>
      <c r="D191" s="0" t="n">
        <f aca="true">RAND()</f>
        <v>0.265440614380216</v>
      </c>
      <c r="E191" s="0" t="n">
        <f aca="false">IF(C191&lt;=$C$10,1,IF(C191&lt;=$C$10+$C$11,2,3))</f>
        <v>1</v>
      </c>
      <c r="F191" s="0" t="n">
        <f aca="false">IF(E191=1,$C$4*SQRT(D191),IF(E191=2,$C$4+($C$5-$C$4)*D191,$C$6-($C$6-$C$5)*SQRT(1-D191)))</f>
        <v>1.54562787546742</v>
      </c>
    </row>
    <row r="192" customFormat="false" ht="15" hidden="false" customHeight="false" outlineLevel="0" collapsed="false">
      <c r="B192" s="0" t="n">
        <v>176</v>
      </c>
      <c r="C192" s="0" t="n">
        <f aca="true">RAND()</f>
        <v>0.662161444205825</v>
      </c>
      <c r="D192" s="0" t="n">
        <f aca="true">RAND()</f>
        <v>0.222169501621688</v>
      </c>
      <c r="E192" s="0" t="n">
        <f aca="false">IF(C192&lt;=$C$10,1,IF(C192&lt;=$C$10+$C$11,2,3))</f>
        <v>2</v>
      </c>
      <c r="F192" s="0" t="n">
        <f aca="false">IF(E192=1,$C$4*SQRT(D192),IF(E192=2,$C$4+($C$5-$C$4)*D192,$C$6-($C$6-$C$5)*SQRT(1-D192)))</f>
        <v>3.88867800648675</v>
      </c>
    </row>
    <row r="193" customFormat="false" ht="15" hidden="false" customHeight="false" outlineLevel="0" collapsed="false">
      <c r="B193" s="0" t="n">
        <v>177</v>
      </c>
      <c r="C193" s="0" t="n">
        <f aca="true">RAND()</f>
        <v>0.664004164339742</v>
      </c>
      <c r="D193" s="0" t="n">
        <f aca="true">RAND()</f>
        <v>0.368759367975127</v>
      </c>
      <c r="E193" s="0" t="n">
        <f aca="false">IF(C193&lt;=$C$10,1,IF(C193&lt;=$C$10+$C$11,2,3))</f>
        <v>2</v>
      </c>
      <c r="F193" s="0" t="n">
        <f aca="false">IF(E193=1,$C$4*SQRT(D193),IF(E193=2,$C$4+($C$5-$C$4)*D193,$C$6-($C$6-$C$5)*SQRT(1-D193)))</f>
        <v>4.47503747190051</v>
      </c>
    </row>
    <row r="194" customFormat="false" ht="15" hidden="false" customHeight="false" outlineLevel="0" collapsed="false">
      <c r="B194" s="0" t="n">
        <v>178</v>
      </c>
      <c r="C194" s="0" t="n">
        <f aca="true">RAND()</f>
        <v>0.671001590120659</v>
      </c>
      <c r="D194" s="0" t="n">
        <f aca="true">RAND()</f>
        <v>0.673869954608252</v>
      </c>
      <c r="E194" s="0" t="n">
        <f aca="false">IF(C194&lt;=$C$10,1,IF(C194&lt;=$C$10+$C$11,2,3))</f>
        <v>2</v>
      </c>
      <c r="F194" s="0" t="n">
        <f aca="false">IF(E194=1,$C$4*SQRT(D194),IF(E194=2,$C$4+($C$5-$C$4)*D194,$C$6-($C$6-$C$5)*SQRT(1-D194)))</f>
        <v>5.69547981843301</v>
      </c>
    </row>
    <row r="195" customFormat="false" ht="15" hidden="false" customHeight="false" outlineLevel="0" collapsed="false">
      <c r="B195" s="0" t="n">
        <v>179</v>
      </c>
      <c r="C195" s="0" t="n">
        <f aca="true">RAND()</f>
        <v>0.106438413398017</v>
      </c>
      <c r="D195" s="0" t="n">
        <f aca="true">RAND()</f>
        <v>0.731831948836725</v>
      </c>
      <c r="E195" s="0" t="n">
        <f aca="false">IF(C195&lt;=$C$10,1,IF(C195&lt;=$C$10+$C$11,2,3))</f>
        <v>1</v>
      </c>
      <c r="F195" s="0" t="n">
        <f aca="false">IF(E195=1,$C$4*SQRT(D195),IF(E195=2,$C$4+($C$5-$C$4)*D195,$C$6-($C$6-$C$5)*SQRT(1-D195)))</f>
        <v>2.56641530924567</v>
      </c>
    </row>
    <row r="196" customFormat="false" ht="15" hidden="false" customHeight="false" outlineLevel="0" collapsed="false">
      <c r="B196" s="0" t="n">
        <v>180</v>
      </c>
      <c r="C196" s="0" t="n">
        <f aca="true">RAND()</f>
        <v>0.929880059737388</v>
      </c>
      <c r="D196" s="0" t="n">
        <f aca="true">RAND()</f>
        <v>0.343954935111669</v>
      </c>
      <c r="E196" s="0" t="n">
        <f aca="false">IF(C196&lt;=$C$10,1,IF(C196&lt;=$C$10+$C$11,2,3))</f>
        <v>3</v>
      </c>
      <c r="F196" s="0" t="n">
        <f aca="false">IF(E196=1,$C$4*SQRT(D196),IF(E196=2,$C$4+($C$5-$C$4)*D196,$C$6-($C$6-$C$5)*SQRT(1-D196)))</f>
        <v>7.57010173381786</v>
      </c>
    </row>
    <row r="197" customFormat="false" ht="15" hidden="false" customHeight="false" outlineLevel="0" collapsed="false">
      <c r="B197" s="0" t="n">
        <v>181</v>
      </c>
      <c r="C197" s="0" t="n">
        <f aca="true">RAND()</f>
        <v>0.168238685372135</v>
      </c>
      <c r="D197" s="0" t="n">
        <f aca="true">RAND()</f>
        <v>0.815837070022929</v>
      </c>
      <c r="E197" s="0" t="n">
        <f aca="false">IF(C197&lt;=$C$10,1,IF(C197&lt;=$C$10+$C$11,2,3))</f>
        <v>1</v>
      </c>
      <c r="F197" s="0" t="n">
        <f aca="false">IF(E197=1,$C$4*SQRT(D197),IF(E197=2,$C$4+($C$5-$C$4)*D197,$C$6-($C$6-$C$5)*SQRT(1-D197)))</f>
        <v>2.70971098647187</v>
      </c>
    </row>
    <row r="198" customFormat="false" ht="15" hidden="false" customHeight="false" outlineLevel="0" collapsed="false">
      <c r="B198" s="0" t="n">
        <v>182</v>
      </c>
      <c r="C198" s="0" t="n">
        <f aca="true">RAND()</f>
        <v>0.213767630254914</v>
      </c>
      <c r="D198" s="0" t="n">
        <f aca="true">RAND()</f>
        <v>0.837569602196642</v>
      </c>
      <c r="E198" s="0" t="n">
        <f aca="false">IF(C198&lt;=$C$10,1,IF(C198&lt;=$C$10+$C$11,2,3))</f>
        <v>1</v>
      </c>
      <c r="F198" s="0" t="n">
        <f aca="false">IF(E198=1,$C$4*SQRT(D198),IF(E198=2,$C$4+($C$5-$C$4)*D198,$C$6-($C$6-$C$5)*SQRT(1-D198)))</f>
        <v>2.7455648635153</v>
      </c>
    </row>
    <row r="199" customFormat="false" ht="15" hidden="false" customHeight="false" outlineLevel="0" collapsed="false">
      <c r="B199" s="0" t="n">
        <v>183</v>
      </c>
      <c r="C199" s="0" t="n">
        <f aca="true">RAND()</f>
        <v>0.356565697971618</v>
      </c>
      <c r="D199" s="0" t="n">
        <f aca="true">RAND()</f>
        <v>0.368496705535472</v>
      </c>
      <c r="E199" s="0" t="n">
        <f aca="false">IF(C199&lt;=$C$10,1,IF(C199&lt;=$C$10+$C$11,2,3))</f>
        <v>2</v>
      </c>
      <c r="F199" s="0" t="n">
        <f aca="false">IF(E199=1,$C$4*SQRT(D199),IF(E199=2,$C$4+($C$5-$C$4)*D199,$C$6-($C$6-$C$5)*SQRT(1-D199)))</f>
        <v>4.47398682214189</v>
      </c>
    </row>
    <row r="200" customFormat="false" ht="15" hidden="false" customHeight="false" outlineLevel="0" collapsed="false">
      <c r="B200" s="0" t="n">
        <v>184</v>
      </c>
      <c r="C200" s="0" t="n">
        <f aca="true">RAND()</f>
        <v>0.400983557533381</v>
      </c>
      <c r="D200" s="0" t="n">
        <f aca="true">RAND()</f>
        <v>0.522518571265226</v>
      </c>
      <c r="E200" s="0" t="n">
        <f aca="false">IF(C200&lt;=$C$10,1,IF(C200&lt;=$C$10+$C$11,2,3))</f>
        <v>2</v>
      </c>
      <c r="F200" s="0" t="n">
        <f aca="false">IF(E200=1,$C$4*SQRT(D200),IF(E200=2,$C$4+($C$5-$C$4)*D200,$C$6-($C$6-$C$5)*SQRT(1-D200)))</f>
        <v>5.0900742850609</v>
      </c>
    </row>
    <row r="201" customFormat="false" ht="15" hidden="false" customHeight="false" outlineLevel="0" collapsed="false">
      <c r="B201" s="0" t="n">
        <v>185</v>
      </c>
      <c r="C201" s="0" t="n">
        <f aca="true">RAND()</f>
        <v>0.380952139529966</v>
      </c>
      <c r="D201" s="0" t="n">
        <f aca="true">RAND()</f>
        <v>0.292210990353632</v>
      </c>
      <c r="E201" s="0" t="n">
        <f aca="false">IF(C201&lt;=$C$10,1,IF(C201&lt;=$C$10+$C$11,2,3))</f>
        <v>2</v>
      </c>
      <c r="F201" s="0" t="n">
        <f aca="false">IF(E201=1,$C$4*SQRT(D201),IF(E201=2,$C$4+($C$5-$C$4)*D201,$C$6-($C$6-$C$5)*SQRT(1-D201)))</f>
        <v>4.16884396141453</v>
      </c>
    </row>
    <row r="202" customFormat="false" ht="15" hidden="false" customHeight="false" outlineLevel="0" collapsed="false">
      <c r="B202" s="0" t="n">
        <v>186</v>
      </c>
      <c r="C202" s="0" t="n">
        <f aca="true">RAND()</f>
        <v>0.899153028650039</v>
      </c>
      <c r="D202" s="0" t="n">
        <f aca="true">RAND()</f>
        <v>0.515952720281382</v>
      </c>
      <c r="E202" s="0" t="n">
        <f aca="false">IF(C202&lt;=$C$10,1,IF(C202&lt;=$C$10+$C$11,2,3))</f>
        <v>3</v>
      </c>
      <c r="F202" s="0" t="n">
        <f aca="false">IF(E202=1,$C$4*SQRT(D202),IF(E202=2,$C$4+($C$5-$C$4)*D202,$C$6-($C$6-$C$5)*SQRT(1-D202)))</f>
        <v>7.91279480705237</v>
      </c>
    </row>
    <row r="203" customFormat="false" ht="15" hidden="false" customHeight="false" outlineLevel="0" collapsed="false">
      <c r="B203" s="0" t="n">
        <v>187</v>
      </c>
      <c r="C203" s="0" t="n">
        <f aca="true">RAND()</f>
        <v>0.758806994799275</v>
      </c>
      <c r="D203" s="0" t="n">
        <f aca="true">RAND()</f>
        <v>0.547559318488296</v>
      </c>
      <c r="E203" s="0" t="n">
        <f aca="false">IF(C203&lt;=$C$10,1,IF(C203&lt;=$C$10+$C$11,2,3))</f>
        <v>2</v>
      </c>
      <c r="F203" s="0" t="n">
        <f aca="false">IF(E203=1,$C$4*SQRT(D203),IF(E203=2,$C$4+($C$5-$C$4)*D203,$C$6-($C$6-$C$5)*SQRT(1-D203)))</f>
        <v>5.19023727395319</v>
      </c>
    </row>
    <row r="204" customFormat="false" ht="15" hidden="false" customHeight="false" outlineLevel="0" collapsed="false">
      <c r="B204" s="0" t="n">
        <v>188</v>
      </c>
      <c r="C204" s="0" t="n">
        <f aca="true">RAND()</f>
        <v>0.735608859134533</v>
      </c>
      <c r="D204" s="0" t="n">
        <f aca="true">RAND()</f>
        <v>0.727249160960862</v>
      </c>
      <c r="E204" s="0" t="n">
        <f aca="false">IF(C204&lt;=$C$10,1,IF(C204&lt;=$C$10+$C$11,2,3))</f>
        <v>2</v>
      </c>
      <c r="F204" s="0" t="n">
        <f aca="false">IF(E204=1,$C$4*SQRT(D204),IF(E204=2,$C$4+($C$5-$C$4)*D204,$C$6-($C$6-$C$5)*SQRT(1-D204)))</f>
        <v>5.90899664384345</v>
      </c>
    </row>
    <row r="205" customFormat="false" ht="15" hidden="false" customHeight="false" outlineLevel="0" collapsed="false">
      <c r="B205" s="0" t="n">
        <v>189</v>
      </c>
      <c r="C205" s="0" t="n">
        <f aca="true">RAND()</f>
        <v>0.243044673650737</v>
      </c>
      <c r="D205" s="0" t="n">
        <f aca="true">RAND()</f>
        <v>0.648662687100445</v>
      </c>
      <c r="E205" s="0" t="n">
        <f aca="false">IF(C205&lt;=$C$10,1,IF(C205&lt;=$C$10+$C$11,2,3))</f>
        <v>2</v>
      </c>
      <c r="F205" s="0" t="n">
        <f aca="false">IF(E205=1,$C$4*SQRT(D205),IF(E205=2,$C$4+($C$5-$C$4)*D205,$C$6-($C$6-$C$5)*SQRT(1-D205)))</f>
        <v>5.59465074840178</v>
      </c>
    </row>
    <row r="206" customFormat="false" ht="15" hidden="false" customHeight="false" outlineLevel="0" collapsed="false">
      <c r="B206" s="0" t="n">
        <v>190</v>
      </c>
      <c r="C206" s="0" t="n">
        <f aca="true">RAND()</f>
        <v>0.938739041329684</v>
      </c>
      <c r="D206" s="0" t="n">
        <f aca="true">RAND()</f>
        <v>0.970900433456372</v>
      </c>
      <c r="E206" s="0" t="n">
        <f aca="false">IF(C206&lt;=$C$10,1,IF(C206&lt;=$C$10+$C$11,2,3))</f>
        <v>3</v>
      </c>
      <c r="F206" s="0" t="n">
        <f aca="false">IF(E206=1,$C$4*SQRT(D206),IF(E206=2,$C$4+($C$5-$C$4)*D206,$C$6-($C$6-$C$5)*SQRT(1-D206)))</f>
        <v>9.48824214818662</v>
      </c>
    </row>
    <row r="207" customFormat="false" ht="15" hidden="false" customHeight="false" outlineLevel="0" collapsed="false">
      <c r="B207" s="0" t="n">
        <v>191</v>
      </c>
      <c r="C207" s="0" t="n">
        <f aca="true">RAND()</f>
        <v>0.51717367500001</v>
      </c>
      <c r="D207" s="0" t="n">
        <f aca="true">RAND()</f>
        <v>0.586885197411863</v>
      </c>
      <c r="E207" s="0" t="n">
        <f aca="false">IF(C207&lt;=$C$10,1,IF(C207&lt;=$C$10+$C$11,2,3))</f>
        <v>2</v>
      </c>
      <c r="F207" s="0" t="n">
        <f aca="false">IF(E207=1,$C$4*SQRT(D207),IF(E207=2,$C$4+($C$5-$C$4)*D207,$C$6-($C$6-$C$5)*SQRT(1-D207)))</f>
        <v>5.34754078964745</v>
      </c>
    </row>
    <row r="208" customFormat="false" ht="15" hidden="false" customHeight="false" outlineLevel="0" collapsed="false">
      <c r="B208" s="0" t="n">
        <v>192</v>
      </c>
      <c r="C208" s="0" t="n">
        <f aca="true">RAND()</f>
        <v>0.144845774240594</v>
      </c>
      <c r="D208" s="0" t="n">
        <f aca="true">RAND()</f>
        <v>0.120835330566203</v>
      </c>
      <c r="E208" s="0" t="n">
        <f aca="false">IF(C208&lt;=$C$10,1,IF(C208&lt;=$C$10+$C$11,2,3))</f>
        <v>1</v>
      </c>
      <c r="F208" s="0" t="n">
        <f aca="false">IF(E208=1,$C$4*SQRT(D208),IF(E208=2,$C$4+($C$5-$C$4)*D208,$C$6-($C$6-$C$5)*SQRT(1-D208)))</f>
        <v>1.04284129909389</v>
      </c>
    </row>
    <row r="209" customFormat="false" ht="15" hidden="false" customHeight="false" outlineLevel="0" collapsed="false">
      <c r="B209" s="0" t="n">
        <v>193</v>
      </c>
      <c r="C209" s="0" t="n">
        <f aca="true">RAND()</f>
        <v>0.538901651478717</v>
      </c>
      <c r="D209" s="0" t="n">
        <f aca="true">RAND()</f>
        <v>0.773854751683049</v>
      </c>
      <c r="E209" s="0" t="n">
        <f aca="false">IF(C209&lt;=$C$10,1,IF(C209&lt;=$C$10+$C$11,2,3))</f>
        <v>2</v>
      </c>
      <c r="F209" s="0" t="n">
        <f aca="false">IF(E209=1,$C$4*SQRT(D209),IF(E209=2,$C$4+($C$5-$C$4)*D209,$C$6-($C$6-$C$5)*SQRT(1-D209)))</f>
        <v>6.0954190067322</v>
      </c>
    </row>
    <row r="210" customFormat="false" ht="15" hidden="false" customHeight="false" outlineLevel="0" collapsed="false">
      <c r="B210" s="0" t="n">
        <v>194</v>
      </c>
      <c r="C210" s="0" t="n">
        <f aca="true">RAND()</f>
        <v>0.495092892493303</v>
      </c>
      <c r="D210" s="0" t="n">
        <f aca="true">RAND()</f>
        <v>0.359256632512609</v>
      </c>
      <c r="E210" s="0" t="n">
        <f aca="false">IF(C210&lt;=$C$10,1,IF(C210&lt;=$C$10+$C$11,2,3))</f>
        <v>2</v>
      </c>
      <c r="F210" s="0" t="n">
        <f aca="false">IF(E210=1,$C$4*SQRT(D210),IF(E210=2,$C$4+($C$5-$C$4)*D210,$C$6-($C$6-$C$5)*SQRT(1-D210)))</f>
        <v>4.43702653005044</v>
      </c>
    </row>
    <row r="211" customFormat="false" ht="15" hidden="false" customHeight="false" outlineLevel="0" collapsed="false">
      <c r="B211" s="0" t="n">
        <v>195</v>
      </c>
      <c r="C211" s="0" t="n">
        <f aca="true">RAND()</f>
        <v>0.912565390341446</v>
      </c>
      <c r="D211" s="0" t="n">
        <f aca="true">RAND()</f>
        <v>0.922686732012039</v>
      </c>
      <c r="E211" s="0" t="n">
        <f aca="false">IF(C211&lt;=$C$10,1,IF(C211&lt;=$C$10+$C$11,2,3))</f>
        <v>3</v>
      </c>
      <c r="F211" s="0" t="n">
        <f aca="false">IF(E211=1,$C$4*SQRT(D211),IF(E211=2,$C$4+($C$5-$C$4)*D211,$C$6-($C$6-$C$5)*SQRT(1-D211)))</f>
        <v>9.16584209415025</v>
      </c>
    </row>
    <row r="212" customFormat="false" ht="15" hidden="false" customHeight="false" outlineLevel="0" collapsed="false">
      <c r="B212" s="0" t="n">
        <v>196</v>
      </c>
      <c r="C212" s="0" t="n">
        <f aca="true">RAND()</f>
        <v>0.0251267761213807</v>
      </c>
      <c r="D212" s="0" t="n">
        <f aca="true">RAND()</f>
        <v>0.140870688268363</v>
      </c>
      <c r="E212" s="0" t="n">
        <f aca="false">IF(C212&lt;=$C$10,1,IF(C212&lt;=$C$10+$C$11,2,3))</f>
        <v>1</v>
      </c>
      <c r="F212" s="0" t="n">
        <f aca="false">IF(E212=1,$C$4*SQRT(D212),IF(E212=2,$C$4+($C$5-$C$4)*D212,$C$6-($C$6-$C$5)*SQRT(1-D212)))</f>
        <v>1.12598232420197</v>
      </c>
    </row>
    <row r="213" customFormat="false" ht="15" hidden="false" customHeight="false" outlineLevel="0" collapsed="false">
      <c r="B213" s="0" t="n">
        <v>197</v>
      </c>
      <c r="C213" s="0" t="n">
        <f aca="true">RAND()</f>
        <v>0.540196390116979</v>
      </c>
      <c r="D213" s="0" t="n">
        <f aca="true">RAND()</f>
        <v>0.750629663112891</v>
      </c>
      <c r="E213" s="0" t="n">
        <f aca="false">IF(C213&lt;=$C$10,1,IF(C213&lt;=$C$10+$C$11,2,3))</f>
        <v>2</v>
      </c>
      <c r="F213" s="0" t="n">
        <f aca="false">IF(E213=1,$C$4*SQRT(D213),IF(E213=2,$C$4+($C$5-$C$4)*D213,$C$6-($C$6-$C$5)*SQRT(1-D213)))</f>
        <v>6.00251865245157</v>
      </c>
    </row>
    <row r="214" customFormat="false" ht="15" hidden="false" customHeight="false" outlineLevel="0" collapsed="false">
      <c r="B214" s="0" t="n">
        <v>198</v>
      </c>
      <c r="C214" s="0" t="n">
        <f aca="true">RAND()</f>
        <v>0.344980201160913</v>
      </c>
      <c r="D214" s="0" t="n">
        <f aca="true">RAND()</f>
        <v>0.203785017989634</v>
      </c>
      <c r="E214" s="0" t="n">
        <f aca="false">IF(C214&lt;=$C$10,1,IF(C214&lt;=$C$10+$C$11,2,3))</f>
        <v>2</v>
      </c>
      <c r="F214" s="0" t="n">
        <f aca="false">IF(E214=1,$C$4*SQRT(D214),IF(E214=2,$C$4+($C$5-$C$4)*D214,$C$6-($C$6-$C$5)*SQRT(1-D214)))</f>
        <v>3.81514007195854</v>
      </c>
    </row>
    <row r="215" customFormat="false" ht="15" hidden="false" customHeight="false" outlineLevel="0" collapsed="false">
      <c r="B215" s="0" t="n">
        <v>199</v>
      </c>
      <c r="C215" s="0" t="n">
        <f aca="true">RAND()</f>
        <v>0.601395816482378</v>
      </c>
      <c r="D215" s="0" t="n">
        <f aca="true">RAND()</f>
        <v>0.856772797239537</v>
      </c>
      <c r="E215" s="0" t="n">
        <f aca="false">IF(C215&lt;=$C$10,1,IF(C215&lt;=$C$10+$C$11,2,3))</f>
        <v>2</v>
      </c>
      <c r="F215" s="0" t="n">
        <f aca="false">IF(E215=1,$C$4*SQRT(D215),IF(E215=2,$C$4+($C$5-$C$4)*D215,$C$6-($C$6-$C$5)*SQRT(1-D215)))</f>
        <v>6.42709118895815</v>
      </c>
    </row>
    <row r="216" customFormat="false" ht="15" hidden="false" customHeight="false" outlineLevel="0" collapsed="false">
      <c r="B216" s="0" t="n">
        <v>200</v>
      </c>
      <c r="C216" s="0" t="n">
        <f aca="true">RAND()</f>
        <v>0.682389552748515</v>
      </c>
      <c r="D216" s="0" t="n">
        <f aca="true">RAND()</f>
        <v>0.776739854012076</v>
      </c>
      <c r="E216" s="0" t="n">
        <f aca="false">IF(C216&lt;=$C$10,1,IF(C216&lt;=$C$10+$C$11,2,3))</f>
        <v>2</v>
      </c>
      <c r="F216" s="0" t="n">
        <f aca="false">IF(E216=1,$C$4*SQRT(D216),IF(E216=2,$C$4+($C$5-$C$4)*D216,$C$6-($C$6-$C$5)*SQRT(1-D216)))</f>
        <v>6.10695941604831</v>
      </c>
    </row>
    <row r="217" customFormat="false" ht="15" hidden="false" customHeight="false" outlineLevel="0" collapsed="false">
      <c r="B217" s="0" t="n">
        <v>201</v>
      </c>
      <c r="C217" s="0" t="n">
        <f aca="true">RAND()</f>
        <v>0.826270617632421</v>
      </c>
      <c r="D217" s="0" t="n">
        <f aca="true">RAND()</f>
        <v>0.819032151624153</v>
      </c>
      <c r="E217" s="0" t="n">
        <f aca="false">IF(C217&lt;=$C$10,1,IF(C217&lt;=$C$10+$C$11,2,3))</f>
        <v>3</v>
      </c>
      <c r="F217" s="0" t="n">
        <f aca="false">IF(E217=1,$C$4*SQRT(D217),IF(E217=2,$C$4+($C$5-$C$4)*D217,$C$6-($C$6-$C$5)*SQRT(1-D217)))</f>
        <v>8.72379052057171</v>
      </c>
    </row>
    <row r="218" customFormat="false" ht="15" hidden="false" customHeight="false" outlineLevel="0" collapsed="false">
      <c r="B218" s="0" t="n">
        <v>202</v>
      </c>
      <c r="C218" s="0" t="n">
        <f aca="true">RAND()</f>
        <v>0.351697204228354</v>
      </c>
      <c r="D218" s="0" t="n">
        <f aca="true">RAND()</f>
        <v>0.434308504236401</v>
      </c>
      <c r="E218" s="0" t="n">
        <f aca="false">IF(C218&lt;=$C$10,1,IF(C218&lt;=$C$10+$C$11,2,3))</f>
        <v>2</v>
      </c>
      <c r="F218" s="0" t="n">
        <f aca="false">IF(E218=1,$C$4*SQRT(D218),IF(E218=2,$C$4+($C$5-$C$4)*D218,$C$6-($C$6-$C$5)*SQRT(1-D218)))</f>
        <v>4.7372340169456</v>
      </c>
    </row>
    <row r="219" customFormat="false" ht="15" hidden="false" customHeight="false" outlineLevel="0" collapsed="false">
      <c r="B219" s="0" t="n">
        <v>203</v>
      </c>
      <c r="C219" s="0" t="n">
        <f aca="true">RAND()</f>
        <v>0.917368975104993</v>
      </c>
      <c r="D219" s="0" t="n">
        <f aca="true">RAND()</f>
        <v>0.0588629865130449</v>
      </c>
      <c r="E219" s="0" t="n">
        <f aca="false">IF(C219&lt;=$C$10,1,IF(C219&lt;=$C$10+$C$11,2,3))</f>
        <v>3</v>
      </c>
      <c r="F219" s="0" t="n">
        <f aca="false">IF(E219=1,$C$4*SQRT(D219),IF(E219=2,$C$4+($C$5-$C$4)*D219,$C$6-($C$6-$C$5)*SQRT(1-D219)))</f>
        <v>7.08963350737702</v>
      </c>
    </row>
    <row r="220" customFormat="false" ht="15" hidden="false" customHeight="false" outlineLevel="0" collapsed="false">
      <c r="B220" s="0" t="n">
        <v>204</v>
      </c>
      <c r="C220" s="0" t="n">
        <f aca="true">RAND()</f>
        <v>0.518763358508026</v>
      </c>
      <c r="D220" s="0" t="n">
        <f aca="true">RAND()</f>
        <v>0.526790432239928</v>
      </c>
      <c r="E220" s="0" t="n">
        <f aca="false">IF(C220&lt;=$C$10,1,IF(C220&lt;=$C$10+$C$11,2,3))</f>
        <v>2</v>
      </c>
      <c r="F220" s="0" t="n">
        <f aca="false">IF(E220=1,$C$4*SQRT(D220),IF(E220=2,$C$4+($C$5-$C$4)*D220,$C$6-($C$6-$C$5)*SQRT(1-D220)))</f>
        <v>5.10716172895971</v>
      </c>
    </row>
    <row r="221" customFormat="false" ht="15" hidden="false" customHeight="false" outlineLevel="0" collapsed="false">
      <c r="B221" s="0" t="n">
        <v>205</v>
      </c>
      <c r="C221" s="0" t="n">
        <f aca="true">RAND()</f>
        <v>0.823425090703508</v>
      </c>
      <c r="D221" s="0" t="n">
        <f aca="true">RAND()</f>
        <v>0.291273314379425</v>
      </c>
      <c r="E221" s="0" t="n">
        <f aca="false">IF(C221&lt;=$C$10,1,IF(C221&lt;=$C$10+$C$11,2,3))</f>
        <v>3</v>
      </c>
      <c r="F221" s="0" t="n">
        <f aca="false">IF(E221=1,$C$4*SQRT(D221),IF(E221=2,$C$4+($C$5-$C$4)*D221,$C$6-($C$6-$C$5)*SQRT(1-D221)))</f>
        <v>7.47442280446921</v>
      </c>
    </row>
    <row r="222" customFormat="false" ht="15" hidden="false" customHeight="false" outlineLevel="0" collapsed="false">
      <c r="B222" s="0" t="n">
        <v>206</v>
      </c>
      <c r="C222" s="0" t="n">
        <f aca="true">RAND()</f>
        <v>0.115296707451877</v>
      </c>
      <c r="D222" s="0" t="n">
        <f aca="true">RAND()</f>
        <v>0.721233159678623</v>
      </c>
      <c r="E222" s="0" t="n">
        <f aca="false">IF(C222&lt;=$C$10,1,IF(C222&lt;=$C$10+$C$11,2,3))</f>
        <v>1</v>
      </c>
      <c r="F222" s="0" t="n">
        <f aca="false">IF(E222=1,$C$4*SQRT(D222),IF(E222=2,$C$4+($C$5-$C$4)*D222,$C$6-($C$6-$C$5)*SQRT(1-D222)))</f>
        <v>2.54776341859043</v>
      </c>
    </row>
    <row r="223" customFormat="false" ht="15" hidden="false" customHeight="false" outlineLevel="0" collapsed="false">
      <c r="B223" s="0" t="n">
        <v>207</v>
      </c>
      <c r="C223" s="0" t="n">
        <f aca="true">RAND()</f>
        <v>0.525937822083547</v>
      </c>
      <c r="D223" s="0" t="n">
        <f aca="true">RAND()</f>
        <v>0.561482023427789</v>
      </c>
      <c r="E223" s="0" t="n">
        <f aca="false">IF(C223&lt;=$C$10,1,IF(C223&lt;=$C$10+$C$11,2,3))</f>
        <v>2</v>
      </c>
      <c r="F223" s="0" t="n">
        <f aca="false">IF(E223=1,$C$4*SQRT(D223),IF(E223=2,$C$4+($C$5-$C$4)*D223,$C$6-($C$6-$C$5)*SQRT(1-D223)))</f>
        <v>5.24592809371116</v>
      </c>
    </row>
    <row r="224" customFormat="false" ht="15" hidden="false" customHeight="false" outlineLevel="0" collapsed="false">
      <c r="B224" s="0" t="n">
        <v>208</v>
      </c>
      <c r="C224" s="0" t="n">
        <f aca="true">RAND()</f>
        <v>0.596181882320451</v>
      </c>
      <c r="D224" s="0" t="n">
        <f aca="true">RAND()</f>
        <v>0.381922881022946</v>
      </c>
      <c r="E224" s="0" t="n">
        <f aca="false">IF(C224&lt;=$C$10,1,IF(C224&lt;=$C$10+$C$11,2,3))</f>
        <v>2</v>
      </c>
      <c r="F224" s="0" t="n">
        <f aca="false">IF(E224=1,$C$4*SQRT(D224),IF(E224=2,$C$4+($C$5-$C$4)*D224,$C$6-($C$6-$C$5)*SQRT(1-D224)))</f>
        <v>4.52769152409179</v>
      </c>
    </row>
    <row r="225" customFormat="false" ht="15" hidden="false" customHeight="false" outlineLevel="0" collapsed="false">
      <c r="B225" s="0" t="n">
        <v>209</v>
      </c>
      <c r="C225" s="0" t="n">
        <f aca="true">RAND()</f>
        <v>0.656433628250348</v>
      </c>
      <c r="D225" s="0" t="n">
        <f aca="true">RAND()</f>
        <v>0.637303403982726</v>
      </c>
      <c r="E225" s="0" t="n">
        <f aca="false">IF(C225&lt;=$C$10,1,IF(C225&lt;=$C$10+$C$11,2,3))</f>
        <v>2</v>
      </c>
      <c r="F225" s="0" t="n">
        <f aca="false">IF(E225=1,$C$4*SQRT(D225),IF(E225=2,$C$4+($C$5-$C$4)*D225,$C$6-($C$6-$C$5)*SQRT(1-D225)))</f>
        <v>5.5492136159309</v>
      </c>
    </row>
    <row r="226" customFormat="false" ht="15" hidden="false" customHeight="false" outlineLevel="0" collapsed="false">
      <c r="B226" s="0" t="n">
        <v>210</v>
      </c>
      <c r="C226" s="0" t="n">
        <f aca="true">RAND()</f>
        <v>0.380451987763771</v>
      </c>
      <c r="D226" s="0" t="n">
        <f aca="true">RAND()</f>
        <v>0.871570575560948</v>
      </c>
      <c r="E226" s="0" t="n">
        <f aca="false">IF(C226&lt;=$C$10,1,IF(C226&lt;=$C$10+$C$11,2,3))</f>
        <v>2</v>
      </c>
      <c r="F226" s="0" t="n">
        <f aca="false">IF(E226=1,$C$4*SQRT(D226),IF(E226=2,$C$4+($C$5-$C$4)*D226,$C$6-($C$6-$C$5)*SQRT(1-D226)))</f>
        <v>6.48628230224379</v>
      </c>
    </row>
    <row r="227" customFormat="false" ht="15" hidden="false" customHeight="false" outlineLevel="0" collapsed="false">
      <c r="B227" s="0" t="n">
        <v>211</v>
      </c>
      <c r="C227" s="0" t="n">
        <f aca="true">RAND()</f>
        <v>0.183842698756863</v>
      </c>
      <c r="D227" s="0" t="n">
        <f aca="true">RAND()</f>
        <v>0.511035650163801</v>
      </c>
      <c r="E227" s="0" t="n">
        <f aca="false">IF(C227&lt;=$C$10,1,IF(C227&lt;=$C$10+$C$11,2,3))</f>
        <v>1</v>
      </c>
      <c r="F227" s="0" t="n">
        <f aca="false">IF(E227=1,$C$4*SQRT(D227),IF(E227=2,$C$4+($C$5-$C$4)*D227,$C$6-($C$6-$C$5)*SQRT(1-D227)))</f>
        <v>2.14460272579194</v>
      </c>
    </row>
    <row r="228" customFormat="false" ht="15" hidden="false" customHeight="false" outlineLevel="0" collapsed="false">
      <c r="B228" s="0" t="n">
        <v>212</v>
      </c>
      <c r="C228" s="0" t="n">
        <f aca="true">RAND()</f>
        <v>0.517907679979474</v>
      </c>
      <c r="D228" s="0" t="n">
        <f aca="true">RAND()</f>
        <v>0.997827555524107</v>
      </c>
      <c r="E228" s="0" t="n">
        <f aca="false">IF(C228&lt;=$C$10,1,IF(C228&lt;=$C$10+$C$11,2,3))</f>
        <v>2</v>
      </c>
      <c r="F228" s="0" t="n">
        <f aca="false">IF(E228=1,$C$4*SQRT(D228),IF(E228=2,$C$4+($C$5-$C$4)*D228,$C$6-($C$6-$C$5)*SQRT(1-D228)))</f>
        <v>6.99131022209643</v>
      </c>
    </row>
    <row r="229" customFormat="false" ht="15" hidden="false" customHeight="false" outlineLevel="0" collapsed="false">
      <c r="B229" s="0" t="n">
        <v>213</v>
      </c>
      <c r="C229" s="0" t="n">
        <f aca="true">RAND()</f>
        <v>0.850535498920139</v>
      </c>
      <c r="D229" s="0" t="n">
        <f aca="true">RAND()</f>
        <v>0.639224009618295</v>
      </c>
      <c r="E229" s="0" t="n">
        <f aca="false">IF(C229&lt;=$C$10,1,IF(C229&lt;=$C$10+$C$11,2,3))</f>
        <v>3</v>
      </c>
      <c r="F229" s="0" t="n">
        <f aca="false">IF(E229=1,$C$4*SQRT(D229),IF(E229=2,$C$4+($C$5-$C$4)*D229,$C$6-($C$6-$C$5)*SQRT(1-D229)))</f>
        <v>8.19806106833907</v>
      </c>
    </row>
    <row r="230" customFormat="false" ht="15" hidden="false" customHeight="false" outlineLevel="0" collapsed="false">
      <c r="B230" s="0" t="n">
        <v>214</v>
      </c>
      <c r="C230" s="0" t="n">
        <f aca="true">RAND()</f>
        <v>0.866416178508078</v>
      </c>
      <c r="D230" s="0" t="n">
        <f aca="true">RAND()</f>
        <v>0.54738986127194</v>
      </c>
      <c r="E230" s="0" t="n">
        <f aca="false">IF(C230&lt;=$C$10,1,IF(C230&lt;=$C$10+$C$11,2,3))</f>
        <v>3</v>
      </c>
      <c r="F230" s="0" t="n">
        <f aca="false">IF(E230=1,$C$4*SQRT(D230),IF(E230=2,$C$4+($C$5-$C$4)*D230,$C$6-($C$6-$C$5)*SQRT(1-D230)))</f>
        <v>7.98171081146617</v>
      </c>
    </row>
    <row r="231" customFormat="false" ht="15" hidden="false" customHeight="false" outlineLevel="0" collapsed="false">
      <c r="B231" s="0" t="n">
        <v>215</v>
      </c>
      <c r="C231" s="0" t="n">
        <f aca="true">RAND()</f>
        <v>0.200276966203016</v>
      </c>
      <c r="D231" s="0" t="n">
        <f aca="true">RAND()</f>
        <v>0.747455348639359</v>
      </c>
      <c r="E231" s="0" t="n">
        <f aca="false">IF(C231&lt;=$C$10,1,IF(C231&lt;=$C$10+$C$11,2,3))</f>
        <v>1</v>
      </c>
      <c r="F231" s="0" t="n">
        <f aca="false">IF(E231=1,$C$4*SQRT(D231),IF(E231=2,$C$4+($C$5-$C$4)*D231,$C$6-($C$6-$C$5)*SQRT(1-D231)))</f>
        <v>2.59366500106591</v>
      </c>
    </row>
    <row r="232" customFormat="false" ht="15" hidden="false" customHeight="false" outlineLevel="0" collapsed="false">
      <c r="B232" s="0" t="n">
        <v>216</v>
      </c>
      <c r="C232" s="0" t="n">
        <f aca="true">RAND()</f>
        <v>0.734159960791611</v>
      </c>
      <c r="D232" s="0" t="n">
        <f aca="true">RAND()</f>
        <v>0.514826076275719</v>
      </c>
      <c r="E232" s="0" t="n">
        <f aca="false">IF(C232&lt;=$C$10,1,IF(C232&lt;=$C$10+$C$11,2,3))</f>
        <v>2</v>
      </c>
      <c r="F232" s="0" t="n">
        <f aca="false">IF(E232=1,$C$4*SQRT(D232),IF(E232=2,$C$4+($C$5-$C$4)*D232,$C$6-($C$6-$C$5)*SQRT(1-D232)))</f>
        <v>5.05930430510288</v>
      </c>
    </row>
    <row r="233" customFormat="false" ht="15" hidden="false" customHeight="false" outlineLevel="0" collapsed="false">
      <c r="B233" s="0" t="n">
        <v>217</v>
      </c>
      <c r="C233" s="0" t="n">
        <f aca="true">RAND()</f>
        <v>0.544125260390543</v>
      </c>
      <c r="D233" s="0" t="n">
        <f aca="true">RAND()</f>
        <v>0.664439172518396</v>
      </c>
      <c r="E233" s="0" t="n">
        <f aca="false">IF(C233&lt;=$C$10,1,IF(C233&lt;=$C$10+$C$11,2,3))</f>
        <v>2</v>
      </c>
      <c r="F233" s="0" t="n">
        <f aca="false">IF(E233=1,$C$4*SQRT(D233),IF(E233=2,$C$4+($C$5-$C$4)*D233,$C$6-($C$6-$C$5)*SQRT(1-D233)))</f>
        <v>5.65775669007358</v>
      </c>
    </row>
    <row r="234" customFormat="false" ht="15" hidden="false" customHeight="false" outlineLevel="0" collapsed="false">
      <c r="B234" s="0" t="n">
        <v>218</v>
      </c>
      <c r="C234" s="0" t="n">
        <f aca="true">RAND()</f>
        <v>0.342951350497413</v>
      </c>
      <c r="D234" s="0" t="n">
        <f aca="true">RAND()</f>
        <v>0.658130444503596</v>
      </c>
      <c r="E234" s="0" t="n">
        <f aca="false">IF(C234&lt;=$C$10,1,IF(C234&lt;=$C$10+$C$11,2,3))</f>
        <v>2</v>
      </c>
      <c r="F234" s="0" t="n">
        <f aca="false">IF(E234=1,$C$4*SQRT(D234),IF(E234=2,$C$4+($C$5-$C$4)*D234,$C$6-($C$6-$C$5)*SQRT(1-D234)))</f>
        <v>5.63252177801438</v>
      </c>
    </row>
    <row r="235" customFormat="false" ht="15" hidden="false" customHeight="false" outlineLevel="0" collapsed="false">
      <c r="B235" s="0" t="n">
        <v>219</v>
      </c>
      <c r="C235" s="0" t="n">
        <f aca="true">RAND()</f>
        <v>0.894483905575844</v>
      </c>
      <c r="D235" s="0" t="n">
        <f aca="true">RAND()</f>
        <v>0.356718193152219</v>
      </c>
      <c r="E235" s="0" t="n">
        <f aca="false">IF(C235&lt;=$C$10,1,IF(C235&lt;=$C$10+$C$11,2,3))</f>
        <v>3</v>
      </c>
      <c r="F235" s="0" t="n">
        <f aca="false">IF(E235=1,$C$4*SQRT(D235),IF(E235=2,$C$4+($C$5-$C$4)*D235,$C$6-($C$6-$C$5)*SQRT(1-D235)))</f>
        <v>7.59385448037114</v>
      </c>
    </row>
    <row r="236" customFormat="false" ht="15" hidden="false" customHeight="false" outlineLevel="0" collapsed="false">
      <c r="B236" s="0" t="n">
        <v>220</v>
      </c>
      <c r="C236" s="0" t="n">
        <f aca="true">RAND()</f>
        <v>0.694507703340469</v>
      </c>
      <c r="D236" s="0" t="n">
        <f aca="true">RAND()</f>
        <v>0.985415614744284</v>
      </c>
      <c r="E236" s="0" t="n">
        <f aca="false">IF(C236&lt;=$C$10,1,IF(C236&lt;=$C$10+$C$11,2,3))</f>
        <v>2</v>
      </c>
      <c r="F236" s="0" t="n">
        <f aca="false">IF(E236=1,$C$4*SQRT(D236),IF(E236=2,$C$4+($C$5-$C$4)*D236,$C$6-($C$6-$C$5)*SQRT(1-D236)))</f>
        <v>6.94166245897713</v>
      </c>
    </row>
    <row r="237" customFormat="false" ht="15" hidden="false" customHeight="false" outlineLevel="0" collapsed="false">
      <c r="B237" s="0" t="n">
        <v>221</v>
      </c>
      <c r="C237" s="0" t="n">
        <f aca="true">RAND()</f>
        <v>0.443964540645514</v>
      </c>
      <c r="D237" s="0" t="n">
        <f aca="true">RAND()</f>
        <v>0.941703155591348</v>
      </c>
      <c r="E237" s="0" t="n">
        <f aca="false">IF(C237&lt;=$C$10,1,IF(C237&lt;=$C$10+$C$11,2,3))</f>
        <v>2</v>
      </c>
      <c r="F237" s="0" t="n">
        <f aca="false">IF(E237=1,$C$4*SQRT(D237),IF(E237=2,$C$4+($C$5-$C$4)*D237,$C$6-($C$6-$C$5)*SQRT(1-D237)))</f>
        <v>6.76681262236539</v>
      </c>
    </row>
    <row r="238" customFormat="false" ht="15" hidden="false" customHeight="false" outlineLevel="0" collapsed="false">
      <c r="B238" s="0" t="n">
        <v>222</v>
      </c>
      <c r="C238" s="0" t="n">
        <f aca="true">RAND()</f>
        <v>0.775964960288378</v>
      </c>
      <c r="D238" s="0" t="n">
        <f aca="true">RAND()</f>
        <v>0.320741109591506</v>
      </c>
      <c r="E238" s="0" t="n">
        <f aca="false">IF(C238&lt;=$C$10,1,IF(C238&lt;=$C$10+$C$11,2,3))</f>
        <v>2</v>
      </c>
      <c r="F238" s="0" t="n">
        <f aca="false">IF(E238=1,$C$4*SQRT(D238),IF(E238=2,$C$4+($C$5-$C$4)*D238,$C$6-($C$6-$C$5)*SQRT(1-D238)))</f>
        <v>4.28296443836602</v>
      </c>
    </row>
    <row r="239" customFormat="false" ht="15" hidden="false" customHeight="false" outlineLevel="0" collapsed="false">
      <c r="B239" s="0" t="n">
        <v>223</v>
      </c>
      <c r="C239" s="0" t="n">
        <f aca="true">RAND()</f>
        <v>0.132652151286455</v>
      </c>
      <c r="D239" s="0" t="n">
        <f aca="true">RAND()</f>
        <v>0.566660672930812</v>
      </c>
      <c r="E239" s="0" t="n">
        <f aca="false">IF(C239&lt;=$C$10,1,IF(C239&lt;=$C$10+$C$11,2,3))</f>
        <v>1</v>
      </c>
      <c r="F239" s="0" t="n">
        <f aca="false">IF(E239=1,$C$4*SQRT(D239),IF(E239=2,$C$4+($C$5-$C$4)*D239,$C$6-($C$6-$C$5)*SQRT(1-D239)))</f>
        <v>2.25830601477685</v>
      </c>
    </row>
    <row r="240" customFormat="false" ht="15" hidden="false" customHeight="false" outlineLevel="0" collapsed="false">
      <c r="B240" s="0" t="n">
        <v>224</v>
      </c>
      <c r="C240" s="0" t="n">
        <f aca="true">RAND()</f>
        <v>0.531238308189836</v>
      </c>
      <c r="D240" s="0" t="n">
        <f aca="true">RAND()</f>
        <v>0.7689256576215</v>
      </c>
      <c r="E240" s="0" t="n">
        <f aca="false">IF(C240&lt;=$C$10,1,IF(C240&lt;=$C$10+$C$11,2,3))</f>
        <v>2</v>
      </c>
      <c r="F240" s="0" t="n">
        <f aca="false">IF(E240=1,$C$4*SQRT(D240),IF(E240=2,$C$4+($C$5-$C$4)*D240,$C$6-($C$6-$C$5)*SQRT(1-D240)))</f>
        <v>6.075702630486</v>
      </c>
    </row>
    <row r="241" customFormat="false" ht="15" hidden="false" customHeight="false" outlineLevel="0" collapsed="false">
      <c r="B241" s="0" t="n">
        <v>225</v>
      </c>
      <c r="C241" s="0" t="n">
        <f aca="true">RAND()</f>
        <v>0.584465272086777</v>
      </c>
      <c r="D241" s="0" t="n">
        <f aca="true">RAND()</f>
        <v>0.283358724029238</v>
      </c>
      <c r="E241" s="0" t="n">
        <f aca="false">IF(C241&lt;=$C$10,1,IF(C241&lt;=$C$10+$C$11,2,3))</f>
        <v>2</v>
      </c>
      <c r="F241" s="0" t="n">
        <f aca="false">IF(E241=1,$C$4*SQRT(D241),IF(E241=2,$C$4+($C$5-$C$4)*D241,$C$6-($C$6-$C$5)*SQRT(1-D241)))</f>
        <v>4.13343489611695</v>
      </c>
    </row>
    <row r="242" customFormat="false" ht="15" hidden="false" customHeight="false" outlineLevel="0" collapsed="false">
      <c r="B242" s="0" t="n">
        <v>226</v>
      </c>
      <c r="C242" s="0" t="n">
        <f aca="true">RAND()</f>
        <v>0.108522307984543</v>
      </c>
      <c r="D242" s="0" t="n">
        <f aca="true">RAND()</f>
        <v>0.0592952381993981</v>
      </c>
      <c r="E242" s="0" t="n">
        <f aca="false">IF(C242&lt;=$C$10,1,IF(C242&lt;=$C$10+$C$11,2,3))</f>
        <v>1</v>
      </c>
      <c r="F242" s="0" t="n">
        <f aca="false">IF(E242=1,$C$4*SQRT(D242),IF(E242=2,$C$4+($C$5-$C$4)*D242,$C$6-($C$6-$C$5)*SQRT(1-D242)))</f>
        <v>0.730518407567244</v>
      </c>
    </row>
    <row r="243" customFormat="false" ht="15" hidden="false" customHeight="false" outlineLevel="0" collapsed="false">
      <c r="B243" s="0" t="n">
        <v>227</v>
      </c>
      <c r="C243" s="0" t="n">
        <f aca="true">RAND()</f>
        <v>0.667435974865169</v>
      </c>
      <c r="D243" s="0" t="n">
        <f aca="true">RAND()</f>
        <v>0.102474832882401</v>
      </c>
      <c r="E243" s="0" t="n">
        <f aca="false">IF(C243&lt;=$C$10,1,IF(C243&lt;=$C$10+$C$11,2,3))</f>
        <v>2</v>
      </c>
      <c r="F243" s="0" t="n">
        <f aca="false">IF(E243=1,$C$4*SQRT(D243),IF(E243=2,$C$4+($C$5-$C$4)*D243,$C$6-($C$6-$C$5)*SQRT(1-D243)))</f>
        <v>3.4098993315296</v>
      </c>
    </row>
    <row r="244" customFormat="false" ht="15" hidden="false" customHeight="false" outlineLevel="0" collapsed="false">
      <c r="B244" s="0" t="n">
        <v>228</v>
      </c>
      <c r="C244" s="0" t="n">
        <f aca="true">RAND()</f>
        <v>0.0966315555427579</v>
      </c>
      <c r="D244" s="0" t="n">
        <f aca="true">RAND()</f>
        <v>0.676572743842483</v>
      </c>
      <c r="E244" s="0" t="n">
        <f aca="false">IF(C244&lt;=$C$10,1,IF(C244&lt;=$C$10+$C$11,2,3))</f>
        <v>1</v>
      </c>
      <c r="F244" s="0" t="n">
        <f aca="false">IF(E244=1,$C$4*SQRT(D244),IF(E244=2,$C$4+($C$5-$C$4)*D244,$C$6-($C$6-$C$5)*SQRT(1-D244)))</f>
        <v>2.46762126238658</v>
      </c>
    </row>
    <row r="245" customFormat="false" ht="15" hidden="false" customHeight="false" outlineLevel="0" collapsed="false">
      <c r="B245" s="0" t="n">
        <v>229</v>
      </c>
      <c r="C245" s="0" t="n">
        <f aca="true">RAND()</f>
        <v>0.718892198547933</v>
      </c>
      <c r="D245" s="0" t="n">
        <f aca="true">RAND()</f>
        <v>0.26189369112743</v>
      </c>
      <c r="E245" s="0" t="n">
        <f aca="false">IF(C245&lt;=$C$10,1,IF(C245&lt;=$C$10+$C$11,2,3))</f>
        <v>2</v>
      </c>
      <c r="F245" s="0" t="n">
        <f aca="false">IF(E245=1,$C$4*SQRT(D245),IF(E245=2,$C$4+($C$5-$C$4)*D245,$C$6-($C$6-$C$5)*SQRT(1-D245)))</f>
        <v>4.04757476450972</v>
      </c>
    </row>
    <row r="246" customFormat="false" ht="15" hidden="false" customHeight="false" outlineLevel="0" collapsed="false">
      <c r="B246" s="0" t="n">
        <v>230</v>
      </c>
      <c r="C246" s="0" t="n">
        <f aca="true">RAND()</f>
        <v>0.557837110249623</v>
      </c>
      <c r="D246" s="0" t="n">
        <f aca="true">RAND()</f>
        <v>0.0672960118570676</v>
      </c>
      <c r="E246" s="0" t="n">
        <f aca="false">IF(C246&lt;=$C$10,1,IF(C246&lt;=$C$10+$C$11,2,3))</f>
        <v>2</v>
      </c>
      <c r="F246" s="0" t="n">
        <f aca="false">IF(E246=1,$C$4*SQRT(D246),IF(E246=2,$C$4+($C$5-$C$4)*D246,$C$6-($C$6-$C$5)*SQRT(1-D246)))</f>
        <v>3.26918404742827</v>
      </c>
    </row>
    <row r="247" customFormat="false" ht="15" hidden="false" customHeight="false" outlineLevel="0" collapsed="false">
      <c r="B247" s="0" t="n">
        <v>231</v>
      </c>
      <c r="C247" s="0" t="n">
        <f aca="true">RAND()</f>
        <v>0.471707844780916</v>
      </c>
      <c r="D247" s="0" t="n">
        <f aca="true">RAND()</f>
        <v>0.394972347638708</v>
      </c>
      <c r="E247" s="0" t="n">
        <f aca="false">IF(C247&lt;=$C$10,1,IF(C247&lt;=$C$10+$C$11,2,3))</f>
        <v>2</v>
      </c>
      <c r="F247" s="0" t="n">
        <f aca="false">IF(E247=1,$C$4*SQRT(D247),IF(E247=2,$C$4+($C$5-$C$4)*D247,$C$6-($C$6-$C$5)*SQRT(1-D247)))</f>
        <v>4.57988939055483</v>
      </c>
    </row>
    <row r="248" customFormat="false" ht="15" hidden="false" customHeight="false" outlineLevel="0" collapsed="false">
      <c r="B248" s="0" t="n">
        <v>232</v>
      </c>
      <c r="C248" s="0" t="n">
        <f aca="true">RAND()</f>
        <v>0.669454322717656</v>
      </c>
      <c r="D248" s="0" t="n">
        <f aca="true">RAND()</f>
        <v>0.443021939919429</v>
      </c>
      <c r="E248" s="0" t="n">
        <f aca="false">IF(C248&lt;=$C$10,1,IF(C248&lt;=$C$10+$C$11,2,3))</f>
        <v>2</v>
      </c>
      <c r="F248" s="0" t="n">
        <f aca="false">IF(E248=1,$C$4*SQRT(D248),IF(E248=2,$C$4+($C$5-$C$4)*D248,$C$6-($C$6-$C$5)*SQRT(1-D248)))</f>
        <v>4.77208775967772</v>
      </c>
    </row>
    <row r="249" customFormat="false" ht="15" hidden="false" customHeight="false" outlineLevel="0" collapsed="false">
      <c r="B249" s="0" t="n">
        <v>233</v>
      </c>
      <c r="C249" s="0" t="n">
        <f aca="true">RAND()</f>
        <v>0.349922518077217</v>
      </c>
      <c r="D249" s="0" t="n">
        <f aca="true">RAND()</f>
        <v>0.445982503270127</v>
      </c>
      <c r="E249" s="0" t="n">
        <f aca="false">IF(C249&lt;=$C$10,1,IF(C249&lt;=$C$10+$C$11,2,3))</f>
        <v>2</v>
      </c>
      <c r="F249" s="0" t="n">
        <f aca="false">IF(E249=1,$C$4*SQRT(D249),IF(E249=2,$C$4+($C$5-$C$4)*D249,$C$6-($C$6-$C$5)*SQRT(1-D249)))</f>
        <v>4.78393001308051</v>
      </c>
    </row>
    <row r="250" customFormat="false" ht="15" hidden="false" customHeight="false" outlineLevel="0" collapsed="false">
      <c r="B250" s="0" t="n">
        <v>234</v>
      </c>
      <c r="C250" s="0" t="n">
        <f aca="true">RAND()</f>
        <v>0.978520138307296</v>
      </c>
      <c r="D250" s="0" t="n">
        <f aca="true">RAND()</f>
        <v>0.165851128784485</v>
      </c>
      <c r="E250" s="0" t="n">
        <f aca="false">IF(C250&lt;=$C$10,1,IF(C250&lt;=$C$10+$C$11,2,3))</f>
        <v>3</v>
      </c>
      <c r="F250" s="0" t="n">
        <f aca="false">IF(E250=1,$C$4*SQRT(D250),IF(E250=2,$C$4+($C$5-$C$4)*D250,$C$6-($C$6-$C$5)*SQRT(1-D250)))</f>
        <v>7.26004747469237</v>
      </c>
    </row>
    <row r="251" customFormat="false" ht="15" hidden="false" customHeight="false" outlineLevel="0" collapsed="false">
      <c r="B251" s="0" t="n">
        <v>235</v>
      </c>
      <c r="C251" s="0" t="n">
        <f aca="true">RAND()</f>
        <v>0.0135804958715902</v>
      </c>
      <c r="D251" s="0" t="n">
        <f aca="true">RAND()</f>
        <v>0.541780134131673</v>
      </c>
      <c r="E251" s="0" t="n">
        <f aca="false">IF(C251&lt;=$C$10,1,IF(C251&lt;=$C$10+$C$11,2,3))</f>
        <v>1</v>
      </c>
      <c r="F251" s="0" t="n">
        <f aca="false">IF(E251=1,$C$4*SQRT(D251),IF(E251=2,$C$4+($C$5-$C$4)*D251,$C$6-($C$6-$C$5)*SQRT(1-D251)))</f>
        <v>2.2081714623609</v>
      </c>
    </row>
    <row r="252" customFormat="false" ht="15" hidden="false" customHeight="false" outlineLevel="0" collapsed="false">
      <c r="B252" s="0" t="n">
        <v>236</v>
      </c>
      <c r="C252" s="0" t="n">
        <f aca="true">RAND()</f>
        <v>0.304216168880748</v>
      </c>
      <c r="D252" s="0" t="n">
        <f aca="true">RAND()</f>
        <v>0.742201204769977</v>
      </c>
      <c r="E252" s="0" t="n">
        <f aca="false">IF(C252&lt;=$C$10,1,IF(C252&lt;=$C$10+$C$11,2,3))</f>
        <v>2</v>
      </c>
      <c r="F252" s="0" t="n">
        <f aca="false">IF(E252=1,$C$4*SQRT(D252),IF(E252=2,$C$4+($C$5-$C$4)*D252,$C$6-($C$6-$C$5)*SQRT(1-D252)))</f>
        <v>5.96880481907991</v>
      </c>
    </row>
    <row r="253" customFormat="false" ht="15" hidden="false" customHeight="false" outlineLevel="0" collapsed="false">
      <c r="B253" s="0" t="n">
        <v>237</v>
      </c>
      <c r="C253" s="0" t="n">
        <f aca="true">RAND()</f>
        <v>0.0808600047445027</v>
      </c>
      <c r="D253" s="0" t="n">
        <f aca="true">RAND()</f>
        <v>0.208134798994571</v>
      </c>
      <c r="E253" s="0" t="n">
        <f aca="false">IF(C253&lt;=$C$10,1,IF(C253&lt;=$C$10+$C$11,2,3))</f>
        <v>1</v>
      </c>
      <c r="F253" s="0" t="n">
        <f aca="false">IF(E253=1,$C$4*SQRT(D253),IF(E253=2,$C$4+($C$5-$C$4)*D253,$C$6-($C$6-$C$5)*SQRT(1-D253)))</f>
        <v>1.36865378783355</v>
      </c>
    </row>
    <row r="254" customFormat="false" ht="15" hidden="false" customHeight="false" outlineLevel="0" collapsed="false">
      <c r="B254" s="0" t="n">
        <v>238</v>
      </c>
      <c r="C254" s="0" t="n">
        <f aca="true">RAND()</f>
        <v>0.175426793150375</v>
      </c>
      <c r="D254" s="0" t="n">
        <f aca="true">RAND()</f>
        <v>0.18815256690259</v>
      </c>
      <c r="E254" s="0" t="n">
        <f aca="false">IF(C254&lt;=$C$10,1,IF(C254&lt;=$C$10+$C$11,2,3))</f>
        <v>1</v>
      </c>
      <c r="F254" s="0" t="n">
        <f aca="false">IF(E254=1,$C$4*SQRT(D254),IF(E254=2,$C$4+($C$5-$C$4)*D254,$C$6-($C$6-$C$5)*SQRT(1-D254)))</f>
        <v>1.30129670026605</v>
      </c>
    </row>
    <row r="255" customFormat="false" ht="15" hidden="false" customHeight="false" outlineLevel="0" collapsed="false">
      <c r="B255" s="0" t="n">
        <v>239</v>
      </c>
      <c r="C255" s="0" t="n">
        <f aca="true">RAND()</f>
        <v>0.995994969158652</v>
      </c>
      <c r="D255" s="0" t="n">
        <f aca="true">RAND()</f>
        <v>0.787121321135267</v>
      </c>
      <c r="E255" s="0" t="n">
        <f aca="false">IF(C255&lt;=$C$10,1,IF(C255&lt;=$C$10+$C$11,2,3))</f>
        <v>3</v>
      </c>
      <c r="F255" s="0" t="n">
        <f aca="false">IF(E255=1,$C$4*SQRT(D255),IF(E255=2,$C$4+($C$5-$C$4)*D255,$C$6-($C$6-$C$5)*SQRT(1-D255)))</f>
        <v>8.61583667517789</v>
      </c>
    </row>
    <row r="256" customFormat="false" ht="15" hidden="false" customHeight="false" outlineLevel="0" collapsed="false">
      <c r="B256" s="0" t="n">
        <v>240</v>
      </c>
      <c r="C256" s="0" t="n">
        <f aca="true">RAND()</f>
        <v>0.264281225486593</v>
      </c>
      <c r="D256" s="0" t="n">
        <f aca="true">RAND()</f>
        <v>0.757017756750704</v>
      </c>
      <c r="E256" s="0" t="n">
        <f aca="false">IF(C256&lt;=$C$10,1,IF(C256&lt;=$C$10+$C$11,2,3))</f>
        <v>2</v>
      </c>
      <c r="F256" s="0" t="n">
        <f aca="false">IF(E256=1,$C$4*SQRT(D256),IF(E256=2,$C$4+($C$5-$C$4)*D256,$C$6-($C$6-$C$5)*SQRT(1-D256)))</f>
        <v>6.02807102700282</v>
      </c>
    </row>
    <row r="257" customFormat="false" ht="15" hidden="false" customHeight="false" outlineLevel="0" collapsed="false">
      <c r="B257" s="0" t="n">
        <v>241</v>
      </c>
      <c r="C257" s="0" t="n">
        <f aca="true">RAND()</f>
        <v>0.0904346104265828</v>
      </c>
      <c r="D257" s="0" t="n">
        <f aca="true">RAND()</f>
        <v>0.5616443189985</v>
      </c>
      <c r="E257" s="0" t="n">
        <f aca="false">IF(C257&lt;=$C$10,1,IF(C257&lt;=$C$10+$C$11,2,3))</f>
        <v>1</v>
      </c>
      <c r="F257" s="0" t="n">
        <f aca="false">IF(E257=1,$C$4*SQRT(D257),IF(E257=2,$C$4+($C$5-$C$4)*D257,$C$6-($C$6-$C$5)*SQRT(1-D257)))</f>
        <v>2.24828798666597</v>
      </c>
    </row>
    <row r="258" customFormat="false" ht="15" hidden="false" customHeight="false" outlineLevel="0" collapsed="false">
      <c r="B258" s="0" t="n">
        <v>242</v>
      </c>
      <c r="C258" s="0" t="n">
        <f aca="true">RAND()</f>
        <v>0.873084671219863</v>
      </c>
      <c r="D258" s="0" t="n">
        <f aca="true">RAND()</f>
        <v>0.134899207209731</v>
      </c>
      <c r="E258" s="0" t="n">
        <f aca="false">IF(C258&lt;=$C$10,1,IF(C258&lt;=$C$10+$C$11,2,3))</f>
        <v>3</v>
      </c>
      <c r="F258" s="0" t="n">
        <f aca="false">IF(E258=1,$C$4*SQRT(D258),IF(E258=2,$C$4+($C$5-$C$4)*D258,$C$6-($C$6-$C$5)*SQRT(1-D258)))</f>
        <v>7.20967615945525</v>
      </c>
    </row>
    <row r="259" customFormat="false" ht="15" hidden="false" customHeight="false" outlineLevel="0" collapsed="false">
      <c r="B259" s="0" t="n">
        <v>243</v>
      </c>
      <c r="C259" s="0" t="n">
        <f aca="true">RAND()</f>
        <v>0.510905866281952</v>
      </c>
      <c r="D259" s="0" t="n">
        <f aca="true">RAND()</f>
        <v>0.559384195020006</v>
      </c>
      <c r="E259" s="0" t="n">
        <f aca="false">IF(C259&lt;=$C$10,1,IF(C259&lt;=$C$10+$C$11,2,3))</f>
        <v>2</v>
      </c>
      <c r="F259" s="0" t="n">
        <f aca="false">IF(E259=1,$C$4*SQRT(D259),IF(E259=2,$C$4+($C$5-$C$4)*D259,$C$6-($C$6-$C$5)*SQRT(1-D259)))</f>
        <v>5.23753678008002</v>
      </c>
    </row>
    <row r="260" customFormat="false" ht="15" hidden="false" customHeight="false" outlineLevel="0" collapsed="false">
      <c r="B260" s="0" t="n">
        <v>244</v>
      </c>
      <c r="C260" s="0" t="n">
        <f aca="true">RAND()</f>
        <v>0.7743985386131</v>
      </c>
      <c r="D260" s="0" t="n">
        <f aca="true">RAND()</f>
        <v>0.872465520555824</v>
      </c>
      <c r="E260" s="0" t="n">
        <f aca="false">IF(C260&lt;=$C$10,1,IF(C260&lt;=$C$10+$C$11,2,3))</f>
        <v>2</v>
      </c>
      <c r="F260" s="0" t="n">
        <f aca="false">IF(E260=1,$C$4*SQRT(D260),IF(E260=2,$C$4+($C$5-$C$4)*D260,$C$6-($C$6-$C$5)*SQRT(1-D260)))</f>
        <v>6.48986208222329</v>
      </c>
    </row>
    <row r="261" customFormat="false" ht="15" hidden="false" customHeight="false" outlineLevel="0" collapsed="false">
      <c r="B261" s="0" t="n">
        <v>245</v>
      </c>
      <c r="C261" s="0" t="n">
        <f aca="true">RAND()</f>
        <v>0.749028300549799</v>
      </c>
      <c r="D261" s="0" t="n">
        <f aca="true">RAND()</f>
        <v>0.268312195806132</v>
      </c>
      <c r="E261" s="0" t="n">
        <f aca="false">IF(C261&lt;=$C$10,1,IF(C261&lt;=$C$10+$C$11,2,3))</f>
        <v>2</v>
      </c>
      <c r="F261" s="0" t="n">
        <f aca="false">IF(E261=1,$C$4*SQRT(D261),IF(E261=2,$C$4+($C$5-$C$4)*D261,$C$6-($C$6-$C$5)*SQRT(1-D261)))</f>
        <v>4.07324878322453</v>
      </c>
    </row>
    <row r="262" customFormat="false" ht="15" hidden="false" customHeight="false" outlineLevel="0" collapsed="false">
      <c r="B262" s="0" t="n">
        <v>246</v>
      </c>
      <c r="C262" s="0" t="n">
        <f aca="true">RAND()</f>
        <v>0.187156538882898</v>
      </c>
      <c r="D262" s="0" t="n">
        <f aca="true">RAND()</f>
        <v>0.162763271752031</v>
      </c>
      <c r="E262" s="0" t="n">
        <f aca="false">IF(C262&lt;=$C$10,1,IF(C262&lt;=$C$10+$C$11,2,3))</f>
        <v>1</v>
      </c>
      <c r="F262" s="0" t="n">
        <f aca="false">IF(E262=1,$C$4*SQRT(D262),IF(E262=2,$C$4+($C$5-$C$4)*D262,$C$6-($C$6-$C$5)*SQRT(1-D262)))</f>
        <v>1.21031791103341</v>
      </c>
    </row>
    <row r="263" customFormat="false" ht="15" hidden="false" customHeight="false" outlineLevel="0" collapsed="false">
      <c r="B263" s="0" t="n">
        <v>247</v>
      </c>
      <c r="C263" s="0" t="n">
        <f aca="true">RAND()</f>
        <v>0.38782315545106</v>
      </c>
      <c r="D263" s="0" t="n">
        <f aca="true">RAND()</f>
        <v>0.87486719101162</v>
      </c>
      <c r="E263" s="0" t="n">
        <f aca="false">IF(C263&lt;=$C$10,1,IF(C263&lt;=$C$10+$C$11,2,3))</f>
        <v>2</v>
      </c>
      <c r="F263" s="0" t="n">
        <f aca="false">IF(E263=1,$C$4*SQRT(D263),IF(E263=2,$C$4+($C$5-$C$4)*D263,$C$6-($C$6-$C$5)*SQRT(1-D263)))</f>
        <v>6.49946876404648</v>
      </c>
    </row>
    <row r="264" customFormat="false" ht="15" hidden="false" customHeight="false" outlineLevel="0" collapsed="false">
      <c r="B264" s="0" t="n">
        <v>248</v>
      </c>
      <c r="C264" s="0" t="n">
        <f aca="true">RAND()</f>
        <v>0.133674878196739</v>
      </c>
      <c r="D264" s="0" t="n">
        <f aca="true">RAND()</f>
        <v>0.510953829438994</v>
      </c>
      <c r="E264" s="0" t="n">
        <f aca="false">IF(C264&lt;=$C$10,1,IF(C264&lt;=$C$10+$C$11,2,3))</f>
        <v>1</v>
      </c>
      <c r="F264" s="0" t="n">
        <f aca="false">IF(E264=1,$C$4*SQRT(D264),IF(E264=2,$C$4+($C$5-$C$4)*D264,$C$6-($C$6-$C$5)*SQRT(1-D264)))</f>
        <v>2.14443103525176</v>
      </c>
    </row>
    <row r="265" customFormat="false" ht="15" hidden="false" customHeight="false" outlineLevel="0" collapsed="false">
      <c r="B265" s="0" t="n">
        <v>249</v>
      </c>
      <c r="C265" s="0" t="n">
        <f aca="true">RAND()</f>
        <v>0.208944147389483</v>
      </c>
      <c r="D265" s="0" t="n">
        <f aca="true">RAND()</f>
        <v>0.440440540632122</v>
      </c>
      <c r="E265" s="0" t="n">
        <f aca="false">IF(C265&lt;=$C$10,1,IF(C265&lt;=$C$10+$C$11,2,3))</f>
        <v>1</v>
      </c>
      <c r="F265" s="0" t="n">
        <f aca="false">IF(E265=1,$C$4*SQRT(D265),IF(E265=2,$C$4+($C$5-$C$4)*D265,$C$6-($C$6-$C$5)*SQRT(1-D265)))</f>
        <v>1.99097083496698</v>
      </c>
    </row>
    <row r="266" customFormat="false" ht="15" hidden="false" customHeight="false" outlineLevel="0" collapsed="false">
      <c r="B266" s="0" t="n">
        <v>250</v>
      </c>
      <c r="C266" s="0" t="n">
        <f aca="true">RAND()</f>
        <v>0.463172524037868</v>
      </c>
      <c r="D266" s="0" t="n">
        <f aca="true">RAND()</f>
        <v>0.823591802543744</v>
      </c>
      <c r="E266" s="0" t="n">
        <f aca="false">IF(C266&lt;=$C$10,1,IF(C266&lt;=$C$10+$C$11,2,3))</f>
        <v>2</v>
      </c>
      <c r="F266" s="0" t="n">
        <f aca="false">IF(E266=1,$C$4*SQRT(D266),IF(E266=2,$C$4+($C$5-$C$4)*D266,$C$6-($C$6-$C$5)*SQRT(1-D266)))</f>
        <v>6.29436721017498</v>
      </c>
    </row>
    <row r="267" customFormat="false" ht="15" hidden="false" customHeight="false" outlineLevel="0" collapsed="false">
      <c r="B267" s="0" t="n">
        <v>251</v>
      </c>
      <c r="C267" s="0" t="n">
        <f aca="true">RAND()</f>
        <v>0.978418792964889</v>
      </c>
      <c r="D267" s="0" t="n">
        <f aca="true">RAND()</f>
        <v>0.064069995864177</v>
      </c>
      <c r="E267" s="0" t="n">
        <f aca="false">IF(C267&lt;=$C$10,1,IF(C267&lt;=$C$10+$C$11,2,3))</f>
        <v>3</v>
      </c>
      <c r="F267" s="0" t="n">
        <f aca="false">IF(E267=1,$C$4*SQRT(D267),IF(E267=2,$C$4+($C$5-$C$4)*D267,$C$6-($C$6-$C$5)*SQRT(1-D267)))</f>
        <v>7.09769573662195</v>
      </c>
    </row>
    <row r="268" customFormat="false" ht="15" hidden="false" customHeight="false" outlineLevel="0" collapsed="false">
      <c r="B268" s="0" t="n">
        <v>252</v>
      </c>
      <c r="C268" s="0" t="n">
        <f aca="true">RAND()</f>
        <v>0.212555372743429</v>
      </c>
      <c r="D268" s="0" t="n">
        <f aca="true">RAND()</f>
        <v>0.708803082403772</v>
      </c>
      <c r="E268" s="0" t="n">
        <f aca="false">IF(C268&lt;=$C$10,1,IF(C268&lt;=$C$10+$C$11,2,3))</f>
        <v>1</v>
      </c>
      <c r="F268" s="0" t="n">
        <f aca="false">IF(E268=1,$C$4*SQRT(D268),IF(E268=2,$C$4+($C$5-$C$4)*D268,$C$6-($C$6-$C$5)*SQRT(1-D268)))</f>
        <v>2.52571331342929</v>
      </c>
    </row>
    <row r="269" customFormat="false" ht="15" hidden="false" customHeight="false" outlineLevel="0" collapsed="false">
      <c r="B269" s="0" t="n">
        <v>253</v>
      </c>
      <c r="C269" s="0" t="n">
        <f aca="true">RAND()</f>
        <v>0.621397306185094</v>
      </c>
      <c r="D269" s="0" t="n">
        <f aca="true">RAND()</f>
        <v>0.408759781175736</v>
      </c>
      <c r="E269" s="0" t="n">
        <f aca="false">IF(C269&lt;=$C$10,1,IF(C269&lt;=$C$10+$C$11,2,3))</f>
        <v>2</v>
      </c>
      <c r="F269" s="0" t="n">
        <f aca="false">IF(E269=1,$C$4*SQRT(D269),IF(E269=2,$C$4+($C$5-$C$4)*D269,$C$6-($C$6-$C$5)*SQRT(1-D269)))</f>
        <v>4.63503912470294</v>
      </c>
    </row>
    <row r="270" customFormat="false" ht="15" hidden="false" customHeight="false" outlineLevel="0" collapsed="false">
      <c r="B270" s="0" t="n">
        <v>254</v>
      </c>
      <c r="C270" s="0" t="n">
        <f aca="true">RAND()</f>
        <v>0.974825231020824</v>
      </c>
      <c r="D270" s="0" t="n">
        <f aca="true">RAND()</f>
        <v>0.315461697652574</v>
      </c>
      <c r="E270" s="0" t="n">
        <f aca="false">IF(C270&lt;=$C$10,1,IF(C270&lt;=$C$10+$C$11,2,3))</f>
        <v>3</v>
      </c>
      <c r="F270" s="0" t="n">
        <f aca="false">IF(E270=1,$C$4*SQRT(D270),IF(E270=2,$C$4+($C$5-$C$4)*D270,$C$6-($C$6-$C$5)*SQRT(1-D270)))</f>
        <v>7.51789510271487</v>
      </c>
    </row>
    <row r="271" customFormat="false" ht="15" hidden="false" customHeight="false" outlineLevel="0" collapsed="false">
      <c r="B271" s="0" t="n">
        <v>255</v>
      </c>
      <c r="C271" s="0" t="n">
        <f aca="true">RAND()</f>
        <v>0.633531177437336</v>
      </c>
      <c r="D271" s="0" t="n">
        <f aca="true">RAND()</f>
        <v>0.923821402727343</v>
      </c>
      <c r="E271" s="0" t="n">
        <f aca="false">IF(C271&lt;=$C$10,1,IF(C271&lt;=$C$10+$C$11,2,3))</f>
        <v>2</v>
      </c>
      <c r="F271" s="0" t="n">
        <f aca="false">IF(E271=1,$C$4*SQRT(D271),IF(E271=2,$C$4+($C$5-$C$4)*D271,$C$6-($C$6-$C$5)*SQRT(1-D271)))</f>
        <v>6.69528561090937</v>
      </c>
    </row>
    <row r="272" customFormat="false" ht="15" hidden="false" customHeight="false" outlineLevel="0" collapsed="false">
      <c r="B272" s="0" t="n">
        <v>256</v>
      </c>
      <c r="C272" s="0" t="n">
        <f aca="true">RAND()</f>
        <v>0.574642215439916</v>
      </c>
      <c r="D272" s="0" t="n">
        <f aca="true">RAND()</f>
        <v>0.996399725129645</v>
      </c>
      <c r="E272" s="0" t="n">
        <f aca="false">IF(C272&lt;=$C$10,1,IF(C272&lt;=$C$10+$C$11,2,3))</f>
        <v>2</v>
      </c>
      <c r="F272" s="0" t="n">
        <f aca="false">IF(E272=1,$C$4*SQRT(D272),IF(E272=2,$C$4+($C$5-$C$4)*D272,$C$6-($C$6-$C$5)*SQRT(1-D272)))</f>
        <v>6.98559890051858</v>
      </c>
    </row>
    <row r="273" customFormat="false" ht="15" hidden="false" customHeight="false" outlineLevel="0" collapsed="false">
      <c r="B273" s="0" t="n">
        <v>257</v>
      </c>
      <c r="C273" s="0" t="n">
        <f aca="true">RAND()</f>
        <v>0.663846114780367</v>
      </c>
      <c r="D273" s="0" t="n">
        <f aca="true">RAND()</f>
        <v>0.521140073710329</v>
      </c>
      <c r="E273" s="0" t="n">
        <f aca="false">IF(C273&lt;=$C$10,1,IF(C273&lt;=$C$10+$C$11,2,3))</f>
        <v>2</v>
      </c>
      <c r="F273" s="0" t="n">
        <f aca="false">IF(E273=1,$C$4*SQRT(D273),IF(E273=2,$C$4+($C$5-$C$4)*D273,$C$6-($C$6-$C$5)*SQRT(1-D273)))</f>
        <v>5.08456029484131</v>
      </c>
    </row>
    <row r="274" customFormat="false" ht="15" hidden="false" customHeight="false" outlineLevel="0" collapsed="false">
      <c r="B274" s="0" t="n">
        <v>258</v>
      </c>
      <c r="C274" s="0" t="n">
        <f aca="true">RAND()</f>
        <v>0.805157075607564</v>
      </c>
      <c r="D274" s="0" t="n">
        <f aca="true">RAND()</f>
        <v>0.536181015260364</v>
      </c>
      <c r="E274" s="0" t="n">
        <f aca="false">IF(C274&lt;=$C$10,1,IF(C274&lt;=$C$10+$C$11,2,3))</f>
        <v>3</v>
      </c>
      <c r="F274" s="0" t="n">
        <f aca="false">IF(E274=1,$C$4*SQRT(D274),IF(E274=2,$C$4+($C$5-$C$4)*D274,$C$6-($C$6-$C$5)*SQRT(1-D274)))</f>
        <v>7.95687228430117</v>
      </c>
    </row>
    <row r="275" customFormat="false" ht="15" hidden="false" customHeight="false" outlineLevel="0" collapsed="false">
      <c r="B275" s="0" t="n">
        <v>259</v>
      </c>
      <c r="C275" s="0" t="n">
        <f aca="true">RAND()</f>
        <v>0.740184892391991</v>
      </c>
      <c r="D275" s="0" t="n">
        <f aca="true">RAND()</f>
        <v>0.49570988331555</v>
      </c>
      <c r="E275" s="0" t="n">
        <f aca="false">IF(C275&lt;=$C$10,1,IF(C275&lt;=$C$10+$C$11,2,3))</f>
        <v>2</v>
      </c>
      <c r="F275" s="0" t="n">
        <f aca="false">IF(E275=1,$C$4*SQRT(D275),IF(E275=2,$C$4+($C$5-$C$4)*D275,$C$6-($C$6-$C$5)*SQRT(1-D275)))</f>
        <v>4.9828395332622</v>
      </c>
    </row>
    <row r="276" customFormat="false" ht="15" hidden="false" customHeight="false" outlineLevel="0" collapsed="false">
      <c r="B276" s="0" t="n">
        <v>260</v>
      </c>
      <c r="C276" s="0" t="n">
        <f aca="true">RAND()</f>
        <v>0.10050536574749</v>
      </c>
      <c r="D276" s="0" t="n">
        <f aca="true">RAND()</f>
        <v>0.166608716677444</v>
      </c>
      <c r="E276" s="0" t="n">
        <f aca="false">IF(C276&lt;=$C$10,1,IF(C276&lt;=$C$10+$C$11,2,3))</f>
        <v>1</v>
      </c>
      <c r="F276" s="0" t="n">
        <f aca="false">IF(E276=1,$C$4*SQRT(D276),IF(E276=2,$C$4+($C$5-$C$4)*D276,$C$6-($C$6-$C$5)*SQRT(1-D276)))</f>
        <v>1.22453193102385</v>
      </c>
    </row>
    <row r="277" customFormat="false" ht="15" hidden="false" customHeight="false" outlineLevel="0" collapsed="false">
      <c r="B277" s="0" t="n">
        <v>261</v>
      </c>
      <c r="C277" s="0" t="n">
        <f aca="true">RAND()</f>
        <v>0.589727115840881</v>
      </c>
      <c r="D277" s="0" t="n">
        <f aca="true">RAND()</f>
        <v>0.000356618843282488</v>
      </c>
      <c r="E277" s="0" t="n">
        <f aca="false">IF(C277&lt;=$C$10,1,IF(C277&lt;=$C$10+$C$11,2,3))</f>
        <v>2</v>
      </c>
      <c r="F277" s="0" t="n">
        <f aca="false">IF(E277=1,$C$4*SQRT(D277),IF(E277=2,$C$4+($C$5-$C$4)*D277,$C$6-($C$6-$C$5)*SQRT(1-D277)))</f>
        <v>3.00142647537313</v>
      </c>
    </row>
    <row r="278" customFormat="false" ht="15" hidden="false" customHeight="false" outlineLevel="0" collapsed="false">
      <c r="B278" s="0" t="n">
        <v>262</v>
      </c>
      <c r="C278" s="0" t="n">
        <f aca="true">RAND()</f>
        <v>0.0634699737065745</v>
      </c>
      <c r="D278" s="0" t="n">
        <f aca="true">RAND()</f>
        <v>0.860283790065528</v>
      </c>
      <c r="E278" s="0" t="n">
        <f aca="false">IF(C278&lt;=$C$10,1,IF(C278&lt;=$C$10+$C$11,2,3))</f>
        <v>1</v>
      </c>
      <c r="F278" s="0" t="n">
        <f aca="false">IF(E278=1,$C$4*SQRT(D278),IF(E278=2,$C$4+($C$5-$C$4)*D278,$C$6-($C$6-$C$5)*SQRT(1-D278)))</f>
        <v>2.78254453883307</v>
      </c>
    </row>
    <row r="279" customFormat="false" ht="15" hidden="false" customHeight="false" outlineLevel="0" collapsed="false">
      <c r="B279" s="0" t="n">
        <v>263</v>
      </c>
      <c r="C279" s="0" t="n">
        <f aca="true">RAND()</f>
        <v>0.833783932375043</v>
      </c>
      <c r="D279" s="0" t="n">
        <f aca="true">RAND()</f>
        <v>0.00952516278581826</v>
      </c>
      <c r="E279" s="0" t="n">
        <f aca="false">IF(C279&lt;=$C$10,1,IF(C279&lt;=$C$10+$C$11,2,3))</f>
        <v>3</v>
      </c>
      <c r="F279" s="0" t="n">
        <f aca="false">IF(E279=1,$C$4*SQRT(D279),IF(E279=2,$C$4+($C$5-$C$4)*D279,$C$6-($C$6-$C$5)*SQRT(1-D279)))</f>
        <v>7.01432193046075</v>
      </c>
    </row>
    <row r="280" customFormat="false" ht="15" hidden="false" customHeight="false" outlineLevel="0" collapsed="false">
      <c r="B280" s="0" t="n">
        <v>264</v>
      </c>
      <c r="C280" s="0" t="n">
        <f aca="true">RAND()</f>
        <v>0.491351930624173</v>
      </c>
      <c r="D280" s="0" t="n">
        <f aca="true">RAND()</f>
        <v>0.896491940934422</v>
      </c>
      <c r="E280" s="0" t="n">
        <f aca="false">IF(C280&lt;=$C$10,1,IF(C280&lt;=$C$10+$C$11,2,3))</f>
        <v>2</v>
      </c>
      <c r="F280" s="0" t="n">
        <f aca="false">IF(E280=1,$C$4*SQRT(D280),IF(E280=2,$C$4+($C$5-$C$4)*D280,$C$6-($C$6-$C$5)*SQRT(1-D280)))</f>
        <v>6.58596776373769</v>
      </c>
    </row>
    <row r="281" customFormat="false" ht="15" hidden="false" customHeight="false" outlineLevel="0" collapsed="false">
      <c r="B281" s="0" t="n">
        <v>265</v>
      </c>
      <c r="C281" s="0" t="n">
        <f aca="true">RAND()</f>
        <v>0.0954273315914615</v>
      </c>
      <c r="D281" s="0" t="n">
        <f aca="true">RAND()</f>
        <v>0.363285055677671</v>
      </c>
      <c r="E281" s="0" t="n">
        <f aca="false">IF(C281&lt;=$C$10,1,IF(C281&lt;=$C$10+$C$11,2,3))</f>
        <v>1</v>
      </c>
      <c r="F281" s="0" t="n">
        <f aca="false">IF(E281=1,$C$4*SQRT(D281),IF(E281=2,$C$4+($C$5-$C$4)*D281,$C$6-($C$6-$C$5)*SQRT(1-D281)))</f>
        <v>1.80819398879076</v>
      </c>
    </row>
    <row r="282" customFormat="false" ht="15" hidden="false" customHeight="false" outlineLevel="0" collapsed="false">
      <c r="B282" s="0" t="n">
        <v>266</v>
      </c>
      <c r="C282" s="0" t="n">
        <f aca="true">RAND()</f>
        <v>0.262064094226688</v>
      </c>
      <c r="D282" s="0" t="n">
        <f aca="true">RAND()</f>
        <v>0.631141592555299</v>
      </c>
      <c r="E282" s="0" t="n">
        <f aca="false">IF(C282&lt;=$C$10,1,IF(C282&lt;=$C$10+$C$11,2,3))</f>
        <v>2</v>
      </c>
      <c r="F282" s="0" t="n">
        <f aca="false">IF(E282=1,$C$4*SQRT(D282),IF(E282=2,$C$4+($C$5-$C$4)*D282,$C$6-($C$6-$C$5)*SQRT(1-D282)))</f>
        <v>5.5245663702212</v>
      </c>
    </row>
    <row r="283" customFormat="false" ht="15" hidden="false" customHeight="false" outlineLevel="0" collapsed="false">
      <c r="B283" s="0" t="n">
        <v>267</v>
      </c>
      <c r="C283" s="0" t="n">
        <f aca="true">RAND()</f>
        <v>0.0148282214453012</v>
      </c>
      <c r="D283" s="0" t="n">
        <f aca="true">RAND()</f>
        <v>0.293665669352335</v>
      </c>
      <c r="E283" s="0" t="n">
        <f aca="false">IF(C283&lt;=$C$10,1,IF(C283&lt;=$C$10+$C$11,2,3))</f>
        <v>1</v>
      </c>
      <c r="F283" s="0" t="n">
        <f aca="false">IF(E283=1,$C$4*SQRT(D283),IF(E283=2,$C$4+($C$5-$C$4)*D283,$C$6-($C$6-$C$5)*SQRT(1-D283)))</f>
        <v>1.62572784443492</v>
      </c>
    </row>
    <row r="284" customFormat="false" ht="15" hidden="false" customHeight="false" outlineLevel="0" collapsed="false">
      <c r="B284" s="0" t="n">
        <v>268</v>
      </c>
      <c r="C284" s="0" t="n">
        <f aca="true">RAND()</f>
        <v>0.165028278523105</v>
      </c>
      <c r="D284" s="0" t="n">
        <f aca="true">RAND()</f>
        <v>0.754549988464927</v>
      </c>
      <c r="E284" s="0" t="n">
        <f aca="false">IF(C284&lt;=$C$10,1,IF(C284&lt;=$C$10+$C$11,2,3))</f>
        <v>1</v>
      </c>
      <c r="F284" s="0" t="n">
        <f aca="false">IF(E284=1,$C$4*SQRT(D284),IF(E284=2,$C$4+($C$5-$C$4)*D284,$C$6-($C$6-$C$5)*SQRT(1-D284)))</f>
        <v>2.60594510613411</v>
      </c>
    </row>
    <row r="285" customFormat="false" ht="15" hidden="false" customHeight="false" outlineLevel="0" collapsed="false">
      <c r="B285" s="0" t="n">
        <v>269</v>
      </c>
      <c r="C285" s="0" t="n">
        <f aca="true">RAND()</f>
        <v>0.494431572900729</v>
      </c>
      <c r="D285" s="0" t="n">
        <f aca="true">RAND()</f>
        <v>0.634255901299037</v>
      </c>
      <c r="E285" s="0" t="n">
        <f aca="false">IF(C285&lt;=$C$10,1,IF(C285&lt;=$C$10+$C$11,2,3))</f>
        <v>2</v>
      </c>
      <c r="F285" s="0" t="n">
        <f aca="false">IF(E285=1,$C$4*SQRT(D285),IF(E285=2,$C$4+($C$5-$C$4)*D285,$C$6-($C$6-$C$5)*SQRT(1-D285)))</f>
        <v>5.53702360519615</v>
      </c>
    </row>
    <row r="286" customFormat="false" ht="15" hidden="false" customHeight="false" outlineLevel="0" collapsed="false">
      <c r="B286" s="0" t="n">
        <v>270</v>
      </c>
      <c r="C286" s="0" t="n">
        <f aca="true">RAND()</f>
        <v>0.561421223564476</v>
      </c>
      <c r="D286" s="0" t="n">
        <f aca="true">RAND()</f>
        <v>0.316703036300566</v>
      </c>
      <c r="E286" s="0" t="n">
        <f aca="false">IF(C286&lt;=$C$10,1,IF(C286&lt;=$C$10+$C$11,2,3))</f>
        <v>2</v>
      </c>
      <c r="F286" s="0" t="n">
        <f aca="false">IF(E286=1,$C$4*SQRT(D286),IF(E286=2,$C$4+($C$5-$C$4)*D286,$C$6-($C$6-$C$5)*SQRT(1-D286)))</f>
        <v>4.26681214520226</v>
      </c>
    </row>
    <row r="287" customFormat="false" ht="15" hidden="false" customHeight="false" outlineLevel="0" collapsed="false">
      <c r="B287" s="0" t="n">
        <v>271</v>
      </c>
      <c r="C287" s="0" t="n">
        <f aca="true">RAND()</f>
        <v>0.81559709937639</v>
      </c>
      <c r="D287" s="0" t="n">
        <f aca="true">RAND()</f>
        <v>0.118104535317204</v>
      </c>
      <c r="E287" s="0" t="n">
        <f aca="false">IF(C287&lt;=$C$10,1,IF(C287&lt;=$C$10+$C$11,2,3))</f>
        <v>3</v>
      </c>
      <c r="F287" s="0" t="n">
        <f aca="false">IF(E287=1,$C$4*SQRT(D287),IF(E287=2,$C$4+($C$5-$C$4)*D287,$C$6-($C$6-$C$5)*SQRT(1-D287)))</f>
        <v>7.18272131620864</v>
      </c>
    </row>
    <row r="288" customFormat="false" ht="15" hidden="false" customHeight="false" outlineLevel="0" collapsed="false">
      <c r="B288" s="0" t="n">
        <v>272</v>
      </c>
      <c r="C288" s="0" t="n">
        <f aca="true">RAND()</f>
        <v>0.691256123649045</v>
      </c>
      <c r="D288" s="0" t="n">
        <f aca="true">RAND()</f>
        <v>0.119826244091355</v>
      </c>
      <c r="E288" s="0" t="n">
        <f aca="false">IF(C288&lt;=$C$10,1,IF(C288&lt;=$C$10+$C$11,2,3))</f>
        <v>2</v>
      </c>
      <c r="F288" s="0" t="n">
        <f aca="false">IF(E288=1,$C$4*SQRT(D288),IF(E288=2,$C$4+($C$5-$C$4)*D288,$C$6-($C$6-$C$5)*SQRT(1-D288)))</f>
        <v>3.47930497636542</v>
      </c>
    </row>
    <row r="289" customFormat="false" ht="15" hidden="false" customHeight="false" outlineLevel="0" collapsed="false">
      <c r="B289" s="0" t="n">
        <v>273</v>
      </c>
      <c r="C289" s="0" t="n">
        <f aca="true">RAND()</f>
        <v>0.511910637993557</v>
      </c>
      <c r="D289" s="0" t="n">
        <f aca="true">RAND()</f>
        <v>0.195308307829106</v>
      </c>
      <c r="E289" s="0" t="n">
        <f aca="false">IF(C289&lt;=$C$10,1,IF(C289&lt;=$C$10+$C$11,2,3))</f>
        <v>2</v>
      </c>
      <c r="F289" s="0" t="n">
        <f aca="false">IF(E289=1,$C$4*SQRT(D289),IF(E289=2,$C$4+($C$5-$C$4)*D289,$C$6-($C$6-$C$5)*SQRT(1-D289)))</f>
        <v>3.78123323131643</v>
      </c>
    </row>
    <row r="290" customFormat="false" ht="15" hidden="false" customHeight="false" outlineLevel="0" collapsed="false">
      <c r="B290" s="0" t="n">
        <v>274</v>
      </c>
      <c r="C290" s="0" t="n">
        <f aca="true">RAND()</f>
        <v>0.161553822793856</v>
      </c>
      <c r="D290" s="0" t="n">
        <f aca="true">RAND()</f>
        <v>0.200792225966271</v>
      </c>
      <c r="E290" s="0" t="n">
        <f aca="false">IF(C290&lt;=$C$10,1,IF(C290&lt;=$C$10+$C$11,2,3))</f>
        <v>1</v>
      </c>
      <c r="F290" s="0" t="n">
        <f aca="false">IF(E290=1,$C$4*SQRT(D290),IF(E290=2,$C$4+($C$5-$C$4)*D290,$C$6-($C$6-$C$5)*SQRT(1-D290)))</f>
        <v>1.34429536698467</v>
      </c>
    </row>
    <row r="291" customFormat="false" ht="15" hidden="false" customHeight="false" outlineLevel="0" collapsed="false">
      <c r="B291" s="0" t="n">
        <v>275</v>
      </c>
      <c r="C291" s="0" t="n">
        <f aca="true">RAND()</f>
        <v>0.238915438597682</v>
      </c>
      <c r="D291" s="0" t="n">
        <f aca="true">RAND()</f>
        <v>0.936302211460194</v>
      </c>
      <c r="E291" s="0" t="n">
        <f aca="false">IF(C291&lt;=$C$10,1,IF(C291&lt;=$C$10+$C$11,2,3))</f>
        <v>2</v>
      </c>
      <c r="F291" s="0" t="n">
        <f aca="false">IF(E291=1,$C$4*SQRT(D291),IF(E291=2,$C$4+($C$5-$C$4)*D291,$C$6-($C$6-$C$5)*SQRT(1-D291)))</f>
        <v>6.74520884584078</v>
      </c>
    </row>
    <row r="292" customFormat="false" ht="15" hidden="false" customHeight="false" outlineLevel="0" collapsed="false">
      <c r="B292" s="0" t="n">
        <v>276</v>
      </c>
      <c r="C292" s="0" t="n">
        <f aca="true">RAND()</f>
        <v>0.331130358300973</v>
      </c>
      <c r="D292" s="0" t="n">
        <f aca="true">RAND()</f>
        <v>0.650194033846269</v>
      </c>
      <c r="E292" s="0" t="n">
        <f aca="false">IF(C292&lt;=$C$10,1,IF(C292&lt;=$C$10+$C$11,2,3))</f>
        <v>2</v>
      </c>
      <c r="F292" s="0" t="n">
        <f aca="false">IF(E292=1,$C$4*SQRT(D292),IF(E292=2,$C$4+($C$5-$C$4)*D292,$C$6-($C$6-$C$5)*SQRT(1-D292)))</f>
        <v>5.60077613538507</v>
      </c>
    </row>
    <row r="293" customFormat="false" ht="15" hidden="false" customHeight="false" outlineLevel="0" collapsed="false">
      <c r="B293" s="0" t="n">
        <v>277</v>
      </c>
      <c r="C293" s="0" t="n">
        <f aca="true">RAND()</f>
        <v>0.365543105547164</v>
      </c>
      <c r="D293" s="0" t="n">
        <f aca="true">RAND()</f>
        <v>0.155030457247285</v>
      </c>
      <c r="E293" s="0" t="n">
        <f aca="false">IF(C293&lt;=$C$10,1,IF(C293&lt;=$C$10+$C$11,2,3))</f>
        <v>2</v>
      </c>
      <c r="F293" s="0" t="n">
        <f aca="false">IF(E293=1,$C$4*SQRT(D293),IF(E293=2,$C$4+($C$5-$C$4)*D293,$C$6-($C$6-$C$5)*SQRT(1-D293)))</f>
        <v>3.62012182898914</v>
      </c>
    </row>
    <row r="294" customFormat="false" ht="15" hidden="false" customHeight="false" outlineLevel="0" collapsed="false">
      <c r="B294" s="0" t="n">
        <v>278</v>
      </c>
      <c r="C294" s="0" t="n">
        <f aca="true">RAND()</f>
        <v>0.166072728644276</v>
      </c>
      <c r="D294" s="0" t="n">
        <f aca="true">RAND()</f>
        <v>0.231818239609129</v>
      </c>
      <c r="E294" s="0" t="n">
        <f aca="false">IF(C294&lt;=$C$10,1,IF(C294&lt;=$C$10+$C$11,2,3))</f>
        <v>1</v>
      </c>
      <c r="F294" s="0" t="n">
        <f aca="false">IF(E294=1,$C$4*SQRT(D294),IF(E294=2,$C$4+($C$5-$C$4)*D294,$C$6-($C$6-$C$5)*SQRT(1-D294)))</f>
        <v>1.44442519933784</v>
      </c>
    </row>
    <row r="295" customFormat="false" ht="15" hidden="false" customHeight="false" outlineLevel="0" collapsed="false">
      <c r="B295" s="0" t="n">
        <v>279</v>
      </c>
      <c r="C295" s="0" t="n">
        <f aca="true">RAND()</f>
        <v>0.785425556933058</v>
      </c>
      <c r="D295" s="0" t="n">
        <f aca="true">RAND()</f>
        <v>0.313625605912492</v>
      </c>
      <c r="E295" s="0" t="n">
        <f aca="false">IF(C295&lt;=$C$10,1,IF(C295&lt;=$C$10+$C$11,2,3))</f>
        <v>2</v>
      </c>
      <c r="F295" s="0" t="n">
        <f aca="false">IF(E295=1,$C$4*SQRT(D295),IF(E295=2,$C$4+($C$5-$C$4)*D295,$C$6-($C$6-$C$5)*SQRT(1-D295)))</f>
        <v>4.25450242364997</v>
      </c>
    </row>
    <row r="296" customFormat="false" ht="15" hidden="false" customHeight="false" outlineLevel="0" collapsed="false">
      <c r="B296" s="0" t="n">
        <v>280</v>
      </c>
      <c r="C296" s="0" t="n">
        <f aca="true">RAND()</f>
        <v>0.895847396695281</v>
      </c>
      <c r="D296" s="0" t="n">
        <f aca="true">RAND()</f>
        <v>0.37510345550597</v>
      </c>
      <c r="E296" s="0" t="n">
        <f aca="false">IF(C296&lt;=$C$10,1,IF(C296&lt;=$C$10+$C$11,2,3))</f>
        <v>3</v>
      </c>
      <c r="F296" s="0" t="n">
        <f aca="false">IF(E296=1,$C$4*SQRT(D296),IF(E296=2,$C$4+($C$5-$C$4)*D296,$C$6-($C$6-$C$5)*SQRT(1-D296)))</f>
        <v>7.62848805601864</v>
      </c>
    </row>
    <row r="297" customFormat="false" ht="15" hidden="false" customHeight="false" outlineLevel="0" collapsed="false">
      <c r="B297" s="0" t="n">
        <v>281</v>
      </c>
      <c r="C297" s="0" t="n">
        <f aca="true">RAND()</f>
        <v>0.172642300038997</v>
      </c>
      <c r="D297" s="0" t="n">
        <f aca="true">RAND()</f>
        <v>0.0716774481539111</v>
      </c>
      <c r="E297" s="0" t="n">
        <f aca="false">IF(C297&lt;=$C$10,1,IF(C297&lt;=$C$10+$C$11,2,3))</f>
        <v>1</v>
      </c>
      <c r="F297" s="0" t="n">
        <f aca="false">IF(E297=1,$C$4*SQRT(D297),IF(E297=2,$C$4+($C$5-$C$4)*D297,$C$6-($C$6-$C$5)*SQRT(1-D297)))</f>
        <v>0.803179328285533</v>
      </c>
    </row>
    <row r="298" customFormat="false" ht="15" hidden="false" customHeight="false" outlineLevel="0" collapsed="false">
      <c r="B298" s="0" t="n">
        <v>282</v>
      </c>
      <c r="C298" s="0" t="n">
        <f aca="true">RAND()</f>
        <v>0.807922022671351</v>
      </c>
      <c r="D298" s="0" t="n">
        <f aca="true">RAND()</f>
        <v>0.217862103237416</v>
      </c>
      <c r="E298" s="0" t="n">
        <f aca="false">IF(C298&lt;=$C$10,1,IF(C298&lt;=$C$10+$C$11,2,3))</f>
        <v>3</v>
      </c>
      <c r="F298" s="0" t="n">
        <f aca="false">IF(E298=1,$C$4*SQRT(D298),IF(E298=2,$C$4+($C$5-$C$4)*D298,$C$6-($C$6-$C$5)*SQRT(1-D298)))</f>
        <v>7.34684318766055</v>
      </c>
    </row>
    <row r="299" customFormat="false" ht="15" hidden="false" customHeight="false" outlineLevel="0" collapsed="false">
      <c r="B299" s="0" t="n">
        <v>283</v>
      </c>
      <c r="C299" s="0" t="n">
        <f aca="true">RAND()</f>
        <v>0.629733810495438</v>
      </c>
      <c r="D299" s="0" t="n">
        <f aca="true">RAND()</f>
        <v>0.837700192893766</v>
      </c>
      <c r="E299" s="0" t="n">
        <f aca="false">IF(C299&lt;=$C$10,1,IF(C299&lt;=$C$10+$C$11,2,3))</f>
        <v>2</v>
      </c>
      <c r="F299" s="0" t="n">
        <f aca="false">IF(E299=1,$C$4*SQRT(D299),IF(E299=2,$C$4+($C$5-$C$4)*D299,$C$6-($C$6-$C$5)*SQRT(1-D299)))</f>
        <v>6.35080077157507</v>
      </c>
    </row>
    <row r="300" customFormat="false" ht="15" hidden="false" customHeight="false" outlineLevel="0" collapsed="false">
      <c r="B300" s="0" t="n">
        <v>284</v>
      </c>
      <c r="C300" s="0" t="n">
        <f aca="true">RAND()</f>
        <v>0.332247922553831</v>
      </c>
      <c r="D300" s="0" t="n">
        <f aca="true">RAND()</f>
        <v>0.133834076749612</v>
      </c>
      <c r="E300" s="0" t="n">
        <f aca="false">IF(C300&lt;=$C$10,1,IF(C300&lt;=$C$10+$C$11,2,3))</f>
        <v>2</v>
      </c>
      <c r="F300" s="0" t="n">
        <f aca="false">IF(E300=1,$C$4*SQRT(D300),IF(E300=2,$C$4+($C$5-$C$4)*D300,$C$6-($C$6-$C$5)*SQRT(1-D300)))</f>
        <v>3.53533630699845</v>
      </c>
    </row>
    <row r="301" customFormat="false" ht="15" hidden="false" customHeight="false" outlineLevel="0" collapsed="false">
      <c r="B301" s="0" t="n">
        <v>285</v>
      </c>
      <c r="C301" s="0" t="n">
        <f aca="true">RAND()</f>
        <v>0.264235652345066</v>
      </c>
      <c r="D301" s="0" t="n">
        <f aca="true">RAND()</f>
        <v>0.439194525838221</v>
      </c>
      <c r="E301" s="0" t="n">
        <f aca="false">IF(C301&lt;=$C$10,1,IF(C301&lt;=$C$10+$C$11,2,3))</f>
        <v>2</v>
      </c>
      <c r="F301" s="0" t="n">
        <f aca="false">IF(E301=1,$C$4*SQRT(D301),IF(E301=2,$C$4+($C$5-$C$4)*D301,$C$6-($C$6-$C$5)*SQRT(1-D301)))</f>
        <v>4.75677810335288</v>
      </c>
    </row>
    <row r="302" customFormat="false" ht="15" hidden="false" customHeight="false" outlineLevel="0" collapsed="false">
      <c r="B302" s="0" t="n">
        <v>286</v>
      </c>
      <c r="C302" s="0" t="n">
        <f aca="true">RAND()</f>
        <v>0.423142190492294</v>
      </c>
      <c r="D302" s="0" t="n">
        <f aca="true">RAND()</f>
        <v>0.127423526155413</v>
      </c>
      <c r="E302" s="0" t="n">
        <f aca="false">IF(C302&lt;=$C$10,1,IF(C302&lt;=$C$10+$C$11,2,3))</f>
        <v>2</v>
      </c>
      <c r="F302" s="0" t="n">
        <f aca="false">IF(E302=1,$C$4*SQRT(D302),IF(E302=2,$C$4+($C$5-$C$4)*D302,$C$6-($C$6-$C$5)*SQRT(1-D302)))</f>
        <v>3.50969410462165</v>
      </c>
    </row>
    <row r="303" customFormat="false" ht="15" hidden="false" customHeight="false" outlineLevel="0" collapsed="false">
      <c r="B303" s="0" t="n">
        <v>287</v>
      </c>
      <c r="C303" s="0" t="n">
        <f aca="true">RAND()</f>
        <v>0.50950303528184</v>
      </c>
      <c r="D303" s="0" t="n">
        <f aca="true">RAND()</f>
        <v>0.729423555733834</v>
      </c>
      <c r="E303" s="0" t="n">
        <f aca="false">IF(C303&lt;=$C$10,1,IF(C303&lt;=$C$10+$C$11,2,3))</f>
        <v>2</v>
      </c>
      <c r="F303" s="0" t="n">
        <f aca="false">IF(E303=1,$C$4*SQRT(D303),IF(E303=2,$C$4+($C$5-$C$4)*D303,$C$6-($C$6-$C$5)*SQRT(1-D303)))</f>
        <v>5.91769422293534</v>
      </c>
    </row>
    <row r="304" customFormat="false" ht="15" hidden="false" customHeight="false" outlineLevel="0" collapsed="false">
      <c r="B304" s="0" t="n">
        <v>288</v>
      </c>
      <c r="C304" s="0" t="n">
        <f aca="true">RAND()</f>
        <v>0.354166191174239</v>
      </c>
      <c r="D304" s="0" t="n">
        <f aca="true">RAND()</f>
        <v>0.0775316085432416</v>
      </c>
      <c r="E304" s="0" t="n">
        <f aca="false">IF(C304&lt;=$C$10,1,IF(C304&lt;=$C$10+$C$11,2,3))</f>
        <v>2</v>
      </c>
      <c r="F304" s="0" t="n">
        <f aca="false">IF(E304=1,$C$4*SQRT(D304),IF(E304=2,$C$4+($C$5-$C$4)*D304,$C$6-($C$6-$C$5)*SQRT(1-D304)))</f>
        <v>3.31012643417297</v>
      </c>
    </row>
    <row r="305" customFormat="false" ht="15" hidden="false" customHeight="false" outlineLevel="0" collapsed="false">
      <c r="B305" s="0" t="n">
        <v>289</v>
      </c>
      <c r="C305" s="0" t="n">
        <f aca="true">RAND()</f>
        <v>0.438097415900718</v>
      </c>
      <c r="D305" s="0" t="n">
        <f aca="true">RAND()</f>
        <v>0.833860771446475</v>
      </c>
      <c r="E305" s="0" t="n">
        <f aca="false">IF(C305&lt;=$C$10,1,IF(C305&lt;=$C$10+$C$11,2,3))</f>
        <v>2</v>
      </c>
      <c r="F305" s="0" t="n">
        <f aca="false">IF(E305=1,$C$4*SQRT(D305),IF(E305=2,$C$4+($C$5-$C$4)*D305,$C$6-($C$6-$C$5)*SQRT(1-D305)))</f>
        <v>6.3354430857859</v>
      </c>
    </row>
    <row r="306" customFormat="false" ht="15" hidden="false" customHeight="false" outlineLevel="0" collapsed="false">
      <c r="B306" s="0" t="n">
        <v>290</v>
      </c>
      <c r="C306" s="0" t="n">
        <f aca="true">RAND()</f>
        <v>0.678127777141124</v>
      </c>
      <c r="D306" s="0" t="n">
        <f aca="true">RAND()</f>
        <v>0.347630821251934</v>
      </c>
      <c r="E306" s="0" t="n">
        <f aca="false">IF(C306&lt;=$C$10,1,IF(C306&lt;=$C$10+$C$11,2,3))</f>
        <v>2</v>
      </c>
      <c r="F306" s="0" t="n">
        <f aca="false">IF(E306=1,$C$4*SQRT(D306),IF(E306=2,$C$4+($C$5-$C$4)*D306,$C$6-($C$6-$C$5)*SQRT(1-D306)))</f>
        <v>4.39052328500774</v>
      </c>
    </row>
    <row r="307" customFormat="false" ht="15" hidden="false" customHeight="false" outlineLevel="0" collapsed="false">
      <c r="B307" s="0" t="n">
        <v>291</v>
      </c>
      <c r="C307" s="0" t="n">
        <f aca="true">RAND()</f>
        <v>0.228474620502834</v>
      </c>
      <c r="D307" s="0" t="n">
        <f aca="true">RAND()</f>
        <v>0.0858974313404811</v>
      </c>
      <c r="E307" s="0" t="n">
        <f aca="false">IF(C307&lt;=$C$10,1,IF(C307&lt;=$C$10+$C$11,2,3))</f>
        <v>2</v>
      </c>
      <c r="F307" s="0" t="n">
        <f aca="false">IF(E307=1,$C$4*SQRT(D307),IF(E307=2,$C$4+($C$5-$C$4)*D307,$C$6-($C$6-$C$5)*SQRT(1-D307)))</f>
        <v>3.34358972536192</v>
      </c>
    </row>
    <row r="308" customFormat="false" ht="15" hidden="false" customHeight="false" outlineLevel="0" collapsed="false">
      <c r="B308" s="0" t="n">
        <v>292</v>
      </c>
      <c r="C308" s="0" t="n">
        <f aca="true">RAND()</f>
        <v>0.96410561747886</v>
      </c>
      <c r="D308" s="0" t="n">
        <f aca="true">RAND()</f>
        <v>0.646794196280515</v>
      </c>
      <c r="E308" s="0" t="n">
        <f aca="false">IF(C308&lt;=$C$10,1,IF(C308&lt;=$C$10+$C$11,2,3))</f>
        <v>3</v>
      </c>
      <c r="F308" s="0" t="n">
        <f aca="false">IF(E308=1,$C$4*SQRT(D308),IF(E308=2,$C$4+($C$5-$C$4)*D308,$C$6-($C$6-$C$5)*SQRT(1-D308)))</f>
        <v>8.2170663967844</v>
      </c>
    </row>
    <row r="309" customFormat="false" ht="15" hidden="false" customHeight="false" outlineLevel="0" collapsed="false">
      <c r="B309" s="0" t="n">
        <v>293</v>
      </c>
      <c r="C309" s="0" t="n">
        <f aca="true">RAND()</f>
        <v>0.390349781675523</v>
      </c>
      <c r="D309" s="0" t="n">
        <f aca="true">RAND()</f>
        <v>0.472868532898737</v>
      </c>
      <c r="E309" s="0" t="n">
        <f aca="false">IF(C309&lt;=$C$10,1,IF(C309&lt;=$C$10+$C$11,2,3))</f>
        <v>2</v>
      </c>
      <c r="F309" s="0" t="n">
        <f aca="false">IF(E309=1,$C$4*SQRT(D309),IF(E309=2,$C$4+($C$5-$C$4)*D309,$C$6-($C$6-$C$5)*SQRT(1-D309)))</f>
        <v>4.89147413159495</v>
      </c>
    </row>
    <row r="310" customFormat="false" ht="15" hidden="false" customHeight="false" outlineLevel="0" collapsed="false">
      <c r="B310" s="0" t="n">
        <v>294</v>
      </c>
      <c r="C310" s="0" t="n">
        <f aca="true">RAND()</f>
        <v>0.11380333206238</v>
      </c>
      <c r="D310" s="0" t="n">
        <f aca="true">RAND()</f>
        <v>0.0974045614341471</v>
      </c>
      <c r="E310" s="0" t="n">
        <f aca="false">IF(C310&lt;=$C$10,1,IF(C310&lt;=$C$10+$C$11,2,3))</f>
        <v>1</v>
      </c>
      <c r="F310" s="0" t="n">
        <f aca="false">IF(E310=1,$C$4*SQRT(D310),IF(E310=2,$C$4+($C$5-$C$4)*D310,$C$6-($C$6-$C$5)*SQRT(1-D310)))</f>
        <v>0.936291115469608</v>
      </c>
    </row>
    <row r="311" customFormat="false" ht="15" hidden="false" customHeight="false" outlineLevel="0" collapsed="false">
      <c r="B311" s="0" t="n">
        <v>295</v>
      </c>
      <c r="C311" s="0" t="n">
        <f aca="true">RAND()</f>
        <v>0.730484532607905</v>
      </c>
      <c r="D311" s="0" t="n">
        <f aca="true">RAND()</f>
        <v>0.38889219131119</v>
      </c>
      <c r="E311" s="0" t="n">
        <f aca="false">IF(C311&lt;=$C$10,1,IF(C311&lt;=$C$10+$C$11,2,3))</f>
        <v>2</v>
      </c>
      <c r="F311" s="0" t="n">
        <f aca="false">IF(E311=1,$C$4*SQRT(D311),IF(E311=2,$C$4+($C$5-$C$4)*D311,$C$6-($C$6-$C$5)*SQRT(1-D311)))</f>
        <v>4.55556876524476</v>
      </c>
    </row>
    <row r="312" customFormat="false" ht="15" hidden="false" customHeight="false" outlineLevel="0" collapsed="false">
      <c r="B312" s="0" t="n">
        <v>296</v>
      </c>
      <c r="C312" s="0" t="n">
        <f aca="true">RAND()</f>
        <v>0.649896023130714</v>
      </c>
      <c r="D312" s="0" t="n">
        <f aca="true">RAND()</f>
        <v>0.527299778306616</v>
      </c>
      <c r="E312" s="0" t="n">
        <f aca="false">IF(C312&lt;=$C$10,1,IF(C312&lt;=$C$10+$C$11,2,3))</f>
        <v>2</v>
      </c>
      <c r="F312" s="0" t="n">
        <f aca="false">IF(E312=1,$C$4*SQRT(D312),IF(E312=2,$C$4+($C$5-$C$4)*D312,$C$6-($C$6-$C$5)*SQRT(1-D312)))</f>
        <v>5.10919911322647</v>
      </c>
    </row>
    <row r="313" customFormat="false" ht="15" hidden="false" customHeight="false" outlineLevel="0" collapsed="false">
      <c r="B313" s="0" t="n">
        <v>297</v>
      </c>
      <c r="C313" s="0" t="n">
        <f aca="true">RAND()</f>
        <v>0.689039017397663</v>
      </c>
      <c r="D313" s="0" t="n">
        <f aca="true">RAND()</f>
        <v>0.429973150864444</v>
      </c>
      <c r="E313" s="0" t="n">
        <f aca="false">IF(C313&lt;=$C$10,1,IF(C313&lt;=$C$10+$C$11,2,3))</f>
        <v>2</v>
      </c>
      <c r="F313" s="0" t="n">
        <f aca="false">IF(E313=1,$C$4*SQRT(D313),IF(E313=2,$C$4+($C$5-$C$4)*D313,$C$6-($C$6-$C$5)*SQRT(1-D313)))</f>
        <v>4.71989260345777</v>
      </c>
    </row>
    <row r="314" customFormat="false" ht="15" hidden="false" customHeight="false" outlineLevel="0" collapsed="false">
      <c r="B314" s="0" t="n">
        <v>298</v>
      </c>
      <c r="C314" s="0" t="n">
        <f aca="true">RAND()</f>
        <v>0.962848524403696</v>
      </c>
      <c r="D314" s="0" t="n">
        <f aca="true">RAND()</f>
        <v>0.229469260386637</v>
      </c>
      <c r="E314" s="0" t="n">
        <f aca="false">IF(C314&lt;=$C$10,1,IF(C314&lt;=$C$10+$C$11,2,3))</f>
        <v>3</v>
      </c>
      <c r="F314" s="0" t="n">
        <f aca="false">IF(E314=1,$C$4*SQRT(D314),IF(E314=2,$C$4+($C$5-$C$4)*D314,$C$6-($C$6-$C$5)*SQRT(1-D314)))</f>
        <v>7.36660358917988</v>
      </c>
    </row>
    <row r="315" customFormat="false" ht="15" hidden="false" customHeight="false" outlineLevel="0" collapsed="false">
      <c r="B315" s="0" t="n">
        <v>299</v>
      </c>
      <c r="C315" s="0" t="n">
        <f aca="true">RAND()</f>
        <v>0.797139668737652</v>
      </c>
      <c r="D315" s="0" t="n">
        <f aca="true">RAND()</f>
        <v>0.99504847735893</v>
      </c>
      <c r="E315" s="0" t="n">
        <f aca="false">IF(C315&lt;=$C$10,1,IF(C315&lt;=$C$10+$C$11,2,3))</f>
        <v>3</v>
      </c>
      <c r="F315" s="0" t="n">
        <f aca="false">IF(E315=1,$C$4*SQRT(D315),IF(E315=2,$C$4+($C$5-$C$4)*D315,$C$6-($C$6-$C$5)*SQRT(1-D315)))</f>
        <v>9.78889883048731</v>
      </c>
    </row>
    <row r="316" customFormat="false" ht="15" hidden="false" customHeight="false" outlineLevel="0" collapsed="false">
      <c r="B316" s="0" t="n">
        <v>300</v>
      </c>
      <c r="C316" s="0" t="n">
        <f aca="true">RAND()</f>
        <v>0.635265242556711</v>
      </c>
      <c r="D316" s="0" t="n">
        <f aca="true">RAND()</f>
        <v>0.31556771081309</v>
      </c>
      <c r="E316" s="0" t="n">
        <f aca="false">IF(C316&lt;=$C$10,1,IF(C316&lt;=$C$10+$C$11,2,3))</f>
        <v>2</v>
      </c>
      <c r="F316" s="0" t="n">
        <f aca="false">IF(E316=1,$C$4*SQRT(D316),IF(E316=2,$C$4+($C$5-$C$4)*D316,$C$6-($C$6-$C$5)*SQRT(1-D316)))</f>
        <v>4.26227084325236</v>
      </c>
    </row>
    <row r="317" customFormat="false" ht="15" hidden="false" customHeight="false" outlineLevel="0" collapsed="false">
      <c r="B317" s="0" t="n">
        <v>301</v>
      </c>
      <c r="C317" s="0" t="n">
        <f aca="true">RAND()</f>
        <v>0.901034073606693</v>
      </c>
      <c r="D317" s="0" t="n">
        <f aca="true">RAND()</f>
        <v>0.013767212781785</v>
      </c>
      <c r="E317" s="0" t="n">
        <f aca="false">IF(C317&lt;=$C$10,1,IF(C317&lt;=$C$10+$C$11,2,3))</f>
        <v>3</v>
      </c>
      <c r="F317" s="0" t="n">
        <f aca="false">IF(E317=1,$C$4*SQRT(D317),IF(E317=2,$C$4+($C$5-$C$4)*D317,$C$6-($C$6-$C$5)*SQRT(1-D317)))</f>
        <v>7.02072238873852</v>
      </c>
    </row>
    <row r="318" customFormat="false" ht="15" hidden="false" customHeight="false" outlineLevel="0" collapsed="false">
      <c r="B318" s="0" t="n">
        <v>302</v>
      </c>
      <c r="C318" s="0" t="n">
        <f aca="true">RAND()</f>
        <v>0.0842666694615846</v>
      </c>
      <c r="D318" s="0" t="n">
        <f aca="true">RAND()</f>
        <v>0.00138543348249026</v>
      </c>
      <c r="E318" s="0" t="n">
        <f aca="false">IF(C318&lt;=$C$10,1,IF(C318&lt;=$C$10+$C$11,2,3))</f>
        <v>1</v>
      </c>
      <c r="F318" s="0" t="n">
        <f aca="false">IF(E318=1,$C$4*SQRT(D318),IF(E318=2,$C$4+($C$5-$C$4)*D318,$C$6-($C$6-$C$5)*SQRT(1-D318)))</f>
        <v>0.111664234840043</v>
      </c>
    </row>
    <row r="319" customFormat="false" ht="15" hidden="false" customHeight="false" outlineLevel="0" collapsed="false">
      <c r="B319" s="0" t="n">
        <v>303</v>
      </c>
      <c r="C319" s="0" t="n">
        <f aca="true">RAND()</f>
        <v>0.727622554412903</v>
      </c>
      <c r="D319" s="0" t="n">
        <f aca="true">RAND()</f>
        <v>0.00773345717955433</v>
      </c>
      <c r="E319" s="0" t="n">
        <f aca="false">IF(C319&lt;=$C$10,1,IF(C319&lt;=$C$10+$C$11,2,3))</f>
        <v>2</v>
      </c>
      <c r="F319" s="0" t="n">
        <f aca="false">IF(E319=1,$C$4*SQRT(D319),IF(E319=2,$C$4+($C$5-$C$4)*D319,$C$6-($C$6-$C$5)*SQRT(1-D319)))</f>
        <v>3.03093382871822</v>
      </c>
    </row>
    <row r="320" customFormat="false" ht="15" hidden="false" customHeight="false" outlineLevel="0" collapsed="false">
      <c r="B320" s="0" t="n">
        <v>304</v>
      </c>
      <c r="C320" s="0" t="n">
        <f aca="true">RAND()</f>
        <v>0.101256956578925</v>
      </c>
      <c r="D320" s="0" t="n">
        <f aca="true">RAND()</f>
        <v>0.653462169216356</v>
      </c>
      <c r="E320" s="0" t="n">
        <f aca="false">IF(C320&lt;=$C$10,1,IF(C320&lt;=$C$10+$C$11,2,3))</f>
        <v>1</v>
      </c>
      <c r="F320" s="0" t="n">
        <f aca="false">IF(E320=1,$C$4*SQRT(D320),IF(E320=2,$C$4+($C$5-$C$4)*D320,$C$6-($C$6-$C$5)*SQRT(1-D320)))</f>
        <v>2.42511020841264</v>
      </c>
    </row>
    <row r="321" customFormat="false" ht="15" hidden="false" customHeight="false" outlineLevel="0" collapsed="false">
      <c r="B321" s="0" t="n">
        <v>305</v>
      </c>
      <c r="C321" s="0" t="n">
        <f aca="true">RAND()</f>
        <v>0.578753766970208</v>
      </c>
      <c r="D321" s="0" t="n">
        <f aca="true">RAND()</f>
        <v>0.00971242566872465</v>
      </c>
      <c r="E321" s="0" t="n">
        <f aca="false">IF(C321&lt;=$C$10,1,IF(C321&lt;=$C$10+$C$11,2,3))</f>
        <v>2</v>
      </c>
      <c r="F321" s="0" t="n">
        <f aca="false">IF(E321=1,$C$4*SQRT(D321),IF(E321=2,$C$4+($C$5-$C$4)*D321,$C$6-($C$6-$C$5)*SQRT(1-D321)))</f>
        <v>3.0388497026749</v>
      </c>
    </row>
    <row r="322" customFormat="false" ht="15" hidden="false" customHeight="false" outlineLevel="0" collapsed="false">
      <c r="B322" s="0" t="n">
        <v>306</v>
      </c>
      <c r="C322" s="0" t="n">
        <f aca="true">RAND()</f>
        <v>0.479050006440231</v>
      </c>
      <c r="D322" s="0" t="n">
        <f aca="true">RAND()</f>
        <v>0.423533395992965</v>
      </c>
      <c r="E322" s="0" t="n">
        <f aca="false">IF(C322&lt;=$C$10,1,IF(C322&lt;=$C$10+$C$11,2,3))</f>
        <v>2</v>
      </c>
      <c r="F322" s="0" t="n">
        <f aca="false">IF(E322=1,$C$4*SQRT(D322),IF(E322=2,$C$4+($C$5-$C$4)*D322,$C$6-($C$6-$C$5)*SQRT(1-D322)))</f>
        <v>4.69413358397186</v>
      </c>
    </row>
    <row r="323" customFormat="false" ht="15" hidden="false" customHeight="false" outlineLevel="0" collapsed="false">
      <c r="B323" s="0" t="n">
        <v>307</v>
      </c>
      <c r="C323" s="0" t="n">
        <f aca="true">RAND()</f>
        <v>0.296397231970739</v>
      </c>
      <c r="D323" s="0" t="n">
        <f aca="true">RAND()</f>
        <v>0.0367934930438928</v>
      </c>
      <c r="E323" s="0" t="n">
        <f aca="false">IF(C323&lt;=$C$10,1,IF(C323&lt;=$C$10+$C$11,2,3))</f>
        <v>2</v>
      </c>
      <c r="F323" s="0" t="n">
        <f aca="false">IF(E323=1,$C$4*SQRT(D323),IF(E323=2,$C$4+($C$5-$C$4)*D323,$C$6-($C$6-$C$5)*SQRT(1-D323)))</f>
        <v>3.14717397217557</v>
      </c>
    </row>
    <row r="324" customFormat="false" ht="15" hidden="false" customHeight="false" outlineLevel="0" collapsed="false">
      <c r="B324" s="0" t="n">
        <v>308</v>
      </c>
      <c r="C324" s="0" t="n">
        <f aca="true">RAND()</f>
        <v>0.642367094325753</v>
      </c>
      <c r="D324" s="0" t="n">
        <f aca="true">RAND()</f>
        <v>0.0990826639737433</v>
      </c>
      <c r="E324" s="0" t="n">
        <f aca="false">IF(C324&lt;=$C$10,1,IF(C324&lt;=$C$10+$C$11,2,3))</f>
        <v>2</v>
      </c>
      <c r="F324" s="0" t="n">
        <f aca="false">IF(E324=1,$C$4*SQRT(D324),IF(E324=2,$C$4+($C$5-$C$4)*D324,$C$6-($C$6-$C$5)*SQRT(1-D324)))</f>
        <v>3.39633065589497</v>
      </c>
    </row>
    <row r="325" customFormat="false" ht="15" hidden="false" customHeight="false" outlineLevel="0" collapsed="false">
      <c r="B325" s="0" t="n">
        <v>309</v>
      </c>
      <c r="C325" s="0" t="n">
        <f aca="true">RAND()</f>
        <v>0.237329278805758</v>
      </c>
      <c r="D325" s="0" t="n">
        <f aca="true">RAND()</f>
        <v>0.965153581517229</v>
      </c>
      <c r="E325" s="0" t="n">
        <f aca="false">IF(C325&lt;=$C$10,1,IF(C325&lt;=$C$10+$C$11,2,3))</f>
        <v>2</v>
      </c>
      <c r="F325" s="0" t="n">
        <f aca="false">IF(E325=1,$C$4*SQRT(D325),IF(E325=2,$C$4+($C$5-$C$4)*D325,$C$6-($C$6-$C$5)*SQRT(1-D325)))</f>
        <v>6.86061432606891</v>
      </c>
    </row>
    <row r="326" customFormat="false" ht="15" hidden="false" customHeight="false" outlineLevel="0" collapsed="false">
      <c r="B326" s="0" t="n">
        <v>310</v>
      </c>
      <c r="C326" s="0" t="n">
        <f aca="true">RAND()</f>
        <v>0.604858547504185</v>
      </c>
      <c r="D326" s="0" t="n">
        <f aca="true">RAND()</f>
        <v>0.768278028720588</v>
      </c>
      <c r="E326" s="0" t="n">
        <f aca="false">IF(C326&lt;=$C$10,1,IF(C326&lt;=$C$10+$C$11,2,3))</f>
        <v>2</v>
      </c>
      <c r="F326" s="0" t="n">
        <f aca="false">IF(E326=1,$C$4*SQRT(D326),IF(E326=2,$C$4+($C$5-$C$4)*D326,$C$6-($C$6-$C$5)*SQRT(1-D326)))</f>
        <v>6.07311211488235</v>
      </c>
    </row>
    <row r="327" customFormat="false" ht="15" hidden="false" customHeight="false" outlineLevel="0" collapsed="false">
      <c r="B327" s="0" t="n">
        <v>311</v>
      </c>
      <c r="C327" s="0" t="n">
        <f aca="true">RAND()</f>
        <v>0.850881639299428</v>
      </c>
      <c r="D327" s="0" t="n">
        <f aca="true">RAND()</f>
        <v>0.721107561819044</v>
      </c>
      <c r="E327" s="0" t="n">
        <f aca="false">IF(C327&lt;=$C$10,1,IF(C327&lt;=$C$10+$C$11,2,3))</f>
        <v>3</v>
      </c>
      <c r="F327" s="0" t="n">
        <f aca="false">IF(E327=1,$C$4*SQRT(D327),IF(E327=2,$C$4+($C$5-$C$4)*D327,$C$6-($C$6-$C$5)*SQRT(1-D327)))</f>
        <v>8.41569196693679</v>
      </c>
    </row>
    <row r="328" customFormat="false" ht="15" hidden="false" customHeight="false" outlineLevel="0" collapsed="false">
      <c r="B328" s="0" t="n">
        <v>312</v>
      </c>
      <c r="C328" s="0" t="n">
        <f aca="true">RAND()</f>
        <v>0.754258506494349</v>
      </c>
      <c r="D328" s="0" t="n">
        <f aca="true">RAND()</f>
        <v>0.30875908986946</v>
      </c>
      <c r="E328" s="0" t="n">
        <f aca="false">IF(C328&lt;=$C$10,1,IF(C328&lt;=$C$10+$C$11,2,3))</f>
        <v>2</v>
      </c>
      <c r="F328" s="0" t="n">
        <f aca="false">IF(E328=1,$C$4*SQRT(D328),IF(E328=2,$C$4+($C$5-$C$4)*D328,$C$6-($C$6-$C$5)*SQRT(1-D328)))</f>
        <v>4.23503635947784</v>
      </c>
    </row>
    <row r="329" customFormat="false" ht="15" hidden="false" customHeight="false" outlineLevel="0" collapsed="false">
      <c r="B329" s="0" t="n">
        <v>313</v>
      </c>
      <c r="C329" s="0" t="n">
        <f aca="true">RAND()</f>
        <v>0.679464807662004</v>
      </c>
      <c r="D329" s="0" t="n">
        <f aca="true">RAND()</f>
        <v>0.760792051271081</v>
      </c>
      <c r="E329" s="0" t="n">
        <f aca="false">IF(C329&lt;=$C$10,1,IF(C329&lt;=$C$10+$C$11,2,3))</f>
        <v>2</v>
      </c>
      <c r="F329" s="0" t="n">
        <f aca="false">IF(E329=1,$C$4*SQRT(D329),IF(E329=2,$C$4+($C$5-$C$4)*D329,$C$6-($C$6-$C$5)*SQRT(1-D329)))</f>
        <v>6.04316820508433</v>
      </c>
    </row>
    <row r="330" customFormat="false" ht="15" hidden="false" customHeight="false" outlineLevel="0" collapsed="false">
      <c r="B330" s="0" t="n">
        <v>314</v>
      </c>
      <c r="C330" s="0" t="n">
        <f aca="true">RAND()</f>
        <v>0.702037460463878</v>
      </c>
      <c r="D330" s="0" t="n">
        <f aca="true">RAND()</f>
        <v>0.437496374247518</v>
      </c>
      <c r="E330" s="0" t="n">
        <f aca="false">IF(C330&lt;=$C$10,1,IF(C330&lt;=$C$10+$C$11,2,3))</f>
        <v>2</v>
      </c>
      <c r="F330" s="0" t="n">
        <f aca="false">IF(E330=1,$C$4*SQRT(D330),IF(E330=2,$C$4+($C$5-$C$4)*D330,$C$6-($C$6-$C$5)*SQRT(1-D330)))</f>
        <v>4.74998549699007</v>
      </c>
    </row>
    <row r="331" customFormat="false" ht="15" hidden="false" customHeight="false" outlineLevel="0" collapsed="false">
      <c r="B331" s="0" t="n">
        <v>315</v>
      </c>
      <c r="C331" s="0" t="n">
        <f aca="true">RAND()</f>
        <v>0.248207294177467</v>
      </c>
      <c r="D331" s="0" t="n">
        <f aca="true">RAND()</f>
        <v>0.593088793778146</v>
      </c>
      <c r="E331" s="0" t="n">
        <f aca="false">IF(C331&lt;=$C$10,1,IF(C331&lt;=$C$10+$C$11,2,3))</f>
        <v>2</v>
      </c>
      <c r="F331" s="0" t="n">
        <f aca="false">IF(E331=1,$C$4*SQRT(D331),IF(E331=2,$C$4+($C$5-$C$4)*D331,$C$6-($C$6-$C$5)*SQRT(1-D331)))</f>
        <v>5.37235517511258</v>
      </c>
    </row>
    <row r="332" customFormat="false" ht="15" hidden="false" customHeight="false" outlineLevel="0" collapsed="false">
      <c r="B332" s="0" t="n">
        <v>316</v>
      </c>
      <c r="C332" s="0" t="n">
        <f aca="true">RAND()</f>
        <v>0.615011019152963</v>
      </c>
      <c r="D332" s="0" t="n">
        <f aca="true">RAND()</f>
        <v>0.811203816251832</v>
      </c>
      <c r="E332" s="0" t="n">
        <f aca="false">IF(C332&lt;=$C$10,1,IF(C332&lt;=$C$10+$C$11,2,3))</f>
        <v>2</v>
      </c>
      <c r="F332" s="0" t="n">
        <f aca="false">IF(E332=1,$C$4*SQRT(D332),IF(E332=2,$C$4+($C$5-$C$4)*D332,$C$6-($C$6-$C$5)*SQRT(1-D332)))</f>
        <v>6.24481526500733</v>
      </c>
    </row>
    <row r="333" customFormat="false" ht="15" hidden="false" customHeight="false" outlineLevel="0" collapsed="false">
      <c r="B333" s="0" t="n">
        <v>317</v>
      </c>
      <c r="C333" s="0" t="n">
        <f aca="true">RAND()</f>
        <v>0.894808252113522</v>
      </c>
      <c r="D333" s="0" t="n">
        <f aca="true">RAND()</f>
        <v>0.327224899993472</v>
      </c>
      <c r="E333" s="0" t="n">
        <f aca="false">IF(C333&lt;=$C$10,1,IF(C333&lt;=$C$10+$C$11,2,3))</f>
        <v>3</v>
      </c>
      <c r="F333" s="0" t="n">
        <f aca="false">IF(E333=1,$C$4*SQRT(D333),IF(E333=2,$C$4+($C$5-$C$4)*D333,$C$6-($C$6-$C$5)*SQRT(1-D333)))</f>
        <v>7.5393139371186</v>
      </c>
    </row>
    <row r="334" customFormat="false" ht="15" hidden="false" customHeight="false" outlineLevel="0" collapsed="false">
      <c r="B334" s="0" t="n">
        <v>318</v>
      </c>
      <c r="C334" s="0" t="n">
        <f aca="true">RAND()</f>
        <v>0.675553821140683</v>
      </c>
      <c r="D334" s="0" t="n">
        <f aca="true">RAND()</f>
        <v>0.695161916392512</v>
      </c>
      <c r="E334" s="0" t="n">
        <f aca="false">IF(C334&lt;=$C$10,1,IF(C334&lt;=$C$10+$C$11,2,3))</f>
        <v>2</v>
      </c>
      <c r="F334" s="0" t="n">
        <f aca="false">IF(E334=1,$C$4*SQRT(D334),IF(E334=2,$C$4+($C$5-$C$4)*D334,$C$6-($C$6-$C$5)*SQRT(1-D334)))</f>
        <v>5.78064766557005</v>
      </c>
    </row>
    <row r="335" customFormat="false" ht="15" hidden="false" customHeight="false" outlineLevel="0" collapsed="false">
      <c r="B335" s="0" t="n">
        <v>319</v>
      </c>
      <c r="C335" s="0" t="n">
        <f aca="true">RAND()</f>
        <v>0.869159830190136</v>
      </c>
      <c r="D335" s="0" t="n">
        <f aca="true">RAND()</f>
        <v>0.436281470714904</v>
      </c>
      <c r="E335" s="0" t="n">
        <f aca="false">IF(C335&lt;=$C$10,1,IF(C335&lt;=$C$10+$C$11,2,3))</f>
        <v>3</v>
      </c>
      <c r="F335" s="0" t="n">
        <f aca="false">IF(E335=1,$C$4*SQRT(D335),IF(E335=2,$C$4+($C$5-$C$4)*D335,$C$6-($C$6-$C$5)*SQRT(1-D335)))</f>
        <v>7.74756425983651</v>
      </c>
    </row>
    <row r="336" customFormat="false" ht="15" hidden="false" customHeight="false" outlineLevel="0" collapsed="false">
      <c r="B336" s="0" t="n">
        <v>320</v>
      </c>
      <c r="C336" s="0" t="n">
        <f aca="true">RAND()</f>
        <v>0.226464823188052</v>
      </c>
      <c r="D336" s="0" t="n">
        <f aca="true">RAND()</f>
        <v>0.770342977553029</v>
      </c>
      <c r="E336" s="0" t="n">
        <f aca="false">IF(C336&lt;=$C$10,1,IF(C336&lt;=$C$10+$C$11,2,3))</f>
        <v>2</v>
      </c>
      <c r="F336" s="0" t="n">
        <f aca="false">IF(E336=1,$C$4*SQRT(D336),IF(E336=2,$C$4+($C$5-$C$4)*D336,$C$6-($C$6-$C$5)*SQRT(1-D336)))</f>
        <v>6.08137191021211</v>
      </c>
    </row>
    <row r="337" customFormat="false" ht="15" hidden="false" customHeight="false" outlineLevel="0" collapsed="false">
      <c r="B337" s="0" t="n">
        <v>321</v>
      </c>
      <c r="C337" s="0" t="n">
        <f aca="true">RAND()</f>
        <v>0.431479648437964</v>
      </c>
      <c r="D337" s="0" t="n">
        <f aca="true">RAND()</f>
        <v>0.886112999238746</v>
      </c>
      <c r="E337" s="0" t="n">
        <f aca="false">IF(C337&lt;=$C$10,1,IF(C337&lt;=$C$10+$C$11,2,3))</f>
        <v>2</v>
      </c>
      <c r="F337" s="0" t="n">
        <f aca="false">IF(E337=1,$C$4*SQRT(D337),IF(E337=2,$C$4+($C$5-$C$4)*D337,$C$6-($C$6-$C$5)*SQRT(1-D337)))</f>
        <v>6.54445199695499</v>
      </c>
    </row>
    <row r="338" customFormat="false" ht="15" hidden="false" customHeight="false" outlineLevel="0" collapsed="false">
      <c r="B338" s="0" t="n">
        <v>322</v>
      </c>
      <c r="C338" s="0" t="n">
        <f aca="true">RAND()</f>
        <v>0.223031037640941</v>
      </c>
      <c r="D338" s="0" t="n">
        <f aca="true">RAND()</f>
        <v>0.857331727953528</v>
      </c>
      <c r="E338" s="0" t="n">
        <f aca="false">IF(C338&lt;=$C$10,1,IF(C338&lt;=$C$10+$C$11,2,3))</f>
        <v>2</v>
      </c>
      <c r="F338" s="0" t="n">
        <f aca="false">IF(E338=1,$C$4*SQRT(D338),IF(E338=2,$C$4+($C$5-$C$4)*D338,$C$6-($C$6-$C$5)*SQRT(1-D338)))</f>
        <v>6.42932691181411</v>
      </c>
    </row>
    <row r="339" customFormat="false" ht="15" hidden="false" customHeight="false" outlineLevel="0" collapsed="false">
      <c r="B339" s="0" t="n">
        <v>323</v>
      </c>
      <c r="C339" s="0" t="n">
        <f aca="true">RAND()</f>
        <v>0.6763396976737</v>
      </c>
      <c r="D339" s="0" t="n">
        <f aca="true">RAND()</f>
        <v>0.517884574864451</v>
      </c>
      <c r="E339" s="0" t="n">
        <f aca="false">IF(C339&lt;=$C$10,1,IF(C339&lt;=$C$10+$C$11,2,3))</f>
        <v>2</v>
      </c>
      <c r="F339" s="0" t="n">
        <f aca="false">IF(E339=1,$C$4*SQRT(D339),IF(E339=2,$C$4+($C$5-$C$4)*D339,$C$6-($C$6-$C$5)*SQRT(1-D339)))</f>
        <v>5.0715382994578</v>
      </c>
    </row>
    <row r="340" customFormat="false" ht="15" hidden="false" customHeight="false" outlineLevel="0" collapsed="false">
      <c r="B340" s="0" t="n">
        <v>324</v>
      </c>
      <c r="C340" s="0" t="n">
        <f aca="true">RAND()</f>
        <v>0.257649522516861</v>
      </c>
      <c r="D340" s="0" t="n">
        <f aca="true">RAND()</f>
        <v>0.373260161624611</v>
      </c>
      <c r="E340" s="0" t="n">
        <f aca="false">IF(C340&lt;=$C$10,1,IF(C340&lt;=$C$10+$C$11,2,3))</f>
        <v>2</v>
      </c>
      <c r="F340" s="0" t="n">
        <f aca="false">IF(E340=1,$C$4*SQRT(D340),IF(E340=2,$C$4+($C$5-$C$4)*D340,$C$6-($C$6-$C$5)*SQRT(1-D340)))</f>
        <v>4.49304064649844</v>
      </c>
    </row>
    <row r="341" customFormat="false" ht="15" hidden="false" customHeight="false" outlineLevel="0" collapsed="false">
      <c r="B341" s="0" t="n">
        <v>325</v>
      </c>
      <c r="C341" s="0" t="n">
        <f aca="true">RAND()</f>
        <v>0.735379321060148</v>
      </c>
      <c r="D341" s="0" t="n">
        <f aca="true">RAND()</f>
        <v>0.702466978991101</v>
      </c>
      <c r="E341" s="0" t="n">
        <f aca="false">IF(C341&lt;=$C$10,1,IF(C341&lt;=$C$10+$C$11,2,3))</f>
        <v>2</v>
      </c>
      <c r="F341" s="0" t="n">
        <f aca="false">IF(E341=1,$C$4*SQRT(D341),IF(E341=2,$C$4+($C$5-$C$4)*D341,$C$6-($C$6-$C$5)*SQRT(1-D341)))</f>
        <v>5.8098679159644</v>
      </c>
    </row>
    <row r="342" customFormat="false" ht="15" hidden="false" customHeight="false" outlineLevel="0" collapsed="false">
      <c r="B342" s="0" t="n">
        <v>326</v>
      </c>
      <c r="C342" s="0" t="n">
        <f aca="true">RAND()</f>
        <v>0.087217630547325</v>
      </c>
      <c r="D342" s="0" t="n">
        <f aca="true">RAND()</f>
        <v>0.0809468307669447</v>
      </c>
      <c r="E342" s="0" t="n">
        <f aca="false">IF(C342&lt;=$C$10,1,IF(C342&lt;=$C$10+$C$11,2,3))</f>
        <v>1</v>
      </c>
      <c r="F342" s="0" t="n">
        <f aca="false">IF(E342=1,$C$4*SQRT(D342),IF(E342=2,$C$4+($C$5-$C$4)*D342,$C$6-($C$6-$C$5)*SQRT(1-D342)))</f>
        <v>0.853534695781315</v>
      </c>
    </row>
    <row r="343" customFormat="false" ht="15" hidden="false" customHeight="false" outlineLevel="0" collapsed="false">
      <c r="B343" s="0" t="n">
        <v>327</v>
      </c>
      <c r="C343" s="0" t="n">
        <f aca="true">RAND()</f>
        <v>0.210927334525737</v>
      </c>
      <c r="D343" s="0" t="n">
        <f aca="true">RAND()</f>
        <v>0.895790458685233</v>
      </c>
      <c r="E343" s="0" t="n">
        <f aca="false">IF(C343&lt;=$C$10,1,IF(C343&lt;=$C$10+$C$11,2,3))</f>
        <v>1</v>
      </c>
      <c r="F343" s="0" t="n">
        <f aca="false">IF(E343=1,$C$4*SQRT(D343),IF(E343=2,$C$4+($C$5-$C$4)*D343,$C$6-($C$6-$C$5)*SQRT(1-D343)))</f>
        <v>2.83938622384611</v>
      </c>
    </row>
    <row r="344" customFormat="false" ht="15" hidden="false" customHeight="false" outlineLevel="0" collapsed="false">
      <c r="B344" s="0" t="n">
        <v>328</v>
      </c>
      <c r="C344" s="0" t="n">
        <f aca="true">RAND()</f>
        <v>0.5206942885708</v>
      </c>
      <c r="D344" s="0" t="n">
        <f aca="true">RAND()</f>
        <v>0.495349129080988</v>
      </c>
      <c r="E344" s="0" t="n">
        <f aca="false">IF(C344&lt;=$C$10,1,IF(C344&lt;=$C$10+$C$11,2,3))</f>
        <v>2</v>
      </c>
      <c r="F344" s="0" t="n">
        <f aca="false">IF(E344=1,$C$4*SQRT(D344),IF(E344=2,$C$4+($C$5-$C$4)*D344,$C$6-($C$6-$C$5)*SQRT(1-D344)))</f>
        <v>4.98139651632395</v>
      </c>
    </row>
    <row r="345" customFormat="false" ht="15" hidden="false" customHeight="false" outlineLevel="0" collapsed="false">
      <c r="B345" s="0" t="n">
        <v>329</v>
      </c>
      <c r="C345" s="0" t="n">
        <f aca="true">RAND()</f>
        <v>0.139673563202236</v>
      </c>
      <c r="D345" s="0" t="n">
        <f aca="true">RAND()</f>
        <v>0.763641549396018</v>
      </c>
      <c r="E345" s="0" t="n">
        <f aca="false">IF(C345&lt;=$C$10,1,IF(C345&lt;=$C$10+$C$11,2,3))</f>
        <v>1</v>
      </c>
      <c r="F345" s="0" t="n">
        <f aca="false">IF(E345=1,$C$4*SQRT(D345),IF(E345=2,$C$4+($C$5-$C$4)*D345,$C$6-($C$6-$C$5)*SQRT(1-D345)))</f>
        <v>2.62159759394232</v>
      </c>
    </row>
    <row r="346" customFormat="false" ht="15" hidden="false" customHeight="false" outlineLevel="0" collapsed="false">
      <c r="B346" s="0" t="n">
        <v>330</v>
      </c>
      <c r="C346" s="0" t="n">
        <f aca="true">RAND()</f>
        <v>0.787166328710799</v>
      </c>
      <c r="D346" s="0" t="n">
        <f aca="true">RAND()</f>
        <v>0.29392011447558</v>
      </c>
      <c r="E346" s="0" t="n">
        <f aca="false">IF(C346&lt;=$C$10,1,IF(C346&lt;=$C$10+$C$11,2,3))</f>
        <v>3</v>
      </c>
      <c r="F346" s="0" t="n">
        <f aca="false">IF(E346=1,$C$4*SQRT(D346),IF(E346=2,$C$4+($C$5-$C$4)*D346,$C$6-($C$6-$C$5)*SQRT(1-D346)))</f>
        <v>7.47914320721708</v>
      </c>
    </row>
    <row r="347" customFormat="false" ht="15" hidden="false" customHeight="false" outlineLevel="0" collapsed="false">
      <c r="B347" s="0" t="n">
        <v>331</v>
      </c>
      <c r="C347" s="0" t="n">
        <f aca="true">RAND()</f>
        <v>0.74478671559771</v>
      </c>
      <c r="D347" s="0" t="n">
        <f aca="true">RAND()</f>
        <v>0.891462474080872</v>
      </c>
      <c r="E347" s="0" t="n">
        <f aca="false">IF(C347&lt;=$C$10,1,IF(C347&lt;=$C$10+$C$11,2,3))</f>
        <v>2</v>
      </c>
      <c r="F347" s="0" t="n">
        <f aca="false">IF(E347=1,$C$4*SQRT(D347),IF(E347=2,$C$4+($C$5-$C$4)*D347,$C$6-($C$6-$C$5)*SQRT(1-D347)))</f>
        <v>6.56584989632349</v>
      </c>
    </row>
    <row r="348" customFormat="false" ht="15" hidden="false" customHeight="false" outlineLevel="0" collapsed="false">
      <c r="B348" s="0" t="n">
        <v>332</v>
      </c>
      <c r="C348" s="0" t="n">
        <f aca="true">RAND()</f>
        <v>0.934027496060657</v>
      </c>
      <c r="D348" s="0" t="n">
        <f aca="true">RAND()</f>
        <v>0.347208960655098</v>
      </c>
      <c r="E348" s="0" t="n">
        <f aca="false">IF(C348&lt;=$C$10,1,IF(C348&lt;=$C$10+$C$11,2,3))</f>
        <v>3</v>
      </c>
      <c r="F348" s="0" t="n">
        <f aca="false">IF(E348=1,$C$4*SQRT(D348),IF(E348=2,$C$4+($C$5-$C$4)*D348,$C$6-($C$6-$C$5)*SQRT(1-D348)))</f>
        <v>7.57613545054512</v>
      </c>
    </row>
    <row r="349" customFormat="false" ht="15" hidden="false" customHeight="false" outlineLevel="0" collapsed="false">
      <c r="B349" s="0" t="n">
        <v>333</v>
      </c>
      <c r="C349" s="0" t="n">
        <f aca="true">RAND()</f>
        <v>0.937029640618913</v>
      </c>
      <c r="D349" s="0" t="n">
        <f aca="true">RAND()</f>
        <v>0.830349694521147</v>
      </c>
      <c r="E349" s="0" t="n">
        <f aca="false">IF(C349&lt;=$C$10,1,IF(C349&lt;=$C$10+$C$11,2,3))</f>
        <v>3</v>
      </c>
      <c r="F349" s="0" t="n">
        <f aca="false">IF(E349=1,$C$4*SQRT(D349),IF(E349=2,$C$4+($C$5-$C$4)*D349,$C$6-($C$6-$C$5)*SQRT(1-D349)))</f>
        <v>8.764341167915</v>
      </c>
    </row>
    <row r="350" customFormat="false" ht="15" hidden="false" customHeight="false" outlineLevel="0" collapsed="false">
      <c r="B350" s="0" t="n">
        <v>334</v>
      </c>
      <c r="C350" s="0" t="n">
        <f aca="true">RAND()</f>
        <v>0.470480885375752</v>
      </c>
      <c r="D350" s="0" t="n">
        <f aca="true">RAND()</f>
        <v>0.4647480500839</v>
      </c>
      <c r="E350" s="0" t="n">
        <f aca="false">IF(C350&lt;=$C$10,1,IF(C350&lt;=$C$10+$C$11,2,3))</f>
        <v>2</v>
      </c>
      <c r="F350" s="0" t="n">
        <f aca="false">IF(E350=1,$C$4*SQRT(D350),IF(E350=2,$C$4+($C$5-$C$4)*D350,$C$6-($C$6-$C$5)*SQRT(1-D350)))</f>
        <v>4.8589922003356</v>
      </c>
    </row>
    <row r="351" customFormat="false" ht="15" hidden="false" customHeight="false" outlineLevel="0" collapsed="false">
      <c r="B351" s="0" t="n">
        <v>335</v>
      </c>
      <c r="C351" s="0" t="n">
        <f aca="true">RAND()</f>
        <v>0.916797530776069</v>
      </c>
      <c r="D351" s="0" t="n">
        <f aca="true">RAND()</f>
        <v>0.933885162025396</v>
      </c>
      <c r="E351" s="0" t="n">
        <f aca="false">IF(C351&lt;=$C$10,1,IF(C351&lt;=$C$10+$C$11,2,3))</f>
        <v>3</v>
      </c>
      <c r="F351" s="0" t="n">
        <f aca="false">IF(E351=1,$C$4*SQRT(D351),IF(E351=2,$C$4+($C$5-$C$4)*D351,$C$6-($C$6-$C$5)*SQRT(1-D351)))</f>
        <v>9.22861582737819</v>
      </c>
    </row>
    <row r="352" customFormat="false" ht="15" hidden="false" customHeight="false" outlineLevel="0" collapsed="false">
      <c r="B352" s="0" t="n">
        <v>336</v>
      </c>
      <c r="C352" s="0" t="n">
        <f aca="true">RAND()</f>
        <v>0.148926951529995</v>
      </c>
      <c r="D352" s="0" t="n">
        <f aca="true">RAND()</f>
        <v>0.485719530306022</v>
      </c>
      <c r="E352" s="0" t="n">
        <f aca="false">IF(C352&lt;=$C$10,1,IF(C352&lt;=$C$10+$C$11,2,3))</f>
        <v>1</v>
      </c>
      <c r="F352" s="0" t="n">
        <f aca="false">IF(E352=1,$C$4*SQRT(D352),IF(E352=2,$C$4+($C$5-$C$4)*D352,$C$6-($C$6-$C$5)*SQRT(1-D352)))</f>
        <v>2.09080744516424</v>
      </c>
    </row>
    <row r="353" customFormat="false" ht="15" hidden="false" customHeight="false" outlineLevel="0" collapsed="false">
      <c r="B353" s="0" t="n">
        <v>337</v>
      </c>
      <c r="C353" s="0" t="n">
        <f aca="true">RAND()</f>
        <v>0.312768371620151</v>
      </c>
      <c r="D353" s="0" t="n">
        <f aca="true">RAND()</f>
        <v>0.0931344983561833</v>
      </c>
      <c r="E353" s="0" t="n">
        <f aca="false">IF(C353&lt;=$C$10,1,IF(C353&lt;=$C$10+$C$11,2,3))</f>
        <v>2</v>
      </c>
      <c r="F353" s="0" t="n">
        <f aca="false">IF(E353=1,$C$4*SQRT(D353),IF(E353=2,$C$4+($C$5-$C$4)*D353,$C$6-($C$6-$C$5)*SQRT(1-D353)))</f>
        <v>3.37253799342473</v>
      </c>
    </row>
    <row r="354" customFormat="false" ht="15" hidden="false" customHeight="false" outlineLevel="0" collapsed="false">
      <c r="B354" s="0" t="n">
        <v>338</v>
      </c>
      <c r="C354" s="0" t="n">
        <f aca="true">RAND()</f>
        <v>0.955172248296362</v>
      </c>
      <c r="D354" s="0" t="n">
        <f aca="true">RAND()</f>
        <v>0.0871682304388336</v>
      </c>
      <c r="E354" s="0" t="n">
        <f aca="false">IF(C354&lt;=$C$10,1,IF(C354&lt;=$C$10+$C$11,2,3))</f>
        <v>3</v>
      </c>
      <c r="F354" s="0" t="n">
        <f aca="false">IF(E354=1,$C$4*SQRT(D354),IF(E354=2,$C$4+($C$5-$C$4)*D354,$C$6-($C$6-$C$5)*SQRT(1-D354)))</f>
        <v>7.13373310278849</v>
      </c>
    </row>
    <row r="355" customFormat="false" ht="15" hidden="false" customHeight="false" outlineLevel="0" collapsed="false">
      <c r="B355" s="0" t="n">
        <v>339</v>
      </c>
      <c r="C355" s="0" t="n">
        <f aca="true">RAND()</f>
        <v>0.329282429803417</v>
      </c>
      <c r="D355" s="0" t="n">
        <f aca="true">RAND()</f>
        <v>0.0986650507595977</v>
      </c>
      <c r="E355" s="0" t="n">
        <f aca="false">IF(C355&lt;=$C$10,1,IF(C355&lt;=$C$10+$C$11,2,3))</f>
        <v>2</v>
      </c>
      <c r="F355" s="0" t="n">
        <f aca="false">IF(E355=1,$C$4*SQRT(D355),IF(E355=2,$C$4+($C$5-$C$4)*D355,$C$6-($C$6-$C$5)*SQRT(1-D355)))</f>
        <v>3.39466020303839</v>
      </c>
    </row>
    <row r="356" customFormat="false" ht="15" hidden="false" customHeight="false" outlineLevel="0" collapsed="false">
      <c r="B356" s="0" t="n">
        <v>340</v>
      </c>
      <c r="C356" s="0" t="n">
        <f aca="true">RAND()</f>
        <v>0.127352641996584</v>
      </c>
      <c r="D356" s="0" t="n">
        <f aca="true">RAND()</f>
        <v>0.512169328377676</v>
      </c>
      <c r="E356" s="0" t="n">
        <f aca="false">IF(C356&lt;=$C$10,1,IF(C356&lt;=$C$10+$C$11,2,3))</f>
        <v>1</v>
      </c>
      <c r="F356" s="0" t="n">
        <f aca="false">IF(E356=1,$C$4*SQRT(D356),IF(E356=2,$C$4+($C$5-$C$4)*D356,$C$6-($C$6-$C$5)*SQRT(1-D356)))</f>
        <v>2.14698019445897</v>
      </c>
    </row>
    <row r="357" customFormat="false" ht="15" hidden="false" customHeight="false" outlineLevel="0" collapsed="false">
      <c r="B357" s="0" t="n">
        <v>341</v>
      </c>
      <c r="C357" s="0" t="n">
        <f aca="true">RAND()</f>
        <v>0.203082151199837</v>
      </c>
      <c r="D357" s="0" t="n">
        <f aca="true">RAND()</f>
        <v>0.708882677623031</v>
      </c>
      <c r="E357" s="0" t="n">
        <f aca="false">IF(C357&lt;=$C$10,1,IF(C357&lt;=$C$10+$C$11,2,3))</f>
        <v>1</v>
      </c>
      <c r="F357" s="0" t="n">
        <f aca="false">IF(E357=1,$C$4*SQRT(D357),IF(E357=2,$C$4+($C$5-$C$4)*D357,$C$6-($C$6-$C$5)*SQRT(1-D357)))</f>
        <v>2.52585512225212</v>
      </c>
    </row>
    <row r="358" customFormat="false" ht="15" hidden="false" customHeight="false" outlineLevel="0" collapsed="false">
      <c r="B358" s="0" t="n">
        <v>342</v>
      </c>
      <c r="C358" s="0" t="n">
        <f aca="true">RAND()</f>
        <v>0.810761775491441</v>
      </c>
      <c r="D358" s="0" t="n">
        <f aca="true">RAND()</f>
        <v>0.216637563901741</v>
      </c>
      <c r="E358" s="0" t="n">
        <f aca="false">IF(C358&lt;=$C$10,1,IF(C358&lt;=$C$10+$C$11,2,3))</f>
        <v>3</v>
      </c>
      <c r="F358" s="0" t="n">
        <f aca="false">IF(E358=1,$C$4*SQRT(D358),IF(E358=2,$C$4+($C$5-$C$4)*D358,$C$6-($C$6-$C$5)*SQRT(1-D358)))</f>
        <v>7.34476706767856</v>
      </c>
    </row>
    <row r="359" customFormat="false" ht="15" hidden="false" customHeight="false" outlineLevel="0" collapsed="false">
      <c r="B359" s="0" t="n">
        <v>343</v>
      </c>
      <c r="C359" s="0" t="n">
        <f aca="true">RAND()</f>
        <v>0.0341265253880163</v>
      </c>
      <c r="D359" s="0" t="n">
        <f aca="true">RAND()</f>
        <v>0.130709356720573</v>
      </c>
      <c r="E359" s="0" t="n">
        <f aca="false">IF(C359&lt;=$C$10,1,IF(C359&lt;=$C$10+$C$11,2,3))</f>
        <v>1</v>
      </c>
      <c r="F359" s="0" t="n">
        <f aca="false">IF(E359=1,$C$4*SQRT(D359),IF(E359=2,$C$4+($C$5-$C$4)*D359,$C$6-($C$6-$C$5)*SQRT(1-D359)))</f>
        <v>1.08461247018701</v>
      </c>
    </row>
    <row r="360" customFormat="false" ht="15" hidden="false" customHeight="false" outlineLevel="0" collapsed="false">
      <c r="B360" s="0" t="n">
        <v>344</v>
      </c>
      <c r="C360" s="0" t="n">
        <f aca="true">RAND()</f>
        <v>0.829786682336821</v>
      </c>
      <c r="D360" s="0" t="n">
        <f aca="true">RAND()</f>
        <v>0.69516321652123</v>
      </c>
      <c r="E360" s="0" t="n">
        <f aca="false">IF(C360&lt;=$C$10,1,IF(C360&lt;=$C$10+$C$11,2,3))</f>
        <v>3</v>
      </c>
      <c r="F360" s="0" t="n">
        <f aca="false">IF(E360=1,$C$4*SQRT(D360),IF(E360=2,$C$4+($C$5-$C$4)*D360,$C$6-($C$6-$C$5)*SQRT(1-D360)))</f>
        <v>8.34363921463078</v>
      </c>
    </row>
    <row r="361" customFormat="false" ht="15" hidden="false" customHeight="false" outlineLevel="0" collapsed="false">
      <c r="B361" s="0" t="n">
        <v>345</v>
      </c>
      <c r="C361" s="0" t="n">
        <f aca="true">RAND()</f>
        <v>0.202548674646563</v>
      </c>
      <c r="D361" s="0" t="n">
        <f aca="true">RAND()</f>
        <v>0.485028313576709</v>
      </c>
      <c r="E361" s="0" t="n">
        <f aca="false">IF(C361&lt;=$C$10,1,IF(C361&lt;=$C$10+$C$11,2,3))</f>
        <v>1</v>
      </c>
      <c r="F361" s="0" t="n">
        <f aca="false">IF(E361=1,$C$4*SQRT(D361),IF(E361=2,$C$4+($C$5-$C$4)*D361,$C$6-($C$6-$C$5)*SQRT(1-D361)))</f>
        <v>2.0893192245778</v>
      </c>
    </row>
    <row r="362" customFormat="false" ht="15" hidden="false" customHeight="false" outlineLevel="0" collapsed="false">
      <c r="B362" s="0" t="n">
        <v>346</v>
      </c>
      <c r="C362" s="0" t="n">
        <f aca="true">RAND()</f>
        <v>0.245789036088354</v>
      </c>
      <c r="D362" s="0" t="n">
        <f aca="true">RAND()</f>
        <v>0.479723347625754</v>
      </c>
      <c r="E362" s="0" t="n">
        <f aca="false">IF(C362&lt;=$C$10,1,IF(C362&lt;=$C$10+$C$11,2,3))</f>
        <v>2</v>
      </c>
      <c r="F362" s="0" t="n">
        <f aca="false">IF(E362=1,$C$4*SQRT(D362),IF(E362=2,$C$4+($C$5-$C$4)*D362,$C$6-($C$6-$C$5)*SQRT(1-D362)))</f>
        <v>4.91889339050301</v>
      </c>
    </row>
    <row r="363" customFormat="false" ht="15" hidden="false" customHeight="false" outlineLevel="0" collapsed="false">
      <c r="B363" s="0" t="n">
        <v>347</v>
      </c>
      <c r="C363" s="0" t="n">
        <f aca="true">RAND()</f>
        <v>0.0659848637026502</v>
      </c>
      <c r="D363" s="0" t="n">
        <f aca="true">RAND()</f>
        <v>0.875684514879518</v>
      </c>
      <c r="E363" s="0" t="n">
        <f aca="false">IF(C363&lt;=$C$10,1,IF(C363&lt;=$C$10+$C$11,2,3))</f>
        <v>1</v>
      </c>
      <c r="F363" s="0" t="n">
        <f aca="false">IF(E363=1,$C$4*SQRT(D363),IF(E363=2,$C$4+($C$5-$C$4)*D363,$C$6-($C$6-$C$5)*SQRT(1-D363)))</f>
        <v>2.8073404912685</v>
      </c>
    </row>
    <row r="364" customFormat="false" ht="15" hidden="false" customHeight="false" outlineLevel="0" collapsed="false">
      <c r="B364" s="0" t="n">
        <v>348</v>
      </c>
      <c r="C364" s="0" t="n">
        <f aca="true">RAND()</f>
        <v>0.8199891843154</v>
      </c>
      <c r="D364" s="0" t="n">
        <f aca="true">RAND()</f>
        <v>0.641071783213747</v>
      </c>
      <c r="E364" s="0" t="n">
        <f aca="false">IF(C364&lt;=$C$10,1,IF(C364&lt;=$C$10+$C$11,2,3))</f>
        <v>3</v>
      </c>
      <c r="F364" s="0" t="n">
        <f aca="false">IF(E364=1,$C$4*SQRT(D364),IF(E364=2,$C$4+($C$5-$C$4)*D364,$C$6-($C$6-$C$5)*SQRT(1-D364)))</f>
        <v>8.20268145531287</v>
      </c>
    </row>
    <row r="365" customFormat="false" ht="15" hidden="false" customHeight="false" outlineLevel="0" collapsed="false">
      <c r="B365" s="0" t="n">
        <v>349</v>
      </c>
      <c r="C365" s="0" t="n">
        <f aca="true">RAND()</f>
        <v>0.204668748370963</v>
      </c>
      <c r="D365" s="0" t="n">
        <f aca="true">RAND()</f>
        <v>0.206181844874793</v>
      </c>
      <c r="E365" s="0" t="n">
        <f aca="false">IF(C365&lt;=$C$10,1,IF(C365&lt;=$C$10+$C$11,2,3))</f>
        <v>1</v>
      </c>
      <c r="F365" s="0" t="n">
        <f aca="false">IF(E365=1,$C$4*SQRT(D365),IF(E365=2,$C$4+($C$5-$C$4)*D365,$C$6-($C$6-$C$5)*SQRT(1-D365)))</f>
        <v>1.36221753177425</v>
      </c>
    </row>
    <row r="366" customFormat="false" ht="15" hidden="false" customHeight="false" outlineLevel="0" collapsed="false">
      <c r="B366" s="0" t="n">
        <v>350</v>
      </c>
      <c r="C366" s="0" t="n">
        <f aca="true">RAND()</f>
        <v>0.178679868143988</v>
      </c>
      <c r="D366" s="0" t="n">
        <f aca="true">RAND()</f>
        <v>0.782397098924985</v>
      </c>
      <c r="E366" s="0" t="n">
        <f aca="false">IF(C366&lt;=$C$10,1,IF(C366&lt;=$C$10+$C$11,2,3))</f>
        <v>1</v>
      </c>
      <c r="F366" s="0" t="n">
        <f aca="false">IF(E366=1,$C$4*SQRT(D366),IF(E366=2,$C$4+($C$5-$C$4)*D366,$C$6-($C$6-$C$5)*SQRT(1-D366)))</f>
        <v>2.65359640682694</v>
      </c>
    </row>
    <row r="367" customFormat="false" ht="15" hidden="false" customHeight="false" outlineLevel="0" collapsed="false">
      <c r="B367" s="0" t="n">
        <v>351</v>
      </c>
      <c r="C367" s="0" t="n">
        <f aca="true">RAND()</f>
        <v>0.296644182411987</v>
      </c>
      <c r="D367" s="0" t="n">
        <f aca="true">RAND()</f>
        <v>0.754747570449686</v>
      </c>
      <c r="E367" s="0" t="n">
        <f aca="false">IF(C367&lt;=$C$10,1,IF(C367&lt;=$C$10+$C$11,2,3))</f>
        <v>2</v>
      </c>
      <c r="F367" s="0" t="n">
        <f aca="false">IF(E367=1,$C$4*SQRT(D367),IF(E367=2,$C$4+($C$5-$C$4)*D367,$C$6-($C$6-$C$5)*SQRT(1-D367)))</f>
        <v>6.01899028179874</v>
      </c>
    </row>
    <row r="368" customFormat="false" ht="15" hidden="false" customHeight="false" outlineLevel="0" collapsed="false">
      <c r="B368" s="0" t="n">
        <v>352</v>
      </c>
      <c r="C368" s="0" t="n">
        <f aca="true">RAND()</f>
        <v>0.521605987067288</v>
      </c>
      <c r="D368" s="0" t="n">
        <f aca="true">RAND()</f>
        <v>0.332944418624693</v>
      </c>
      <c r="E368" s="0" t="n">
        <f aca="false">IF(C368&lt;=$C$10,1,IF(C368&lt;=$C$10+$C$11,2,3))</f>
        <v>2</v>
      </c>
      <c r="F368" s="0" t="n">
        <f aca="false">IF(E368=1,$C$4*SQRT(D368),IF(E368=2,$C$4+($C$5-$C$4)*D368,$C$6-($C$6-$C$5)*SQRT(1-D368)))</f>
        <v>4.33177767449877</v>
      </c>
    </row>
    <row r="369" customFormat="false" ht="15" hidden="false" customHeight="false" outlineLevel="0" collapsed="false">
      <c r="B369" s="0" t="n">
        <v>353</v>
      </c>
      <c r="C369" s="0" t="n">
        <f aca="true">RAND()</f>
        <v>0.35184888229056</v>
      </c>
      <c r="D369" s="0" t="n">
        <f aca="true">RAND()</f>
        <v>0.441022884812079</v>
      </c>
      <c r="E369" s="0" t="n">
        <f aca="false">IF(C369&lt;=$C$10,1,IF(C369&lt;=$C$10+$C$11,2,3))</f>
        <v>2</v>
      </c>
      <c r="F369" s="0" t="n">
        <f aca="false">IF(E369=1,$C$4*SQRT(D369),IF(E369=2,$C$4+($C$5-$C$4)*D369,$C$6-($C$6-$C$5)*SQRT(1-D369)))</f>
        <v>4.76409153924832</v>
      </c>
    </row>
    <row r="370" customFormat="false" ht="15" hidden="false" customHeight="false" outlineLevel="0" collapsed="false">
      <c r="B370" s="0" t="n">
        <v>354</v>
      </c>
      <c r="C370" s="0" t="n">
        <f aca="true">RAND()</f>
        <v>0.525105679361482</v>
      </c>
      <c r="D370" s="0" t="n">
        <f aca="true">RAND()</f>
        <v>0.448242475729608</v>
      </c>
      <c r="E370" s="0" t="n">
        <f aca="false">IF(C370&lt;=$C$10,1,IF(C370&lt;=$C$10+$C$11,2,3))</f>
        <v>2</v>
      </c>
      <c r="F370" s="0" t="n">
        <f aca="false">IF(E370=1,$C$4*SQRT(D370),IF(E370=2,$C$4+($C$5-$C$4)*D370,$C$6-($C$6-$C$5)*SQRT(1-D370)))</f>
        <v>4.79296990291843</v>
      </c>
    </row>
    <row r="371" customFormat="false" ht="15" hidden="false" customHeight="false" outlineLevel="0" collapsed="false">
      <c r="B371" s="0" t="n">
        <v>355</v>
      </c>
      <c r="C371" s="0" t="n">
        <f aca="true">RAND()</f>
        <v>0.0888949086409652</v>
      </c>
      <c r="D371" s="0" t="n">
        <f aca="true">RAND()</f>
        <v>0.846143530358117</v>
      </c>
      <c r="E371" s="0" t="n">
        <f aca="false">IF(C371&lt;=$C$10,1,IF(C371&lt;=$C$10+$C$11,2,3))</f>
        <v>1</v>
      </c>
      <c r="F371" s="0" t="n">
        <f aca="false">IF(E371=1,$C$4*SQRT(D371),IF(E371=2,$C$4+($C$5-$C$4)*D371,$C$6-($C$6-$C$5)*SQRT(1-D371)))</f>
        <v>2.75958181129371</v>
      </c>
    </row>
    <row r="372" customFormat="false" ht="15" hidden="false" customHeight="false" outlineLevel="0" collapsed="false">
      <c r="B372" s="0" t="n">
        <v>356</v>
      </c>
      <c r="C372" s="0" t="n">
        <f aca="true">RAND()</f>
        <v>0.688351435039587</v>
      </c>
      <c r="D372" s="0" t="n">
        <f aca="true">RAND()</f>
        <v>0.399919675403382</v>
      </c>
      <c r="E372" s="0" t="n">
        <f aca="false">IF(C372&lt;=$C$10,1,IF(C372&lt;=$C$10+$C$11,2,3))</f>
        <v>2</v>
      </c>
      <c r="F372" s="0" t="n">
        <f aca="false">IF(E372=1,$C$4*SQRT(D372),IF(E372=2,$C$4+($C$5-$C$4)*D372,$C$6-($C$6-$C$5)*SQRT(1-D372)))</f>
        <v>4.59967870161353</v>
      </c>
    </row>
    <row r="373" customFormat="false" ht="15" hidden="false" customHeight="false" outlineLevel="0" collapsed="false">
      <c r="B373" s="0" t="n">
        <v>357</v>
      </c>
      <c r="C373" s="0" t="n">
        <f aca="true">RAND()</f>
        <v>0.0480466357295581</v>
      </c>
      <c r="D373" s="0" t="n">
        <f aca="true">RAND()</f>
        <v>0.466064261231366</v>
      </c>
      <c r="E373" s="0" t="n">
        <f aca="false">IF(C373&lt;=$C$10,1,IF(C373&lt;=$C$10+$C$11,2,3))</f>
        <v>1</v>
      </c>
      <c r="F373" s="0" t="n">
        <f aca="false">IF(E373=1,$C$4*SQRT(D373),IF(E373=2,$C$4+($C$5-$C$4)*D373,$C$6-($C$6-$C$5)*SQRT(1-D373)))</f>
        <v>2.04806697914944</v>
      </c>
    </row>
    <row r="374" customFormat="false" ht="15" hidden="false" customHeight="false" outlineLevel="0" collapsed="false">
      <c r="B374" s="0" t="n">
        <v>358</v>
      </c>
      <c r="C374" s="0" t="n">
        <f aca="true">RAND()</f>
        <v>0.854211237761637</v>
      </c>
      <c r="D374" s="0" t="n">
        <f aca="true">RAND()</f>
        <v>0.264143612706888</v>
      </c>
      <c r="E374" s="0" t="n">
        <f aca="false">IF(C374&lt;=$C$10,1,IF(C374&lt;=$C$10+$C$11,2,3))</f>
        <v>3</v>
      </c>
      <c r="F374" s="0" t="n">
        <f aca="false">IF(E374=1,$C$4*SQRT(D374),IF(E374=2,$C$4+($C$5-$C$4)*D374,$C$6-($C$6-$C$5)*SQRT(1-D374)))</f>
        <v>7.42653784064385</v>
      </c>
    </row>
    <row r="375" customFormat="false" ht="15" hidden="false" customHeight="false" outlineLevel="0" collapsed="false">
      <c r="B375" s="0" t="n">
        <v>359</v>
      </c>
      <c r="C375" s="0" t="n">
        <f aca="true">RAND()</f>
        <v>0.931092523747129</v>
      </c>
      <c r="D375" s="0" t="n">
        <f aca="true">RAND()</f>
        <v>0.680237951757527</v>
      </c>
      <c r="E375" s="0" t="n">
        <f aca="false">IF(C375&lt;=$C$10,1,IF(C375&lt;=$C$10+$C$11,2,3))</f>
        <v>3</v>
      </c>
      <c r="F375" s="0" t="n">
        <f aca="false">IF(E375=1,$C$4*SQRT(D375),IF(E375=2,$C$4+($C$5-$C$4)*D375,$C$6-($C$6-$C$5)*SQRT(1-D375)))</f>
        <v>8.3035748073722</v>
      </c>
    </row>
    <row r="376" customFormat="false" ht="15" hidden="false" customHeight="false" outlineLevel="0" collapsed="false">
      <c r="B376" s="0" t="n">
        <v>360</v>
      </c>
      <c r="C376" s="0" t="n">
        <f aca="true">RAND()</f>
        <v>0.104879194341457</v>
      </c>
      <c r="D376" s="0" t="n">
        <f aca="true">RAND()</f>
        <v>0.725153889280649</v>
      </c>
      <c r="E376" s="0" t="n">
        <f aca="false">IF(C376&lt;=$C$10,1,IF(C376&lt;=$C$10+$C$11,2,3))</f>
        <v>1</v>
      </c>
      <c r="F376" s="0" t="n">
        <f aca="false">IF(E376=1,$C$4*SQRT(D376),IF(E376=2,$C$4+($C$5-$C$4)*D376,$C$6-($C$6-$C$5)*SQRT(1-D376)))</f>
        <v>2.55467904119595</v>
      </c>
    </row>
    <row r="377" customFormat="false" ht="15" hidden="false" customHeight="false" outlineLevel="0" collapsed="false">
      <c r="B377" s="0" t="n">
        <v>361</v>
      </c>
      <c r="C377" s="0" t="n">
        <f aca="true">RAND()</f>
        <v>0.912704536839585</v>
      </c>
      <c r="D377" s="0" t="n">
        <f aca="true">RAND()</f>
        <v>0.677514871098535</v>
      </c>
      <c r="E377" s="0" t="n">
        <f aca="false">IF(C377&lt;=$C$10,1,IF(C377&lt;=$C$10+$C$11,2,3))</f>
        <v>3</v>
      </c>
      <c r="F377" s="0" t="n">
        <f aca="false">IF(E377=1,$C$4*SQRT(D377),IF(E377=2,$C$4+($C$5-$C$4)*D377,$C$6-($C$6-$C$5)*SQRT(1-D377)))</f>
        <v>8.2963667765293</v>
      </c>
    </row>
    <row r="378" customFormat="false" ht="15" hidden="false" customHeight="false" outlineLevel="0" collapsed="false">
      <c r="B378" s="0" t="n">
        <v>362</v>
      </c>
      <c r="C378" s="0" t="n">
        <f aca="true">RAND()</f>
        <v>0.536160941314922</v>
      </c>
      <c r="D378" s="0" t="n">
        <f aca="true">RAND()</f>
        <v>0.490549254038037</v>
      </c>
      <c r="E378" s="0" t="n">
        <f aca="false">IF(C378&lt;=$C$10,1,IF(C378&lt;=$C$10+$C$11,2,3))</f>
        <v>2</v>
      </c>
      <c r="F378" s="0" t="n">
        <f aca="false">IF(E378=1,$C$4*SQRT(D378),IF(E378=2,$C$4+($C$5-$C$4)*D378,$C$6-($C$6-$C$5)*SQRT(1-D378)))</f>
        <v>4.96219701615215</v>
      </c>
    </row>
    <row r="379" customFormat="false" ht="15" hidden="false" customHeight="false" outlineLevel="0" collapsed="false">
      <c r="B379" s="0" t="n">
        <v>363</v>
      </c>
      <c r="C379" s="0" t="n">
        <f aca="true">RAND()</f>
        <v>0.750168361457123</v>
      </c>
      <c r="D379" s="0" t="n">
        <f aca="true">RAND()</f>
        <v>0.136258703525303</v>
      </c>
      <c r="E379" s="0" t="n">
        <f aca="false">IF(C379&lt;=$C$10,1,IF(C379&lt;=$C$10+$C$11,2,3))</f>
        <v>2</v>
      </c>
      <c r="F379" s="0" t="n">
        <f aca="false">IF(E379=1,$C$4*SQRT(D379),IF(E379=2,$C$4+($C$5-$C$4)*D379,$C$6-($C$6-$C$5)*SQRT(1-D379)))</f>
        <v>3.54503481410121</v>
      </c>
    </row>
    <row r="380" customFormat="false" ht="15" hidden="false" customHeight="false" outlineLevel="0" collapsed="false">
      <c r="B380" s="0" t="n">
        <v>364</v>
      </c>
      <c r="C380" s="0" t="n">
        <f aca="true">RAND()</f>
        <v>0.608739220652393</v>
      </c>
      <c r="D380" s="0" t="n">
        <f aca="true">RAND()</f>
        <v>0.231100613029273</v>
      </c>
      <c r="E380" s="0" t="n">
        <f aca="false">IF(C380&lt;=$C$10,1,IF(C380&lt;=$C$10+$C$11,2,3))</f>
        <v>2</v>
      </c>
      <c r="F380" s="0" t="n">
        <f aca="false">IF(E380=1,$C$4*SQRT(D380),IF(E380=2,$C$4+($C$5-$C$4)*D380,$C$6-($C$6-$C$5)*SQRT(1-D380)))</f>
        <v>3.92440245211709</v>
      </c>
    </row>
    <row r="381" customFormat="false" ht="15" hidden="false" customHeight="false" outlineLevel="0" collapsed="false">
      <c r="B381" s="0" t="n">
        <v>365</v>
      </c>
      <c r="C381" s="0" t="n">
        <f aca="true">RAND()</f>
        <v>0.366805577695222</v>
      </c>
      <c r="D381" s="0" t="n">
        <f aca="true">RAND()</f>
        <v>0.420406131459193</v>
      </c>
      <c r="E381" s="0" t="n">
        <f aca="false">IF(C381&lt;=$C$10,1,IF(C381&lt;=$C$10+$C$11,2,3))</f>
        <v>2</v>
      </c>
      <c r="F381" s="0" t="n">
        <f aca="false">IF(E381=1,$C$4*SQRT(D381),IF(E381=2,$C$4+($C$5-$C$4)*D381,$C$6-($C$6-$C$5)*SQRT(1-D381)))</f>
        <v>4.68162452583677</v>
      </c>
    </row>
    <row r="382" customFormat="false" ht="15" hidden="false" customHeight="false" outlineLevel="0" collapsed="false">
      <c r="B382" s="0" t="n">
        <v>366</v>
      </c>
      <c r="C382" s="0" t="n">
        <f aca="true">RAND()</f>
        <v>0.858989600126247</v>
      </c>
      <c r="D382" s="0" t="n">
        <f aca="true">RAND()</f>
        <v>0.19859676041893</v>
      </c>
      <c r="E382" s="0" t="n">
        <f aca="false">IF(C382&lt;=$C$10,1,IF(C382&lt;=$C$10+$C$11,2,3))</f>
        <v>3</v>
      </c>
      <c r="F382" s="0" t="n">
        <f aca="false">IF(E382=1,$C$4*SQRT(D382),IF(E382=2,$C$4+($C$5-$C$4)*D382,$C$6-($C$6-$C$5)*SQRT(1-D382)))</f>
        <v>7.31436615373026</v>
      </c>
    </row>
    <row r="383" customFormat="false" ht="15" hidden="false" customHeight="false" outlineLevel="0" collapsed="false">
      <c r="B383" s="0" t="n">
        <v>367</v>
      </c>
      <c r="C383" s="0" t="n">
        <f aca="true">RAND()</f>
        <v>0.484177224272511</v>
      </c>
      <c r="D383" s="0" t="n">
        <f aca="true">RAND()</f>
        <v>0.247615482160534</v>
      </c>
      <c r="E383" s="0" t="n">
        <f aca="false">IF(C383&lt;=$C$10,1,IF(C383&lt;=$C$10+$C$11,2,3))</f>
        <v>2</v>
      </c>
      <c r="F383" s="0" t="n">
        <f aca="false">IF(E383=1,$C$4*SQRT(D383),IF(E383=2,$C$4+($C$5-$C$4)*D383,$C$6-($C$6-$C$5)*SQRT(1-D383)))</f>
        <v>3.99046192864214</v>
      </c>
    </row>
    <row r="384" customFormat="false" ht="15" hidden="false" customHeight="false" outlineLevel="0" collapsed="false">
      <c r="B384" s="0" t="n">
        <v>368</v>
      </c>
      <c r="C384" s="0" t="n">
        <f aca="true">RAND()</f>
        <v>0.718945849232805</v>
      </c>
      <c r="D384" s="0" t="n">
        <f aca="true">RAND()</f>
        <v>0.347642549683536</v>
      </c>
      <c r="E384" s="0" t="n">
        <f aca="false">IF(C384&lt;=$C$10,1,IF(C384&lt;=$C$10+$C$11,2,3))</f>
        <v>2</v>
      </c>
      <c r="F384" s="0" t="n">
        <f aca="false">IF(E384=1,$C$4*SQRT(D384),IF(E384=2,$C$4+($C$5-$C$4)*D384,$C$6-($C$6-$C$5)*SQRT(1-D384)))</f>
        <v>4.39057019873415</v>
      </c>
    </row>
    <row r="385" customFormat="false" ht="15" hidden="false" customHeight="false" outlineLevel="0" collapsed="false">
      <c r="B385" s="0" t="n">
        <v>369</v>
      </c>
      <c r="C385" s="0" t="n">
        <f aca="true">RAND()</f>
        <v>0.973834974308334</v>
      </c>
      <c r="D385" s="0" t="n">
        <f aca="true">RAND()</f>
        <v>0.860083018347067</v>
      </c>
      <c r="E385" s="0" t="n">
        <f aca="false">IF(C385&lt;=$C$10,1,IF(C385&lt;=$C$10+$C$11,2,3))</f>
        <v>3</v>
      </c>
      <c r="F385" s="0" t="n">
        <f aca="false">IF(E385=1,$C$4*SQRT(D385),IF(E385=2,$C$4+($C$5-$C$4)*D385,$C$6-($C$6-$C$5)*SQRT(1-D385)))</f>
        <v>8.8778356471192</v>
      </c>
    </row>
    <row r="386" customFormat="false" ht="15" hidden="false" customHeight="false" outlineLevel="0" collapsed="false">
      <c r="B386" s="0" t="n">
        <v>370</v>
      </c>
      <c r="C386" s="0" t="n">
        <f aca="true">RAND()</f>
        <v>0.801979702459783</v>
      </c>
      <c r="D386" s="0" t="n">
        <f aca="true">RAND()</f>
        <v>0.0792686188245936</v>
      </c>
      <c r="E386" s="0" t="n">
        <f aca="false">IF(C386&lt;=$C$10,1,IF(C386&lt;=$C$10+$C$11,2,3))</f>
        <v>3</v>
      </c>
      <c r="F386" s="0" t="n">
        <f aca="false">IF(E386=1,$C$4*SQRT(D386),IF(E386=2,$C$4+($C$5-$C$4)*D386,$C$6-($C$6-$C$5)*SQRT(1-D386)))</f>
        <v>7.12135753686244</v>
      </c>
    </row>
    <row r="387" customFormat="false" ht="15" hidden="false" customHeight="false" outlineLevel="0" collapsed="false">
      <c r="B387" s="0" t="n">
        <v>371</v>
      </c>
      <c r="C387" s="0" t="n">
        <f aca="true">RAND()</f>
        <v>0.102982288007104</v>
      </c>
      <c r="D387" s="0" t="n">
        <f aca="true">RAND()</f>
        <v>0.809963197036282</v>
      </c>
      <c r="E387" s="0" t="n">
        <f aca="false">IF(C387&lt;=$C$10,1,IF(C387&lt;=$C$10+$C$11,2,3))</f>
        <v>1</v>
      </c>
      <c r="F387" s="0" t="n">
        <f aca="false">IF(E387=1,$C$4*SQRT(D387),IF(E387=2,$C$4+($C$5-$C$4)*D387,$C$6-($C$6-$C$5)*SQRT(1-D387)))</f>
        <v>2.69993866103038</v>
      </c>
    </row>
    <row r="388" customFormat="false" ht="15" hidden="false" customHeight="false" outlineLevel="0" collapsed="false">
      <c r="B388" s="0" t="n">
        <v>372</v>
      </c>
      <c r="C388" s="0" t="n">
        <f aca="true">RAND()</f>
        <v>0.250790188333186</v>
      </c>
      <c r="D388" s="0" t="n">
        <f aca="true">RAND()</f>
        <v>0.472801302920399</v>
      </c>
      <c r="E388" s="0" t="n">
        <f aca="false">IF(C388&lt;=$C$10,1,IF(C388&lt;=$C$10+$C$11,2,3))</f>
        <v>2</v>
      </c>
      <c r="F388" s="0" t="n">
        <f aca="false">IF(E388=1,$C$4*SQRT(D388),IF(E388=2,$C$4+($C$5-$C$4)*D388,$C$6-($C$6-$C$5)*SQRT(1-D388)))</f>
        <v>4.8912052116816</v>
      </c>
    </row>
    <row r="389" customFormat="false" ht="15" hidden="false" customHeight="false" outlineLevel="0" collapsed="false">
      <c r="B389" s="0" t="n">
        <v>373</v>
      </c>
      <c r="C389" s="0" t="n">
        <f aca="true">RAND()</f>
        <v>0.436970199997778</v>
      </c>
      <c r="D389" s="0" t="n">
        <f aca="true">RAND()</f>
        <v>0.564638730708051</v>
      </c>
      <c r="E389" s="0" t="n">
        <f aca="false">IF(C389&lt;=$C$10,1,IF(C389&lt;=$C$10+$C$11,2,3))</f>
        <v>2</v>
      </c>
      <c r="F389" s="0" t="n">
        <f aca="false">IF(E389=1,$C$4*SQRT(D389),IF(E389=2,$C$4+($C$5-$C$4)*D389,$C$6-($C$6-$C$5)*SQRT(1-D389)))</f>
        <v>5.2585549228322</v>
      </c>
    </row>
    <row r="390" customFormat="false" ht="15" hidden="false" customHeight="false" outlineLevel="0" collapsed="false">
      <c r="B390" s="0" t="n">
        <v>374</v>
      </c>
      <c r="C390" s="0" t="n">
        <f aca="true">RAND()</f>
        <v>0.522789845094752</v>
      </c>
      <c r="D390" s="0" t="n">
        <f aca="true">RAND()</f>
        <v>0.111970925822619</v>
      </c>
      <c r="E390" s="0" t="n">
        <f aca="false">IF(C390&lt;=$C$10,1,IF(C390&lt;=$C$10+$C$11,2,3))</f>
        <v>2</v>
      </c>
      <c r="F390" s="0" t="n">
        <f aca="false">IF(E390=1,$C$4*SQRT(D390),IF(E390=2,$C$4+($C$5-$C$4)*D390,$C$6-($C$6-$C$5)*SQRT(1-D390)))</f>
        <v>3.44788370329048</v>
      </c>
    </row>
    <row r="391" customFormat="false" ht="15" hidden="false" customHeight="false" outlineLevel="0" collapsed="false">
      <c r="B391" s="0" t="n">
        <v>375</v>
      </c>
      <c r="C391" s="0" t="n">
        <f aca="true">RAND()</f>
        <v>0.131398925663863</v>
      </c>
      <c r="D391" s="0" t="n">
        <f aca="true">RAND()</f>
        <v>0.888116756544606</v>
      </c>
      <c r="E391" s="0" t="n">
        <f aca="false">IF(C391&lt;=$C$10,1,IF(C391&lt;=$C$10+$C$11,2,3))</f>
        <v>1</v>
      </c>
      <c r="F391" s="0" t="n">
        <f aca="false">IF(E391=1,$C$4*SQRT(D391),IF(E391=2,$C$4+($C$5-$C$4)*D391,$C$6-($C$6-$C$5)*SQRT(1-D391)))</f>
        <v>2.82719840281885</v>
      </c>
    </row>
    <row r="392" customFormat="false" ht="15" hidden="false" customHeight="false" outlineLevel="0" collapsed="false">
      <c r="B392" s="0" t="n">
        <v>376</v>
      </c>
      <c r="C392" s="0" t="n">
        <f aca="true">RAND()</f>
        <v>0.0152932776171227</v>
      </c>
      <c r="D392" s="0" t="n">
        <f aca="true">RAND()</f>
        <v>0.239985554902558</v>
      </c>
      <c r="E392" s="0" t="n">
        <f aca="false">IF(C392&lt;=$C$10,1,IF(C392&lt;=$C$10+$C$11,2,3))</f>
        <v>1</v>
      </c>
      <c r="F392" s="0" t="n">
        <f aca="false">IF(E392=1,$C$4*SQRT(D392),IF(E392=2,$C$4+($C$5-$C$4)*D392,$C$6-($C$6-$C$5)*SQRT(1-D392)))</f>
        <v>1.46964961610685</v>
      </c>
    </row>
    <row r="393" customFormat="false" ht="15" hidden="false" customHeight="false" outlineLevel="0" collapsed="false">
      <c r="B393" s="0" t="n">
        <v>377</v>
      </c>
      <c r="C393" s="0" t="n">
        <f aca="true">RAND()</f>
        <v>0.773682196562285</v>
      </c>
      <c r="D393" s="0" t="n">
        <f aca="true">RAND()</f>
        <v>0.425848840253444</v>
      </c>
      <c r="E393" s="0" t="n">
        <f aca="false">IF(C393&lt;=$C$10,1,IF(C393&lt;=$C$10+$C$11,2,3))</f>
        <v>2</v>
      </c>
      <c r="F393" s="0" t="n">
        <f aca="false">IF(E393=1,$C$4*SQRT(D393),IF(E393=2,$C$4+($C$5-$C$4)*D393,$C$6-($C$6-$C$5)*SQRT(1-D393)))</f>
        <v>4.70339536101377</v>
      </c>
    </row>
    <row r="394" customFormat="false" ht="15" hidden="false" customHeight="false" outlineLevel="0" collapsed="false">
      <c r="B394" s="0" t="n">
        <v>378</v>
      </c>
      <c r="C394" s="0" t="n">
        <f aca="true">RAND()</f>
        <v>0.656164003478028</v>
      </c>
      <c r="D394" s="0" t="n">
        <f aca="true">RAND()</f>
        <v>0.749263026596175</v>
      </c>
      <c r="E394" s="0" t="n">
        <f aca="false">IF(C394&lt;=$C$10,1,IF(C394&lt;=$C$10+$C$11,2,3))</f>
        <v>2</v>
      </c>
      <c r="F394" s="0" t="n">
        <f aca="false">IF(E394=1,$C$4*SQRT(D394),IF(E394=2,$C$4+($C$5-$C$4)*D394,$C$6-($C$6-$C$5)*SQRT(1-D394)))</f>
        <v>5.9970521063847</v>
      </c>
    </row>
    <row r="395" customFormat="false" ht="15" hidden="false" customHeight="false" outlineLevel="0" collapsed="false">
      <c r="B395" s="0" t="n">
        <v>379</v>
      </c>
      <c r="C395" s="0" t="n">
        <f aca="true">RAND()</f>
        <v>0.465024762748371</v>
      </c>
      <c r="D395" s="0" t="n">
        <f aca="true">RAND()</f>
        <v>0.221424446181111</v>
      </c>
      <c r="E395" s="0" t="n">
        <f aca="false">IF(C395&lt;=$C$10,1,IF(C395&lt;=$C$10+$C$11,2,3))</f>
        <v>2</v>
      </c>
      <c r="F395" s="0" t="n">
        <f aca="false">IF(E395=1,$C$4*SQRT(D395),IF(E395=2,$C$4+($C$5-$C$4)*D395,$C$6-($C$6-$C$5)*SQRT(1-D395)))</f>
        <v>3.88569778472445</v>
      </c>
    </row>
    <row r="396" customFormat="false" ht="15" hidden="false" customHeight="false" outlineLevel="0" collapsed="false">
      <c r="B396" s="0" t="n">
        <v>380</v>
      </c>
      <c r="C396" s="0" t="n">
        <f aca="true">RAND()</f>
        <v>0.641059197397913</v>
      </c>
      <c r="D396" s="0" t="n">
        <f aca="true">RAND()</f>
        <v>0.633087698615373</v>
      </c>
      <c r="E396" s="0" t="n">
        <f aca="false">IF(C396&lt;=$C$10,1,IF(C396&lt;=$C$10+$C$11,2,3))</f>
        <v>2</v>
      </c>
      <c r="F396" s="0" t="n">
        <f aca="false">IF(E396=1,$C$4*SQRT(D396),IF(E396=2,$C$4+($C$5-$C$4)*D396,$C$6-($C$6-$C$5)*SQRT(1-D396)))</f>
        <v>5.53235079446149</v>
      </c>
    </row>
    <row r="397" customFormat="false" ht="15" hidden="false" customHeight="false" outlineLevel="0" collapsed="false">
      <c r="B397" s="0" t="n">
        <v>381</v>
      </c>
      <c r="C397" s="0" t="n">
        <f aca="true">RAND()</f>
        <v>0.954971815062451</v>
      </c>
      <c r="D397" s="0" t="n">
        <f aca="true">RAND()</f>
        <v>0.476235865479366</v>
      </c>
      <c r="E397" s="0" t="n">
        <f aca="false">IF(C397&lt;=$C$10,1,IF(C397&lt;=$C$10+$C$11,2,3))</f>
        <v>3</v>
      </c>
      <c r="F397" s="0" t="n">
        <f aca="false">IF(E397=1,$C$4*SQRT(D397),IF(E397=2,$C$4+($C$5-$C$4)*D397,$C$6-($C$6-$C$5)*SQRT(1-D397)))</f>
        <v>7.82885348014334</v>
      </c>
    </row>
    <row r="398" customFormat="false" ht="15" hidden="false" customHeight="false" outlineLevel="0" collapsed="false">
      <c r="B398" s="0" t="n">
        <v>382</v>
      </c>
      <c r="C398" s="0" t="n">
        <f aca="true">RAND()</f>
        <v>0.0445115959119955</v>
      </c>
      <c r="D398" s="0" t="n">
        <f aca="true">RAND()</f>
        <v>0.283922663809716</v>
      </c>
      <c r="E398" s="0" t="n">
        <f aca="false">IF(C398&lt;=$C$10,1,IF(C398&lt;=$C$10+$C$11,2,3))</f>
        <v>1</v>
      </c>
      <c r="F398" s="0" t="n">
        <f aca="false">IF(E398=1,$C$4*SQRT(D398),IF(E398=2,$C$4+($C$5-$C$4)*D398,$C$6-($C$6-$C$5)*SQRT(1-D398)))</f>
        <v>1.59853181835315</v>
      </c>
    </row>
    <row r="399" customFormat="false" ht="15" hidden="false" customHeight="false" outlineLevel="0" collapsed="false">
      <c r="B399" s="0" t="n">
        <v>383</v>
      </c>
      <c r="C399" s="0" t="n">
        <f aca="true">RAND()</f>
        <v>0.598480038378021</v>
      </c>
      <c r="D399" s="0" t="n">
        <f aca="true">RAND()</f>
        <v>0.876629452735949</v>
      </c>
      <c r="E399" s="0" t="n">
        <f aca="false">IF(C399&lt;=$C$10,1,IF(C399&lt;=$C$10+$C$11,2,3))</f>
        <v>2</v>
      </c>
      <c r="F399" s="0" t="n">
        <f aca="false">IF(E399=1,$C$4*SQRT(D399),IF(E399=2,$C$4+($C$5-$C$4)*D399,$C$6-($C$6-$C$5)*SQRT(1-D399)))</f>
        <v>6.5065178109438</v>
      </c>
    </row>
    <row r="400" customFormat="false" ht="15" hidden="false" customHeight="false" outlineLevel="0" collapsed="false">
      <c r="B400" s="0" t="n">
        <v>384</v>
      </c>
      <c r="C400" s="0" t="n">
        <f aca="true">RAND()</f>
        <v>0.10613863675827</v>
      </c>
      <c r="D400" s="0" t="n">
        <f aca="true">RAND()</f>
        <v>0.221530993408042</v>
      </c>
      <c r="E400" s="0" t="n">
        <f aca="false">IF(C400&lt;=$C$10,1,IF(C400&lt;=$C$10+$C$11,2,3))</f>
        <v>1</v>
      </c>
      <c r="F400" s="0" t="n">
        <f aca="false">IF(E400=1,$C$4*SQRT(D400),IF(E400=2,$C$4+($C$5-$C$4)*D400,$C$6-($C$6-$C$5)*SQRT(1-D400)))</f>
        <v>1.41201237270513</v>
      </c>
    </row>
    <row r="401" customFormat="false" ht="15" hidden="false" customHeight="false" outlineLevel="0" collapsed="false">
      <c r="B401" s="0" t="n">
        <v>385</v>
      </c>
      <c r="C401" s="0" t="n">
        <f aca="true">RAND()</f>
        <v>0.873886828144653</v>
      </c>
      <c r="D401" s="0" t="n">
        <f aca="true">RAND()</f>
        <v>0.066245103995178</v>
      </c>
      <c r="E401" s="0" t="n">
        <f aca="false">IF(C401&lt;=$C$10,1,IF(C401&lt;=$C$10+$C$11,2,3))</f>
        <v>3</v>
      </c>
      <c r="F401" s="0" t="n">
        <f aca="false">IF(E401=1,$C$4*SQRT(D401),IF(E401=2,$C$4+($C$5-$C$4)*D401,$C$6-($C$6-$C$5)*SQRT(1-D401)))</f>
        <v>7.10107018642338</v>
      </c>
    </row>
    <row r="402" customFormat="false" ht="15" hidden="false" customHeight="false" outlineLevel="0" collapsed="false">
      <c r="B402" s="0" t="n">
        <v>386</v>
      </c>
      <c r="C402" s="0" t="n">
        <f aca="true">RAND()</f>
        <v>0.262605484190483</v>
      </c>
      <c r="D402" s="0" t="n">
        <f aca="true">RAND()</f>
        <v>0.565706990985961</v>
      </c>
      <c r="E402" s="0" t="n">
        <f aca="false">IF(C402&lt;=$C$10,1,IF(C402&lt;=$C$10+$C$11,2,3))</f>
        <v>2</v>
      </c>
      <c r="F402" s="0" t="n">
        <f aca="false">IF(E402=1,$C$4*SQRT(D402),IF(E402=2,$C$4+($C$5-$C$4)*D402,$C$6-($C$6-$C$5)*SQRT(1-D402)))</f>
        <v>5.26282796394385</v>
      </c>
    </row>
    <row r="403" customFormat="false" ht="15" hidden="false" customHeight="false" outlineLevel="0" collapsed="false">
      <c r="B403" s="0" t="n">
        <v>387</v>
      </c>
      <c r="C403" s="0" t="n">
        <f aca="true">RAND()</f>
        <v>0.737650215027298</v>
      </c>
      <c r="D403" s="0" t="n">
        <f aca="true">RAND()</f>
        <v>0.204748528539178</v>
      </c>
      <c r="E403" s="0" t="n">
        <f aca="false">IF(C403&lt;=$C$10,1,IF(C403&lt;=$C$10+$C$11,2,3))</f>
        <v>2</v>
      </c>
      <c r="F403" s="0" t="n">
        <f aca="false">IF(E403=1,$C$4*SQRT(D403),IF(E403=2,$C$4+($C$5-$C$4)*D403,$C$6-($C$6-$C$5)*SQRT(1-D403)))</f>
        <v>3.81899411415671</v>
      </c>
    </row>
    <row r="404" customFormat="false" ht="15" hidden="false" customHeight="false" outlineLevel="0" collapsed="false">
      <c r="B404" s="0" t="n">
        <v>388</v>
      </c>
      <c r="C404" s="0" t="n">
        <f aca="true">RAND()</f>
        <v>0.857642648645154</v>
      </c>
      <c r="D404" s="0" t="n">
        <f aca="true">RAND()</f>
        <v>0.611853107281036</v>
      </c>
      <c r="E404" s="0" t="n">
        <f aca="false">IF(C404&lt;=$C$10,1,IF(C404&lt;=$C$10+$C$11,2,3))</f>
        <v>3</v>
      </c>
      <c r="F404" s="0" t="n">
        <f aca="false">IF(E404=1,$C$4*SQRT(D404),IF(E404=2,$C$4+($C$5-$C$4)*D404,$C$6-($C$6-$C$5)*SQRT(1-D404)))</f>
        <v>8.13095692011375</v>
      </c>
    </row>
    <row r="405" customFormat="false" ht="15" hidden="false" customHeight="false" outlineLevel="0" collapsed="false">
      <c r="B405" s="0" t="n">
        <v>389</v>
      </c>
      <c r="C405" s="0" t="n">
        <f aca="true">RAND()</f>
        <v>0.700567602956785</v>
      </c>
      <c r="D405" s="0" t="n">
        <f aca="true">RAND()</f>
        <v>0.539449877285173</v>
      </c>
      <c r="E405" s="0" t="n">
        <f aca="false">IF(C405&lt;=$C$10,1,IF(C405&lt;=$C$10+$C$11,2,3))</f>
        <v>2</v>
      </c>
      <c r="F405" s="0" t="n">
        <f aca="false">IF(E405=1,$C$4*SQRT(D405),IF(E405=2,$C$4+($C$5-$C$4)*D405,$C$6-($C$6-$C$5)*SQRT(1-D405)))</f>
        <v>5.15779950914069</v>
      </c>
    </row>
    <row r="406" customFormat="false" ht="15" hidden="false" customHeight="false" outlineLevel="0" collapsed="false">
      <c r="B406" s="0" t="n">
        <v>390</v>
      </c>
      <c r="C406" s="0" t="n">
        <f aca="true">RAND()</f>
        <v>0.14768692890556</v>
      </c>
      <c r="D406" s="0" t="n">
        <f aca="true">RAND()</f>
        <v>0.838579988064307</v>
      </c>
      <c r="E406" s="0" t="n">
        <f aca="false">IF(C406&lt;=$C$10,1,IF(C406&lt;=$C$10+$C$11,2,3))</f>
        <v>1</v>
      </c>
      <c r="F406" s="0" t="n">
        <f aca="false">IF(E406=1,$C$4*SQRT(D406),IF(E406=2,$C$4+($C$5-$C$4)*D406,$C$6-($C$6-$C$5)*SQRT(1-D406)))</f>
        <v>2.7472203938852</v>
      </c>
    </row>
    <row r="407" customFormat="false" ht="15" hidden="false" customHeight="false" outlineLevel="0" collapsed="false">
      <c r="B407" s="0" t="n">
        <v>391</v>
      </c>
      <c r="C407" s="0" t="n">
        <f aca="true">RAND()</f>
        <v>0.361003636665332</v>
      </c>
      <c r="D407" s="0" t="n">
        <f aca="true">RAND()</f>
        <v>0.555327341201876</v>
      </c>
      <c r="E407" s="0" t="n">
        <f aca="false">IF(C407&lt;=$C$10,1,IF(C407&lt;=$C$10+$C$11,2,3))</f>
        <v>2</v>
      </c>
      <c r="F407" s="0" t="n">
        <f aca="false">IF(E407=1,$C$4*SQRT(D407),IF(E407=2,$C$4+($C$5-$C$4)*D407,$C$6-($C$6-$C$5)*SQRT(1-D407)))</f>
        <v>5.2213093648075</v>
      </c>
    </row>
    <row r="408" customFormat="false" ht="15" hidden="false" customHeight="false" outlineLevel="0" collapsed="false">
      <c r="B408" s="0" t="n">
        <v>392</v>
      </c>
      <c r="C408" s="0" t="n">
        <f aca="true">RAND()</f>
        <v>0.0960087369435378</v>
      </c>
      <c r="D408" s="0" t="n">
        <f aca="true">RAND()</f>
        <v>0.966778341405664</v>
      </c>
      <c r="E408" s="0" t="n">
        <f aca="false">IF(C408&lt;=$C$10,1,IF(C408&lt;=$C$10+$C$11,2,3))</f>
        <v>1</v>
      </c>
      <c r="F408" s="0" t="n">
        <f aca="false">IF(E408=1,$C$4*SQRT(D408),IF(E408=2,$C$4+($C$5-$C$4)*D408,$C$6-($C$6-$C$5)*SQRT(1-D408)))</f>
        <v>2.9497466116009</v>
      </c>
    </row>
    <row r="409" customFormat="false" ht="15" hidden="false" customHeight="false" outlineLevel="0" collapsed="false">
      <c r="B409" s="0" t="n">
        <v>393</v>
      </c>
      <c r="C409" s="0" t="n">
        <f aca="true">RAND()</f>
        <v>0.899023884375425</v>
      </c>
      <c r="D409" s="0" t="n">
        <f aca="true">RAND()</f>
        <v>0.865128350918465</v>
      </c>
      <c r="E409" s="0" t="n">
        <f aca="false">IF(C409&lt;=$C$10,1,IF(C409&lt;=$C$10+$C$11,2,3))</f>
        <v>3</v>
      </c>
      <c r="F409" s="0" t="n">
        <f aca="false">IF(E409=1,$C$4*SQRT(D409),IF(E409=2,$C$4+($C$5-$C$4)*D409,$C$6-($C$6-$C$5)*SQRT(1-D409)))</f>
        <v>8.89825373078289</v>
      </c>
    </row>
    <row r="410" customFormat="false" ht="15" hidden="false" customHeight="false" outlineLevel="0" collapsed="false">
      <c r="B410" s="0" t="n">
        <v>394</v>
      </c>
      <c r="C410" s="0" t="n">
        <f aca="true">RAND()</f>
        <v>0.322575677073629</v>
      </c>
      <c r="D410" s="0" t="n">
        <f aca="true">RAND()</f>
        <v>0.319552006019472</v>
      </c>
      <c r="E410" s="0" t="n">
        <f aca="false">IF(C410&lt;=$C$10,1,IF(C410&lt;=$C$10+$C$11,2,3))</f>
        <v>2</v>
      </c>
      <c r="F410" s="0" t="n">
        <f aca="false">IF(E410=1,$C$4*SQRT(D410),IF(E410=2,$C$4+($C$5-$C$4)*D410,$C$6-($C$6-$C$5)*SQRT(1-D410)))</f>
        <v>4.27820802407789</v>
      </c>
    </row>
    <row r="411" customFormat="false" ht="15" hidden="false" customHeight="false" outlineLevel="0" collapsed="false">
      <c r="B411" s="0" t="n">
        <v>395</v>
      </c>
      <c r="C411" s="0" t="n">
        <f aca="true">RAND()</f>
        <v>0.559818397813352</v>
      </c>
      <c r="D411" s="0" t="n">
        <f aca="true">RAND()</f>
        <v>0.961562638054318</v>
      </c>
      <c r="E411" s="0" t="n">
        <f aca="false">IF(C411&lt;=$C$10,1,IF(C411&lt;=$C$10+$C$11,2,3))</f>
        <v>2</v>
      </c>
      <c r="F411" s="0" t="n">
        <f aca="false">IF(E411=1,$C$4*SQRT(D411),IF(E411=2,$C$4+($C$5-$C$4)*D411,$C$6-($C$6-$C$5)*SQRT(1-D411)))</f>
        <v>6.84625055221727</v>
      </c>
    </row>
    <row r="412" customFormat="false" ht="15" hidden="false" customHeight="false" outlineLevel="0" collapsed="false">
      <c r="B412" s="0" t="n">
        <v>396</v>
      </c>
      <c r="C412" s="0" t="n">
        <f aca="true">RAND()</f>
        <v>0.209434865408028</v>
      </c>
      <c r="D412" s="0" t="n">
        <f aca="true">RAND()</f>
        <v>0.0284141694003362</v>
      </c>
      <c r="E412" s="0" t="n">
        <f aca="false">IF(C412&lt;=$C$10,1,IF(C412&lt;=$C$10+$C$11,2,3))</f>
        <v>1</v>
      </c>
      <c r="F412" s="0" t="n">
        <f aca="false">IF(E412=1,$C$4*SQRT(D412),IF(E412=2,$C$4+($C$5-$C$4)*D412,$C$6-($C$6-$C$5)*SQRT(1-D412)))</f>
        <v>0.505695090546691</v>
      </c>
    </row>
    <row r="413" customFormat="false" ht="15" hidden="false" customHeight="false" outlineLevel="0" collapsed="false">
      <c r="B413" s="0" t="n">
        <v>397</v>
      </c>
      <c r="C413" s="0" t="n">
        <f aca="true">RAND()</f>
        <v>0.608374969101612</v>
      </c>
      <c r="D413" s="0" t="n">
        <f aca="true">RAND()</f>
        <v>0.513422552754315</v>
      </c>
      <c r="E413" s="0" t="n">
        <f aca="false">IF(C413&lt;=$C$10,1,IF(C413&lt;=$C$10+$C$11,2,3))</f>
        <v>2</v>
      </c>
      <c r="F413" s="0" t="n">
        <f aca="false">IF(E413=1,$C$4*SQRT(D413),IF(E413=2,$C$4+($C$5-$C$4)*D413,$C$6-($C$6-$C$5)*SQRT(1-D413)))</f>
        <v>5.05369021101726</v>
      </c>
    </row>
    <row r="414" customFormat="false" ht="15" hidden="false" customHeight="false" outlineLevel="0" collapsed="false">
      <c r="B414" s="0" t="n">
        <v>398</v>
      </c>
      <c r="C414" s="0" t="n">
        <f aca="true">RAND()</f>
        <v>0.562773781430773</v>
      </c>
      <c r="D414" s="0" t="n">
        <f aca="true">RAND()</f>
        <v>0.239050146008291</v>
      </c>
      <c r="E414" s="0" t="n">
        <f aca="false">IF(C414&lt;=$C$10,1,IF(C414&lt;=$C$10+$C$11,2,3))</f>
        <v>2</v>
      </c>
      <c r="F414" s="0" t="n">
        <f aca="false">IF(E414=1,$C$4*SQRT(D414),IF(E414=2,$C$4+($C$5-$C$4)*D414,$C$6-($C$6-$C$5)*SQRT(1-D414)))</f>
        <v>3.95620058403316</v>
      </c>
    </row>
    <row r="415" customFormat="false" ht="15" hidden="false" customHeight="false" outlineLevel="0" collapsed="false">
      <c r="B415" s="0" t="n">
        <v>399</v>
      </c>
      <c r="C415" s="0" t="n">
        <f aca="true">RAND()</f>
        <v>0.318463032724901</v>
      </c>
      <c r="D415" s="0" t="n">
        <f aca="true">RAND()</f>
        <v>0.122846982964615</v>
      </c>
      <c r="E415" s="0" t="n">
        <f aca="false">IF(C415&lt;=$C$10,1,IF(C415&lt;=$C$10+$C$11,2,3))</f>
        <v>2</v>
      </c>
      <c r="F415" s="0" t="n">
        <f aca="false">IF(E415=1,$C$4*SQRT(D415),IF(E415=2,$C$4+($C$5-$C$4)*D415,$C$6-($C$6-$C$5)*SQRT(1-D415)))</f>
        <v>3.49138793185846</v>
      </c>
    </row>
    <row r="416" customFormat="false" ht="15" hidden="false" customHeight="false" outlineLevel="0" collapsed="false">
      <c r="B416" s="0" t="n">
        <v>400</v>
      </c>
      <c r="C416" s="0" t="n">
        <f aca="true">RAND()</f>
        <v>0.24691802483885</v>
      </c>
      <c r="D416" s="0" t="n">
        <f aca="true">RAND()</f>
        <v>0.880062170839992</v>
      </c>
      <c r="E416" s="0" t="n">
        <f aca="false">IF(C416&lt;=$C$10,1,IF(C416&lt;=$C$10+$C$11,2,3))</f>
        <v>2</v>
      </c>
      <c r="F416" s="0" t="n">
        <f aca="false">IF(E416=1,$C$4*SQRT(D416),IF(E416=2,$C$4+($C$5-$C$4)*D416,$C$6-($C$6-$C$5)*SQRT(1-D416)))</f>
        <v>6.52024868335997</v>
      </c>
    </row>
    <row r="417" customFormat="false" ht="15" hidden="false" customHeight="false" outlineLevel="0" collapsed="false">
      <c r="B417" s="0" t="n">
        <v>401</v>
      </c>
      <c r="C417" s="0" t="n">
        <f aca="true">RAND()</f>
        <v>0.502132833303465</v>
      </c>
      <c r="D417" s="0" t="n">
        <f aca="true">RAND()</f>
        <v>0.0088031106969652</v>
      </c>
      <c r="E417" s="0" t="n">
        <f aca="false">IF(C417&lt;=$C$10,1,IF(C417&lt;=$C$10+$C$11,2,3))</f>
        <v>2</v>
      </c>
      <c r="F417" s="0" t="n">
        <f aca="false">IF(E417=1,$C$4*SQRT(D417),IF(E417=2,$C$4+($C$5-$C$4)*D417,$C$6-($C$6-$C$5)*SQRT(1-D417)))</f>
        <v>3.03521244278786</v>
      </c>
    </row>
    <row r="418" customFormat="false" ht="15" hidden="false" customHeight="false" outlineLevel="0" collapsed="false">
      <c r="B418" s="0" t="n">
        <v>402</v>
      </c>
      <c r="C418" s="0" t="n">
        <f aca="true">RAND()</f>
        <v>0.974819090377049</v>
      </c>
      <c r="D418" s="0" t="n">
        <f aca="true">RAND()</f>
        <v>0.988415834111268</v>
      </c>
      <c r="E418" s="0" t="n">
        <f aca="false">IF(C418&lt;=$C$10,1,IF(C418&lt;=$C$10+$C$11,2,3))</f>
        <v>3</v>
      </c>
      <c r="F418" s="0" t="n">
        <f aca="false">IF(E418=1,$C$4*SQRT(D418),IF(E418=2,$C$4+($C$5-$C$4)*D418,$C$6-($C$6-$C$5)*SQRT(1-D418)))</f>
        <v>9.6771107109262</v>
      </c>
    </row>
    <row r="419" customFormat="false" ht="15" hidden="false" customHeight="false" outlineLevel="0" collapsed="false">
      <c r="B419" s="0" t="n">
        <v>403</v>
      </c>
      <c r="C419" s="0" t="n">
        <f aca="true">RAND()</f>
        <v>0.838574502111603</v>
      </c>
      <c r="D419" s="0" t="n">
        <f aca="true">RAND()</f>
        <v>0.334717278751523</v>
      </c>
      <c r="E419" s="0" t="n">
        <f aca="false">IF(C419&lt;=$C$10,1,IF(C419&lt;=$C$10+$C$11,2,3))</f>
        <v>3</v>
      </c>
      <c r="F419" s="0" t="n">
        <f aca="false">IF(E419=1,$C$4*SQRT(D419),IF(E419=2,$C$4+($C$5-$C$4)*D419,$C$6-($C$6-$C$5)*SQRT(1-D419)))</f>
        <v>7.55305404815793</v>
      </c>
    </row>
    <row r="420" customFormat="false" ht="15" hidden="false" customHeight="false" outlineLevel="0" collapsed="false">
      <c r="B420" s="0" t="n">
        <v>404</v>
      </c>
      <c r="C420" s="0" t="n">
        <f aca="true">RAND()</f>
        <v>0.146993992902699</v>
      </c>
      <c r="D420" s="0" t="n">
        <f aca="true">RAND()</f>
        <v>0.41697207600918</v>
      </c>
      <c r="E420" s="0" t="n">
        <f aca="false">IF(C420&lt;=$C$10,1,IF(C420&lt;=$C$10+$C$11,2,3))</f>
        <v>1</v>
      </c>
      <c r="F420" s="0" t="n">
        <f aca="false">IF(E420=1,$C$4*SQRT(D420),IF(E420=2,$C$4+($C$5-$C$4)*D420,$C$6-($C$6-$C$5)*SQRT(1-D420)))</f>
        <v>1.93720125027903</v>
      </c>
    </row>
    <row r="421" customFormat="false" ht="15" hidden="false" customHeight="false" outlineLevel="0" collapsed="false">
      <c r="B421" s="0" t="n">
        <v>405</v>
      </c>
      <c r="C421" s="0" t="n">
        <f aca="true">RAND()</f>
        <v>0.511011022392392</v>
      </c>
      <c r="D421" s="0" t="n">
        <f aca="true">RAND()</f>
        <v>0.106542314526847</v>
      </c>
      <c r="E421" s="0" t="n">
        <f aca="false">IF(C421&lt;=$C$10,1,IF(C421&lt;=$C$10+$C$11,2,3))</f>
        <v>2</v>
      </c>
      <c r="F421" s="0" t="n">
        <f aca="false">IF(E421=1,$C$4*SQRT(D421),IF(E421=2,$C$4+($C$5-$C$4)*D421,$C$6-($C$6-$C$5)*SQRT(1-D421)))</f>
        <v>3.42616925810739</v>
      </c>
    </row>
    <row r="422" customFormat="false" ht="15" hidden="false" customHeight="false" outlineLevel="0" collapsed="false">
      <c r="B422" s="0" t="n">
        <v>406</v>
      </c>
      <c r="C422" s="0" t="n">
        <f aca="true">RAND()</f>
        <v>0.957764789699408</v>
      </c>
      <c r="D422" s="0" t="n">
        <f aca="true">RAND()</f>
        <v>0.0879610509271974</v>
      </c>
      <c r="E422" s="0" t="n">
        <f aca="false">IF(C422&lt;=$C$10,1,IF(C422&lt;=$C$10+$C$11,2,3))</f>
        <v>3</v>
      </c>
      <c r="F422" s="0" t="n">
        <f aca="false">IF(E422=1,$C$4*SQRT(D422),IF(E422=2,$C$4+($C$5-$C$4)*D422,$C$6-($C$6-$C$5)*SQRT(1-D422)))</f>
        <v>7.13497809054534</v>
      </c>
    </row>
    <row r="423" customFormat="false" ht="15" hidden="false" customHeight="false" outlineLevel="0" collapsed="false">
      <c r="B423" s="0" t="n">
        <v>407</v>
      </c>
      <c r="C423" s="0" t="n">
        <f aca="true">RAND()</f>
        <v>0.328281578751732</v>
      </c>
      <c r="D423" s="0" t="n">
        <f aca="true">RAND()</f>
        <v>0.794505425326343</v>
      </c>
      <c r="E423" s="0" t="n">
        <f aca="false">IF(C423&lt;=$C$10,1,IF(C423&lt;=$C$10+$C$11,2,3))</f>
        <v>2</v>
      </c>
      <c r="F423" s="0" t="n">
        <f aca="false">IF(E423=1,$C$4*SQRT(D423),IF(E423=2,$C$4+($C$5-$C$4)*D423,$C$6-($C$6-$C$5)*SQRT(1-D423)))</f>
        <v>6.17802170130537</v>
      </c>
    </row>
    <row r="424" customFormat="false" ht="15" hidden="false" customHeight="false" outlineLevel="0" collapsed="false">
      <c r="B424" s="0" t="n">
        <v>408</v>
      </c>
      <c r="C424" s="0" t="n">
        <f aca="true">RAND()</f>
        <v>0.507782942945859</v>
      </c>
      <c r="D424" s="0" t="n">
        <f aca="true">RAND()</f>
        <v>0.277033522343336</v>
      </c>
      <c r="E424" s="0" t="n">
        <f aca="false">IF(C424&lt;=$C$10,1,IF(C424&lt;=$C$10+$C$11,2,3))</f>
        <v>2</v>
      </c>
      <c r="F424" s="0" t="n">
        <f aca="false">IF(E424=1,$C$4*SQRT(D424),IF(E424=2,$C$4+($C$5-$C$4)*D424,$C$6-($C$6-$C$5)*SQRT(1-D424)))</f>
        <v>4.10813408937334</v>
      </c>
    </row>
    <row r="425" customFormat="false" ht="15" hidden="false" customHeight="false" outlineLevel="0" collapsed="false">
      <c r="B425" s="0" t="n">
        <v>409</v>
      </c>
      <c r="C425" s="0" t="n">
        <f aca="true">RAND()</f>
        <v>0.815916277908112</v>
      </c>
      <c r="D425" s="0" t="n">
        <f aca="true">RAND()</f>
        <v>0.567679250071292</v>
      </c>
      <c r="E425" s="0" t="n">
        <f aca="false">IF(C425&lt;=$C$10,1,IF(C425&lt;=$C$10+$C$11,2,3))</f>
        <v>3</v>
      </c>
      <c r="F425" s="0" t="n">
        <f aca="false">IF(E425=1,$C$4*SQRT(D425),IF(E425=2,$C$4+($C$5-$C$4)*D425,$C$6-($C$6-$C$5)*SQRT(1-D425)))</f>
        <v>8.02746692059211</v>
      </c>
    </row>
    <row r="426" customFormat="false" ht="15" hidden="false" customHeight="false" outlineLevel="0" collapsed="false">
      <c r="B426" s="0" t="n">
        <v>410</v>
      </c>
      <c r="C426" s="0" t="n">
        <f aca="true">RAND()</f>
        <v>0.968990036922547</v>
      </c>
      <c r="D426" s="0" t="n">
        <f aca="true">RAND()</f>
        <v>0.190822117870958</v>
      </c>
      <c r="E426" s="0" t="n">
        <f aca="false">IF(C426&lt;=$C$10,1,IF(C426&lt;=$C$10+$C$11,2,3))</f>
        <v>3</v>
      </c>
      <c r="F426" s="0" t="n">
        <f aca="false">IF(E426=1,$C$4*SQRT(D426),IF(E426=2,$C$4+($C$5-$C$4)*D426,$C$6-($C$6-$C$5)*SQRT(1-D426)))</f>
        <v>7.30137054430191</v>
      </c>
    </row>
    <row r="427" customFormat="false" ht="15" hidden="false" customHeight="false" outlineLevel="0" collapsed="false">
      <c r="B427" s="0" t="n">
        <v>411</v>
      </c>
      <c r="C427" s="0" t="n">
        <f aca="true">RAND()</f>
        <v>0.831338637449169</v>
      </c>
      <c r="D427" s="0" t="n">
        <f aca="true">RAND()</f>
        <v>0.446091580914167</v>
      </c>
      <c r="E427" s="0" t="n">
        <f aca="false">IF(C427&lt;=$C$10,1,IF(C427&lt;=$C$10+$C$11,2,3))</f>
        <v>3</v>
      </c>
      <c r="F427" s="0" t="n">
        <f aca="false">IF(E427=1,$C$4*SQRT(D427),IF(E427=2,$C$4+($C$5-$C$4)*D427,$C$6-($C$6-$C$5)*SQRT(1-D427)))</f>
        <v>7.76724928131856</v>
      </c>
    </row>
    <row r="428" customFormat="false" ht="15" hidden="false" customHeight="false" outlineLevel="0" collapsed="false">
      <c r="B428" s="0" t="n">
        <v>412</v>
      </c>
      <c r="C428" s="0" t="n">
        <f aca="true">RAND()</f>
        <v>0.994540163378989</v>
      </c>
      <c r="D428" s="0" t="n">
        <f aca="true">RAND()</f>
        <v>0.591349512321354</v>
      </c>
      <c r="E428" s="0" t="n">
        <f aca="false">IF(C428&lt;=$C$10,1,IF(C428&lt;=$C$10+$C$11,2,3))</f>
        <v>3</v>
      </c>
      <c r="F428" s="0" t="n">
        <f aca="false">IF(E428=1,$C$4*SQRT(D428),IF(E428=2,$C$4+($C$5-$C$4)*D428,$C$6-($C$6-$C$5)*SQRT(1-D428)))</f>
        <v>8.08222671071166</v>
      </c>
    </row>
    <row r="429" customFormat="false" ht="15" hidden="false" customHeight="false" outlineLevel="0" collapsed="false">
      <c r="B429" s="0" t="n">
        <v>413</v>
      </c>
      <c r="C429" s="0" t="n">
        <f aca="true">RAND()</f>
        <v>0.63206754336941</v>
      </c>
      <c r="D429" s="0" t="n">
        <f aca="true">RAND()</f>
        <v>0.754240702257926</v>
      </c>
      <c r="E429" s="0" t="n">
        <f aca="false">IF(C429&lt;=$C$10,1,IF(C429&lt;=$C$10+$C$11,2,3))</f>
        <v>2</v>
      </c>
      <c r="F429" s="0" t="n">
        <f aca="false">IF(E429=1,$C$4*SQRT(D429),IF(E429=2,$C$4+($C$5-$C$4)*D429,$C$6-($C$6-$C$5)*SQRT(1-D429)))</f>
        <v>6.0169628090317</v>
      </c>
    </row>
    <row r="430" customFormat="false" ht="15" hidden="false" customHeight="false" outlineLevel="0" collapsed="false">
      <c r="B430" s="0" t="n">
        <v>414</v>
      </c>
      <c r="C430" s="0" t="n">
        <f aca="true">RAND()</f>
        <v>0.759033680093557</v>
      </c>
      <c r="D430" s="0" t="n">
        <f aca="true">RAND()</f>
        <v>0.950165044142661</v>
      </c>
      <c r="E430" s="0" t="n">
        <f aca="false">IF(C430&lt;=$C$10,1,IF(C430&lt;=$C$10+$C$11,2,3))</f>
        <v>2</v>
      </c>
      <c r="F430" s="0" t="n">
        <f aca="false">IF(E430=1,$C$4*SQRT(D430),IF(E430=2,$C$4+($C$5-$C$4)*D430,$C$6-($C$6-$C$5)*SQRT(1-D430)))</f>
        <v>6.80066017657065</v>
      </c>
    </row>
    <row r="431" customFormat="false" ht="15" hidden="false" customHeight="false" outlineLevel="0" collapsed="false">
      <c r="B431" s="0" t="n">
        <v>415</v>
      </c>
      <c r="C431" s="0" t="n">
        <f aca="true">RAND()</f>
        <v>0.380267751438018</v>
      </c>
      <c r="D431" s="0" t="n">
        <f aca="true">RAND()</f>
        <v>0.0603402450794739</v>
      </c>
      <c r="E431" s="0" t="n">
        <f aca="false">IF(C431&lt;=$C$10,1,IF(C431&lt;=$C$10+$C$11,2,3))</f>
        <v>2</v>
      </c>
      <c r="F431" s="0" t="n">
        <f aca="false">IF(E431=1,$C$4*SQRT(D431),IF(E431=2,$C$4+($C$5-$C$4)*D431,$C$6-($C$6-$C$5)*SQRT(1-D431)))</f>
        <v>3.2413609803179</v>
      </c>
    </row>
    <row r="432" customFormat="false" ht="15" hidden="false" customHeight="false" outlineLevel="0" collapsed="false">
      <c r="B432" s="0" t="n">
        <v>416</v>
      </c>
      <c r="C432" s="0" t="n">
        <f aca="true">RAND()</f>
        <v>0.611216674058191</v>
      </c>
      <c r="D432" s="0" t="n">
        <f aca="true">RAND()</f>
        <v>0.283012546186883</v>
      </c>
      <c r="E432" s="0" t="n">
        <f aca="false">IF(C432&lt;=$C$10,1,IF(C432&lt;=$C$10+$C$11,2,3))</f>
        <v>2</v>
      </c>
      <c r="F432" s="0" t="n">
        <f aca="false">IF(E432=1,$C$4*SQRT(D432),IF(E432=2,$C$4+($C$5-$C$4)*D432,$C$6-($C$6-$C$5)*SQRT(1-D432)))</f>
        <v>4.13205018474753</v>
      </c>
    </row>
    <row r="433" customFormat="false" ht="15" hidden="false" customHeight="false" outlineLevel="0" collapsed="false">
      <c r="B433" s="0" t="n">
        <v>417</v>
      </c>
      <c r="C433" s="0" t="n">
        <f aca="true">RAND()</f>
        <v>0.656516852893488</v>
      </c>
      <c r="D433" s="0" t="n">
        <f aca="true">RAND()</f>
        <v>0.43289481659297</v>
      </c>
      <c r="E433" s="0" t="n">
        <f aca="false">IF(C433&lt;=$C$10,1,IF(C433&lt;=$C$10+$C$11,2,3))</f>
        <v>2</v>
      </c>
      <c r="F433" s="0" t="n">
        <f aca="false">IF(E433=1,$C$4*SQRT(D433),IF(E433=2,$C$4+($C$5-$C$4)*D433,$C$6-($C$6-$C$5)*SQRT(1-D433)))</f>
        <v>4.73157926637188</v>
      </c>
    </row>
    <row r="434" customFormat="false" ht="15" hidden="false" customHeight="false" outlineLevel="0" collapsed="false">
      <c r="B434" s="0" t="n">
        <v>418</v>
      </c>
      <c r="C434" s="0" t="n">
        <f aca="true">RAND()</f>
        <v>0.394237214783755</v>
      </c>
      <c r="D434" s="0" t="n">
        <f aca="true">RAND()</f>
        <v>0.293330683434864</v>
      </c>
      <c r="E434" s="0" t="n">
        <f aca="false">IF(C434&lt;=$C$10,1,IF(C434&lt;=$C$10+$C$11,2,3))</f>
        <v>2</v>
      </c>
      <c r="F434" s="0" t="n">
        <f aca="false">IF(E434=1,$C$4*SQRT(D434),IF(E434=2,$C$4+($C$5-$C$4)*D434,$C$6-($C$6-$C$5)*SQRT(1-D434)))</f>
        <v>4.17332273373946</v>
      </c>
    </row>
    <row r="435" customFormat="false" ht="15" hidden="false" customHeight="false" outlineLevel="0" collapsed="false">
      <c r="B435" s="0" t="n">
        <v>419</v>
      </c>
      <c r="C435" s="0" t="n">
        <f aca="true">RAND()</f>
        <v>0.896180725301967</v>
      </c>
      <c r="D435" s="0" t="n">
        <f aca="true">RAND()</f>
        <v>0.103550655118174</v>
      </c>
      <c r="E435" s="0" t="n">
        <f aca="false">IF(C435&lt;=$C$10,1,IF(C435&lt;=$C$10+$C$11,2,3))</f>
        <v>3</v>
      </c>
      <c r="F435" s="0" t="n">
        <f aca="false">IF(E435=1,$C$4*SQRT(D435),IF(E435=2,$C$4+($C$5-$C$4)*D435,$C$6-($C$6-$C$5)*SQRT(1-D435)))</f>
        <v>7.15956973260451</v>
      </c>
    </row>
    <row r="436" customFormat="false" ht="15" hidden="false" customHeight="false" outlineLevel="0" collapsed="false">
      <c r="B436" s="0" t="n">
        <v>420</v>
      </c>
      <c r="C436" s="0" t="n">
        <f aca="true">RAND()</f>
        <v>0.860261572141562</v>
      </c>
      <c r="D436" s="0" t="n">
        <f aca="true">RAND()</f>
        <v>0.572872142537417</v>
      </c>
      <c r="E436" s="0" t="n">
        <f aca="false">IF(C436&lt;=$C$10,1,IF(C436&lt;=$C$10+$C$11,2,3))</f>
        <v>3</v>
      </c>
      <c r="F436" s="0" t="n">
        <f aca="false">IF(E436=1,$C$4*SQRT(D436),IF(E436=2,$C$4+($C$5-$C$4)*D436,$C$6-($C$6-$C$5)*SQRT(1-D436)))</f>
        <v>8.03934941482087</v>
      </c>
    </row>
    <row r="437" customFormat="false" ht="15" hidden="false" customHeight="false" outlineLevel="0" collapsed="false">
      <c r="B437" s="0" t="n">
        <v>421</v>
      </c>
      <c r="C437" s="0" t="n">
        <f aca="true">RAND()</f>
        <v>0.927798277031587</v>
      </c>
      <c r="D437" s="0" t="n">
        <f aca="true">RAND()</f>
        <v>0.273000099169136</v>
      </c>
      <c r="E437" s="0" t="n">
        <f aca="false">IF(C437&lt;=$C$10,1,IF(C437&lt;=$C$10+$C$11,2,3))</f>
        <v>3</v>
      </c>
      <c r="F437" s="0" t="n">
        <f aca="false">IF(E437=1,$C$4*SQRT(D437),IF(E437=2,$C$4+($C$5-$C$4)*D437,$C$6-($C$6-$C$5)*SQRT(1-D437)))</f>
        <v>7.44207132478684</v>
      </c>
    </row>
    <row r="438" customFormat="false" ht="15" hidden="false" customHeight="false" outlineLevel="0" collapsed="false">
      <c r="B438" s="0" t="n">
        <v>422</v>
      </c>
      <c r="C438" s="0" t="n">
        <f aca="true">RAND()</f>
        <v>0.27177295789747</v>
      </c>
      <c r="D438" s="0" t="n">
        <f aca="true">RAND()</f>
        <v>0.873788703556651</v>
      </c>
      <c r="E438" s="0" t="n">
        <f aca="false">IF(C438&lt;=$C$10,1,IF(C438&lt;=$C$10+$C$11,2,3))</f>
        <v>2</v>
      </c>
      <c r="F438" s="0" t="n">
        <f aca="false">IF(E438=1,$C$4*SQRT(D438),IF(E438=2,$C$4+($C$5-$C$4)*D438,$C$6-($C$6-$C$5)*SQRT(1-D438)))</f>
        <v>6.4951548142266</v>
      </c>
    </row>
    <row r="439" customFormat="false" ht="15" hidden="false" customHeight="false" outlineLevel="0" collapsed="false">
      <c r="B439" s="0" t="n">
        <v>423</v>
      </c>
      <c r="C439" s="0" t="n">
        <f aca="true">RAND()</f>
        <v>0.582329666637632</v>
      </c>
      <c r="D439" s="0" t="n">
        <f aca="true">RAND()</f>
        <v>0.95292579247716</v>
      </c>
      <c r="E439" s="0" t="n">
        <f aca="false">IF(C439&lt;=$C$10,1,IF(C439&lt;=$C$10+$C$11,2,3))</f>
        <v>2</v>
      </c>
      <c r="F439" s="0" t="n">
        <f aca="false">IF(E439=1,$C$4*SQRT(D439),IF(E439=2,$C$4+($C$5-$C$4)*D439,$C$6-($C$6-$C$5)*SQRT(1-D439)))</f>
        <v>6.81170316990864</v>
      </c>
    </row>
    <row r="440" customFormat="false" ht="15" hidden="false" customHeight="false" outlineLevel="0" collapsed="false">
      <c r="B440" s="0" t="n">
        <v>424</v>
      </c>
      <c r="C440" s="0" t="n">
        <f aca="true">RAND()</f>
        <v>0.856109576459377</v>
      </c>
      <c r="D440" s="0" t="n">
        <f aca="true">RAND()</f>
        <v>0.488372478982864</v>
      </c>
      <c r="E440" s="0" t="n">
        <f aca="false">IF(C440&lt;=$C$10,1,IF(C440&lt;=$C$10+$C$11,2,3))</f>
        <v>3</v>
      </c>
      <c r="F440" s="0" t="n">
        <f aca="false">IF(E440=1,$C$4*SQRT(D440),IF(E440=2,$C$4+($C$5-$C$4)*D440,$C$6-($C$6-$C$5)*SQRT(1-D440)))</f>
        <v>7.85415571647097</v>
      </c>
    </row>
    <row r="441" customFormat="false" ht="15" hidden="false" customHeight="false" outlineLevel="0" collapsed="false">
      <c r="B441" s="0" t="n">
        <v>425</v>
      </c>
      <c r="C441" s="0" t="n">
        <f aca="true">RAND()</f>
        <v>0.4773568603091</v>
      </c>
      <c r="D441" s="0" t="n">
        <f aca="true">RAND()</f>
        <v>0.702408157507675</v>
      </c>
      <c r="E441" s="0" t="n">
        <f aca="false">IF(C441&lt;=$C$10,1,IF(C441&lt;=$C$10+$C$11,2,3))</f>
        <v>2</v>
      </c>
      <c r="F441" s="0" t="n">
        <f aca="false">IF(E441=1,$C$4*SQRT(D441),IF(E441=2,$C$4+($C$5-$C$4)*D441,$C$6-($C$6-$C$5)*SQRT(1-D441)))</f>
        <v>5.8096326300307</v>
      </c>
    </row>
    <row r="442" customFormat="false" ht="15" hidden="false" customHeight="false" outlineLevel="0" collapsed="false">
      <c r="B442" s="0" t="n">
        <v>426</v>
      </c>
      <c r="C442" s="0" t="n">
        <f aca="true">RAND()</f>
        <v>0.356600967475593</v>
      </c>
      <c r="D442" s="0" t="n">
        <f aca="true">RAND()</f>
        <v>0.920598395753123</v>
      </c>
      <c r="E442" s="0" t="n">
        <f aca="false">IF(C442&lt;=$C$10,1,IF(C442&lt;=$C$10+$C$11,2,3))</f>
        <v>2</v>
      </c>
      <c r="F442" s="0" t="n">
        <f aca="false">IF(E442=1,$C$4*SQRT(D442),IF(E442=2,$C$4+($C$5-$C$4)*D442,$C$6-($C$6-$C$5)*SQRT(1-D442)))</f>
        <v>6.68239358301249</v>
      </c>
    </row>
    <row r="443" customFormat="false" ht="15" hidden="false" customHeight="false" outlineLevel="0" collapsed="false">
      <c r="B443" s="0" t="n">
        <v>427</v>
      </c>
      <c r="C443" s="0" t="n">
        <f aca="true">RAND()</f>
        <v>0.221925539739277</v>
      </c>
      <c r="D443" s="0" t="n">
        <f aca="true">RAND()</f>
        <v>0.577183473770816</v>
      </c>
      <c r="E443" s="0" t="n">
        <f aca="false">IF(C443&lt;=$C$10,1,IF(C443&lt;=$C$10+$C$11,2,3))</f>
        <v>2</v>
      </c>
      <c r="F443" s="0" t="n">
        <f aca="false">IF(E443=1,$C$4*SQRT(D443),IF(E443=2,$C$4+($C$5-$C$4)*D443,$C$6-($C$6-$C$5)*SQRT(1-D443)))</f>
        <v>5.30873389508326</v>
      </c>
    </row>
    <row r="444" customFormat="false" ht="15" hidden="false" customHeight="false" outlineLevel="0" collapsed="false">
      <c r="B444" s="0" t="n">
        <v>428</v>
      </c>
      <c r="C444" s="0" t="n">
        <f aca="true">RAND()</f>
        <v>0.075919054486084</v>
      </c>
      <c r="D444" s="0" t="n">
        <f aca="true">RAND()</f>
        <v>0.513154979271134</v>
      </c>
      <c r="E444" s="0" t="n">
        <f aca="false">IF(C444&lt;=$C$10,1,IF(C444&lt;=$C$10+$C$11,2,3))</f>
        <v>1</v>
      </c>
      <c r="F444" s="0" t="n">
        <f aca="false">IF(E444=1,$C$4*SQRT(D444),IF(E444=2,$C$4+($C$5-$C$4)*D444,$C$6-($C$6-$C$5)*SQRT(1-D444)))</f>
        <v>2.14904509339385</v>
      </c>
    </row>
    <row r="445" customFormat="false" ht="15" hidden="false" customHeight="false" outlineLevel="0" collapsed="false">
      <c r="B445" s="0" t="n">
        <v>429</v>
      </c>
      <c r="C445" s="0" t="n">
        <f aca="true">RAND()</f>
        <v>0.0350127407167347</v>
      </c>
      <c r="D445" s="0" t="n">
        <f aca="true">RAND()</f>
        <v>0.0859475916142989</v>
      </c>
      <c r="E445" s="0" t="n">
        <f aca="false">IF(C445&lt;=$C$10,1,IF(C445&lt;=$C$10+$C$11,2,3))</f>
        <v>1</v>
      </c>
      <c r="F445" s="0" t="n">
        <f aca="false">IF(E445=1,$C$4*SQRT(D445),IF(E445=2,$C$4+($C$5-$C$4)*D445,$C$6-($C$6-$C$5)*SQRT(1-D445)))</f>
        <v>0.8795045903966</v>
      </c>
    </row>
    <row r="446" customFormat="false" ht="15" hidden="false" customHeight="false" outlineLevel="0" collapsed="false">
      <c r="B446" s="0" t="n">
        <v>430</v>
      </c>
      <c r="C446" s="0" t="n">
        <f aca="true">RAND()</f>
        <v>0.844744459677819</v>
      </c>
      <c r="D446" s="0" t="n">
        <f aca="true">RAND()</f>
        <v>0.00034257786691787</v>
      </c>
      <c r="E446" s="0" t="n">
        <f aca="false">IF(C446&lt;=$C$10,1,IF(C446&lt;=$C$10+$C$11,2,3))</f>
        <v>3</v>
      </c>
      <c r="F446" s="0" t="n">
        <f aca="false">IF(E446=1,$C$4*SQRT(D446),IF(E446=2,$C$4+($C$5-$C$4)*D446,$C$6-($C$6-$C$5)*SQRT(1-D446)))</f>
        <v>7.00051391081777</v>
      </c>
    </row>
    <row r="447" customFormat="false" ht="15" hidden="false" customHeight="false" outlineLevel="0" collapsed="false">
      <c r="B447" s="0" t="n">
        <v>431</v>
      </c>
      <c r="C447" s="0" t="n">
        <f aca="true">RAND()</f>
        <v>0.771860109258576</v>
      </c>
      <c r="D447" s="0" t="n">
        <f aca="true">RAND()</f>
        <v>0.794788468265074</v>
      </c>
      <c r="E447" s="0" t="n">
        <f aca="false">IF(C447&lt;=$C$10,1,IF(C447&lt;=$C$10+$C$11,2,3))</f>
        <v>2</v>
      </c>
      <c r="F447" s="0" t="n">
        <f aca="false">IF(E447=1,$C$4*SQRT(D447),IF(E447=2,$C$4+($C$5-$C$4)*D447,$C$6-($C$6-$C$5)*SQRT(1-D447)))</f>
        <v>6.17915387306029</v>
      </c>
    </row>
    <row r="448" customFormat="false" ht="15" hidden="false" customHeight="false" outlineLevel="0" collapsed="false">
      <c r="B448" s="0" t="n">
        <v>432</v>
      </c>
      <c r="C448" s="0" t="n">
        <f aca="true">RAND()</f>
        <v>0.710252430813366</v>
      </c>
      <c r="D448" s="0" t="n">
        <f aca="true">RAND()</f>
        <v>0.888945638380978</v>
      </c>
      <c r="E448" s="0" t="n">
        <f aca="false">IF(C448&lt;=$C$10,1,IF(C448&lt;=$C$10+$C$11,2,3))</f>
        <v>2</v>
      </c>
      <c r="F448" s="0" t="n">
        <f aca="false">IF(E448=1,$C$4*SQRT(D448),IF(E448=2,$C$4+($C$5-$C$4)*D448,$C$6-($C$6-$C$5)*SQRT(1-D448)))</f>
        <v>6.55578255352391</v>
      </c>
    </row>
    <row r="449" customFormat="false" ht="15" hidden="false" customHeight="false" outlineLevel="0" collapsed="false">
      <c r="B449" s="0" t="n">
        <v>433</v>
      </c>
      <c r="C449" s="0" t="n">
        <f aca="true">RAND()</f>
        <v>0.438960720529576</v>
      </c>
      <c r="D449" s="0" t="n">
        <f aca="true">RAND()</f>
        <v>0.193503700021291</v>
      </c>
      <c r="E449" s="0" t="n">
        <f aca="false">IF(C449&lt;=$C$10,1,IF(C449&lt;=$C$10+$C$11,2,3))</f>
        <v>2</v>
      </c>
      <c r="F449" s="0" t="n">
        <f aca="false">IF(E449=1,$C$4*SQRT(D449),IF(E449=2,$C$4+($C$5-$C$4)*D449,$C$6-($C$6-$C$5)*SQRT(1-D449)))</f>
        <v>3.77401480008517</v>
      </c>
    </row>
    <row r="450" customFormat="false" ht="15" hidden="false" customHeight="false" outlineLevel="0" collapsed="false">
      <c r="B450" s="0" t="n">
        <v>434</v>
      </c>
      <c r="C450" s="0" t="n">
        <f aca="true">RAND()</f>
        <v>0.548463399705868</v>
      </c>
      <c r="D450" s="0" t="n">
        <f aca="true">RAND()</f>
        <v>0.94746904485332</v>
      </c>
      <c r="E450" s="0" t="n">
        <f aca="false">IF(C450&lt;=$C$10,1,IF(C450&lt;=$C$10+$C$11,2,3))</f>
        <v>2</v>
      </c>
      <c r="F450" s="0" t="n">
        <f aca="false">IF(E450=1,$C$4*SQRT(D450),IF(E450=2,$C$4+($C$5-$C$4)*D450,$C$6-($C$6-$C$5)*SQRT(1-D450)))</f>
        <v>6.78987617941328</v>
      </c>
    </row>
    <row r="451" customFormat="false" ht="15" hidden="false" customHeight="false" outlineLevel="0" collapsed="false">
      <c r="B451" s="0" t="n">
        <v>435</v>
      </c>
      <c r="C451" s="0" t="n">
        <f aca="true">RAND()</f>
        <v>0.900760721842393</v>
      </c>
      <c r="D451" s="0" t="n">
        <f aca="true">RAND()</f>
        <v>0.142192065161237</v>
      </c>
      <c r="E451" s="0" t="n">
        <f aca="false">IF(C451&lt;=$C$10,1,IF(C451&lt;=$C$10+$C$11,2,3))</f>
        <v>3</v>
      </c>
      <c r="F451" s="0" t="n">
        <f aca="false">IF(E451=1,$C$4*SQRT(D451),IF(E451=2,$C$4+($C$5-$C$4)*D451,$C$6-($C$6-$C$5)*SQRT(1-D451)))</f>
        <v>7.22146236060246</v>
      </c>
    </row>
    <row r="452" customFormat="false" ht="15" hidden="false" customHeight="false" outlineLevel="0" collapsed="false">
      <c r="B452" s="0" t="n">
        <v>436</v>
      </c>
      <c r="C452" s="0" t="n">
        <f aca="true">RAND()</f>
        <v>0.583489295567839</v>
      </c>
      <c r="D452" s="0" t="n">
        <f aca="true">RAND()</f>
        <v>0.948527590253014</v>
      </c>
      <c r="E452" s="0" t="n">
        <f aca="false">IF(C452&lt;=$C$10,1,IF(C452&lt;=$C$10+$C$11,2,3))</f>
        <v>2</v>
      </c>
      <c r="F452" s="0" t="n">
        <f aca="false">IF(E452=1,$C$4*SQRT(D452),IF(E452=2,$C$4+($C$5-$C$4)*D452,$C$6-($C$6-$C$5)*SQRT(1-D452)))</f>
        <v>6.79411036101206</v>
      </c>
    </row>
    <row r="453" customFormat="false" ht="15" hidden="false" customHeight="false" outlineLevel="0" collapsed="false">
      <c r="B453" s="0" t="n">
        <v>437</v>
      </c>
      <c r="C453" s="0" t="n">
        <f aca="true">RAND()</f>
        <v>0.331863496081824</v>
      </c>
      <c r="D453" s="0" t="n">
        <f aca="true">RAND()</f>
        <v>0.472307126674134</v>
      </c>
      <c r="E453" s="0" t="n">
        <f aca="false">IF(C453&lt;=$C$10,1,IF(C453&lt;=$C$10+$C$11,2,3))</f>
        <v>2</v>
      </c>
      <c r="F453" s="0" t="n">
        <f aca="false">IF(E453=1,$C$4*SQRT(D453),IF(E453=2,$C$4+($C$5-$C$4)*D453,$C$6-($C$6-$C$5)*SQRT(1-D453)))</f>
        <v>4.88922850669654</v>
      </c>
    </row>
    <row r="454" customFormat="false" ht="15" hidden="false" customHeight="false" outlineLevel="0" collapsed="false">
      <c r="B454" s="0" t="n">
        <v>438</v>
      </c>
      <c r="C454" s="0" t="n">
        <f aca="true">RAND()</f>
        <v>0.0427507114050349</v>
      </c>
      <c r="D454" s="0" t="n">
        <f aca="true">RAND()</f>
        <v>0.893903057563069</v>
      </c>
      <c r="E454" s="0" t="n">
        <f aca="false">IF(C454&lt;=$C$10,1,IF(C454&lt;=$C$10+$C$11,2,3))</f>
        <v>1</v>
      </c>
      <c r="F454" s="0" t="n">
        <f aca="false">IF(E454=1,$C$4*SQRT(D454),IF(E454=2,$C$4+($C$5-$C$4)*D454,$C$6-($C$6-$C$5)*SQRT(1-D454)))</f>
        <v>2.8363933997363</v>
      </c>
    </row>
    <row r="455" customFormat="false" ht="15" hidden="false" customHeight="false" outlineLevel="0" collapsed="false">
      <c r="B455" s="0" t="n">
        <v>439</v>
      </c>
      <c r="C455" s="0" t="n">
        <f aca="true">RAND()</f>
        <v>0.768696919337809</v>
      </c>
      <c r="D455" s="0" t="n">
        <f aca="true">RAND()</f>
        <v>0.740010278229168</v>
      </c>
      <c r="E455" s="0" t="n">
        <f aca="false">IF(C455&lt;=$C$10,1,IF(C455&lt;=$C$10+$C$11,2,3))</f>
        <v>2</v>
      </c>
      <c r="F455" s="0" t="n">
        <f aca="false">IF(E455=1,$C$4*SQRT(D455),IF(E455=2,$C$4+($C$5-$C$4)*D455,$C$6-($C$6-$C$5)*SQRT(1-D455)))</f>
        <v>5.96004111291667</v>
      </c>
    </row>
    <row r="456" customFormat="false" ht="15" hidden="false" customHeight="false" outlineLevel="0" collapsed="false">
      <c r="B456" s="0" t="n">
        <v>440</v>
      </c>
      <c r="C456" s="0" t="n">
        <f aca="true">RAND()</f>
        <v>0.514120353481392</v>
      </c>
      <c r="D456" s="0" t="n">
        <f aca="true">RAND()</f>
        <v>0.298755916714655</v>
      </c>
      <c r="E456" s="0" t="n">
        <f aca="false">IF(C456&lt;=$C$10,1,IF(C456&lt;=$C$10+$C$11,2,3))</f>
        <v>2</v>
      </c>
      <c r="F456" s="0" t="n">
        <f aca="false">IF(E456=1,$C$4*SQRT(D456),IF(E456=2,$C$4+($C$5-$C$4)*D456,$C$6-($C$6-$C$5)*SQRT(1-D456)))</f>
        <v>4.19502366685862</v>
      </c>
    </row>
    <row r="457" customFormat="false" ht="15" hidden="false" customHeight="false" outlineLevel="0" collapsed="false">
      <c r="B457" s="0" t="n">
        <v>441</v>
      </c>
      <c r="C457" s="0" t="n">
        <f aca="true">RAND()</f>
        <v>0.512341974544189</v>
      </c>
      <c r="D457" s="0" t="n">
        <f aca="true">RAND()</f>
        <v>0.784955501941625</v>
      </c>
      <c r="E457" s="0" t="n">
        <f aca="false">IF(C457&lt;=$C$10,1,IF(C457&lt;=$C$10+$C$11,2,3))</f>
        <v>2</v>
      </c>
      <c r="F457" s="0" t="n">
        <f aca="false">IF(E457=1,$C$4*SQRT(D457),IF(E457=2,$C$4+($C$5-$C$4)*D457,$C$6-($C$6-$C$5)*SQRT(1-D457)))</f>
        <v>6.1398220077665</v>
      </c>
    </row>
    <row r="458" customFormat="false" ht="15" hidden="false" customHeight="false" outlineLevel="0" collapsed="false">
      <c r="B458" s="0" t="n">
        <v>442</v>
      </c>
      <c r="C458" s="0" t="n">
        <f aca="true">RAND()</f>
        <v>0.184352157174138</v>
      </c>
      <c r="D458" s="0" t="n">
        <f aca="true">RAND()</f>
        <v>0.677804668600815</v>
      </c>
      <c r="E458" s="0" t="n">
        <f aca="false">IF(C458&lt;=$C$10,1,IF(C458&lt;=$C$10+$C$11,2,3))</f>
        <v>1</v>
      </c>
      <c r="F458" s="0" t="n">
        <f aca="false">IF(E458=1,$C$4*SQRT(D458),IF(E458=2,$C$4+($C$5-$C$4)*D458,$C$6-($C$6-$C$5)*SQRT(1-D458)))</f>
        <v>2.46986680155172</v>
      </c>
    </row>
    <row r="459" customFormat="false" ht="15" hidden="false" customHeight="false" outlineLevel="0" collapsed="false">
      <c r="B459" s="0" t="n">
        <v>443</v>
      </c>
      <c r="C459" s="0" t="n">
        <f aca="true">RAND()</f>
        <v>0.731545656132003</v>
      </c>
      <c r="D459" s="0" t="n">
        <f aca="true">RAND()</f>
        <v>0.829153346355782</v>
      </c>
      <c r="E459" s="0" t="n">
        <f aca="false">IF(C459&lt;=$C$10,1,IF(C459&lt;=$C$10+$C$11,2,3))</f>
        <v>2</v>
      </c>
      <c r="F459" s="0" t="n">
        <f aca="false">IF(E459=1,$C$4*SQRT(D459),IF(E459=2,$C$4+($C$5-$C$4)*D459,$C$6-($C$6-$C$5)*SQRT(1-D459)))</f>
        <v>6.31661338542313</v>
      </c>
    </row>
    <row r="460" customFormat="false" ht="15" hidden="false" customHeight="false" outlineLevel="0" collapsed="false">
      <c r="B460" s="0" t="n">
        <v>444</v>
      </c>
      <c r="C460" s="0" t="n">
        <f aca="true">RAND()</f>
        <v>0.97828968309447</v>
      </c>
      <c r="D460" s="0" t="n">
        <f aca="true">RAND()</f>
        <v>0.665833636744636</v>
      </c>
      <c r="E460" s="0" t="n">
        <f aca="false">IF(C460&lt;=$C$10,1,IF(C460&lt;=$C$10+$C$11,2,3))</f>
        <v>3</v>
      </c>
      <c r="F460" s="0" t="n">
        <f aca="false">IF(E460=1,$C$4*SQRT(D460),IF(E460=2,$C$4+($C$5-$C$4)*D460,$C$6-($C$6-$C$5)*SQRT(1-D460)))</f>
        <v>8.26578626769989</v>
      </c>
    </row>
    <row r="461" customFormat="false" ht="15" hidden="false" customHeight="false" outlineLevel="0" collapsed="false">
      <c r="B461" s="0" t="n">
        <v>445</v>
      </c>
      <c r="C461" s="0" t="n">
        <f aca="true">RAND()</f>
        <v>0.350980362028144</v>
      </c>
      <c r="D461" s="0" t="n">
        <f aca="true">RAND()</f>
        <v>0.0856912270618218</v>
      </c>
      <c r="E461" s="0" t="n">
        <f aca="false">IF(C461&lt;=$C$10,1,IF(C461&lt;=$C$10+$C$11,2,3))</f>
        <v>2</v>
      </c>
      <c r="F461" s="0" t="n">
        <f aca="false">IF(E461=1,$C$4*SQRT(D461),IF(E461=2,$C$4+($C$5-$C$4)*D461,$C$6-($C$6-$C$5)*SQRT(1-D461)))</f>
        <v>3.34276490824729</v>
      </c>
    </row>
    <row r="462" customFormat="false" ht="15" hidden="false" customHeight="false" outlineLevel="0" collapsed="false">
      <c r="B462" s="0" t="n">
        <v>446</v>
      </c>
      <c r="C462" s="0" t="n">
        <f aca="true">RAND()</f>
        <v>0.629017035308401</v>
      </c>
      <c r="D462" s="0" t="n">
        <f aca="true">RAND()</f>
        <v>0.348857377153467</v>
      </c>
      <c r="E462" s="0" t="n">
        <f aca="false">IF(C462&lt;=$C$10,1,IF(C462&lt;=$C$10+$C$11,2,3))</f>
        <v>2</v>
      </c>
      <c r="F462" s="0" t="n">
        <f aca="false">IF(E462=1,$C$4*SQRT(D462),IF(E462=2,$C$4+($C$5-$C$4)*D462,$C$6-($C$6-$C$5)*SQRT(1-D462)))</f>
        <v>4.39542950861387</v>
      </c>
    </row>
    <row r="463" customFormat="false" ht="15" hidden="false" customHeight="false" outlineLevel="0" collapsed="false">
      <c r="B463" s="0" t="n">
        <v>447</v>
      </c>
      <c r="C463" s="0" t="n">
        <f aca="true">RAND()</f>
        <v>0.231865916794051</v>
      </c>
      <c r="D463" s="0" t="n">
        <f aca="true">RAND()</f>
        <v>0.496251317246513</v>
      </c>
      <c r="E463" s="0" t="n">
        <f aca="false">IF(C463&lt;=$C$10,1,IF(C463&lt;=$C$10+$C$11,2,3))</f>
        <v>2</v>
      </c>
      <c r="F463" s="0" t="n">
        <f aca="false">IF(E463=1,$C$4*SQRT(D463),IF(E463=2,$C$4+($C$5-$C$4)*D463,$C$6-($C$6-$C$5)*SQRT(1-D463)))</f>
        <v>4.98500526898605</v>
      </c>
    </row>
    <row r="464" customFormat="false" ht="15" hidden="false" customHeight="false" outlineLevel="0" collapsed="false">
      <c r="B464" s="0" t="n">
        <v>448</v>
      </c>
      <c r="C464" s="0" t="n">
        <f aca="true">RAND()</f>
        <v>0.562713384085761</v>
      </c>
      <c r="D464" s="0" t="n">
        <f aca="true">RAND()</f>
        <v>0.346394655982593</v>
      </c>
      <c r="E464" s="0" t="n">
        <f aca="false">IF(C464&lt;=$C$10,1,IF(C464&lt;=$C$10+$C$11,2,3))</f>
        <v>2</v>
      </c>
      <c r="F464" s="0" t="n">
        <f aca="false">IF(E464=1,$C$4*SQRT(D464),IF(E464=2,$C$4+($C$5-$C$4)*D464,$C$6-($C$6-$C$5)*SQRT(1-D464)))</f>
        <v>4.38557862393037</v>
      </c>
    </row>
    <row r="465" customFormat="false" ht="15" hidden="false" customHeight="false" outlineLevel="0" collapsed="false">
      <c r="B465" s="0" t="n">
        <v>449</v>
      </c>
      <c r="C465" s="0" t="n">
        <f aca="true">RAND()</f>
        <v>0.431332757437607</v>
      </c>
      <c r="D465" s="0" t="n">
        <f aca="true">RAND()</f>
        <v>0.638695568526879</v>
      </c>
      <c r="E465" s="0" t="n">
        <f aca="false">IF(C465&lt;=$C$10,1,IF(C465&lt;=$C$10+$C$11,2,3))</f>
        <v>2</v>
      </c>
      <c r="F465" s="0" t="n">
        <f aca="false">IF(E465=1,$C$4*SQRT(D465),IF(E465=2,$C$4+($C$5-$C$4)*D465,$C$6-($C$6-$C$5)*SQRT(1-D465)))</f>
        <v>5.55478227410752</v>
      </c>
    </row>
    <row r="466" customFormat="false" ht="15" hidden="false" customHeight="false" outlineLevel="0" collapsed="false">
      <c r="B466" s="0" t="n">
        <v>450</v>
      </c>
      <c r="C466" s="0" t="n">
        <f aca="true">RAND()</f>
        <v>0.421511661918782</v>
      </c>
      <c r="D466" s="0" t="n">
        <f aca="true">RAND()</f>
        <v>0.731705478263585</v>
      </c>
      <c r="E466" s="0" t="n">
        <f aca="false">IF(C466&lt;=$C$10,1,IF(C466&lt;=$C$10+$C$11,2,3))</f>
        <v>2</v>
      </c>
      <c r="F466" s="0" t="n">
        <f aca="false">IF(E466=1,$C$4*SQRT(D466),IF(E466=2,$C$4+($C$5-$C$4)*D466,$C$6-($C$6-$C$5)*SQRT(1-D466)))</f>
        <v>5.92682191305434</v>
      </c>
    </row>
    <row r="467" customFormat="false" ht="15" hidden="false" customHeight="false" outlineLevel="0" collapsed="false">
      <c r="B467" s="0" t="n">
        <v>451</v>
      </c>
      <c r="C467" s="0" t="n">
        <f aca="true">RAND()</f>
        <v>0.967063622376025</v>
      </c>
      <c r="D467" s="0" t="n">
        <f aca="true">RAND()</f>
        <v>0.428851416635781</v>
      </c>
      <c r="E467" s="0" t="n">
        <f aca="false">IF(C467&lt;=$C$10,1,IF(C467&lt;=$C$10+$C$11,2,3))</f>
        <v>3</v>
      </c>
      <c r="F467" s="0" t="n">
        <f aca="false">IF(E467=1,$C$4*SQRT(D467),IF(E467=2,$C$4+($C$5-$C$4)*D467,$C$6-($C$6-$C$5)*SQRT(1-D467)))</f>
        <v>7.73276881410872</v>
      </c>
    </row>
    <row r="468" customFormat="false" ht="15" hidden="false" customHeight="false" outlineLevel="0" collapsed="false">
      <c r="B468" s="0" t="n">
        <v>452</v>
      </c>
      <c r="C468" s="0" t="n">
        <f aca="true">RAND()</f>
        <v>0.502076959958745</v>
      </c>
      <c r="D468" s="0" t="n">
        <f aca="true">RAND()</f>
        <v>0.329594827145096</v>
      </c>
      <c r="E468" s="0" t="n">
        <f aca="false">IF(C468&lt;=$C$10,1,IF(C468&lt;=$C$10+$C$11,2,3))</f>
        <v>2</v>
      </c>
      <c r="F468" s="0" t="n">
        <f aca="false">IF(E468=1,$C$4*SQRT(D468),IF(E468=2,$C$4+($C$5-$C$4)*D468,$C$6-($C$6-$C$5)*SQRT(1-D468)))</f>
        <v>4.31837930858038</v>
      </c>
    </row>
    <row r="469" customFormat="false" ht="15" hidden="false" customHeight="false" outlineLevel="0" collapsed="false">
      <c r="B469" s="0" t="n">
        <v>453</v>
      </c>
      <c r="C469" s="0" t="n">
        <f aca="true">RAND()</f>
        <v>0.944854381598242</v>
      </c>
      <c r="D469" s="0" t="n">
        <f aca="true">RAND()</f>
        <v>0.850996773594639</v>
      </c>
      <c r="E469" s="0" t="n">
        <f aca="false">IF(C469&lt;=$C$10,1,IF(C469&lt;=$C$10+$C$11,2,3))</f>
        <v>3</v>
      </c>
      <c r="F469" s="0" t="n">
        <f aca="false">IF(E469=1,$C$4*SQRT(D469),IF(E469=2,$C$4+($C$5-$C$4)*D469,$C$6-($C$6-$C$5)*SQRT(1-D469)))</f>
        <v>8.84197191845437</v>
      </c>
    </row>
    <row r="470" customFormat="false" ht="15" hidden="false" customHeight="false" outlineLevel="0" collapsed="false">
      <c r="B470" s="0" t="n">
        <v>454</v>
      </c>
      <c r="C470" s="0" t="n">
        <f aca="true">RAND()</f>
        <v>0.943899273627893</v>
      </c>
      <c r="D470" s="0" t="n">
        <f aca="true">RAND()</f>
        <v>0.735729099156011</v>
      </c>
      <c r="E470" s="0" t="n">
        <f aca="false">IF(C470&lt;=$C$10,1,IF(C470&lt;=$C$10+$C$11,2,3))</f>
        <v>3</v>
      </c>
      <c r="F470" s="0" t="n">
        <f aca="false">IF(E470=1,$C$4*SQRT(D470),IF(E470=2,$C$4+($C$5-$C$4)*D470,$C$6-($C$6-$C$5)*SQRT(1-D470)))</f>
        <v>8.45778143326055</v>
      </c>
    </row>
    <row r="471" customFormat="false" ht="15" hidden="false" customHeight="false" outlineLevel="0" collapsed="false">
      <c r="B471" s="0" t="n">
        <v>455</v>
      </c>
      <c r="C471" s="0" t="n">
        <f aca="true">RAND()</f>
        <v>0.734956385362716</v>
      </c>
      <c r="D471" s="0" t="n">
        <f aca="true">RAND()</f>
        <v>0.783263675795805</v>
      </c>
      <c r="E471" s="0" t="n">
        <f aca="false">IF(C471&lt;=$C$10,1,IF(C471&lt;=$C$10+$C$11,2,3))</f>
        <v>2</v>
      </c>
      <c r="F471" s="0" t="n">
        <f aca="false">IF(E471=1,$C$4*SQRT(D471),IF(E471=2,$C$4+($C$5-$C$4)*D471,$C$6-($C$6-$C$5)*SQRT(1-D471)))</f>
        <v>6.13305470318322</v>
      </c>
    </row>
    <row r="472" customFormat="false" ht="15" hidden="false" customHeight="false" outlineLevel="0" collapsed="false">
      <c r="B472" s="0" t="n">
        <v>456</v>
      </c>
      <c r="C472" s="0" t="n">
        <f aca="true">RAND()</f>
        <v>0.20262888519158</v>
      </c>
      <c r="D472" s="0" t="n">
        <f aca="true">RAND()</f>
        <v>0.743307553675075</v>
      </c>
      <c r="E472" s="0" t="n">
        <f aca="false">IF(C472&lt;=$C$10,1,IF(C472&lt;=$C$10+$C$11,2,3))</f>
        <v>1</v>
      </c>
      <c r="F472" s="0" t="n">
        <f aca="false">IF(E472=1,$C$4*SQRT(D472),IF(E472=2,$C$4+($C$5-$C$4)*D472,$C$6-($C$6-$C$5)*SQRT(1-D472)))</f>
        <v>2.58645857942393</v>
      </c>
    </row>
    <row r="473" customFormat="false" ht="15" hidden="false" customHeight="false" outlineLevel="0" collapsed="false">
      <c r="B473" s="0" t="n">
        <v>457</v>
      </c>
      <c r="C473" s="0" t="n">
        <f aca="true">RAND()</f>
        <v>0.0923000485404046</v>
      </c>
      <c r="D473" s="0" t="n">
        <f aca="true">RAND()</f>
        <v>0.0573300384794678</v>
      </c>
      <c r="E473" s="0" t="n">
        <f aca="false">IF(C473&lt;=$C$10,1,IF(C473&lt;=$C$10+$C$11,2,3))</f>
        <v>1</v>
      </c>
      <c r="F473" s="0" t="n">
        <f aca="false">IF(E473=1,$C$4*SQRT(D473),IF(E473=2,$C$4+($C$5-$C$4)*D473,$C$6-($C$6-$C$5)*SQRT(1-D473)))</f>
        <v>0.718310758874744</v>
      </c>
    </row>
    <row r="474" customFormat="false" ht="15" hidden="false" customHeight="false" outlineLevel="0" collapsed="false">
      <c r="B474" s="0" t="n">
        <v>458</v>
      </c>
      <c r="C474" s="0" t="n">
        <f aca="true">RAND()</f>
        <v>0.361133434509487</v>
      </c>
      <c r="D474" s="0" t="n">
        <f aca="true">RAND()</f>
        <v>0.18706084768262</v>
      </c>
      <c r="E474" s="0" t="n">
        <f aca="false">IF(C474&lt;=$C$10,1,IF(C474&lt;=$C$10+$C$11,2,3))</f>
        <v>2</v>
      </c>
      <c r="F474" s="0" t="n">
        <f aca="false">IF(E474=1,$C$4*SQRT(D474),IF(E474=2,$C$4+($C$5-$C$4)*D474,$C$6-($C$6-$C$5)*SQRT(1-D474)))</f>
        <v>3.74824339073048</v>
      </c>
    </row>
    <row r="475" customFormat="false" ht="15" hidden="false" customHeight="false" outlineLevel="0" collapsed="false">
      <c r="B475" s="0" t="n">
        <v>459</v>
      </c>
      <c r="C475" s="0" t="n">
        <f aca="true">RAND()</f>
        <v>0.805056273490208</v>
      </c>
      <c r="D475" s="0" t="n">
        <f aca="true">RAND()</f>
        <v>0.0769730172928068</v>
      </c>
      <c r="E475" s="0" t="n">
        <f aca="false">IF(C475&lt;=$C$10,1,IF(C475&lt;=$C$10+$C$11,2,3))</f>
        <v>3</v>
      </c>
      <c r="F475" s="0" t="n">
        <f aca="false">IF(E475=1,$C$4*SQRT(D475),IF(E475=2,$C$4+($C$5-$C$4)*D475,$C$6-($C$6-$C$5)*SQRT(1-D475)))</f>
        <v>7.11777120194029</v>
      </c>
    </row>
    <row r="476" customFormat="false" ht="15" hidden="false" customHeight="false" outlineLevel="0" collapsed="false">
      <c r="B476" s="0" t="n">
        <v>460</v>
      </c>
      <c r="C476" s="0" t="n">
        <f aca="true">RAND()</f>
        <v>0.293921221496231</v>
      </c>
      <c r="D476" s="0" t="n">
        <f aca="true">RAND()</f>
        <v>0.735654781585161</v>
      </c>
      <c r="E476" s="0" t="n">
        <f aca="false">IF(C476&lt;=$C$10,1,IF(C476&lt;=$C$10+$C$11,2,3))</f>
        <v>2</v>
      </c>
      <c r="F476" s="0" t="n">
        <f aca="false">IF(E476=1,$C$4*SQRT(D476),IF(E476=2,$C$4+($C$5-$C$4)*D476,$C$6-($C$6-$C$5)*SQRT(1-D476)))</f>
        <v>5.94261912634064</v>
      </c>
    </row>
    <row r="477" customFormat="false" ht="15" hidden="false" customHeight="false" outlineLevel="0" collapsed="false">
      <c r="B477" s="0" t="n">
        <v>461</v>
      </c>
      <c r="C477" s="0" t="n">
        <f aca="true">RAND()</f>
        <v>0.253412601128772</v>
      </c>
      <c r="D477" s="0" t="n">
        <f aca="true">RAND()</f>
        <v>0.359360468844871</v>
      </c>
      <c r="E477" s="0" t="n">
        <f aca="false">IF(C477&lt;=$C$10,1,IF(C477&lt;=$C$10+$C$11,2,3))</f>
        <v>2</v>
      </c>
      <c r="F477" s="0" t="n">
        <f aca="false">IF(E477=1,$C$4*SQRT(D477),IF(E477=2,$C$4+($C$5-$C$4)*D477,$C$6-($C$6-$C$5)*SQRT(1-D477)))</f>
        <v>4.43744187537948</v>
      </c>
    </row>
    <row r="478" customFormat="false" ht="15" hidden="false" customHeight="false" outlineLevel="0" collapsed="false">
      <c r="B478" s="0" t="n">
        <v>462</v>
      </c>
      <c r="C478" s="0" t="n">
        <f aca="true">RAND()</f>
        <v>0.744154459047877</v>
      </c>
      <c r="D478" s="0" t="n">
        <f aca="true">RAND()</f>
        <v>0.385117865768752</v>
      </c>
      <c r="E478" s="0" t="n">
        <f aca="false">IF(C478&lt;=$C$10,1,IF(C478&lt;=$C$10+$C$11,2,3))</f>
        <v>2</v>
      </c>
      <c r="F478" s="0" t="n">
        <f aca="false">IF(E478=1,$C$4*SQRT(D478),IF(E478=2,$C$4+($C$5-$C$4)*D478,$C$6-($C$6-$C$5)*SQRT(1-D478)))</f>
        <v>4.54047146307501</v>
      </c>
    </row>
    <row r="479" customFormat="false" ht="15" hidden="false" customHeight="false" outlineLevel="0" collapsed="false">
      <c r="B479" s="0" t="n">
        <v>463</v>
      </c>
      <c r="C479" s="0" t="n">
        <f aca="true">RAND()</f>
        <v>0.955030815787912</v>
      </c>
      <c r="D479" s="0" t="n">
        <f aca="true">RAND()</f>
        <v>0.753935246857948</v>
      </c>
      <c r="E479" s="0" t="n">
        <f aca="false">IF(C479&lt;=$C$10,1,IF(C479&lt;=$C$10+$C$11,2,3))</f>
        <v>3</v>
      </c>
      <c r="F479" s="0" t="n">
        <f aca="false">IF(E479=1,$C$4*SQRT(D479),IF(E479=2,$C$4+($C$5-$C$4)*D479,$C$6-($C$6-$C$5)*SQRT(1-D479)))</f>
        <v>8.51185256836614</v>
      </c>
    </row>
    <row r="480" customFormat="false" ht="15" hidden="false" customHeight="false" outlineLevel="0" collapsed="false">
      <c r="B480" s="0" t="n">
        <v>464</v>
      </c>
      <c r="C480" s="0" t="n">
        <f aca="true">RAND()</f>
        <v>0.328295875212181</v>
      </c>
      <c r="D480" s="0" t="n">
        <f aca="true">RAND()</f>
        <v>0.00679565109560385</v>
      </c>
      <c r="E480" s="0" t="n">
        <f aca="false">IF(C480&lt;=$C$10,1,IF(C480&lt;=$C$10+$C$11,2,3))</f>
        <v>2</v>
      </c>
      <c r="F480" s="0" t="n">
        <f aca="false">IF(E480=1,$C$4*SQRT(D480),IF(E480=2,$C$4+($C$5-$C$4)*D480,$C$6-($C$6-$C$5)*SQRT(1-D480)))</f>
        <v>3.02718260438242</v>
      </c>
    </row>
    <row r="481" customFormat="false" ht="15" hidden="false" customHeight="false" outlineLevel="0" collapsed="false">
      <c r="B481" s="0" t="n">
        <v>465</v>
      </c>
      <c r="C481" s="0" t="n">
        <f aca="true">RAND()</f>
        <v>0.408967430806003</v>
      </c>
      <c r="D481" s="0" t="n">
        <f aca="true">RAND()</f>
        <v>0.686174089973854</v>
      </c>
      <c r="E481" s="0" t="n">
        <f aca="false">IF(C481&lt;=$C$10,1,IF(C481&lt;=$C$10+$C$11,2,3))</f>
        <v>2</v>
      </c>
      <c r="F481" s="0" t="n">
        <f aca="false">IF(E481=1,$C$4*SQRT(D481),IF(E481=2,$C$4+($C$5-$C$4)*D481,$C$6-($C$6-$C$5)*SQRT(1-D481)))</f>
        <v>5.74469635989542</v>
      </c>
    </row>
    <row r="482" customFormat="false" ht="15" hidden="false" customHeight="false" outlineLevel="0" collapsed="false">
      <c r="B482" s="0" t="n">
        <v>466</v>
      </c>
      <c r="C482" s="0" t="n">
        <f aca="true">RAND()</f>
        <v>0.964442678072539</v>
      </c>
      <c r="D482" s="0" t="n">
        <f aca="true">RAND()</f>
        <v>0.343226954974216</v>
      </c>
      <c r="E482" s="0" t="n">
        <f aca="false">IF(C482&lt;=$C$10,1,IF(C482&lt;=$C$10+$C$11,2,3))</f>
        <v>3</v>
      </c>
      <c r="F482" s="0" t="n">
        <f aca="false">IF(E482=1,$C$4*SQRT(D482),IF(E482=2,$C$4+($C$5-$C$4)*D482,$C$6-($C$6-$C$5)*SQRT(1-D482)))</f>
        <v>7.56875393980123</v>
      </c>
    </row>
    <row r="483" customFormat="false" ht="15" hidden="false" customHeight="false" outlineLevel="0" collapsed="false">
      <c r="B483" s="0" t="n">
        <v>467</v>
      </c>
      <c r="C483" s="0" t="n">
        <f aca="true">RAND()</f>
        <v>0.655099348234427</v>
      </c>
      <c r="D483" s="0" t="n">
        <f aca="true">RAND()</f>
        <v>0.489127972807694</v>
      </c>
      <c r="E483" s="0" t="n">
        <f aca="false">IF(C483&lt;=$C$10,1,IF(C483&lt;=$C$10+$C$11,2,3))</f>
        <v>2</v>
      </c>
      <c r="F483" s="0" t="n">
        <f aca="false">IF(E483=1,$C$4*SQRT(D483),IF(E483=2,$C$4+($C$5-$C$4)*D483,$C$6-($C$6-$C$5)*SQRT(1-D483)))</f>
        <v>4.95651189123078</v>
      </c>
    </row>
    <row r="484" customFormat="false" ht="15" hidden="false" customHeight="false" outlineLevel="0" collapsed="false">
      <c r="B484" s="0" t="n">
        <v>468</v>
      </c>
      <c r="C484" s="0" t="n">
        <f aca="true">RAND()</f>
        <v>0.604203715206941</v>
      </c>
      <c r="D484" s="0" t="n">
        <f aca="true">RAND()</f>
        <v>0.43455478107373</v>
      </c>
      <c r="E484" s="0" t="n">
        <f aca="false">IF(C484&lt;=$C$10,1,IF(C484&lt;=$C$10+$C$11,2,3))</f>
        <v>2</v>
      </c>
      <c r="F484" s="0" t="n">
        <f aca="false">IF(E484=1,$C$4*SQRT(D484),IF(E484=2,$C$4+($C$5-$C$4)*D484,$C$6-($C$6-$C$5)*SQRT(1-D484)))</f>
        <v>4.73821912429492</v>
      </c>
    </row>
    <row r="485" customFormat="false" ht="15" hidden="false" customHeight="false" outlineLevel="0" collapsed="false">
      <c r="B485" s="0" t="n">
        <v>469</v>
      </c>
      <c r="C485" s="0" t="n">
        <f aca="true">RAND()</f>
        <v>0.381709461859713</v>
      </c>
      <c r="D485" s="0" t="n">
        <f aca="true">RAND()</f>
        <v>0.258961705486817</v>
      </c>
      <c r="E485" s="0" t="n">
        <f aca="false">IF(C485&lt;=$C$10,1,IF(C485&lt;=$C$10+$C$11,2,3))</f>
        <v>2</v>
      </c>
      <c r="F485" s="0" t="n">
        <f aca="false">IF(E485=1,$C$4*SQRT(D485),IF(E485=2,$C$4+($C$5-$C$4)*D485,$C$6-($C$6-$C$5)*SQRT(1-D485)))</f>
        <v>4.03584682194727</v>
      </c>
    </row>
    <row r="486" customFormat="false" ht="15" hidden="false" customHeight="false" outlineLevel="0" collapsed="false">
      <c r="B486" s="0" t="n">
        <v>470</v>
      </c>
      <c r="C486" s="0" t="n">
        <f aca="true">RAND()</f>
        <v>0.0703210240051796</v>
      </c>
      <c r="D486" s="0" t="n">
        <f aca="true">RAND()</f>
        <v>0.266802194598543</v>
      </c>
      <c r="E486" s="0" t="n">
        <f aca="false">IF(C486&lt;=$C$10,1,IF(C486&lt;=$C$10+$C$11,2,3))</f>
        <v>1</v>
      </c>
      <c r="F486" s="0" t="n">
        <f aca="false">IF(E486=1,$C$4*SQRT(D486),IF(E486=2,$C$4+($C$5-$C$4)*D486,$C$6-($C$6-$C$5)*SQRT(1-D486)))</f>
        <v>1.54958696154391</v>
      </c>
    </row>
    <row r="487" customFormat="false" ht="15" hidden="false" customHeight="false" outlineLevel="0" collapsed="false">
      <c r="B487" s="0" t="n">
        <v>471</v>
      </c>
      <c r="C487" s="0" t="n">
        <f aca="true">RAND()</f>
        <v>0.187697728549986</v>
      </c>
      <c r="D487" s="0" t="n">
        <f aca="true">RAND()</f>
        <v>0.842329519799433</v>
      </c>
      <c r="E487" s="0" t="n">
        <f aca="false">IF(C487&lt;=$C$10,1,IF(C487&lt;=$C$10+$C$11,2,3))</f>
        <v>1</v>
      </c>
      <c r="F487" s="0" t="n">
        <f aca="false">IF(E487=1,$C$4*SQRT(D487),IF(E487=2,$C$4+($C$5-$C$4)*D487,$C$6-($C$6-$C$5)*SQRT(1-D487)))</f>
        <v>2.75335534905956</v>
      </c>
    </row>
    <row r="488" customFormat="false" ht="15" hidden="false" customHeight="false" outlineLevel="0" collapsed="false">
      <c r="B488" s="0" t="n">
        <v>472</v>
      </c>
      <c r="C488" s="0" t="n">
        <f aca="true">RAND()</f>
        <v>0.0977108553838234</v>
      </c>
      <c r="D488" s="0" t="n">
        <f aca="true">RAND()</f>
        <v>0.490299748601633</v>
      </c>
      <c r="E488" s="0" t="n">
        <f aca="false">IF(C488&lt;=$C$10,1,IF(C488&lt;=$C$10+$C$11,2,3))</f>
        <v>1</v>
      </c>
      <c r="F488" s="0" t="n">
        <f aca="false">IF(E488=1,$C$4*SQRT(D488),IF(E488=2,$C$4+($C$5-$C$4)*D488,$C$6-($C$6-$C$5)*SQRT(1-D488)))</f>
        <v>2.10064222023045</v>
      </c>
    </row>
    <row r="489" customFormat="false" ht="15" hidden="false" customHeight="false" outlineLevel="0" collapsed="false">
      <c r="B489" s="0" t="n">
        <v>473</v>
      </c>
      <c r="C489" s="0" t="n">
        <f aca="true">RAND()</f>
        <v>0.0385326480155433</v>
      </c>
      <c r="D489" s="0" t="n">
        <f aca="true">RAND()</f>
        <v>0.796283722678376</v>
      </c>
      <c r="E489" s="0" t="n">
        <f aca="false">IF(C489&lt;=$C$10,1,IF(C489&lt;=$C$10+$C$11,2,3))</f>
        <v>1</v>
      </c>
      <c r="F489" s="0" t="n">
        <f aca="false">IF(E489=1,$C$4*SQRT(D489),IF(E489=2,$C$4+($C$5-$C$4)*D489,$C$6-($C$6-$C$5)*SQRT(1-D489)))</f>
        <v>2.67704193170473</v>
      </c>
    </row>
    <row r="490" customFormat="false" ht="15" hidden="false" customHeight="false" outlineLevel="0" collapsed="false">
      <c r="B490" s="0" t="n">
        <v>474</v>
      </c>
      <c r="C490" s="0" t="n">
        <f aca="true">RAND()</f>
        <v>0.211973502768593</v>
      </c>
      <c r="D490" s="0" t="n">
        <f aca="true">RAND()</f>
        <v>0.962171155546339</v>
      </c>
      <c r="E490" s="0" t="n">
        <f aca="false">IF(C490&lt;=$C$10,1,IF(C490&lt;=$C$10+$C$11,2,3))</f>
        <v>1</v>
      </c>
      <c r="F490" s="0" t="n">
        <f aca="false">IF(E490=1,$C$4*SQRT(D490),IF(E490=2,$C$4+($C$5-$C$4)*D490,$C$6-($C$6-$C$5)*SQRT(1-D490)))</f>
        <v>2.9427097036434</v>
      </c>
    </row>
    <row r="491" customFormat="false" ht="15" hidden="false" customHeight="false" outlineLevel="0" collapsed="false">
      <c r="B491" s="0" t="n">
        <v>475</v>
      </c>
      <c r="C491" s="0" t="n">
        <f aca="true">RAND()</f>
        <v>0.580283258831588</v>
      </c>
      <c r="D491" s="0" t="n">
        <f aca="true">RAND()</f>
        <v>0.859599422487784</v>
      </c>
      <c r="E491" s="0" t="n">
        <f aca="false">IF(C491&lt;=$C$10,1,IF(C491&lt;=$C$10+$C$11,2,3))</f>
        <v>2</v>
      </c>
      <c r="F491" s="0" t="n">
        <f aca="false">IF(E491=1,$C$4*SQRT(D491),IF(E491=2,$C$4+($C$5-$C$4)*D491,$C$6-($C$6-$C$5)*SQRT(1-D491)))</f>
        <v>6.43839768995114</v>
      </c>
    </row>
    <row r="492" customFormat="false" ht="15" hidden="false" customHeight="false" outlineLevel="0" collapsed="false">
      <c r="B492" s="0" t="n">
        <v>476</v>
      </c>
      <c r="C492" s="0" t="n">
        <f aca="true">RAND()</f>
        <v>0.900349222481026</v>
      </c>
      <c r="D492" s="0" t="n">
        <f aca="true">RAND()</f>
        <v>0.681717103680845</v>
      </c>
      <c r="E492" s="0" t="n">
        <f aca="false">IF(C492&lt;=$C$10,1,IF(C492&lt;=$C$10+$C$11,2,3))</f>
        <v>3</v>
      </c>
      <c r="F492" s="0" t="n">
        <f aca="false">IF(E492=1,$C$4*SQRT(D492),IF(E492=2,$C$4+($C$5-$C$4)*D492,$C$6-($C$6-$C$5)*SQRT(1-D492)))</f>
        <v>8.30750300831216</v>
      </c>
    </row>
    <row r="493" customFormat="false" ht="15" hidden="false" customHeight="false" outlineLevel="0" collapsed="false">
      <c r="B493" s="0" t="n">
        <v>477</v>
      </c>
      <c r="C493" s="0" t="n">
        <f aca="true">RAND()</f>
        <v>0.288716558963909</v>
      </c>
      <c r="D493" s="0" t="n">
        <f aca="true">RAND()</f>
        <v>0.825340512291006</v>
      </c>
      <c r="E493" s="0" t="n">
        <f aca="false">IF(C493&lt;=$C$10,1,IF(C493&lt;=$C$10+$C$11,2,3))</f>
        <v>2</v>
      </c>
      <c r="F493" s="0" t="n">
        <f aca="false">IF(E493=1,$C$4*SQRT(D493),IF(E493=2,$C$4+($C$5-$C$4)*D493,$C$6-($C$6-$C$5)*SQRT(1-D493)))</f>
        <v>6.30136204916402</v>
      </c>
    </row>
    <row r="494" customFormat="false" ht="15" hidden="false" customHeight="false" outlineLevel="0" collapsed="false">
      <c r="B494" s="0" t="n">
        <v>478</v>
      </c>
      <c r="C494" s="0" t="n">
        <f aca="true">RAND()</f>
        <v>0.188785982723432</v>
      </c>
      <c r="D494" s="0" t="n">
        <f aca="true">RAND()</f>
        <v>0.827462358078506</v>
      </c>
      <c r="E494" s="0" t="n">
        <f aca="false">IF(C494&lt;=$C$10,1,IF(C494&lt;=$C$10+$C$11,2,3))</f>
        <v>1</v>
      </c>
      <c r="F494" s="0" t="n">
        <f aca="false">IF(E494=1,$C$4*SQRT(D494),IF(E494=2,$C$4+($C$5-$C$4)*D494,$C$6-($C$6-$C$5)*SQRT(1-D494)))</f>
        <v>2.72894873947946</v>
      </c>
    </row>
    <row r="495" customFormat="false" ht="15" hidden="false" customHeight="false" outlineLevel="0" collapsed="false">
      <c r="B495" s="0" t="n">
        <v>479</v>
      </c>
      <c r="C495" s="0" t="n">
        <f aca="true">RAND()</f>
        <v>0.45150068611977</v>
      </c>
      <c r="D495" s="0" t="n">
        <f aca="true">RAND()</f>
        <v>0.584693973636909</v>
      </c>
      <c r="E495" s="0" t="n">
        <f aca="false">IF(C495&lt;=$C$10,1,IF(C495&lt;=$C$10+$C$11,2,3))</f>
        <v>2</v>
      </c>
      <c r="F495" s="0" t="n">
        <f aca="false">IF(E495=1,$C$4*SQRT(D495),IF(E495=2,$C$4+($C$5-$C$4)*D495,$C$6-($C$6-$C$5)*SQRT(1-D495)))</f>
        <v>5.33877589454763</v>
      </c>
    </row>
    <row r="496" customFormat="false" ht="15" hidden="false" customHeight="false" outlineLevel="0" collapsed="false">
      <c r="B496" s="0" t="n">
        <v>480</v>
      </c>
      <c r="C496" s="0" t="n">
        <f aca="true">RAND()</f>
        <v>0.735026734770821</v>
      </c>
      <c r="D496" s="0" t="n">
        <f aca="true">RAND()</f>
        <v>0.307028163586471</v>
      </c>
      <c r="E496" s="0" t="n">
        <f aca="false">IF(C496&lt;=$C$10,1,IF(C496&lt;=$C$10+$C$11,2,3))</f>
        <v>2</v>
      </c>
      <c r="F496" s="0" t="n">
        <f aca="false">IF(E496=1,$C$4*SQRT(D496),IF(E496=2,$C$4+($C$5-$C$4)*D496,$C$6-($C$6-$C$5)*SQRT(1-D496)))</f>
        <v>4.22811265434588</v>
      </c>
    </row>
    <row r="497" customFormat="false" ht="15" hidden="false" customHeight="false" outlineLevel="0" collapsed="false">
      <c r="B497" s="0" t="n">
        <v>481</v>
      </c>
      <c r="C497" s="0" t="n">
        <f aca="true">RAND()</f>
        <v>0.379515683517571</v>
      </c>
      <c r="D497" s="0" t="n">
        <f aca="true">RAND()</f>
        <v>0.877165238495675</v>
      </c>
      <c r="E497" s="0" t="n">
        <f aca="false">IF(C497&lt;=$C$10,1,IF(C497&lt;=$C$10+$C$11,2,3))</f>
        <v>2</v>
      </c>
      <c r="F497" s="0" t="n">
        <f aca="false">IF(E497=1,$C$4*SQRT(D497),IF(E497=2,$C$4+($C$5-$C$4)*D497,$C$6-($C$6-$C$5)*SQRT(1-D497)))</f>
        <v>6.5086609539827</v>
      </c>
    </row>
    <row r="498" customFormat="false" ht="15" hidden="false" customHeight="false" outlineLevel="0" collapsed="false">
      <c r="B498" s="0" t="n">
        <v>482</v>
      </c>
      <c r="C498" s="0" t="n">
        <f aca="true">RAND()</f>
        <v>0.909391593130128</v>
      </c>
      <c r="D498" s="0" t="n">
        <f aca="true">RAND()</f>
        <v>0.638498468501022</v>
      </c>
      <c r="E498" s="0" t="n">
        <f aca="false">IF(C498&lt;=$C$10,1,IF(C498&lt;=$C$10+$C$11,2,3))</f>
        <v>3</v>
      </c>
      <c r="F498" s="0" t="n">
        <f aca="false">IF(E498=1,$C$4*SQRT(D498),IF(E498=2,$C$4+($C$5-$C$4)*D498,$C$6-($C$6-$C$5)*SQRT(1-D498)))</f>
        <v>8.19625007734143</v>
      </c>
    </row>
    <row r="499" customFormat="false" ht="15" hidden="false" customHeight="false" outlineLevel="0" collapsed="false">
      <c r="B499" s="0" t="n">
        <v>483</v>
      </c>
      <c r="C499" s="0" t="n">
        <f aca="true">RAND()</f>
        <v>0.696020400128211</v>
      </c>
      <c r="D499" s="0" t="n">
        <f aca="true">RAND()</f>
        <v>0.33132923038861</v>
      </c>
      <c r="E499" s="0" t="n">
        <f aca="false">IF(C499&lt;=$C$10,1,IF(C499&lt;=$C$10+$C$11,2,3))</f>
        <v>2</v>
      </c>
      <c r="F499" s="0" t="n">
        <f aca="false">IF(E499=1,$C$4*SQRT(D499),IF(E499=2,$C$4+($C$5-$C$4)*D499,$C$6-($C$6-$C$5)*SQRT(1-D499)))</f>
        <v>4.32531692155444</v>
      </c>
    </row>
    <row r="500" customFormat="false" ht="15" hidden="false" customHeight="false" outlineLevel="0" collapsed="false">
      <c r="B500" s="0" t="n">
        <v>484</v>
      </c>
      <c r="C500" s="0" t="n">
        <f aca="true">RAND()</f>
        <v>0.0660089701834895</v>
      </c>
      <c r="D500" s="0" t="n">
        <f aca="true">RAND()</f>
        <v>0.702358348375156</v>
      </c>
      <c r="E500" s="0" t="n">
        <f aca="false">IF(C500&lt;=$C$10,1,IF(C500&lt;=$C$10+$C$11,2,3))</f>
        <v>1</v>
      </c>
      <c r="F500" s="0" t="n">
        <f aca="false">IF(E500=1,$C$4*SQRT(D500),IF(E500=2,$C$4+($C$5-$C$4)*D500,$C$6-($C$6-$C$5)*SQRT(1-D500)))</f>
        <v>2.51420467253094</v>
      </c>
    </row>
    <row r="501" customFormat="false" ht="15" hidden="false" customHeight="false" outlineLevel="0" collapsed="false">
      <c r="B501" s="0" t="n">
        <v>485</v>
      </c>
      <c r="C501" s="0" t="n">
        <f aca="true">RAND()</f>
        <v>0.3779787059803</v>
      </c>
      <c r="D501" s="0" t="n">
        <f aca="true">RAND()</f>
        <v>0.362364307913692</v>
      </c>
      <c r="E501" s="0" t="n">
        <f aca="false">IF(C501&lt;=$C$10,1,IF(C501&lt;=$C$10+$C$11,2,3))</f>
        <v>2</v>
      </c>
      <c r="F501" s="0" t="n">
        <f aca="false">IF(E501=1,$C$4*SQRT(D501),IF(E501=2,$C$4+($C$5-$C$4)*D501,$C$6-($C$6-$C$5)*SQRT(1-D501)))</f>
        <v>4.44945723165477</v>
      </c>
    </row>
    <row r="502" customFormat="false" ht="15" hidden="false" customHeight="false" outlineLevel="0" collapsed="false">
      <c r="B502" s="0" t="n">
        <v>486</v>
      </c>
      <c r="C502" s="0" t="n">
        <f aca="true">RAND()</f>
        <v>0.0597322716679214</v>
      </c>
      <c r="D502" s="0" t="n">
        <f aca="true">RAND()</f>
        <v>0.623109127155531</v>
      </c>
      <c r="E502" s="0" t="n">
        <f aca="false">IF(C502&lt;=$C$10,1,IF(C502&lt;=$C$10+$C$11,2,3))</f>
        <v>1</v>
      </c>
      <c r="F502" s="0" t="n">
        <f aca="false">IF(E502=1,$C$4*SQRT(D502),IF(E502=2,$C$4+($C$5-$C$4)*D502,$C$6-($C$6-$C$5)*SQRT(1-D502)))</f>
        <v>2.36811784850327</v>
      </c>
    </row>
    <row r="503" customFormat="false" ht="15" hidden="false" customHeight="false" outlineLevel="0" collapsed="false">
      <c r="B503" s="0" t="n">
        <v>487</v>
      </c>
      <c r="C503" s="0" t="n">
        <f aca="true">RAND()</f>
        <v>0.330076748467486</v>
      </c>
      <c r="D503" s="0" t="n">
        <f aca="true">RAND()</f>
        <v>0.125263394330702</v>
      </c>
      <c r="E503" s="0" t="n">
        <f aca="false">IF(C503&lt;=$C$10,1,IF(C503&lt;=$C$10+$C$11,2,3))</f>
        <v>2</v>
      </c>
      <c r="F503" s="0" t="n">
        <f aca="false">IF(E503=1,$C$4*SQRT(D503),IF(E503=2,$C$4+($C$5-$C$4)*D503,$C$6-($C$6-$C$5)*SQRT(1-D503)))</f>
        <v>3.50105357732281</v>
      </c>
    </row>
    <row r="504" customFormat="false" ht="15" hidden="false" customHeight="false" outlineLevel="0" collapsed="false">
      <c r="B504" s="0" t="n">
        <v>488</v>
      </c>
      <c r="C504" s="0" t="n">
        <f aca="true">RAND()</f>
        <v>0.947845349610249</v>
      </c>
      <c r="D504" s="0" t="n">
        <f aca="true">RAND()</f>
        <v>0.880544498065478</v>
      </c>
      <c r="E504" s="0" t="n">
        <f aca="false">IF(C504&lt;=$C$10,1,IF(C504&lt;=$C$10+$C$11,2,3))</f>
        <v>3</v>
      </c>
      <c r="F504" s="0" t="n">
        <f aca="false">IF(E504=1,$C$4*SQRT(D504),IF(E504=2,$C$4+($C$5-$C$4)*D504,$C$6-($C$6-$C$5)*SQRT(1-D504)))</f>
        <v>8.96312994188727</v>
      </c>
    </row>
    <row r="505" customFormat="false" ht="15" hidden="false" customHeight="false" outlineLevel="0" collapsed="false">
      <c r="B505" s="0" t="n">
        <v>489</v>
      </c>
      <c r="C505" s="0" t="n">
        <f aca="true">RAND()</f>
        <v>0.0188762424534454</v>
      </c>
      <c r="D505" s="0" t="n">
        <f aca="true">RAND()</f>
        <v>0.614988602381771</v>
      </c>
      <c r="E505" s="0" t="n">
        <f aca="false">IF(C505&lt;=$C$10,1,IF(C505&lt;=$C$10+$C$11,2,3))</f>
        <v>1</v>
      </c>
      <c r="F505" s="0" t="n">
        <f aca="false">IF(E505=1,$C$4*SQRT(D505),IF(E505=2,$C$4+($C$5-$C$4)*D505,$C$6-($C$6-$C$5)*SQRT(1-D505)))</f>
        <v>2.35263627053481</v>
      </c>
    </row>
    <row r="506" customFormat="false" ht="15" hidden="false" customHeight="false" outlineLevel="0" collapsed="false">
      <c r="B506" s="0" t="n">
        <v>490</v>
      </c>
      <c r="C506" s="0" t="n">
        <f aca="true">RAND()</f>
        <v>0.741943755319603</v>
      </c>
      <c r="D506" s="0" t="n">
        <f aca="true">RAND()</f>
        <v>0.421479108929024</v>
      </c>
      <c r="E506" s="0" t="n">
        <f aca="false">IF(C506&lt;=$C$10,1,IF(C506&lt;=$C$10+$C$11,2,3))</f>
        <v>2</v>
      </c>
      <c r="F506" s="0" t="n">
        <f aca="false">IF(E506=1,$C$4*SQRT(D506),IF(E506=2,$C$4+($C$5-$C$4)*D506,$C$6-($C$6-$C$5)*SQRT(1-D506)))</f>
        <v>4.6859164357161</v>
      </c>
    </row>
    <row r="507" customFormat="false" ht="15" hidden="false" customHeight="false" outlineLevel="0" collapsed="false">
      <c r="B507" s="0" t="n">
        <v>491</v>
      </c>
      <c r="C507" s="0" t="n">
        <f aca="true">RAND()</f>
        <v>0.705073024352555</v>
      </c>
      <c r="D507" s="0" t="n">
        <f aca="true">RAND()</f>
        <v>0.947907509504798</v>
      </c>
      <c r="E507" s="0" t="n">
        <f aca="false">IF(C507&lt;=$C$10,1,IF(C507&lt;=$C$10+$C$11,2,3))</f>
        <v>2</v>
      </c>
      <c r="F507" s="0" t="n">
        <f aca="false">IF(E507=1,$C$4*SQRT(D507),IF(E507=2,$C$4+($C$5-$C$4)*D507,$C$6-($C$6-$C$5)*SQRT(1-D507)))</f>
        <v>6.79163003801919</v>
      </c>
    </row>
    <row r="508" customFormat="false" ht="15" hidden="false" customHeight="false" outlineLevel="0" collapsed="false">
      <c r="B508" s="0" t="n">
        <v>492</v>
      </c>
      <c r="C508" s="0" t="n">
        <f aca="true">RAND()</f>
        <v>0.515791467969939</v>
      </c>
      <c r="D508" s="0" t="n">
        <f aca="true">RAND()</f>
        <v>0.44653711460706</v>
      </c>
      <c r="E508" s="0" t="n">
        <f aca="false">IF(C508&lt;=$C$10,1,IF(C508&lt;=$C$10+$C$11,2,3))</f>
        <v>2</v>
      </c>
      <c r="F508" s="0" t="n">
        <f aca="false">IF(E508=1,$C$4*SQRT(D508),IF(E508=2,$C$4+($C$5-$C$4)*D508,$C$6-($C$6-$C$5)*SQRT(1-D508)))</f>
        <v>4.78614845842824</v>
      </c>
    </row>
    <row r="509" customFormat="false" ht="15" hidden="false" customHeight="false" outlineLevel="0" collapsed="false">
      <c r="B509" s="0" t="n">
        <v>493</v>
      </c>
      <c r="C509" s="0" t="n">
        <f aca="true">RAND()</f>
        <v>0.24103520022797</v>
      </c>
      <c r="D509" s="0" t="n">
        <f aca="true">RAND()</f>
        <v>0.770723840064712</v>
      </c>
      <c r="E509" s="0" t="n">
        <f aca="false">IF(C509&lt;=$C$10,1,IF(C509&lt;=$C$10+$C$11,2,3))</f>
        <v>2</v>
      </c>
      <c r="F509" s="0" t="n">
        <f aca="false">IF(E509=1,$C$4*SQRT(D509),IF(E509=2,$C$4+($C$5-$C$4)*D509,$C$6-($C$6-$C$5)*SQRT(1-D509)))</f>
        <v>6.08289536025885</v>
      </c>
    </row>
    <row r="510" customFormat="false" ht="15" hidden="false" customHeight="false" outlineLevel="0" collapsed="false">
      <c r="B510" s="0" t="n">
        <v>494</v>
      </c>
      <c r="C510" s="0" t="n">
        <f aca="true">RAND()</f>
        <v>0.715489760190496</v>
      </c>
      <c r="D510" s="0" t="n">
        <f aca="true">RAND()</f>
        <v>0.744750396410768</v>
      </c>
      <c r="E510" s="0" t="n">
        <f aca="false">IF(C510&lt;=$C$10,1,IF(C510&lt;=$C$10+$C$11,2,3))</f>
        <v>2</v>
      </c>
      <c r="F510" s="0" t="n">
        <f aca="false">IF(E510=1,$C$4*SQRT(D510),IF(E510=2,$C$4+($C$5-$C$4)*D510,$C$6-($C$6-$C$5)*SQRT(1-D510)))</f>
        <v>5.97900158564307</v>
      </c>
    </row>
    <row r="511" customFormat="false" ht="15" hidden="false" customHeight="false" outlineLevel="0" collapsed="false">
      <c r="B511" s="0" t="n">
        <v>495</v>
      </c>
      <c r="C511" s="0" t="n">
        <f aca="true">RAND()</f>
        <v>0.679623274779933</v>
      </c>
      <c r="D511" s="0" t="n">
        <f aca="true">RAND()</f>
        <v>0.383367924370947</v>
      </c>
      <c r="E511" s="0" t="n">
        <f aca="false">IF(C511&lt;=$C$10,1,IF(C511&lt;=$C$10+$C$11,2,3))</f>
        <v>2</v>
      </c>
      <c r="F511" s="0" t="n">
        <f aca="false">IF(E511=1,$C$4*SQRT(D511),IF(E511=2,$C$4+($C$5-$C$4)*D511,$C$6-($C$6-$C$5)*SQRT(1-D511)))</f>
        <v>4.53347169748379</v>
      </c>
    </row>
    <row r="512" customFormat="false" ht="15" hidden="false" customHeight="false" outlineLevel="0" collapsed="false">
      <c r="B512" s="0" t="n">
        <v>496</v>
      </c>
      <c r="C512" s="0" t="n">
        <f aca="true">RAND()</f>
        <v>0.820607840173176</v>
      </c>
      <c r="D512" s="0" t="n">
        <f aca="true">RAND()</f>
        <v>0.350826008022567</v>
      </c>
      <c r="E512" s="0" t="n">
        <f aca="false">IF(C512&lt;=$C$10,1,IF(C512&lt;=$C$10+$C$11,2,3))</f>
        <v>3</v>
      </c>
      <c r="F512" s="0" t="n">
        <f aca="false">IF(E512=1,$C$4*SQRT(D512),IF(E512=2,$C$4+($C$5-$C$4)*D512,$C$6-($C$6-$C$5)*SQRT(1-D512)))</f>
        <v>7.58285996934458</v>
      </c>
    </row>
    <row r="513" customFormat="false" ht="15" hidden="false" customHeight="false" outlineLevel="0" collapsed="false">
      <c r="B513" s="0" t="n">
        <v>497</v>
      </c>
      <c r="C513" s="0" t="n">
        <f aca="true">RAND()</f>
        <v>0.180244130585756</v>
      </c>
      <c r="D513" s="0" t="n">
        <f aca="true">RAND()</f>
        <v>0.212341758933743</v>
      </c>
      <c r="E513" s="0" t="n">
        <f aca="false">IF(C513&lt;=$C$10,1,IF(C513&lt;=$C$10+$C$11,2,3))</f>
        <v>1</v>
      </c>
      <c r="F513" s="0" t="n">
        <f aca="false">IF(E513=1,$C$4*SQRT(D513),IF(E513=2,$C$4+($C$5-$C$4)*D513,$C$6-($C$6-$C$5)*SQRT(1-D513)))</f>
        <v>1.38241666309535</v>
      </c>
    </row>
    <row r="514" customFormat="false" ht="15" hidden="false" customHeight="false" outlineLevel="0" collapsed="false">
      <c r="B514" s="0" t="n">
        <v>498</v>
      </c>
      <c r="C514" s="0" t="n">
        <f aca="true">RAND()</f>
        <v>0.340311307721848</v>
      </c>
      <c r="D514" s="0" t="n">
        <f aca="true">RAND()</f>
        <v>0.572884127078838</v>
      </c>
      <c r="E514" s="0" t="n">
        <f aca="false">IF(C514&lt;=$C$10,1,IF(C514&lt;=$C$10+$C$11,2,3))</f>
        <v>2</v>
      </c>
      <c r="F514" s="0" t="n">
        <f aca="false">IF(E514=1,$C$4*SQRT(D514),IF(E514=2,$C$4+($C$5-$C$4)*D514,$C$6-($C$6-$C$5)*SQRT(1-D514)))</f>
        <v>5.29153650831535</v>
      </c>
    </row>
    <row r="515" customFormat="false" ht="15" hidden="false" customHeight="false" outlineLevel="0" collapsed="false">
      <c r="B515" s="0" t="n">
        <v>499</v>
      </c>
      <c r="C515" s="0" t="n">
        <f aca="true">RAND()</f>
        <v>0.123019666615497</v>
      </c>
      <c r="D515" s="0" t="n">
        <f aca="true">RAND()</f>
        <v>0.891120739448199</v>
      </c>
      <c r="E515" s="0" t="n">
        <f aca="false">IF(C515&lt;=$C$10,1,IF(C515&lt;=$C$10+$C$11,2,3))</f>
        <v>1</v>
      </c>
      <c r="F515" s="0" t="n">
        <f aca="false">IF(E515=1,$C$4*SQRT(D515),IF(E515=2,$C$4+($C$5-$C$4)*D515,$C$6-($C$6-$C$5)*SQRT(1-D515)))</f>
        <v>2.83197575113803</v>
      </c>
    </row>
    <row r="516" customFormat="false" ht="15" hidden="false" customHeight="false" outlineLevel="0" collapsed="false">
      <c r="B516" s="0" t="n">
        <v>500</v>
      </c>
      <c r="C516" s="0" t="n">
        <f aca="true">RAND()</f>
        <v>0.504121470410706</v>
      </c>
      <c r="D516" s="0" t="n">
        <f aca="true">RAND()</f>
        <v>0.476725046377827</v>
      </c>
      <c r="E516" s="0" t="n">
        <f aca="false">IF(C516&lt;=$C$10,1,IF(C516&lt;=$C$10+$C$11,2,3))</f>
        <v>2</v>
      </c>
      <c r="F516" s="0" t="n">
        <f aca="false">IF(E516=1,$C$4*SQRT(D516),IF(E516=2,$C$4+($C$5-$C$4)*D516,$C$6-($C$6-$C$5)*SQRT(1-D516)))</f>
        <v>4.90690018551131</v>
      </c>
    </row>
    <row r="517" customFormat="false" ht="15" hidden="false" customHeight="false" outlineLevel="0" collapsed="false">
      <c r="B517" s="0" t="n">
        <v>501</v>
      </c>
      <c r="C517" s="0" t="n">
        <f aca="true">RAND()</f>
        <v>0.542507524137871</v>
      </c>
      <c r="D517" s="0" t="n">
        <f aca="true">RAND()</f>
        <v>0.701051524616501</v>
      </c>
      <c r="E517" s="0" t="n">
        <f aca="false">IF(C517&lt;=$C$10,1,IF(C517&lt;=$C$10+$C$11,2,3))</f>
        <v>2</v>
      </c>
      <c r="F517" s="0" t="n">
        <f aca="false">IF(E517=1,$C$4*SQRT(D517),IF(E517=2,$C$4+($C$5-$C$4)*D517,$C$6-($C$6-$C$5)*SQRT(1-D517)))</f>
        <v>5.804206098466</v>
      </c>
    </row>
    <row r="518" customFormat="false" ht="15" hidden="false" customHeight="false" outlineLevel="0" collapsed="false">
      <c r="B518" s="0" t="n">
        <v>502</v>
      </c>
      <c r="C518" s="0" t="n">
        <f aca="true">RAND()</f>
        <v>0.431581719436059</v>
      </c>
      <c r="D518" s="0" t="n">
        <f aca="true">RAND()</f>
        <v>0.884423306847211</v>
      </c>
      <c r="E518" s="0" t="n">
        <f aca="false">IF(C518&lt;=$C$10,1,IF(C518&lt;=$C$10+$C$11,2,3))</f>
        <v>2</v>
      </c>
      <c r="F518" s="0" t="n">
        <f aca="false">IF(E518=1,$C$4*SQRT(D518),IF(E518=2,$C$4+($C$5-$C$4)*D518,$C$6-($C$6-$C$5)*SQRT(1-D518)))</f>
        <v>6.53769322738885</v>
      </c>
    </row>
    <row r="519" customFormat="false" ht="15" hidden="false" customHeight="false" outlineLevel="0" collapsed="false">
      <c r="B519" s="0" t="n">
        <v>503</v>
      </c>
      <c r="C519" s="0" t="n">
        <f aca="true">RAND()</f>
        <v>0.859533236161036</v>
      </c>
      <c r="D519" s="0" t="n">
        <f aca="true">RAND()</f>
        <v>0.900602898377963</v>
      </c>
      <c r="E519" s="0" t="n">
        <f aca="false">IF(C519&lt;=$C$10,1,IF(C519&lt;=$C$10+$C$11,2,3))</f>
        <v>3</v>
      </c>
      <c r="F519" s="0" t="n">
        <f aca="false">IF(E519=1,$C$4*SQRT(D519),IF(E519=2,$C$4+($C$5-$C$4)*D519,$C$6-($C$6-$C$5)*SQRT(1-D519)))</f>
        <v>9.05418082351946</v>
      </c>
    </row>
    <row r="520" customFormat="false" ht="15" hidden="false" customHeight="false" outlineLevel="0" collapsed="false">
      <c r="B520" s="0" t="n">
        <v>504</v>
      </c>
      <c r="C520" s="0" t="n">
        <f aca="true">RAND()</f>
        <v>0.612924772195183</v>
      </c>
      <c r="D520" s="0" t="n">
        <f aca="true">RAND()</f>
        <v>0.0981330500905143</v>
      </c>
      <c r="E520" s="0" t="n">
        <f aca="false">IF(C520&lt;=$C$10,1,IF(C520&lt;=$C$10+$C$11,2,3))</f>
        <v>2</v>
      </c>
      <c r="F520" s="0" t="n">
        <f aca="false">IF(E520=1,$C$4*SQRT(D520),IF(E520=2,$C$4+($C$5-$C$4)*D520,$C$6-($C$6-$C$5)*SQRT(1-D520)))</f>
        <v>3.39253220036206</v>
      </c>
    </row>
    <row r="521" customFormat="false" ht="15" hidden="false" customHeight="false" outlineLevel="0" collapsed="false">
      <c r="B521" s="0" t="n">
        <v>505</v>
      </c>
      <c r="C521" s="0" t="n">
        <f aca="true">RAND()</f>
        <v>0.826464281528009</v>
      </c>
      <c r="D521" s="0" t="n">
        <f aca="true">RAND()</f>
        <v>0.848111762967659</v>
      </c>
      <c r="E521" s="0" t="n">
        <f aca="false">IF(C521&lt;=$C$10,1,IF(C521&lt;=$C$10+$C$11,2,3))</f>
        <v>3</v>
      </c>
      <c r="F521" s="0" t="n">
        <f aca="false">IF(E521=1,$C$4*SQRT(D521),IF(E521=2,$C$4+($C$5-$C$4)*D521,$C$6-($C$6-$C$5)*SQRT(1-D521)))</f>
        <v>8.83081475663988</v>
      </c>
    </row>
    <row r="522" customFormat="false" ht="15" hidden="false" customHeight="false" outlineLevel="0" collapsed="false">
      <c r="B522" s="0" t="n">
        <v>506</v>
      </c>
      <c r="C522" s="0" t="n">
        <f aca="true">RAND()</f>
        <v>0.415022472961669</v>
      </c>
      <c r="D522" s="0" t="n">
        <f aca="true">RAND()</f>
        <v>0.624448105954489</v>
      </c>
      <c r="E522" s="0" t="n">
        <f aca="false">IF(C522&lt;=$C$10,1,IF(C522&lt;=$C$10+$C$11,2,3))</f>
        <v>2</v>
      </c>
      <c r="F522" s="0" t="n">
        <f aca="false">IF(E522=1,$C$4*SQRT(D522),IF(E522=2,$C$4+($C$5-$C$4)*D522,$C$6-($C$6-$C$5)*SQRT(1-D522)))</f>
        <v>5.49779242381796</v>
      </c>
    </row>
    <row r="523" customFormat="false" ht="15" hidden="false" customHeight="false" outlineLevel="0" collapsed="false">
      <c r="B523" s="0" t="n">
        <v>507</v>
      </c>
      <c r="C523" s="0" t="n">
        <f aca="true">RAND()</f>
        <v>0.312942750029309</v>
      </c>
      <c r="D523" s="0" t="n">
        <f aca="true">RAND()</f>
        <v>0.510159742526963</v>
      </c>
      <c r="E523" s="0" t="n">
        <f aca="false">IF(C523&lt;=$C$10,1,IF(C523&lt;=$C$10+$C$11,2,3))</f>
        <v>2</v>
      </c>
      <c r="F523" s="0" t="n">
        <f aca="false">IF(E523=1,$C$4*SQRT(D523),IF(E523=2,$C$4+($C$5-$C$4)*D523,$C$6-($C$6-$C$5)*SQRT(1-D523)))</f>
        <v>5.04063897010785</v>
      </c>
    </row>
    <row r="524" customFormat="false" ht="15" hidden="false" customHeight="false" outlineLevel="0" collapsed="false">
      <c r="B524" s="0" t="n">
        <v>508</v>
      </c>
      <c r="C524" s="0" t="n">
        <f aca="true">RAND()</f>
        <v>0.234529750614865</v>
      </c>
      <c r="D524" s="0" t="n">
        <f aca="true">RAND()</f>
        <v>0.381869153437614</v>
      </c>
      <c r="E524" s="0" t="n">
        <f aca="false">IF(C524&lt;=$C$10,1,IF(C524&lt;=$C$10+$C$11,2,3))</f>
        <v>2</v>
      </c>
      <c r="F524" s="0" t="n">
        <f aca="false">IF(E524=1,$C$4*SQRT(D524),IF(E524=2,$C$4+($C$5-$C$4)*D524,$C$6-($C$6-$C$5)*SQRT(1-D524)))</f>
        <v>4.52747661375046</v>
      </c>
    </row>
    <row r="525" customFormat="false" ht="15" hidden="false" customHeight="false" outlineLevel="0" collapsed="false">
      <c r="B525" s="0" t="n">
        <v>509</v>
      </c>
      <c r="C525" s="0" t="n">
        <f aca="true">RAND()</f>
        <v>0.469908132603117</v>
      </c>
      <c r="D525" s="0" t="n">
        <f aca="true">RAND()</f>
        <v>0.206481551937511</v>
      </c>
      <c r="E525" s="0" t="n">
        <f aca="false">IF(C525&lt;=$C$10,1,IF(C525&lt;=$C$10+$C$11,2,3))</f>
        <v>2</v>
      </c>
      <c r="F525" s="0" t="n">
        <f aca="false">IF(E525=1,$C$4*SQRT(D525),IF(E525=2,$C$4+($C$5-$C$4)*D525,$C$6-($C$6-$C$5)*SQRT(1-D525)))</f>
        <v>3.82592620775004</v>
      </c>
    </row>
    <row r="526" customFormat="false" ht="15" hidden="false" customHeight="false" outlineLevel="0" collapsed="false">
      <c r="B526" s="0" t="n">
        <v>510</v>
      </c>
      <c r="C526" s="0" t="n">
        <f aca="true">RAND()</f>
        <v>0.819208682775814</v>
      </c>
      <c r="D526" s="0" t="n">
        <f aca="true">RAND()</f>
        <v>0.225864657902867</v>
      </c>
      <c r="E526" s="0" t="n">
        <f aca="false">IF(C526&lt;=$C$10,1,IF(C526&lt;=$C$10+$C$11,2,3))</f>
        <v>3</v>
      </c>
      <c r="F526" s="0" t="n">
        <f aca="false">IF(E526=1,$C$4*SQRT(D526),IF(E526=2,$C$4+($C$5-$C$4)*D526,$C$6-($C$6-$C$5)*SQRT(1-D526)))</f>
        <v>7.36045115997559</v>
      </c>
    </row>
    <row r="527" customFormat="false" ht="15" hidden="false" customHeight="false" outlineLevel="0" collapsed="false">
      <c r="B527" s="0" t="n">
        <v>511</v>
      </c>
      <c r="C527" s="0" t="n">
        <f aca="true">RAND()</f>
        <v>0.907972543486926</v>
      </c>
      <c r="D527" s="0" t="n">
        <f aca="true">RAND()</f>
        <v>0.122132662282126</v>
      </c>
      <c r="E527" s="0" t="n">
        <f aca="false">IF(C527&lt;=$C$10,1,IF(C527&lt;=$C$10+$C$11,2,3))</f>
        <v>3</v>
      </c>
      <c r="F527" s="0" t="n">
        <f aca="false">IF(E527=1,$C$4*SQRT(D527),IF(E527=2,$C$4+($C$5-$C$4)*D527,$C$6-($C$6-$C$5)*SQRT(1-D527)))</f>
        <v>7.18916275116099</v>
      </c>
    </row>
    <row r="528" customFormat="false" ht="15" hidden="false" customHeight="false" outlineLevel="0" collapsed="false">
      <c r="B528" s="0" t="n">
        <v>512</v>
      </c>
      <c r="C528" s="0" t="n">
        <f aca="true">RAND()</f>
        <v>0.127850071089472</v>
      </c>
      <c r="D528" s="0" t="n">
        <f aca="true">RAND()</f>
        <v>0.406115664777587</v>
      </c>
      <c r="E528" s="0" t="n">
        <f aca="false">IF(C528&lt;=$C$10,1,IF(C528&lt;=$C$10+$C$11,2,3))</f>
        <v>1</v>
      </c>
      <c r="F528" s="0" t="n">
        <f aca="false">IF(E528=1,$C$4*SQRT(D528),IF(E528=2,$C$4+($C$5-$C$4)*D528,$C$6-($C$6-$C$5)*SQRT(1-D528)))</f>
        <v>1.91181614780247</v>
      </c>
    </row>
    <row r="529" customFormat="false" ht="15" hidden="false" customHeight="false" outlineLevel="0" collapsed="false">
      <c r="B529" s="0" t="n">
        <v>513</v>
      </c>
      <c r="C529" s="0" t="n">
        <f aca="true">RAND()</f>
        <v>0.926892575317481</v>
      </c>
      <c r="D529" s="0" t="n">
        <f aca="true">RAND()</f>
        <v>0.288958564249614</v>
      </c>
      <c r="E529" s="0" t="n">
        <f aca="false">IF(C529&lt;=$C$10,1,IF(C529&lt;=$C$10+$C$11,2,3))</f>
        <v>3</v>
      </c>
      <c r="F529" s="0" t="n">
        <f aca="false">IF(E529=1,$C$4*SQRT(D529),IF(E529=2,$C$4+($C$5-$C$4)*D529,$C$6-($C$6-$C$5)*SQRT(1-D529)))</f>
        <v>7.47030181212195</v>
      </c>
    </row>
    <row r="530" customFormat="false" ht="15" hidden="false" customHeight="false" outlineLevel="0" collapsed="false">
      <c r="B530" s="0" t="n">
        <v>514</v>
      </c>
      <c r="C530" s="0" t="n">
        <f aca="true">RAND()</f>
        <v>0.215077965734988</v>
      </c>
      <c r="D530" s="0" t="n">
        <f aca="true">RAND()</f>
        <v>0.431589268045611</v>
      </c>
      <c r="E530" s="0" t="n">
        <f aca="false">IF(C530&lt;=$C$10,1,IF(C530&lt;=$C$10+$C$11,2,3))</f>
        <v>2</v>
      </c>
      <c r="F530" s="0" t="n">
        <f aca="false">IF(E530=1,$C$4*SQRT(D530),IF(E530=2,$C$4+($C$5-$C$4)*D530,$C$6-($C$6-$C$5)*SQRT(1-D530)))</f>
        <v>4.72635707218245</v>
      </c>
    </row>
    <row r="531" customFormat="false" ht="15" hidden="false" customHeight="false" outlineLevel="0" collapsed="false">
      <c r="B531" s="0" t="n">
        <v>515</v>
      </c>
      <c r="C531" s="0" t="n">
        <f aca="true">RAND()</f>
        <v>0.0688850449227056</v>
      </c>
      <c r="D531" s="0" t="n">
        <f aca="true">RAND()</f>
        <v>0.451321132348364</v>
      </c>
      <c r="E531" s="0" t="n">
        <f aca="false">IF(C531&lt;=$C$10,1,IF(C531&lt;=$C$10+$C$11,2,3))</f>
        <v>1</v>
      </c>
      <c r="F531" s="0" t="n">
        <f aca="false">IF(E531=1,$C$4*SQRT(D531),IF(E531=2,$C$4+($C$5-$C$4)*D531,$C$6-($C$6-$C$5)*SQRT(1-D531)))</f>
        <v>2.01541315643599</v>
      </c>
    </row>
    <row r="532" customFormat="false" ht="15" hidden="false" customHeight="false" outlineLevel="0" collapsed="false">
      <c r="B532" s="0" t="n">
        <v>516</v>
      </c>
      <c r="C532" s="0" t="n">
        <f aca="true">RAND()</f>
        <v>0.81607700247731</v>
      </c>
      <c r="D532" s="0" t="n">
        <f aca="true">RAND()</f>
        <v>0.497594829885939</v>
      </c>
      <c r="E532" s="0" t="n">
        <f aca="false">IF(C532&lt;=$C$10,1,IF(C532&lt;=$C$10+$C$11,2,3))</f>
        <v>3</v>
      </c>
      <c r="F532" s="0" t="n">
        <f aca="false">IF(E532=1,$C$4*SQRT(D532),IF(E532=2,$C$4+($C$5-$C$4)*D532,$C$6-($C$6-$C$5)*SQRT(1-D532)))</f>
        <v>7.87358364118723</v>
      </c>
    </row>
    <row r="533" customFormat="false" ht="15" hidden="false" customHeight="false" outlineLevel="0" collapsed="false">
      <c r="B533" s="0" t="n">
        <v>517</v>
      </c>
      <c r="C533" s="0" t="n">
        <f aca="true">RAND()</f>
        <v>0.891139730816565</v>
      </c>
      <c r="D533" s="0" t="n">
        <f aca="true">RAND()</f>
        <v>0.820753223860863</v>
      </c>
      <c r="E533" s="0" t="n">
        <f aca="false">IF(C533&lt;=$C$10,1,IF(C533&lt;=$C$10+$C$11,2,3))</f>
        <v>3</v>
      </c>
      <c r="F533" s="0" t="n">
        <f aca="false">IF(E533=1,$C$4*SQRT(D533),IF(E533=2,$C$4+($C$5-$C$4)*D533,$C$6-($C$6-$C$5)*SQRT(1-D533)))</f>
        <v>8.72987363414019</v>
      </c>
    </row>
    <row r="534" customFormat="false" ht="15" hidden="false" customHeight="false" outlineLevel="0" collapsed="false">
      <c r="B534" s="0" t="n">
        <v>518</v>
      </c>
      <c r="C534" s="0" t="n">
        <f aca="true">RAND()</f>
        <v>0.756788750998157</v>
      </c>
      <c r="D534" s="0" t="n">
        <f aca="true">RAND()</f>
        <v>0.45003949097321</v>
      </c>
      <c r="E534" s="0" t="n">
        <f aca="false">IF(C534&lt;=$C$10,1,IF(C534&lt;=$C$10+$C$11,2,3))</f>
        <v>2</v>
      </c>
      <c r="F534" s="0" t="n">
        <f aca="false">IF(E534=1,$C$4*SQRT(D534),IF(E534=2,$C$4+($C$5-$C$4)*D534,$C$6-($C$6-$C$5)*SQRT(1-D534)))</f>
        <v>4.80015796389284</v>
      </c>
    </row>
    <row r="535" customFormat="false" ht="15" hidden="false" customHeight="false" outlineLevel="0" collapsed="false">
      <c r="B535" s="0" t="n">
        <v>519</v>
      </c>
      <c r="C535" s="0" t="n">
        <f aca="true">RAND()</f>
        <v>0.847495084769896</v>
      </c>
      <c r="D535" s="0" t="n">
        <f aca="true">RAND()</f>
        <v>0.907491129498094</v>
      </c>
      <c r="E535" s="0" t="n">
        <f aca="false">IF(C535&lt;=$C$10,1,IF(C535&lt;=$C$10+$C$11,2,3))</f>
        <v>3</v>
      </c>
      <c r="F535" s="0" t="n">
        <f aca="false">IF(E535=1,$C$4*SQRT(D535),IF(E535=2,$C$4+($C$5-$C$4)*D535,$C$6-($C$6-$C$5)*SQRT(1-D535)))</f>
        <v>9.08754187245816</v>
      </c>
    </row>
    <row r="536" customFormat="false" ht="15" hidden="false" customHeight="false" outlineLevel="0" collapsed="false">
      <c r="B536" s="0" t="n">
        <v>520</v>
      </c>
      <c r="C536" s="0" t="n">
        <f aca="true">RAND()</f>
        <v>0.577855626802274</v>
      </c>
      <c r="D536" s="0" t="n">
        <f aca="true">RAND()</f>
        <v>0.716571597294801</v>
      </c>
      <c r="E536" s="0" t="n">
        <f aca="false">IF(C536&lt;=$C$10,1,IF(C536&lt;=$C$10+$C$11,2,3))</f>
        <v>2</v>
      </c>
      <c r="F536" s="0" t="n">
        <f aca="false">IF(E536=1,$C$4*SQRT(D536),IF(E536=2,$C$4+($C$5-$C$4)*D536,$C$6-($C$6-$C$5)*SQRT(1-D536)))</f>
        <v>5.8662863891792</v>
      </c>
    </row>
    <row r="537" customFormat="false" ht="15" hidden="false" customHeight="false" outlineLevel="0" collapsed="false">
      <c r="B537" s="0" t="n">
        <v>521</v>
      </c>
      <c r="C537" s="0" t="n">
        <f aca="true">RAND()</f>
        <v>0.503810536154485</v>
      </c>
      <c r="D537" s="0" t="n">
        <f aca="true">RAND()</f>
        <v>0.0632421515738289</v>
      </c>
      <c r="E537" s="0" t="n">
        <f aca="false">IF(C537&lt;=$C$10,1,IF(C537&lt;=$C$10+$C$11,2,3))</f>
        <v>2</v>
      </c>
      <c r="F537" s="0" t="n">
        <f aca="false">IF(E537=1,$C$4*SQRT(D537),IF(E537=2,$C$4+($C$5-$C$4)*D537,$C$6-($C$6-$C$5)*SQRT(1-D537)))</f>
        <v>3.25296860629532</v>
      </c>
    </row>
    <row r="538" customFormat="false" ht="15" hidden="false" customHeight="false" outlineLevel="0" collapsed="false">
      <c r="B538" s="0" t="n">
        <v>522</v>
      </c>
      <c r="C538" s="0" t="n">
        <f aca="true">RAND()</f>
        <v>0.864034653209068</v>
      </c>
      <c r="D538" s="0" t="n">
        <f aca="true">RAND()</f>
        <v>0.177792684276021</v>
      </c>
      <c r="E538" s="0" t="n">
        <f aca="false">IF(C538&lt;=$C$10,1,IF(C538&lt;=$C$10+$C$11,2,3))</f>
        <v>3</v>
      </c>
      <c r="F538" s="0" t="n">
        <f aca="false">IF(E538=1,$C$4*SQRT(D538),IF(E538=2,$C$4+($C$5-$C$4)*D538,$C$6-($C$6-$C$5)*SQRT(1-D538)))</f>
        <v>7.27973055718449</v>
      </c>
    </row>
    <row r="539" customFormat="false" ht="15" hidden="false" customHeight="false" outlineLevel="0" collapsed="false">
      <c r="B539" s="0" t="n">
        <v>523</v>
      </c>
      <c r="C539" s="0" t="n">
        <f aca="true">RAND()</f>
        <v>0.028458538932325</v>
      </c>
      <c r="D539" s="0" t="n">
        <f aca="true">RAND()</f>
        <v>0.866809667790333</v>
      </c>
      <c r="E539" s="0" t="n">
        <f aca="false">IF(C539&lt;=$C$10,1,IF(C539&lt;=$C$10+$C$11,2,3))</f>
        <v>1</v>
      </c>
      <c r="F539" s="0" t="n">
        <f aca="false">IF(E539=1,$C$4*SQRT(D539),IF(E539=2,$C$4+($C$5-$C$4)*D539,$C$6-($C$6-$C$5)*SQRT(1-D539)))</f>
        <v>2.79307841102125</v>
      </c>
    </row>
    <row r="540" customFormat="false" ht="15" hidden="false" customHeight="false" outlineLevel="0" collapsed="false">
      <c r="B540" s="0" t="n">
        <v>524</v>
      </c>
      <c r="C540" s="0" t="n">
        <f aca="true">RAND()</f>
        <v>0.157068567303844</v>
      </c>
      <c r="D540" s="0" t="n">
        <f aca="true">RAND()</f>
        <v>0.522362464066337</v>
      </c>
      <c r="E540" s="0" t="n">
        <f aca="false">IF(C540&lt;=$C$10,1,IF(C540&lt;=$C$10+$C$11,2,3))</f>
        <v>1</v>
      </c>
      <c r="F540" s="0" t="n">
        <f aca="false">IF(E540=1,$C$4*SQRT(D540),IF(E540=2,$C$4+($C$5-$C$4)*D540,$C$6-($C$6-$C$5)*SQRT(1-D540)))</f>
        <v>2.16823941865215</v>
      </c>
    </row>
    <row r="541" customFormat="false" ht="15" hidden="false" customHeight="false" outlineLevel="0" collapsed="false">
      <c r="B541" s="0" t="n">
        <v>525</v>
      </c>
      <c r="C541" s="0" t="n">
        <f aca="true">RAND()</f>
        <v>0.609590667465922</v>
      </c>
      <c r="D541" s="0" t="n">
        <f aca="true">RAND()</f>
        <v>0.295594387473789</v>
      </c>
      <c r="E541" s="0" t="n">
        <f aca="false">IF(C541&lt;=$C$10,1,IF(C541&lt;=$C$10+$C$11,2,3))</f>
        <v>2</v>
      </c>
      <c r="F541" s="0" t="n">
        <f aca="false">IF(E541=1,$C$4*SQRT(D541),IF(E541=2,$C$4+($C$5-$C$4)*D541,$C$6-($C$6-$C$5)*SQRT(1-D541)))</f>
        <v>4.18237754989516</v>
      </c>
    </row>
    <row r="542" customFormat="false" ht="15" hidden="false" customHeight="false" outlineLevel="0" collapsed="false">
      <c r="B542" s="0" t="n">
        <v>526</v>
      </c>
      <c r="C542" s="0" t="n">
        <f aca="true">RAND()</f>
        <v>0.50917490529441</v>
      </c>
      <c r="D542" s="0" t="n">
        <f aca="true">RAND()</f>
        <v>0.848573223989136</v>
      </c>
      <c r="E542" s="0" t="n">
        <f aca="false">IF(C542&lt;=$C$10,1,IF(C542&lt;=$C$10+$C$11,2,3))</f>
        <v>2</v>
      </c>
      <c r="F542" s="0" t="n">
        <f aca="false">IF(E542=1,$C$4*SQRT(D542),IF(E542=2,$C$4+($C$5-$C$4)*D542,$C$6-($C$6-$C$5)*SQRT(1-D542)))</f>
        <v>6.39429289595655</v>
      </c>
    </row>
    <row r="543" customFormat="false" ht="15" hidden="false" customHeight="false" outlineLevel="0" collapsed="false">
      <c r="B543" s="0" t="n">
        <v>527</v>
      </c>
      <c r="C543" s="0" t="n">
        <f aca="true">RAND()</f>
        <v>0.238682459200071</v>
      </c>
      <c r="D543" s="0" t="n">
        <f aca="true">RAND()</f>
        <v>0.570323213424591</v>
      </c>
      <c r="E543" s="0" t="n">
        <f aca="false">IF(C543&lt;=$C$10,1,IF(C543&lt;=$C$10+$C$11,2,3))</f>
        <v>2</v>
      </c>
      <c r="F543" s="0" t="n">
        <f aca="false">IF(E543=1,$C$4*SQRT(D543),IF(E543=2,$C$4+($C$5-$C$4)*D543,$C$6-($C$6-$C$5)*SQRT(1-D543)))</f>
        <v>5.28129285369836</v>
      </c>
    </row>
    <row r="544" customFormat="false" ht="15" hidden="false" customHeight="false" outlineLevel="0" collapsed="false">
      <c r="B544" s="0" t="n">
        <v>528</v>
      </c>
      <c r="C544" s="0" t="n">
        <f aca="true">RAND()</f>
        <v>0.912310883745871</v>
      </c>
      <c r="D544" s="0" t="n">
        <f aca="true">RAND()</f>
        <v>0.365013482563028</v>
      </c>
      <c r="E544" s="0" t="n">
        <f aca="false">IF(C544&lt;=$C$10,1,IF(C544&lt;=$C$10+$C$11,2,3))</f>
        <v>3</v>
      </c>
      <c r="F544" s="0" t="n">
        <f aca="false">IF(E544=1,$C$4*SQRT(D544),IF(E544=2,$C$4+($C$5-$C$4)*D544,$C$6-($C$6-$C$5)*SQRT(1-D544)))</f>
        <v>7.60941876169565</v>
      </c>
    </row>
    <row r="545" customFormat="false" ht="15" hidden="false" customHeight="false" outlineLevel="0" collapsed="false">
      <c r="B545" s="0" t="n">
        <v>529</v>
      </c>
      <c r="C545" s="0" t="n">
        <f aca="true">RAND()</f>
        <v>0.499605494824111</v>
      </c>
      <c r="D545" s="0" t="n">
        <f aca="true">RAND()</f>
        <v>0.17497249633754</v>
      </c>
      <c r="E545" s="0" t="n">
        <f aca="false">IF(C545&lt;=$C$10,1,IF(C545&lt;=$C$10+$C$11,2,3))</f>
        <v>2</v>
      </c>
      <c r="F545" s="0" t="n">
        <f aca="false">IF(E545=1,$C$4*SQRT(D545),IF(E545=2,$C$4+($C$5-$C$4)*D545,$C$6-($C$6-$C$5)*SQRT(1-D545)))</f>
        <v>3.69988998535016</v>
      </c>
    </row>
    <row r="546" customFormat="false" ht="15" hidden="false" customHeight="false" outlineLevel="0" collapsed="false">
      <c r="B546" s="0" t="n">
        <v>530</v>
      </c>
      <c r="C546" s="0" t="n">
        <f aca="true">RAND()</f>
        <v>0.765446755402291</v>
      </c>
      <c r="D546" s="0" t="n">
        <f aca="true">RAND()</f>
        <v>0.971081467551336</v>
      </c>
      <c r="E546" s="0" t="n">
        <f aca="false">IF(C546&lt;=$C$10,1,IF(C546&lt;=$C$10+$C$11,2,3))</f>
        <v>2</v>
      </c>
      <c r="F546" s="0" t="n">
        <f aca="false">IF(E546=1,$C$4*SQRT(D546),IF(E546=2,$C$4+($C$5-$C$4)*D546,$C$6-($C$6-$C$5)*SQRT(1-D546)))</f>
        <v>6.88432587020535</v>
      </c>
    </row>
    <row r="547" customFormat="false" ht="15" hidden="false" customHeight="false" outlineLevel="0" collapsed="false">
      <c r="B547" s="0" t="n">
        <v>531</v>
      </c>
      <c r="C547" s="0" t="n">
        <f aca="true">RAND()</f>
        <v>0.458012481559975</v>
      </c>
      <c r="D547" s="0" t="n">
        <f aca="true">RAND()</f>
        <v>0.764104289682056</v>
      </c>
      <c r="E547" s="0" t="n">
        <f aca="false">IF(C547&lt;=$C$10,1,IF(C547&lt;=$C$10+$C$11,2,3))</f>
        <v>2</v>
      </c>
      <c r="F547" s="0" t="n">
        <f aca="false">IF(E547=1,$C$4*SQRT(D547),IF(E547=2,$C$4+($C$5-$C$4)*D547,$C$6-($C$6-$C$5)*SQRT(1-D547)))</f>
        <v>6.05641715872823</v>
      </c>
    </row>
    <row r="548" customFormat="false" ht="15" hidden="false" customHeight="false" outlineLevel="0" collapsed="false">
      <c r="B548" s="0" t="n">
        <v>532</v>
      </c>
      <c r="C548" s="0" t="n">
        <f aca="true">RAND()</f>
        <v>0.607589727032464</v>
      </c>
      <c r="D548" s="0" t="n">
        <f aca="true">RAND()</f>
        <v>0.797697216349061</v>
      </c>
      <c r="E548" s="0" t="n">
        <f aca="false">IF(C548&lt;=$C$10,1,IF(C548&lt;=$C$10+$C$11,2,3))</f>
        <v>2</v>
      </c>
      <c r="F548" s="0" t="n">
        <f aca="false">IF(E548=1,$C$4*SQRT(D548),IF(E548=2,$C$4+($C$5-$C$4)*D548,$C$6-($C$6-$C$5)*SQRT(1-D548)))</f>
        <v>6.19078886539624</v>
      </c>
    </row>
    <row r="549" customFormat="false" ht="15" hidden="false" customHeight="false" outlineLevel="0" collapsed="false">
      <c r="B549" s="0" t="n">
        <v>533</v>
      </c>
      <c r="C549" s="0" t="n">
        <f aca="true">RAND()</f>
        <v>0.202103051361018</v>
      </c>
      <c r="D549" s="0" t="n">
        <f aca="true">RAND()</f>
        <v>0.410982517262531</v>
      </c>
      <c r="E549" s="0" t="n">
        <f aca="false">IF(C549&lt;=$C$10,1,IF(C549&lt;=$C$10+$C$11,2,3))</f>
        <v>1</v>
      </c>
      <c r="F549" s="0" t="n">
        <f aca="false">IF(E549=1,$C$4*SQRT(D549),IF(E549=2,$C$4+($C$5-$C$4)*D549,$C$6-($C$6-$C$5)*SQRT(1-D549)))</f>
        <v>1.92323754522492</v>
      </c>
    </row>
    <row r="550" customFormat="false" ht="15" hidden="false" customHeight="false" outlineLevel="0" collapsed="false">
      <c r="B550" s="0" t="n">
        <v>534</v>
      </c>
      <c r="C550" s="0" t="n">
        <f aca="true">RAND()</f>
        <v>0.680916375707987</v>
      </c>
      <c r="D550" s="0" t="n">
        <f aca="true">RAND()</f>
        <v>0.0902917741990997</v>
      </c>
      <c r="E550" s="0" t="n">
        <f aca="false">IF(C550&lt;=$C$10,1,IF(C550&lt;=$C$10+$C$11,2,3))</f>
        <v>2</v>
      </c>
      <c r="F550" s="0" t="n">
        <f aca="false">IF(E550=1,$C$4*SQRT(D550),IF(E550=2,$C$4+($C$5-$C$4)*D550,$C$6-($C$6-$C$5)*SQRT(1-D550)))</f>
        <v>3.3611670967964</v>
      </c>
    </row>
    <row r="551" customFormat="false" ht="15" hidden="false" customHeight="false" outlineLevel="0" collapsed="false">
      <c r="B551" s="0" t="n">
        <v>535</v>
      </c>
      <c r="C551" s="0" t="n">
        <f aca="true">RAND()</f>
        <v>0.583267429554397</v>
      </c>
      <c r="D551" s="0" t="n">
        <f aca="true">RAND()</f>
        <v>0.84213542258675</v>
      </c>
      <c r="E551" s="0" t="n">
        <f aca="false">IF(C551&lt;=$C$10,1,IF(C551&lt;=$C$10+$C$11,2,3))</f>
        <v>2</v>
      </c>
      <c r="F551" s="0" t="n">
        <f aca="false">IF(E551=1,$C$4*SQRT(D551),IF(E551=2,$C$4+($C$5-$C$4)*D551,$C$6-($C$6-$C$5)*SQRT(1-D551)))</f>
        <v>6.368541690347</v>
      </c>
    </row>
    <row r="552" customFormat="false" ht="15" hidden="false" customHeight="false" outlineLevel="0" collapsed="false">
      <c r="B552" s="0" t="n">
        <v>536</v>
      </c>
      <c r="C552" s="0" t="n">
        <f aca="true">RAND()</f>
        <v>0.0972887434601602</v>
      </c>
      <c r="D552" s="0" t="n">
        <f aca="true">RAND()</f>
        <v>0.050438770807121</v>
      </c>
      <c r="E552" s="0" t="n">
        <f aca="false">IF(C552&lt;=$C$10,1,IF(C552&lt;=$C$10+$C$11,2,3))</f>
        <v>1</v>
      </c>
      <c r="F552" s="0" t="n">
        <f aca="false">IF(E552=1,$C$4*SQRT(D552),IF(E552=2,$C$4+($C$5-$C$4)*D552,$C$6-($C$6-$C$5)*SQRT(1-D552)))</f>
        <v>0.673757328170973</v>
      </c>
    </row>
    <row r="553" customFormat="false" ht="15" hidden="false" customHeight="false" outlineLevel="0" collapsed="false">
      <c r="B553" s="0" t="n">
        <v>537</v>
      </c>
      <c r="C553" s="0" t="n">
        <f aca="true">RAND()</f>
        <v>0.645149311804943</v>
      </c>
      <c r="D553" s="0" t="n">
        <f aca="true">RAND()</f>
        <v>0.460364663091103</v>
      </c>
      <c r="E553" s="0" t="n">
        <f aca="false">IF(C553&lt;=$C$10,1,IF(C553&lt;=$C$10+$C$11,2,3))</f>
        <v>2</v>
      </c>
      <c r="F553" s="0" t="n">
        <f aca="false">IF(E553=1,$C$4*SQRT(D553),IF(E553=2,$C$4+($C$5-$C$4)*D553,$C$6-($C$6-$C$5)*SQRT(1-D553)))</f>
        <v>4.84145865236441</v>
      </c>
    </row>
    <row r="554" customFormat="false" ht="15" hidden="false" customHeight="false" outlineLevel="0" collapsed="false">
      <c r="B554" s="0" t="n">
        <v>538</v>
      </c>
      <c r="C554" s="0" t="n">
        <f aca="true">RAND()</f>
        <v>0.473247947254918</v>
      </c>
      <c r="D554" s="0" t="n">
        <f aca="true">RAND()</f>
        <v>0.94068742322392</v>
      </c>
      <c r="E554" s="0" t="n">
        <f aca="false">IF(C554&lt;=$C$10,1,IF(C554&lt;=$C$10+$C$11,2,3))</f>
        <v>2</v>
      </c>
      <c r="F554" s="0" t="n">
        <f aca="false">IF(E554=1,$C$4*SQRT(D554),IF(E554=2,$C$4+($C$5-$C$4)*D554,$C$6-($C$6-$C$5)*SQRT(1-D554)))</f>
        <v>6.76274969289568</v>
      </c>
    </row>
    <row r="555" customFormat="false" ht="15" hidden="false" customHeight="false" outlineLevel="0" collapsed="false">
      <c r="B555" s="0" t="n">
        <v>539</v>
      </c>
      <c r="C555" s="0" t="n">
        <f aca="true">RAND()</f>
        <v>0.318353226387995</v>
      </c>
      <c r="D555" s="0" t="n">
        <f aca="true">RAND()</f>
        <v>0.880406598455725</v>
      </c>
      <c r="E555" s="0" t="n">
        <f aca="false">IF(C555&lt;=$C$10,1,IF(C555&lt;=$C$10+$C$11,2,3))</f>
        <v>2</v>
      </c>
      <c r="F555" s="0" t="n">
        <f aca="false">IF(E555=1,$C$4*SQRT(D555),IF(E555=2,$C$4+($C$5-$C$4)*D555,$C$6-($C$6-$C$5)*SQRT(1-D555)))</f>
        <v>6.5216263938229</v>
      </c>
    </row>
    <row r="556" customFormat="false" ht="15" hidden="false" customHeight="false" outlineLevel="0" collapsed="false">
      <c r="B556" s="0" t="n">
        <v>540</v>
      </c>
      <c r="C556" s="0" t="n">
        <f aca="true">RAND()</f>
        <v>0.95652202540917</v>
      </c>
      <c r="D556" s="0" t="n">
        <f aca="true">RAND()</f>
        <v>0.431482917262232</v>
      </c>
      <c r="E556" s="0" t="n">
        <f aca="false">IF(C556&lt;=$C$10,1,IF(C556&lt;=$C$10+$C$11,2,3))</f>
        <v>3</v>
      </c>
      <c r="F556" s="0" t="n">
        <f aca="false">IF(E556=1,$C$4*SQRT(D556),IF(E556=2,$C$4+($C$5-$C$4)*D556,$C$6-($C$6-$C$5)*SQRT(1-D556)))</f>
        <v>7.73799784601342</v>
      </c>
    </row>
    <row r="557" customFormat="false" ht="15" hidden="false" customHeight="false" outlineLevel="0" collapsed="false">
      <c r="B557" s="0" t="n">
        <v>541</v>
      </c>
      <c r="C557" s="0" t="n">
        <f aca="true">RAND()</f>
        <v>0.824751295802297</v>
      </c>
      <c r="D557" s="0" t="n">
        <f aca="true">RAND()</f>
        <v>0.825455041004238</v>
      </c>
      <c r="E557" s="0" t="n">
        <f aca="false">IF(C557&lt;=$C$10,1,IF(C557&lt;=$C$10+$C$11,2,3))</f>
        <v>3</v>
      </c>
      <c r="F557" s="0" t="n">
        <f aca="false">IF(E557=1,$C$4*SQRT(D557),IF(E557=2,$C$4+($C$5-$C$4)*D557,$C$6-($C$6-$C$5)*SQRT(1-D557)))</f>
        <v>8.7466426563179</v>
      </c>
    </row>
    <row r="558" customFormat="false" ht="15" hidden="false" customHeight="false" outlineLevel="0" collapsed="false">
      <c r="B558" s="0" t="n">
        <v>542</v>
      </c>
      <c r="C558" s="0" t="n">
        <f aca="true">RAND()</f>
        <v>0.662099428492021</v>
      </c>
      <c r="D558" s="0" t="n">
        <f aca="true">RAND()</f>
        <v>0.840979809789489</v>
      </c>
      <c r="E558" s="0" t="n">
        <f aca="false">IF(C558&lt;=$C$10,1,IF(C558&lt;=$C$10+$C$11,2,3))</f>
        <v>2</v>
      </c>
      <c r="F558" s="0" t="n">
        <f aca="false">IF(E558=1,$C$4*SQRT(D558),IF(E558=2,$C$4+($C$5-$C$4)*D558,$C$6-($C$6-$C$5)*SQRT(1-D558)))</f>
        <v>6.36391923915796</v>
      </c>
    </row>
    <row r="559" customFormat="false" ht="15" hidden="false" customHeight="false" outlineLevel="0" collapsed="false">
      <c r="B559" s="0" t="n">
        <v>543</v>
      </c>
      <c r="C559" s="0" t="n">
        <f aca="true">RAND()</f>
        <v>0.0282699492567978</v>
      </c>
      <c r="D559" s="0" t="n">
        <f aca="true">RAND()</f>
        <v>0.691626367595517</v>
      </c>
      <c r="E559" s="0" t="n">
        <f aca="false">IF(C559&lt;=$C$10,1,IF(C559&lt;=$C$10+$C$11,2,3))</f>
        <v>1</v>
      </c>
      <c r="F559" s="0" t="n">
        <f aca="false">IF(E559=1,$C$4*SQRT(D559),IF(E559=2,$C$4+($C$5-$C$4)*D559,$C$6-($C$6-$C$5)*SQRT(1-D559)))</f>
        <v>2.49492230507478</v>
      </c>
    </row>
    <row r="560" customFormat="false" ht="15" hidden="false" customHeight="false" outlineLevel="0" collapsed="false">
      <c r="B560" s="0" t="n">
        <v>544</v>
      </c>
      <c r="C560" s="0" t="n">
        <f aca="true">RAND()</f>
        <v>0.866060887312625</v>
      </c>
      <c r="D560" s="0" t="n">
        <f aca="true">RAND()</f>
        <v>0.0983630412690586</v>
      </c>
      <c r="E560" s="0" t="n">
        <f aca="false">IF(C560&lt;=$C$10,1,IF(C560&lt;=$C$10+$C$11,2,3))</f>
        <v>3</v>
      </c>
      <c r="F560" s="0" t="n">
        <f aca="false">IF(E560=1,$C$4*SQRT(D560),IF(E560=2,$C$4+($C$5-$C$4)*D560,$C$6-($C$6-$C$5)*SQRT(1-D560)))</f>
        <v>7.15136302267585</v>
      </c>
    </row>
    <row r="561" customFormat="false" ht="15" hidden="false" customHeight="false" outlineLevel="0" collapsed="false">
      <c r="B561" s="0" t="n">
        <v>545</v>
      </c>
      <c r="C561" s="0" t="n">
        <f aca="true">RAND()</f>
        <v>0.0343275086321046</v>
      </c>
      <c r="D561" s="0" t="n">
        <f aca="true">RAND()</f>
        <v>0.482983662607532</v>
      </c>
      <c r="E561" s="0" t="n">
        <f aca="false">IF(C561&lt;=$C$10,1,IF(C561&lt;=$C$10+$C$11,2,3))</f>
        <v>1</v>
      </c>
      <c r="F561" s="0" t="n">
        <f aca="false">IF(E561=1,$C$4*SQRT(D561),IF(E561=2,$C$4+($C$5-$C$4)*D561,$C$6-($C$6-$C$5)*SQRT(1-D561)))</f>
        <v>2.08491078069729</v>
      </c>
    </row>
    <row r="562" customFormat="false" ht="15" hidden="false" customHeight="false" outlineLevel="0" collapsed="false">
      <c r="B562" s="0" t="n">
        <v>546</v>
      </c>
      <c r="C562" s="0" t="n">
        <f aca="true">RAND()</f>
        <v>0.70637851137286</v>
      </c>
      <c r="D562" s="0" t="n">
        <f aca="true">RAND()</f>
        <v>0.127558134674774</v>
      </c>
      <c r="E562" s="0" t="n">
        <f aca="false">IF(C562&lt;=$C$10,1,IF(C562&lt;=$C$10+$C$11,2,3))</f>
        <v>2</v>
      </c>
      <c r="F562" s="0" t="n">
        <f aca="false">IF(E562=1,$C$4*SQRT(D562),IF(E562=2,$C$4+($C$5-$C$4)*D562,$C$6-($C$6-$C$5)*SQRT(1-D562)))</f>
        <v>3.5102325386991</v>
      </c>
    </row>
    <row r="563" customFormat="false" ht="15" hidden="false" customHeight="false" outlineLevel="0" collapsed="false">
      <c r="B563" s="0" t="n">
        <v>547</v>
      </c>
      <c r="C563" s="0" t="n">
        <f aca="true">RAND()</f>
        <v>0.263216682454383</v>
      </c>
      <c r="D563" s="0" t="n">
        <f aca="true">RAND()</f>
        <v>0.456623213039057</v>
      </c>
      <c r="E563" s="0" t="n">
        <f aca="false">IF(C563&lt;=$C$10,1,IF(C563&lt;=$C$10+$C$11,2,3))</f>
        <v>2</v>
      </c>
      <c r="F563" s="0" t="n">
        <f aca="false">IF(E563=1,$C$4*SQRT(D563),IF(E563=2,$C$4+($C$5-$C$4)*D563,$C$6-($C$6-$C$5)*SQRT(1-D563)))</f>
        <v>4.82649285215623</v>
      </c>
    </row>
    <row r="564" customFormat="false" ht="15" hidden="false" customHeight="false" outlineLevel="0" collapsed="false">
      <c r="B564" s="0" t="n">
        <v>548</v>
      </c>
      <c r="C564" s="0" t="n">
        <f aca="true">RAND()</f>
        <v>0.967524325264659</v>
      </c>
      <c r="D564" s="0" t="n">
        <f aca="true">RAND()</f>
        <v>0.902816785430041</v>
      </c>
      <c r="E564" s="0" t="n">
        <f aca="false">IF(C564&lt;=$C$10,1,IF(C564&lt;=$C$10+$C$11,2,3))</f>
        <v>3</v>
      </c>
      <c r="F564" s="0" t="n">
        <f aca="false">IF(E564=1,$C$4*SQRT(D564),IF(E564=2,$C$4+($C$5-$C$4)*D564,$C$6-($C$6-$C$5)*SQRT(1-D564)))</f>
        <v>9.0647733263376</v>
      </c>
    </row>
    <row r="565" customFormat="false" ht="15" hidden="false" customHeight="false" outlineLevel="0" collapsed="false">
      <c r="B565" s="0" t="n">
        <v>549</v>
      </c>
      <c r="C565" s="0" t="n">
        <f aca="true">RAND()</f>
        <v>0.193563859271951</v>
      </c>
      <c r="D565" s="0" t="n">
        <f aca="true">RAND()</f>
        <v>0.852258592517334</v>
      </c>
      <c r="E565" s="0" t="n">
        <f aca="false">IF(C565&lt;=$C$10,1,IF(C565&lt;=$C$10+$C$11,2,3))</f>
        <v>1</v>
      </c>
      <c r="F565" s="0" t="n">
        <f aca="false">IF(E565=1,$C$4*SQRT(D565),IF(E565=2,$C$4+($C$5-$C$4)*D565,$C$6-($C$6-$C$5)*SQRT(1-D565)))</f>
        <v>2.76953558068063</v>
      </c>
    </row>
    <row r="566" customFormat="false" ht="15" hidden="false" customHeight="false" outlineLevel="0" collapsed="false">
      <c r="B566" s="0" t="n">
        <v>550</v>
      </c>
      <c r="C566" s="0" t="n">
        <f aca="true">RAND()</f>
        <v>0.128464126900888</v>
      </c>
      <c r="D566" s="0" t="n">
        <f aca="true">RAND()</f>
        <v>0.289253593699093</v>
      </c>
      <c r="E566" s="0" t="n">
        <f aca="false">IF(C566&lt;=$C$10,1,IF(C566&lt;=$C$10+$C$11,2,3))</f>
        <v>1</v>
      </c>
      <c r="F566" s="0" t="n">
        <f aca="false">IF(E566=1,$C$4*SQRT(D566),IF(E566=2,$C$4+($C$5-$C$4)*D566,$C$6-($C$6-$C$5)*SQRT(1-D566)))</f>
        <v>1.6134690400785</v>
      </c>
    </row>
    <row r="567" customFormat="false" ht="15" hidden="false" customHeight="false" outlineLevel="0" collapsed="false">
      <c r="B567" s="0" t="n">
        <v>551</v>
      </c>
      <c r="C567" s="0" t="n">
        <f aca="true">RAND()</f>
        <v>0.336532568948447</v>
      </c>
      <c r="D567" s="0" t="n">
        <f aca="true">RAND()</f>
        <v>0.94619851494692</v>
      </c>
      <c r="E567" s="0" t="n">
        <f aca="false">IF(C567&lt;=$C$10,1,IF(C567&lt;=$C$10+$C$11,2,3))</f>
        <v>2</v>
      </c>
      <c r="F567" s="0" t="n">
        <f aca="false">IF(E567=1,$C$4*SQRT(D567),IF(E567=2,$C$4+($C$5-$C$4)*D567,$C$6-($C$6-$C$5)*SQRT(1-D567)))</f>
        <v>6.78479405978768</v>
      </c>
    </row>
    <row r="568" customFormat="false" ht="15" hidden="false" customHeight="false" outlineLevel="0" collapsed="false">
      <c r="B568" s="0" t="n">
        <v>552</v>
      </c>
      <c r="C568" s="0" t="n">
        <f aca="true">RAND()</f>
        <v>0.0106388455461786</v>
      </c>
      <c r="D568" s="0" t="n">
        <f aca="true">RAND()</f>
        <v>0.516212769780434</v>
      </c>
      <c r="E568" s="0" t="n">
        <f aca="false">IF(C568&lt;=$C$10,1,IF(C568&lt;=$C$10+$C$11,2,3))</f>
        <v>1</v>
      </c>
      <c r="F568" s="0" t="n">
        <f aca="false">IF(E568=1,$C$4*SQRT(D568),IF(E568=2,$C$4+($C$5-$C$4)*D568,$C$6-($C$6-$C$5)*SQRT(1-D568)))</f>
        <v>2.15543845377777</v>
      </c>
    </row>
    <row r="569" customFormat="false" ht="15" hidden="false" customHeight="false" outlineLevel="0" collapsed="false">
      <c r="B569" s="0" t="n">
        <v>553</v>
      </c>
      <c r="C569" s="0" t="n">
        <f aca="true">RAND()</f>
        <v>0.800196641970293</v>
      </c>
      <c r="D569" s="0" t="n">
        <f aca="true">RAND()</f>
        <v>0.94536429655573</v>
      </c>
      <c r="E569" s="0" t="n">
        <f aca="false">IF(C569&lt;=$C$10,1,IF(C569&lt;=$C$10+$C$11,2,3))</f>
        <v>3</v>
      </c>
      <c r="F569" s="0" t="n">
        <f aca="false">IF(E569=1,$C$4*SQRT(D569),IF(E569=2,$C$4+($C$5-$C$4)*D569,$C$6-($C$6-$C$5)*SQRT(1-D569)))</f>
        <v>9.29877155576915</v>
      </c>
    </row>
    <row r="570" customFormat="false" ht="15" hidden="false" customHeight="false" outlineLevel="0" collapsed="false">
      <c r="B570" s="0" t="n">
        <v>554</v>
      </c>
      <c r="C570" s="0" t="n">
        <f aca="true">RAND()</f>
        <v>0.69680226133865</v>
      </c>
      <c r="D570" s="0" t="n">
        <f aca="true">RAND()</f>
        <v>0.020345388679497</v>
      </c>
      <c r="E570" s="0" t="n">
        <f aca="false">IF(C570&lt;=$C$10,1,IF(C570&lt;=$C$10+$C$11,2,3))</f>
        <v>2</v>
      </c>
      <c r="F570" s="0" t="n">
        <f aca="false">IF(E570=1,$C$4*SQRT(D570),IF(E570=2,$C$4+($C$5-$C$4)*D570,$C$6-($C$6-$C$5)*SQRT(1-D570)))</f>
        <v>3.08138155471799</v>
      </c>
    </row>
    <row r="571" customFormat="false" ht="15" hidden="false" customHeight="false" outlineLevel="0" collapsed="false">
      <c r="B571" s="0" t="n">
        <v>555</v>
      </c>
      <c r="C571" s="0" t="n">
        <f aca="true">RAND()</f>
        <v>0.206819708111452</v>
      </c>
      <c r="D571" s="0" t="n">
        <f aca="true">RAND()</f>
        <v>0.450610483702927</v>
      </c>
      <c r="E571" s="0" t="n">
        <f aca="false">IF(C571&lt;=$C$10,1,IF(C571&lt;=$C$10+$C$11,2,3))</f>
        <v>1</v>
      </c>
      <c r="F571" s="0" t="n">
        <f aca="false">IF(E571=1,$C$4*SQRT(D571),IF(E571=2,$C$4+($C$5-$C$4)*D571,$C$6-($C$6-$C$5)*SQRT(1-D571)))</f>
        <v>2.01382580014418</v>
      </c>
    </row>
    <row r="572" customFormat="false" ht="15" hidden="false" customHeight="false" outlineLevel="0" collapsed="false">
      <c r="B572" s="0" t="n">
        <v>556</v>
      </c>
      <c r="C572" s="0" t="n">
        <f aca="true">RAND()</f>
        <v>0.157632891296328</v>
      </c>
      <c r="D572" s="0" t="n">
        <f aca="true">RAND()</f>
        <v>0.721638445927908</v>
      </c>
      <c r="E572" s="0" t="n">
        <f aca="false">IF(C572&lt;=$C$10,1,IF(C572&lt;=$C$10+$C$11,2,3))</f>
        <v>1</v>
      </c>
      <c r="F572" s="0" t="n">
        <f aca="false">IF(E572=1,$C$4*SQRT(D572),IF(E572=2,$C$4+($C$5-$C$4)*D572,$C$6-($C$6-$C$5)*SQRT(1-D572)))</f>
        <v>2.54847915693874</v>
      </c>
    </row>
    <row r="573" customFormat="false" ht="15" hidden="false" customHeight="false" outlineLevel="0" collapsed="false">
      <c r="B573" s="0" t="n">
        <v>557</v>
      </c>
      <c r="C573" s="0" t="n">
        <f aca="true">RAND()</f>
        <v>0.915670041724289</v>
      </c>
      <c r="D573" s="0" t="n">
        <f aca="true">RAND()</f>
        <v>0.524155824011702</v>
      </c>
      <c r="E573" s="0" t="n">
        <f aca="false">IF(C573&lt;=$C$10,1,IF(C573&lt;=$C$10+$C$11,2,3))</f>
        <v>3</v>
      </c>
      <c r="F573" s="0" t="n">
        <f aca="false">IF(E573=1,$C$4*SQRT(D573),IF(E573=2,$C$4+($C$5-$C$4)*D573,$C$6-($C$6-$C$5)*SQRT(1-D573)))</f>
        <v>7.93055621388387</v>
      </c>
    </row>
    <row r="574" customFormat="false" ht="15" hidden="false" customHeight="false" outlineLevel="0" collapsed="false">
      <c r="B574" s="0" t="n">
        <v>558</v>
      </c>
      <c r="C574" s="0" t="n">
        <f aca="true">RAND()</f>
        <v>0.70237188744048</v>
      </c>
      <c r="D574" s="0" t="n">
        <f aca="true">RAND()</f>
        <v>0.4508035354006</v>
      </c>
      <c r="E574" s="0" t="n">
        <f aca="false">IF(C574&lt;=$C$10,1,IF(C574&lt;=$C$10+$C$11,2,3))</f>
        <v>2</v>
      </c>
      <c r="F574" s="0" t="n">
        <f aca="false">IF(E574=1,$C$4*SQRT(D574),IF(E574=2,$C$4+($C$5-$C$4)*D574,$C$6-($C$6-$C$5)*SQRT(1-D574)))</f>
        <v>4.8032141416024</v>
      </c>
    </row>
    <row r="575" customFormat="false" ht="15" hidden="false" customHeight="false" outlineLevel="0" collapsed="false">
      <c r="B575" s="0" t="n">
        <v>559</v>
      </c>
      <c r="C575" s="0" t="n">
        <f aca="true">RAND()</f>
        <v>0.605476568771906</v>
      </c>
      <c r="D575" s="0" t="n">
        <f aca="true">RAND()</f>
        <v>0.324653938808774</v>
      </c>
      <c r="E575" s="0" t="n">
        <f aca="false">IF(C575&lt;=$C$10,1,IF(C575&lt;=$C$10+$C$11,2,3))</f>
        <v>2</v>
      </c>
      <c r="F575" s="0" t="n">
        <f aca="false">IF(E575=1,$C$4*SQRT(D575),IF(E575=2,$C$4+($C$5-$C$4)*D575,$C$6-($C$6-$C$5)*SQRT(1-D575)))</f>
        <v>4.29861575523509</v>
      </c>
    </row>
    <row r="576" customFormat="false" ht="15" hidden="false" customHeight="false" outlineLevel="0" collapsed="false">
      <c r="B576" s="0" t="n">
        <v>560</v>
      </c>
      <c r="C576" s="0" t="n">
        <f aca="true">RAND()</f>
        <v>0.0762545605966848</v>
      </c>
      <c r="D576" s="0" t="n">
        <f aca="true">RAND()</f>
        <v>0.983502149432831</v>
      </c>
      <c r="E576" s="0" t="n">
        <f aca="false">IF(C576&lt;=$C$10,1,IF(C576&lt;=$C$10+$C$11,2,3))</f>
        <v>1</v>
      </c>
      <c r="F576" s="0" t="n">
        <f aca="false">IF(E576=1,$C$4*SQRT(D576),IF(E576=2,$C$4+($C$5-$C$4)*D576,$C$6-($C$6-$C$5)*SQRT(1-D576)))</f>
        <v>2.9751503062695</v>
      </c>
    </row>
    <row r="577" customFormat="false" ht="15" hidden="false" customHeight="false" outlineLevel="0" collapsed="false">
      <c r="B577" s="0" t="n">
        <v>561</v>
      </c>
      <c r="C577" s="0" t="n">
        <f aca="true">RAND()</f>
        <v>0.858104505535645</v>
      </c>
      <c r="D577" s="0" t="n">
        <f aca="true">RAND()</f>
        <v>0.401844563285348</v>
      </c>
      <c r="E577" s="0" t="n">
        <f aca="false">IF(C577&lt;=$C$10,1,IF(C577&lt;=$C$10+$C$11,2,3))</f>
        <v>3</v>
      </c>
      <c r="F577" s="0" t="n">
        <f aca="false">IF(E577=1,$C$4*SQRT(D577),IF(E577=2,$C$4+($C$5-$C$4)*D577,$C$6-($C$6-$C$5)*SQRT(1-D577)))</f>
        <v>7.67978472325694</v>
      </c>
    </row>
    <row r="578" customFormat="false" ht="15" hidden="false" customHeight="false" outlineLevel="0" collapsed="false">
      <c r="B578" s="0" t="n">
        <v>562</v>
      </c>
      <c r="C578" s="0" t="n">
        <f aca="true">RAND()</f>
        <v>0.99205430472714</v>
      </c>
      <c r="D578" s="0" t="n">
        <f aca="true">RAND()</f>
        <v>0.0578687394313329</v>
      </c>
      <c r="E578" s="0" t="n">
        <f aca="false">IF(C578&lt;=$C$10,1,IF(C578&lt;=$C$10+$C$11,2,3))</f>
        <v>3</v>
      </c>
      <c r="F578" s="0" t="n">
        <f aca="false">IF(E578=1,$C$4*SQRT(D578),IF(E578=2,$C$4+($C$5-$C$4)*D578,$C$6-($C$6-$C$5)*SQRT(1-D578)))</f>
        <v>7.08809661130078</v>
      </c>
    </row>
    <row r="579" customFormat="false" ht="15" hidden="false" customHeight="false" outlineLevel="0" collapsed="false">
      <c r="B579" s="0" t="n">
        <v>563</v>
      </c>
      <c r="C579" s="0" t="n">
        <f aca="true">RAND()</f>
        <v>0.731804317789374</v>
      </c>
      <c r="D579" s="0" t="n">
        <f aca="true">RAND()</f>
        <v>0.898158699072237</v>
      </c>
      <c r="E579" s="0" t="n">
        <f aca="false">IF(C579&lt;=$C$10,1,IF(C579&lt;=$C$10+$C$11,2,3))</f>
        <v>2</v>
      </c>
      <c r="F579" s="0" t="n">
        <f aca="false">IF(E579=1,$C$4*SQRT(D579),IF(E579=2,$C$4+($C$5-$C$4)*D579,$C$6-($C$6-$C$5)*SQRT(1-D579)))</f>
        <v>6.59263479628895</v>
      </c>
    </row>
    <row r="580" customFormat="false" ht="15" hidden="false" customHeight="false" outlineLevel="0" collapsed="false">
      <c r="B580" s="0" t="n">
        <v>564</v>
      </c>
      <c r="C580" s="0" t="n">
        <f aca="true">RAND()</f>
        <v>0.128775140562531</v>
      </c>
      <c r="D580" s="0" t="n">
        <f aca="true">RAND()</f>
        <v>0.832446790793904</v>
      </c>
      <c r="E580" s="0" t="n">
        <f aca="false">IF(C580&lt;=$C$10,1,IF(C580&lt;=$C$10+$C$11,2,3))</f>
        <v>1</v>
      </c>
      <c r="F580" s="0" t="n">
        <f aca="false">IF(E580=1,$C$4*SQRT(D580),IF(E580=2,$C$4+($C$5-$C$4)*D580,$C$6-($C$6-$C$5)*SQRT(1-D580)))</f>
        <v>2.73715566184043</v>
      </c>
    </row>
    <row r="581" customFormat="false" ht="15" hidden="false" customHeight="false" outlineLevel="0" collapsed="false">
      <c r="B581" s="0" t="n">
        <v>565</v>
      </c>
      <c r="C581" s="0" t="n">
        <f aca="true">RAND()</f>
        <v>0.360114134775707</v>
      </c>
      <c r="D581" s="0" t="n">
        <f aca="true">RAND()</f>
        <v>0.962460293986644</v>
      </c>
      <c r="E581" s="0" t="n">
        <f aca="false">IF(C581&lt;=$C$10,1,IF(C581&lt;=$C$10+$C$11,2,3))</f>
        <v>2</v>
      </c>
      <c r="F581" s="0" t="n">
        <f aca="false">IF(E581=1,$C$4*SQRT(D581),IF(E581=2,$C$4+($C$5-$C$4)*D581,$C$6-($C$6-$C$5)*SQRT(1-D581)))</f>
        <v>6.84984117594658</v>
      </c>
    </row>
    <row r="582" customFormat="false" ht="15" hidden="false" customHeight="false" outlineLevel="0" collapsed="false">
      <c r="B582" s="0" t="n">
        <v>566</v>
      </c>
      <c r="C582" s="0" t="n">
        <f aca="true">RAND()</f>
        <v>0.439678118068373</v>
      </c>
      <c r="D582" s="0" t="n">
        <f aca="true">RAND()</f>
        <v>0.862400145976406</v>
      </c>
      <c r="E582" s="0" t="n">
        <f aca="false">IF(C582&lt;=$C$10,1,IF(C582&lt;=$C$10+$C$11,2,3))</f>
        <v>2</v>
      </c>
      <c r="F582" s="0" t="n">
        <f aca="false">IF(E582=1,$C$4*SQRT(D582),IF(E582=2,$C$4+($C$5-$C$4)*D582,$C$6-($C$6-$C$5)*SQRT(1-D582)))</f>
        <v>6.44960058390562</v>
      </c>
    </row>
    <row r="583" customFormat="false" ht="15" hidden="false" customHeight="false" outlineLevel="0" collapsed="false">
      <c r="B583" s="0" t="n">
        <v>567</v>
      </c>
      <c r="C583" s="0" t="n">
        <f aca="true">RAND()</f>
        <v>0.428201282996348</v>
      </c>
      <c r="D583" s="0" t="n">
        <f aca="true">RAND()</f>
        <v>0.648026174676588</v>
      </c>
      <c r="E583" s="0" t="n">
        <f aca="false">IF(C583&lt;=$C$10,1,IF(C583&lt;=$C$10+$C$11,2,3))</f>
        <v>2</v>
      </c>
      <c r="F583" s="0" t="n">
        <f aca="false">IF(E583=1,$C$4*SQRT(D583),IF(E583=2,$C$4+($C$5-$C$4)*D583,$C$6-($C$6-$C$5)*SQRT(1-D583)))</f>
        <v>5.59210469870635</v>
      </c>
    </row>
    <row r="584" customFormat="false" ht="15" hidden="false" customHeight="false" outlineLevel="0" collapsed="false">
      <c r="B584" s="0" t="n">
        <v>568</v>
      </c>
      <c r="C584" s="0" t="n">
        <f aca="true">RAND()</f>
        <v>0.402331624624436</v>
      </c>
      <c r="D584" s="0" t="n">
        <f aca="true">RAND()</f>
        <v>0.792339581153543</v>
      </c>
      <c r="E584" s="0" t="n">
        <f aca="false">IF(C584&lt;=$C$10,1,IF(C584&lt;=$C$10+$C$11,2,3))</f>
        <v>2</v>
      </c>
      <c r="F584" s="0" t="n">
        <f aca="false">IF(E584=1,$C$4*SQRT(D584),IF(E584=2,$C$4+($C$5-$C$4)*D584,$C$6-($C$6-$C$5)*SQRT(1-D584)))</f>
        <v>6.16935832461417</v>
      </c>
    </row>
    <row r="585" customFormat="false" ht="15" hidden="false" customHeight="false" outlineLevel="0" collapsed="false">
      <c r="B585" s="0" t="n">
        <v>569</v>
      </c>
      <c r="C585" s="0" t="n">
        <f aca="true">RAND()</f>
        <v>0.729851483515909</v>
      </c>
      <c r="D585" s="0" t="n">
        <f aca="true">RAND()</f>
        <v>0.928738151167878</v>
      </c>
      <c r="E585" s="0" t="n">
        <f aca="false">IF(C585&lt;=$C$10,1,IF(C585&lt;=$C$10+$C$11,2,3))</f>
        <v>2</v>
      </c>
      <c r="F585" s="0" t="n">
        <f aca="false">IF(E585=1,$C$4*SQRT(D585),IF(E585=2,$C$4+($C$5-$C$4)*D585,$C$6-($C$6-$C$5)*SQRT(1-D585)))</f>
        <v>6.71495260467151</v>
      </c>
    </row>
    <row r="586" customFormat="false" ht="15" hidden="false" customHeight="false" outlineLevel="0" collapsed="false">
      <c r="B586" s="0" t="n">
        <v>570</v>
      </c>
      <c r="C586" s="0" t="n">
        <f aca="true">RAND()</f>
        <v>0.681710926470993</v>
      </c>
      <c r="D586" s="0" t="n">
        <f aca="true">RAND()</f>
        <v>0.409014731341145</v>
      </c>
      <c r="E586" s="0" t="n">
        <f aca="false">IF(C586&lt;=$C$10,1,IF(C586&lt;=$C$10+$C$11,2,3))</f>
        <v>2</v>
      </c>
      <c r="F586" s="0" t="n">
        <f aca="false">IF(E586=1,$C$4*SQRT(D586),IF(E586=2,$C$4+($C$5-$C$4)*D586,$C$6-($C$6-$C$5)*SQRT(1-D586)))</f>
        <v>4.63605892536458</v>
      </c>
    </row>
    <row r="587" customFormat="false" ht="15" hidden="false" customHeight="false" outlineLevel="0" collapsed="false">
      <c r="B587" s="0" t="n">
        <v>571</v>
      </c>
      <c r="C587" s="0" t="n">
        <f aca="true">RAND()</f>
        <v>0.410516441720384</v>
      </c>
      <c r="D587" s="0" t="n">
        <f aca="true">RAND()</f>
        <v>0.263039812032163</v>
      </c>
      <c r="E587" s="0" t="n">
        <f aca="false">IF(C587&lt;=$C$10,1,IF(C587&lt;=$C$10+$C$11,2,3))</f>
        <v>2</v>
      </c>
      <c r="F587" s="0" t="n">
        <f aca="false">IF(E587=1,$C$4*SQRT(D587),IF(E587=2,$C$4+($C$5-$C$4)*D587,$C$6-($C$6-$C$5)*SQRT(1-D587)))</f>
        <v>4.05215924812865</v>
      </c>
    </row>
    <row r="588" customFormat="false" ht="15" hidden="false" customHeight="false" outlineLevel="0" collapsed="false">
      <c r="B588" s="0" t="n">
        <v>572</v>
      </c>
      <c r="C588" s="0" t="n">
        <f aca="true">RAND()</f>
        <v>0.998047925806158</v>
      </c>
      <c r="D588" s="0" t="n">
        <f aca="true">RAND()</f>
        <v>0.757827408800632</v>
      </c>
      <c r="E588" s="0" t="n">
        <f aca="false">IF(C588&lt;=$C$10,1,IF(C588&lt;=$C$10+$C$11,2,3))</f>
        <v>3</v>
      </c>
      <c r="F588" s="0" t="n">
        <f aca="false">IF(E588=1,$C$4*SQRT(D588),IF(E588=2,$C$4+($C$5-$C$4)*D588,$C$6-($C$6-$C$5)*SQRT(1-D588)))</f>
        <v>8.52366896639192</v>
      </c>
    </row>
    <row r="589" customFormat="false" ht="15" hidden="false" customHeight="false" outlineLevel="0" collapsed="false">
      <c r="B589" s="0" t="n">
        <v>573</v>
      </c>
      <c r="C589" s="0" t="n">
        <f aca="true">RAND()</f>
        <v>0.436863993621564</v>
      </c>
      <c r="D589" s="0" t="n">
        <f aca="true">RAND()</f>
        <v>0.359180507868076</v>
      </c>
      <c r="E589" s="0" t="n">
        <f aca="false">IF(C589&lt;=$C$10,1,IF(C589&lt;=$C$10+$C$11,2,3))</f>
        <v>2</v>
      </c>
      <c r="F589" s="0" t="n">
        <f aca="false">IF(E589=1,$C$4*SQRT(D589),IF(E589=2,$C$4+($C$5-$C$4)*D589,$C$6-($C$6-$C$5)*SQRT(1-D589)))</f>
        <v>4.43672203147231</v>
      </c>
    </row>
    <row r="590" customFormat="false" ht="15" hidden="false" customHeight="false" outlineLevel="0" collapsed="false">
      <c r="B590" s="0" t="n">
        <v>574</v>
      </c>
      <c r="C590" s="0" t="n">
        <f aca="true">RAND()</f>
        <v>0.817359735999865</v>
      </c>
      <c r="D590" s="0" t="n">
        <f aca="true">RAND()</f>
        <v>0.857347452976994</v>
      </c>
      <c r="E590" s="0" t="n">
        <f aca="false">IF(C590&lt;=$C$10,1,IF(C590&lt;=$C$10+$C$11,2,3))</f>
        <v>3</v>
      </c>
      <c r="F590" s="0" t="n">
        <f aca="false">IF(E590=1,$C$4*SQRT(D590),IF(E590=2,$C$4+($C$5-$C$4)*D590,$C$6-($C$6-$C$5)*SQRT(1-D590)))</f>
        <v>8.86691883644328</v>
      </c>
    </row>
    <row r="591" customFormat="false" ht="15" hidden="false" customHeight="false" outlineLevel="0" collapsed="false">
      <c r="B591" s="0" t="n">
        <v>575</v>
      </c>
      <c r="C591" s="0" t="n">
        <f aca="true">RAND()</f>
        <v>0.347169114469886</v>
      </c>
      <c r="D591" s="0" t="n">
        <f aca="true">RAND()</f>
        <v>0.157882510079209</v>
      </c>
      <c r="E591" s="0" t="n">
        <f aca="false">IF(C591&lt;=$C$10,1,IF(C591&lt;=$C$10+$C$11,2,3))</f>
        <v>2</v>
      </c>
      <c r="F591" s="0" t="n">
        <f aca="false">IF(E591=1,$C$4*SQRT(D591),IF(E591=2,$C$4+($C$5-$C$4)*D591,$C$6-($C$6-$C$5)*SQRT(1-D591)))</f>
        <v>3.63153004031684</v>
      </c>
    </row>
    <row r="592" customFormat="false" ht="15" hidden="false" customHeight="false" outlineLevel="0" collapsed="false">
      <c r="B592" s="0" t="n">
        <v>576</v>
      </c>
      <c r="C592" s="0" t="n">
        <f aca="true">RAND()</f>
        <v>0.732530528073524</v>
      </c>
      <c r="D592" s="0" t="n">
        <f aca="true">RAND()</f>
        <v>0.506937123650624</v>
      </c>
      <c r="E592" s="0" t="n">
        <f aca="false">IF(C592&lt;=$C$10,1,IF(C592&lt;=$C$10+$C$11,2,3))</f>
        <v>2</v>
      </c>
      <c r="F592" s="0" t="n">
        <f aca="false">IF(E592=1,$C$4*SQRT(D592),IF(E592=2,$C$4+($C$5-$C$4)*D592,$C$6-($C$6-$C$5)*SQRT(1-D592)))</f>
        <v>5.0277484946025</v>
      </c>
    </row>
    <row r="593" customFormat="false" ht="15" hidden="false" customHeight="false" outlineLevel="0" collapsed="false">
      <c r="B593" s="0" t="n">
        <v>577</v>
      </c>
      <c r="C593" s="0" t="n">
        <f aca="true">RAND()</f>
        <v>0.033848286938398</v>
      </c>
      <c r="D593" s="0" t="n">
        <f aca="true">RAND()</f>
        <v>0.687764686778962</v>
      </c>
      <c r="E593" s="0" t="n">
        <f aca="false">IF(C593&lt;=$C$10,1,IF(C593&lt;=$C$10+$C$11,2,3))</f>
        <v>1</v>
      </c>
      <c r="F593" s="0" t="n">
        <f aca="false">IF(E593=1,$C$4*SQRT(D593),IF(E593=2,$C$4+($C$5-$C$4)*D593,$C$6-($C$6-$C$5)*SQRT(1-D593)))</f>
        <v>2.48794738308724</v>
      </c>
    </row>
    <row r="594" customFormat="false" ht="15" hidden="false" customHeight="false" outlineLevel="0" collapsed="false">
      <c r="B594" s="0" t="n">
        <v>578</v>
      </c>
      <c r="C594" s="0" t="n">
        <f aca="true">RAND()</f>
        <v>0.580818848080465</v>
      </c>
      <c r="D594" s="0" t="n">
        <f aca="true">RAND()</f>
        <v>0.227666410115039</v>
      </c>
      <c r="E594" s="0" t="n">
        <f aca="false">IF(C594&lt;=$C$10,1,IF(C594&lt;=$C$10+$C$11,2,3))</f>
        <v>2</v>
      </c>
      <c r="F594" s="0" t="n">
        <f aca="false">IF(E594=1,$C$4*SQRT(D594),IF(E594=2,$C$4+($C$5-$C$4)*D594,$C$6-($C$6-$C$5)*SQRT(1-D594)))</f>
        <v>3.91066564046016</v>
      </c>
    </row>
    <row r="595" customFormat="false" ht="15" hidden="false" customHeight="false" outlineLevel="0" collapsed="false">
      <c r="B595" s="0" t="n">
        <v>579</v>
      </c>
      <c r="C595" s="0" t="n">
        <f aca="true">RAND()</f>
        <v>0.927542564051944</v>
      </c>
      <c r="D595" s="0" t="n">
        <f aca="true">RAND()</f>
        <v>0.910376264321147</v>
      </c>
      <c r="E595" s="0" t="n">
        <f aca="false">IF(C595&lt;=$C$10,1,IF(C595&lt;=$C$10+$C$11,2,3))</f>
        <v>3</v>
      </c>
      <c r="F595" s="0" t="n">
        <f aca="false">IF(E595=1,$C$4*SQRT(D595),IF(E595=2,$C$4+($C$5-$C$4)*D595,$C$6-($C$6-$C$5)*SQRT(1-D595)))</f>
        <v>9.10188329204403</v>
      </c>
    </row>
    <row r="596" customFormat="false" ht="15" hidden="false" customHeight="false" outlineLevel="0" collapsed="false">
      <c r="B596" s="0" t="n">
        <v>580</v>
      </c>
      <c r="C596" s="0" t="n">
        <f aca="true">RAND()</f>
        <v>0.452416119803987</v>
      </c>
      <c r="D596" s="0" t="n">
        <f aca="true">RAND()</f>
        <v>0.740285273703475</v>
      </c>
      <c r="E596" s="0" t="n">
        <f aca="false">IF(C596&lt;=$C$10,1,IF(C596&lt;=$C$10+$C$11,2,3))</f>
        <v>2</v>
      </c>
      <c r="F596" s="0" t="n">
        <f aca="false">IF(E596=1,$C$4*SQRT(D596),IF(E596=2,$C$4+($C$5-$C$4)*D596,$C$6-($C$6-$C$5)*SQRT(1-D596)))</f>
        <v>5.9611410948139</v>
      </c>
    </row>
    <row r="597" customFormat="false" ht="15" hidden="false" customHeight="false" outlineLevel="0" collapsed="false">
      <c r="B597" s="0" t="n">
        <v>581</v>
      </c>
      <c r="C597" s="0" t="n">
        <f aca="true">RAND()</f>
        <v>0.120233111196746</v>
      </c>
      <c r="D597" s="0" t="n">
        <f aca="true">RAND()</f>
        <v>0.435517194429669</v>
      </c>
      <c r="E597" s="0" t="n">
        <f aca="false">IF(C597&lt;=$C$10,1,IF(C597&lt;=$C$10+$C$11,2,3))</f>
        <v>1</v>
      </c>
      <c r="F597" s="0" t="n">
        <f aca="false">IF(E597=1,$C$4*SQRT(D597),IF(E597=2,$C$4+($C$5-$C$4)*D597,$C$6-($C$6-$C$5)*SQRT(1-D597)))</f>
        <v>1.9798117965774</v>
      </c>
    </row>
    <row r="598" customFormat="false" ht="15" hidden="false" customHeight="false" outlineLevel="0" collapsed="false">
      <c r="B598" s="0" t="n">
        <v>582</v>
      </c>
      <c r="C598" s="0" t="n">
        <f aca="true">RAND()</f>
        <v>0.974384906264599</v>
      </c>
      <c r="D598" s="0" t="n">
        <f aca="true">RAND()</f>
        <v>0.245887751815548</v>
      </c>
      <c r="E598" s="0" t="n">
        <f aca="false">IF(C598&lt;=$C$10,1,IF(C598&lt;=$C$10+$C$11,2,3))</f>
        <v>3</v>
      </c>
      <c r="F598" s="0" t="n">
        <f aca="false">IF(E598=1,$C$4*SQRT(D598),IF(E598=2,$C$4+($C$5-$C$4)*D598,$C$6-($C$6-$C$5)*SQRT(1-D598)))</f>
        <v>7.39481090251397</v>
      </c>
    </row>
    <row r="599" customFormat="false" ht="15" hidden="false" customHeight="false" outlineLevel="0" collapsed="false">
      <c r="B599" s="0" t="n">
        <v>583</v>
      </c>
      <c r="C599" s="0" t="n">
        <f aca="true">RAND()</f>
        <v>0.403070127682917</v>
      </c>
      <c r="D599" s="0" t="n">
        <f aca="true">RAND()</f>
        <v>0.329178874595189</v>
      </c>
      <c r="E599" s="0" t="n">
        <f aca="false">IF(C599&lt;=$C$10,1,IF(C599&lt;=$C$10+$C$11,2,3))</f>
        <v>2</v>
      </c>
      <c r="F599" s="0" t="n">
        <f aca="false">IF(E599=1,$C$4*SQRT(D599),IF(E599=2,$C$4+($C$5-$C$4)*D599,$C$6-($C$6-$C$5)*SQRT(1-D599)))</f>
        <v>4.31671549838076</v>
      </c>
    </row>
    <row r="600" customFormat="false" ht="15" hidden="false" customHeight="false" outlineLevel="0" collapsed="false">
      <c r="B600" s="0" t="n">
        <v>584</v>
      </c>
      <c r="C600" s="0" t="n">
        <f aca="true">RAND()</f>
        <v>0.614429546570989</v>
      </c>
      <c r="D600" s="0" t="n">
        <f aca="true">RAND()</f>
        <v>0.887627248827556</v>
      </c>
      <c r="E600" s="0" t="n">
        <f aca="false">IF(C600&lt;=$C$10,1,IF(C600&lt;=$C$10+$C$11,2,3))</f>
        <v>2</v>
      </c>
      <c r="F600" s="0" t="n">
        <f aca="false">IF(E600=1,$C$4*SQRT(D600),IF(E600=2,$C$4+($C$5-$C$4)*D600,$C$6-($C$6-$C$5)*SQRT(1-D600)))</f>
        <v>6.55050899531022</v>
      </c>
    </row>
    <row r="601" customFormat="false" ht="15" hidden="false" customHeight="false" outlineLevel="0" collapsed="false">
      <c r="B601" s="0" t="n">
        <v>585</v>
      </c>
      <c r="C601" s="0" t="n">
        <f aca="true">RAND()</f>
        <v>0.578469394425862</v>
      </c>
      <c r="D601" s="0" t="n">
        <f aca="true">RAND()</f>
        <v>0.683958138996131</v>
      </c>
      <c r="E601" s="0" t="n">
        <f aca="false">IF(C601&lt;=$C$10,1,IF(C601&lt;=$C$10+$C$11,2,3))</f>
        <v>2</v>
      </c>
      <c r="F601" s="0" t="n">
        <f aca="false">IF(E601=1,$C$4*SQRT(D601),IF(E601=2,$C$4+($C$5-$C$4)*D601,$C$6-($C$6-$C$5)*SQRT(1-D601)))</f>
        <v>5.73583255598453</v>
      </c>
    </row>
    <row r="602" customFormat="false" ht="15" hidden="false" customHeight="false" outlineLevel="0" collapsed="false">
      <c r="B602" s="0" t="n">
        <v>586</v>
      </c>
      <c r="C602" s="0" t="n">
        <f aca="true">RAND()</f>
        <v>0.361591652329277</v>
      </c>
      <c r="D602" s="0" t="n">
        <f aca="true">RAND()</f>
        <v>0.0207552583336941</v>
      </c>
      <c r="E602" s="0" t="n">
        <f aca="false">IF(C602&lt;=$C$10,1,IF(C602&lt;=$C$10+$C$11,2,3))</f>
        <v>2</v>
      </c>
      <c r="F602" s="0" t="n">
        <f aca="false">IF(E602=1,$C$4*SQRT(D602),IF(E602=2,$C$4+($C$5-$C$4)*D602,$C$6-($C$6-$C$5)*SQRT(1-D602)))</f>
        <v>3.08302103333478</v>
      </c>
    </row>
    <row r="603" customFormat="false" ht="15" hidden="false" customHeight="false" outlineLevel="0" collapsed="false">
      <c r="B603" s="0" t="n">
        <v>587</v>
      </c>
      <c r="C603" s="0" t="n">
        <f aca="true">RAND()</f>
        <v>0.327887689468531</v>
      </c>
      <c r="D603" s="0" t="n">
        <f aca="true">RAND()</f>
        <v>0.30952187493185</v>
      </c>
      <c r="E603" s="0" t="n">
        <f aca="false">IF(C603&lt;=$C$10,1,IF(C603&lt;=$C$10+$C$11,2,3))</f>
        <v>2</v>
      </c>
      <c r="F603" s="0" t="n">
        <f aca="false">IF(E603=1,$C$4*SQRT(D603),IF(E603=2,$C$4+($C$5-$C$4)*D603,$C$6-($C$6-$C$5)*SQRT(1-D603)))</f>
        <v>4.2380874997274</v>
      </c>
    </row>
    <row r="604" customFormat="false" ht="15" hidden="false" customHeight="false" outlineLevel="0" collapsed="false">
      <c r="B604" s="0" t="n">
        <v>588</v>
      </c>
      <c r="C604" s="0" t="n">
        <f aca="true">RAND()</f>
        <v>0.276383574182907</v>
      </c>
      <c r="D604" s="0" t="n">
        <f aca="true">RAND()</f>
        <v>0.462667045705279</v>
      </c>
      <c r="E604" s="0" t="n">
        <f aca="false">IF(C604&lt;=$C$10,1,IF(C604&lt;=$C$10+$C$11,2,3))</f>
        <v>2</v>
      </c>
      <c r="F604" s="0" t="n">
        <f aca="false">IF(E604=1,$C$4*SQRT(D604),IF(E604=2,$C$4+($C$5-$C$4)*D604,$C$6-($C$6-$C$5)*SQRT(1-D604)))</f>
        <v>4.85066818282112</v>
      </c>
    </row>
    <row r="605" customFormat="false" ht="15" hidden="false" customHeight="false" outlineLevel="0" collapsed="false">
      <c r="B605" s="0" t="n">
        <v>589</v>
      </c>
      <c r="C605" s="0" t="n">
        <f aca="true">RAND()</f>
        <v>0.212700699610865</v>
      </c>
      <c r="D605" s="0" t="n">
        <f aca="true">RAND()</f>
        <v>0.18428746212629</v>
      </c>
      <c r="E605" s="0" t="n">
        <f aca="false">IF(C605&lt;=$C$10,1,IF(C605&lt;=$C$10+$C$11,2,3))</f>
        <v>1</v>
      </c>
      <c r="F605" s="0" t="n">
        <f aca="false">IF(E605=1,$C$4*SQRT(D605),IF(E605=2,$C$4+($C$5-$C$4)*D605,$C$6-($C$6-$C$5)*SQRT(1-D605)))</f>
        <v>1.28786146737008</v>
      </c>
    </row>
    <row r="606" customFormat="false" ht="15" hidden="false" customHeight="false" outlineLevel="0" collapsed="false">
      <c r="B606" s="0" t="n">
        <v>590</v>
      </c>
      <c r="C606" s="0" t="n">
        <f aca="true">RAND()</f>
        <v>0.367700197457862</v>
      </c>
      <c r="D606" s="0" t="n">
        <f aca="true">RAND()</f>
        <v>0.801630164098188</v>
      </c>
      <c r="E606" s="0" t="n">
        <f aca="false">IF(C606&lt;=$C$10,1,IF(C606&lt;=$C$10+$C$11,2,3))</f>
        <v>2</v>
      </c>
      <c r="F606" s="0" t="n">
        <f aca="false">IF(E606=1,$C$4*SQRT(D606),IF(E606=2,$C$4+($C$5-$C$4)*D606,$C$6-($C$6-$C$5)*SQRT(1-D606)))</f>
        <v>6.20652065639275</v>
      </c>
    </row>
    <row r="607" customFormat="false" ht="15" hidden="false" customHeight="false" outlineLevel="0" collapsed="false">
      <c r="B607" s="0" t="n">
        <v>591</v>
      </c>
      <c r="C607" s="0" t="n">
        <f aca="true">RAND()</f>
        <v>0.53737208110603</v>
      </c>
      <c r="D607" s="0" t="n">
        <f aca="true">RAND()</f>
        <v>0.0412187559778988</v>
      </c>
      <c r="E607" s="0" t="n">
        <f aca="false">IF(C607&lt;=$C$10,1,IF(C607&lt;=$C$10+$C$11,2,3))</f>
        <v>2</v>
      </c>
      <c r="F607" s="0" t="n">
        <f aca="false">IF(E607=1,$C$4*SQRT(D607),IF(E607=2,$C$4+($C$5-$C$4)*D607,$C$6-($C$6-$C$5)*SQRT(1-D607)))</f>
        <v>3.1648750239116</v>
      </c>
    </row>
    <row r="608" customFormat="false" ht="15" hidden="false" customHeight="false" outlineLevel="0" collapsed="false">
      <c r="B608" s="0" t="n">
        <v>592</v>
      </c>
      <c r="C608" s="0" t="n">
        <f aca="true">RAND()</f>
        <v>0.950568091075302</v>
      </c>
      <c r="D608" s="0" t="n">
        <f aca="true">RAND()</f>
        <v>0.917312112985763</v>
      </c>
      <c r="E608" s="0" t="n">
        <f aca="false">IF(C608&lt;=$C$10,1,IF(C608&lt;=$C$10+$C$11,2,3))</f>
        <v>3</v>
      </c>
      <c r="F608" s="0" t="n">
        <f aca="false">IF(E608=1,$C$4*SQRT(D608),IF(E608=2,$C$4+($C$5-$C$4)*D608,$C$6-($C$6-$C$5)*SQRT(1-D608)))</f>
        <v>9.13733495310861</v>
      </c>
    </row>
    <row r="609" customFormat="false" ht="15" hidden="false" customHeight="false" outlineLevel="0" collapsed="false">
      <c r="B609" s="0" t="n">
        <v>593</v>
      </c>
      <c r="C609" s="0" t="n">
        <f aca="true">RAND()</f>
        <v>0.43503032070577</v>
      </c>
      <c r="D609" s="0" t="n">
        <f aca="true">RAND()</f>
        <v>0.345063389915715</v>
      </c>
      <c r="E609" s="0" t="n">
        <f aca="false">IF(C609&lt;=$C$10,1,IF(C609&lt;=$C$10+$C$11,2,3))</f>
        <v>2</v>
      </c>
      <c r="F609" s="0" t="n">
        <f aca="false">IF(E609=1,$C$4*SQRT(D609),IF(E609=2,$C$4+($C$5-$C$4)*D609,$C$6-($C$6-$C$5)*SQRT(1-D609)))</f>
        <v>4.38025355966286</v>
      </c>
    </row>
    <row r="610" customFormat="false" ht="15" hidden="false" customHeight="false" outlineLevel="0" collapsed="false">
      <c r="B610" s="0" t="n">
        <v>594</v>
      </c>
      <c r="C610" s="0" t="n">
        <f aca="true">RAND()</f>
        <v>0.567484453353118</v>
      </c>
      <c r="D610" s="0" t="n">
        <f aca="true">RAND()</f>
        <v>0.334246945067532</v>
      </c>
      <c r="E610" s="0" t="n">
        <f aca="false">IF(C610&lt;=$C$10,1,IF(C610&lt;=$C$10+$C$11,2,3))</f>
        <v>2</v>
      </c>
      <c r="F610" s="0" t="n">
        <f aca="false">IF(E610=1,$C$4*SQRT(D610),IF(E610=2,$C$4+($C$5-$C$4)*D610,$C$6-($C$6-$C$5)*SQRT(1-D610)))</f>
        <v>4.33698778027013</v>
      </c>
    </row>
    <row r="611" customFormat="false" ht="15" hidden="false" customHeight="false" outlineLevel="0" collapsed="false">
      <c r="B611" s="0" t="n">
        <v>595</v>
      </c>
      <c r="C611" s="0" t="n">
        <f aca="true">RAND()</f>
        <v>0.888113877034122</v>
      </c>
      <c r="D611" s="0" t="n">
        <f aca="true">RAND()</f>
        <v>0.021950249447528</v>
      </c>
      <c r="E611" s="0" t="n">
        <f aca="false">IF(C611&lt;=$C$10,1,IF(C611&lt;=$C$10+$C$11,2,3))</f>
        <v>3</v>
      </c>
      <c r="F611" s="0" t="n">
        <f aca="false">IF(E611=1,$C$4*SQRT(D611),IF(E611=2,$C$4+($C$5-$C$4)*D611,$C$6-($C$6-$C$5)*SQRT(1-D611)))</f>
        <v>7.03310806483077</v>
      </c>
    </row>
    <row r="612" customFormat="false" ht="15" hidden="false" customHeight="false" outlineLevel="0" collapsed="false">
      <c r="B612" s="0" t="n">
        <v>596</v>
      </c>
      <c r="C612" s="0" t="n">
        <f aca="true">RAND()</f>
        <v>0.133526672320425</v>
      </c>
      <c r="D612" s="0" t="n">
        <f aca="true">RAND()</f>
        <v>0.946667241093598</v>
      </c>
      <c r="E612" s="0" t="n">
        <f aca="false">IF(C612&lt;=$C$10,1,IF(C612&lt;=$C$10+$C$11,2,3))</f>
        <v>1</v>
      </c>
      <c r="F612" s="0" t="n">
        <f aca="false">IF(E612=1,$C$4*SQRT(D612),IF(E612=2,$C$4+($C$5-$C$4)*D612,$C$6-($C$6-$C$5)*SQRT(1-D612)))</f>
        <v>2.91890478944456</v>
      </c>
    </row>
    <row r="613" customFormat="false" ht="15" hidden="false" customHeight="false" outlineLevel="0" collapsed="false">
      <c r="B613" s="0" t="n">
        <v>597</v>
      </c>
      <c r="C613" s="0" t="n">
        <f aca="true">RAND()</f>
        <v>0.421008349515237</v>
      </c>
      <c r="D613" s="0" t="n">
        <f aca="true">RAND()</f>
        <v>0.0905717196144052</v>
      </c>
      <c r="E613" s="0" t="n">
        <f aca="false">IF(C613&lt;=$C$10,1,IF(C613&lt;=$C$10+$C$11,2,3))</f>
        <v>2</v>
      </c>
      <c r="F613" s="0" t="n">
        <f aca="false">IF(E613=1,$C$4*SQRT(D613),IF(E613=2,$C$4+($C$5-$C$4)*D613,$C$6-($C$6-$C$5)*SQRT(1-D613)))</f>
        <v>3.36228687845762</v>
      </c>
    </row>
    <row r="614" customFormat="false" ht="15" hidden="false" customHeight="false" outlineLevel="0" collapsed="false">
      <c r="B614" s="0" t="n">
        <v>598</v>
      </c>
      <c r="C614" s="0" t="n">
        <f aca="true">RAND()</f>
        <v>0.260145385771465</v>
      </c>
      <c r="D614" s="0" t="n">
        <f aca="true">RAND()</f>
        <v>0.113839036624936</v>
      </c>
      <c r="E614" s="0" t="n">
        <f aca="false">IF(C614&lt;=$C$10,1,IF(C614&lt;=$C$10+$C$11,2,3))</f>
        <v>2</v>
      </c>
      <c r="F614" s="0" t="n">
        <f aca="false">IF(E614=1,$C$4*SQRT(D614),IF(E614=2,$C$4+($C$5-$C$4)*D614,$C$6-($C$6-$C$5)*SQRT(1-D614)))</f>
        <v>3.45535614649974</v>
      </c>
    </row>
    <row r="615" customFormat="false" ht="15" hidden="false" customHeight="false" outlineLevel="0" collapsed="false">
      <c r="B615" s="0" t="n">
        <v>599</v>
      </c>
      <c r="C615" s="0" t="n">
        <f aca="true">RAND()</f>
        <v>0.904450747369685</v>
      </c>
      <c r="D615" s="0" t="n">
        <f aca="true">RAND()</f>
        <v>0.510676865337601</v>
      </c>
      <c r="E615" s="0" t="n">
        <f aca="false">IF(C615&lt;=$C$10,1,IF(C615&lt;=$C$10+$C$11,2,3))</f>
        <v>3</v>
      </c>
      <c r="F615" s="0" t="n">
        <f aca="false">IF(E615=1,$C$4*SQRT(D615),IF(E615=2,$C$4+($C$5-$C$4)*D615,$C$6-($C$6-$C$5)*SQRT(1-D615)))</f>
        <v>7.90145092695892</v>
      </c>
    </row>
    <row r="616" customFormat="false" ht="15" hidden="false" customHeight="false" outlineLevel="0" collapsed="false">
      <c r="B616" s="0" t="n">
        <v>600</v>
      </c>
      <c r="C616" s="0" t="n">
        <f aca="true">RAND()</f>
        <v>0.0434803191837573</v>
      </c>
      <c r="D616" s="0" t="n">
        <f aca="true">RAND()</f>
        <v>0.941407539460557</v>
      </c>
      <c r="E616" s="0" t="n">
        <f aca="false">IF(C616&lt;=$C$10,1,IF(C616&lt;=$C$10+$C$11,2,3))</f>
        <v>1</v>
      </c>
      <c r="F616" s="0" t="n">
        <f aca="false">IF(E616=1,$C$4*SQRT(D616),IF(E616=2,$C$4+($C$5-$C$4)*D616,$C$6-($C$6-$C$5)*SQRT(1-D616)))</f>
        <v>2.91078474902302</v>
      </c>
    </row>
    <row r="617" customFormat="false" ht="15" hidden="false" customHeight="false" outlineLevel="0" collapsed="false">
      <c r="B617" s="0" t="n">
        <v>601</v>
      </c>
      <c r="C617" s="0" t="n">
        <f aca="true">RAND()</f>
        <v>0.655805136017855</v>
      </c>
      <c r="D617" s="0" t="n">
        <f aca="true">RAND()</f>
        <v>0.000564125987064746</v>
      </c>
      <c r="E617" s="0" t="n">
        <f aca="false">IF(C617&lt;=$C$10,1,IF(C617&lt;=$C$10+$C$11,2,3))</f>
        <v>2</v>
      </c>
      <c r="F617" s="0" t="n">
        <f aca="false">IF(E617=1,$C$4*SQRT(D617),IF(E617=2,$C$4+($C$5-$C$4)*D617,$C$6-($C$6-$C$5)*SQRT(1-D617)))</f>
        <v>3.00225650394826</v>
      </c>
    </row>
    <row r="618" customFormat="false" ht="15" hidden="false" customHeight="false" outlineLevel="0" collapsed="false">
      <c r="B618" s="0" t="n">
        <v>602</v>
      </c>
      <c r="C618" s="0" t="n">
        <f aca="true">RAND()</f>
        <v>0.120676673172581</v>
      </c>
      <c r="D618" s="0" t="n">
        <f aca="true">RAND()</f>
        <v>0.415004486656333</v>
      </c>
      <c r="E618" s="0" t="n">
        <f aca="false">IF(C618&lt;=$C$10,1,IF(C618&lt;=$C$10+$C$11,2,3))</f>
        <v>1</v>
      </c>
      <c r="F618" s="0" t="n">
        <f aca="false">IF(E618=1,$C$4*SQRT(D618),IF(E618=2,$C$4+($C$5-$C$4)*D618,$C$6-($C$6-$C$5)*SQRT(1-D618)))</f>
        <v>1.93262525594255</v>
      </c>
    </row>
    <row r="619" customFormat="false" ht="15" hidden="false" customHeight="false" outlineLevel="0" collapsed="false">
      <c r="B619" s="0" t="n">
        <v>603</v>
      </c>
      <c r="C619" s="0" t="n">
        <f aca="true">RAND()</f>
        <v>0.792613700484546</v>
      </c>
      <c r="D619" s="0" t="n">
        <f aca="true">RAND()</f>
        <v>0.991217377368849</v>
      </c>
      <c r="E619" s="0" t="n">
        <f aca="false">IF(C619&lt;=$C$10,1,IF(C619&lt;=$C$10+$C$11,2,3))</f>
        <v>3</v>
      </c>
      <c r="F619" s="0" t="n">
        <f aca="false">IF(E619=1,$C$4*SQRT(D619),IF(E619=2,$C$4+($C$5-$C$4)*D619,$C$6-($C$6-$C$5)*SQRT(1-D619)))</f>
        <v>9.71885305678283</v>
      </c>
    </row>
    <row r="620" customFormat="false" ht="15" hidden="false" customHeight="false" outlineLevel="0" collapsed="false">
      <c r="B620" s="0" t="n">
        <v>604</v>
      </c>
      <c r="C620" s="0" t="n">
        <f aca="true">RAND()</f>
        <v>0.0422093302825803</v>
      </c>
      <c r="D620" s="0" t="n">
        <f aca="true">RAND()</f>
        <v>0.945577268999902</v>
      </c>
      <c r="E620" s="0" t="n">
        <f aca="false">IF(C620&lt;=$C$10,1,IF(C620&lt;=$C$10+$C$11,2,3))</f>
        <v>1</v>
      </c>
      <c r="F620" s="0" t="n">
        <f aca="false">IF(E620=1,$C$4*SQRT(D620),IF(E620=2,$C$4+($C$5-$C$4)*D620,$C$6-($C$6-$C$5)*SQRT(1-D620)))</f>
        <v>2.91722392369854</v>
      </c>
    </row>
    <row r="621" customFormat="false" ht="15" hidden="false" customHeight="false" outlineLevel="0" collapsed="false">
      <c r="B621" s="0" t="n">
        <v>605</v>
      </c>
      <c r="C621" s="0" t="n">
        <f aca="true">RAND()</f>
        <v>0.972087609464511</v>
      </c>
      <c r="D621" s="0" t="n">
        <f aca="true">RAND()</f>
        <v>0.550781037872631</v>
      </c>
      <c r="E621" s="0" t="n">
        <f aca="false">IF(C621&lt;=$C$10,1,IF(C621&lt;=$C$10+$C$11,2,3))</f>
        <v>3</v>
      </c>
      <c r="F621" s="0" t="n">
        <f aca="false">IF(E621=1,$C$4*SQRT(D621),IF(E621=2,$C$4+($C$5-$C$4)*D621,$C$6-($C$6-$C$5)*SQRT(1-D621)))</f>
        <v>7.98928603248838</v>
      </c>
    </row>
    <row r="622" customFormat="false" ht="15" hidden="false" customHeight="false" outlineLevel="0" collapsed="false">
      <c r="B622" s="0" t="n">
        <v>606</v>
      </c>
      <c r="C622" s="0" t="n">
        <f aca="true">RAND()</f>
        <v>0.69550557858526</v>
      </c>
      <c r="D622" s="0" t="n">
        <f aca="true">RAND()</f>
        <v>0.736534518241886</v>
      </c>
      <c r="E622" s="0" t="n">
        <f aca="false">IF(C622&lt;=$C$10,1,IF(C622&lt;=$C$10+$C$11,2,3))</f>
        <v>2</v>
      </c>
      <c r="F622" s="0" t="n">
        <f aca="false">IF(E622=1,$C$4*SQRT(D622),IF(E622=2,$C$4+($C$5-$C$4)*D622,$C$6-($C$6-$C$5)*SQRT(1-D622)))</f>
        <v>5.94613807296754</v>
      </c>
    </row>
    <row r="623" customFormat="false" ht="15" hidden="false" customHeight="false" outlineLevel="0" collapsed="false">
      <c r="B623" s="0" t="n">
        <v>607</v>
      </c>
      <c r="C623" s="0" t="n">
        <f aca="true">RAND()</f>
        <v>0.412201139515429</v>
      </c>
      <c r="D623" s="0" t="n">
        <f aca="true">RAND()</f>
        <v>0.338966757463976</v>
      </c>
      <c r="E623" s="0" t="n">
        <f aca="false">IF(C623&lt;=$C$10,1,IF(C623&lt;=$C$10+$C$11,2,3))</f>
        <v>2</v>
      </c>
      <c r="F623" s="0" t="n">
        <f aca="false">IF(E623=1,$C$4*SQRT(D623),IF(E623=2,$C$4+($C$5-$C$4)*D623,$C$6-($C$6-$C$5)*SQRT(1-D623)))</f>
        <v>4.3558670298559</v>
      </c>
    </row>
    <row r="624" customFormat="false" ht="15" hidden="false" customHeight="false" outlineLevel="0" collapsed="false">
      <c r="B624" s="0" t="n">
        <v>608</v>
      </c>
      <c r="C624" s="0" t="n">
        <f aca="true">RAND()</f>
        <v>0.934043901149293</v>
      </c>
      <c r="D624" s="0" t="n">
        <f aca="true">RAND()</f>
        <v>0.229786415211894</v>
      </c>
      <c r="E624" s="0" t="n">
        <f aca="false">IF(C624&lt;=$C$10,1,IF(C624&lt;=$C$10+$C$11,2,3))</f>
        <v>3</v>
      </c>
      <c r="F624" s="0" t="n">
        <f aca="false">IF(E624=1,$C$4*SQRT(D624),IF(E624=2,$C$4+($C$5-$C$4)*D624,$C$6-($C$6-$C$5)*SQRT(1-D624)))</f>
        <v>7.36714560541359</v>
      </c>
    </row>
    <row r="625" customFormat="false" ht="15" hidden="false" customHeight="false" outlineLevel="0" collapsed="false">
      <c r="B625" s="0" t="n">
        <v>609</v>
      </c>
      <c r="C625" s="0" t="n">
        <f aca="true">RAND()</f>
        <v>0.803697178326173</v>
      </c>
      <c r="D625" s="0" t="n">
        <f aca="true">RAND()</f>
        <v>0.196219232434194</v>
      </c>
      <c r="E625" s="0" t="n">
        <f aca="false">IF(C625&lt;=$C$10,1,IF(C625&lt;=$C$10+$C$11,2,3))</f>
        <v>3</v>
      </c>
      <c r="F625" s="0" t="n">
        <f aca="false">IF(E625=1,$C$4*SQRT(D625),IF(E625=2,$C$4+($C$5-$C$4)*D625,$C$6-($C$6-$C$5)*SQRT(1-D625)))</f>
        <v>7.31038536067111</v>
      </c>
    </row>
    <row r="626" customFormat="false" ht="15" hidden="false" customHeight="false" outlineLevel="0" collapsed="false">
      <c r="B626" s="0" t="n">
        <v>610</v>
      </c>
      <c r="C626" s="0" t="n">
        <f aca="true">RAND()</f>
        <v>0.815182468450726</v>
      </c>
      <c r="D626" s="0" t="n">
        <f aca="true">RAND()</f>
        <v>0.674534812021555</v>
      </c>
      <c r="E626" s="0" t="n">
        <f aca="false">IF(C626&lt;=$C$10,1,IF(C626&lt;=$C$10+$C$11,2,3))</f>
        <v>3</v>
      </c>
      <c r="F626" s="0" t="n">
        <f aca="false">IF(E626=1,$C$4*SQRT(D626),IF(E626=2,$C$4+($C$5-$C$4)*D626,$C$6-($C$6-$C$5)*SQRT(1-D626)))</f>
        <v>8.28851330948616</v>
      </c>
    </row>
    <row r="627" customFormat="false" ht="15" hidden="false" customHeight="false" outlineLevel="0" collapsed="false">
      <c r="B627" s="0" t="n">
        <v>611</v>
      </c>
      <c r="C627" s="0" t="n">
        <f aca="true">RAND()</f>
        <v>0.923546045610602</v>
      </c>
      <c r="D627" s="0" t="n">
        <f aca="true">RAND()</f>
        <v>0.550654889775112</v>
      </c>
      <c r="E627" s="0" t="n">
        <f aca="false">IF(C627&lt;=$C$10,1,IF(C627&lt;=$C$10+$C$11,2,3))</f>
        <v>3</v>
      </c>
      <c r="F627" s="0" t="n">
        <f aca="false">IF(E627=1,$C$4*SQRT(D627),IF(E627=2,$C$4+($C$5-$C$4)*D627,$C$6-($C$6-$C$5)*SQRT(1-D627)))</f>
        <v>7.98900373147437</v>
      </c>
    </row>
    <row r="628" customFormat="false" ht="15" hidden="false" customHeight="false" outlineLevel="0" collapsed="false">
      <c r="B628" s="0" t="n">
        <v>612</v>
      </c>
      <c r="C628" s="0" t="n">
        <f aca="true">RAND()</f>
        <v>0.144791731861243</v>
      </c>
      <c r="D628" s="0" t="n">
        <f aca="true">RAND()</f>
        <v>0.39503706522886</v>
      </c>
      <c r="E628" s="0" t="n">
        <f aca="false">IF(C628&lt;=$C$10,1,IF(C628&lt;=$C$10+$C$11,2,3))</f>
        <v>1</v>
      </c>
      <c r="F628" s="0" t="n">
        <f aca="false">IF(E628=1,$C$4*SQRT(D628),IF(E628=2,$C$4+($C$5-$C$4)*D628,$C$6-($C$6-$C$5)*SQRT(1-D628)))</f>
        <v>1.88555922395976</v>
      </c>
    </row>
    <row r="629" customFormat="false" ht="15" hidden="false" customHeight="false" outlineLevel="0" collapsed="false">
      <c r="B629" s="0" t="n">
        <v>613</v>
      </c>
      <c r="C629" s="0" t="n">
        <f aca="true">RAND()</f>
        <v>0.783424549977119</v>
      </c>
      <c r="D629" s="0" t="n">
        <f aca="true">RAND()</f>
        <v>0.428583531703627</v>
      </c>
      <c r="E629" s="0" t="n">
        <f aca="false">IF(C629&lt;=$C$10,1,IF(C629&lt;=$C$10+$C$11,2,3))</f>
        <v>2</v>
      </c>
      <c r="F629" s="0" t="n">
        <f aca="false">IF(E629=1,$C$4*SQRT(D629),IF(E629=2,$C$4+($C$5-$C$4)*D629,$C$6-($C$6-$C$5)*SQRT(1-D629)))</f>
        <v>4.71433412681451</v>
      </c>
    </row>
    <row r="630" customFormat="false" ht="15" hidden="false" customHeight="false" outlineLevel="0" collapsed="false">
      <c r="B630" s="0" t="n">
        <v>614</v>
      </c>
      <c r="C630" s="0" t="n">
        <f aca="true">RAND()</f>
        <v>0.948186215970896</v>
      </c>
      <c r="D630" s="0" t="n">
        <f aca="true">RAND()</f>
        <v>0.354166832242945</v>
      </c>
      <c r="E630" s="0" t="n">
        <f aca="false">IF(C630&lt;=$C$10,1,IF(C630&lt;=$C$10+$C$11,2,3))</f>
        <v>3</v>
      </c>
      <c r="F630" s="0" t="n">
        <f aca="false">IF(E630=1,$C$4*SQRT(D630),IF(E630=2,$C$4+($C$5-$C$4)*D630,$C$6-($C$6-$C$5)*SQRT(1-D630)))</f>
        <v>7.58908761880207</v>
      </c>
    </row>
    <row r="631" customFormat="false" ht="15" hidden="false" customHeight="false" outlineLevel="0" collapsed="false">
      <c r="B631" s="0" t="n">
        <v>615</v>
      </c>
      <c r="C631" s="0" t="n">
        <f aca="true">RAND()</f>
        <v>0.809535868553214</v>
      </c>
      <c r="D631" s="0" t="n">
        <f aca="true">RAND()</f>
        <v>0.569955674988505</v>
      </c>
      <c r="E631" s="0" t="n">
        <f aca="false">IF(C631&lt;=$C$10,1,IF(C631&lt;=$C$10+$C$11,2,3))</f>
        <v>3</v>
      </c>
      <c r="F631" s="0" t="n">
        <f aca="false">IF(E631=1,$C$4*SQRT(D631),IF(E631=2,$C$4+($C$5-$C$4)*D631,$C$6-($C$6-$C$5)*SQRT(1-D631)))</f>
        <v>8.03266705280894</v>
      </c>
    </row>
    <row r="632" customFormat="false" ht="15" hidden="false" customHeight="false" outlineLevel="0" collapsed="false">
      <c r="B632" s="0" t="n">
        <v>616</v>
      </c>
      <c r="C632" s="0" t="n">
        <f aca="true">RAND()</f>
        <v>0.0096280603673811</v>
      </c>
      <c r="D632" s="0" t="n">
        <f aca="true">RAND()</f>
        <v>0.0897268729109304</v>
      </c>
      <c r="E632" s="0" t="n">
        <f aca="false">IF(C632&lt;=$C$10,1,IF(C632&lt;=$C$10+$C$11,2,3))</f>
        <v>1</v>
      </c>
      <c r="F632" s="0" t="n">
        <f aca="false">IF(E632=1,$C$4*SQRT(D632),IF(E632=2,$C$4+($C$5-$C$4)*D632,$C$6-($C$6-$C$5)*SQRT(1-D632)))</f>
        <v>0.898633326890547</v>
      </c>
    </row>
    <row r="633" customFormat="false" ht="15" hidden="false" customHeight="false" outlineLevel="0" collapsed="false">
      <c r="B633" s="0" t="n">
        <v>617</v>
      </c>
      <c r="C633" s="0" t="n">
        <f aca="true">RAND()</f>
        <v>0.71102942163587</v>
      </c>
      <c r="D633" s="0" t="n">
        <f aca="true">RAND()</f>
        <v>0.940316531502661</v>
      </c>
      <c r="E633" s="0" t="n">
        <f aca="false">IF(C633&lt;=$C$10,1,IF(C633&lt;=$C$10+$C$11,2,3))</f>
        <v>2</v>
      </c>
      <c r="F633" s="0" t="n">
        <f aca="false">IF(E633=1,$C$4*SQRT(D633),IF(E633=2,$C$4+($C$5-$C$4)*D633,$C$6-($C$6-$C$5)*SQRT(1-D633)))</f>
        <v>6.76126612601064</v>
      </c>
    </row>
    <row r="634" customFormat="false" ht="15" hidden="false" customHeight="false" outlineLevel="0" collapsed="false">
      <c r="B634" s="0" t="n">
        <v>618</v>
      </c>
      <c r="C634" s="0" t="n">
        <f aca="true">RAND()</f>
        <v>0.0226673656418459</v>
      </c>
      <c r="D634" s="0" t="n">
        <f aca="true">RAND()</f>
        <v>0.656251862697319</v>
      </c>
      <c r="E634" s="0" t="n">
        <f aca="false">IF(C634&lt;=$C$10,1,IF(C634&lt;=$C$10+$C$11,2,3))</f>
        <v>1</v>
      </c>
      <c r="F634" s="0" t="n">
        <f aca="false">IF(E634=1,$C$4*SQRT(D634),IF(E634=2,$C$4+($C$5-$C$4)*D634,$C$6-($C$6-$C$5)*SQRT(1-D634)))</f>
        <v>2.43028121094573</v>
      </c>
    </row>
    <row r="635" customFormat="false" ht="15" hidden="false" customHeight="false" outlineLevel="0" collapsed="false">
      <c r="B635" s="0" t="n">
        <v>619</v>
      </c>
      <c r="C635" s="0" t="n">
        <f aca="true">RAND()</f>
        <v>0.596650406201607</v>
      </c>
      <c r="D635" s="0" t="n">
        <f aca="true">RAND()</f>
        <v>0.651320804639858</v>
      </c>
      <c r="E635" s="0" t="n">
        <f aca="false">IF(C635&lt;=$C$10,1,IF(C635&lt;=$C$10+$C$11,2,3))</f>
        <v>2</v>
      </c>
      <c r="F635" s="0" t="n">
        <f aca="false">IF(E635=1,$C$4*SQRT(D635),IF(E635=2,$C$4+($C$5-$C$4)*D635,$C$6-($C$6-$C$5)*SQRT(1-D635)))</f>
        <v>5.60528321855943</v>
      </c>
    </row>
    <row r="636" customFormat="false" ht="15" hidden="false" customHeight="false" outlineLevel="0" collapsed="false">
      <c r="B636" s="0" t="n">
        <v>620</v>
      </c>
      <c r="C636" s="0" t="n">
        <f aca="true">RAND()</f>
        <v>0.562748168209794</v>
      </c>
      <c r="D636" s="0" t="n">
        <f aca="true">RAND()</f>
        <v>0.882318615616136</v>
      </c>
      <c r="E636" s="0" t="n">
        <f aca="false">IF(C636&lt;=$C$10,1,IF(C636&lt;=$C$10+$C$11,2,3))</f>
        <v>2</v>
      </c>
      <c r="F636" s="0" t="n">
        <f aca="false">IF(E636=1,$C$4*SQRT(D636),IF(E636=2,$C$4+($C$5-$C$4)*D636,$C$6-($C$6-$C$5)*SQRT(1-D636)))</f>
        <v>6.52927446246454</v>
      </c>
    </row>
    <row r="637" customFormat="false" ht="15" hidden="false" customHeight="false" outlineLevel="0" collapsed="false">
      <c r="B637" s="0" t="n">
        <v>621</v>
      </c>
      <c r="C637" s="0" t="n">
        <f aca="true">RAND()</f>
        <v>0.00413297080208134</v>
      </c>
      <c r="D637" s="0" t="n">
        <f aca="true">RAND()</f>
        <v>0.665242696494884</v>
      </c>
      <c r="E637" s="0" t="n">
        <f aca="false">IF(C637&lt;=$C$10,1,IF(C637&lt;=$C$10+$C$11,2,3))</f>
        <v>1</v>
      </c>
      <c r="F637" s="0" t="n">
        <f aca="false">IF(E637=1,$C$4*SQRT(D637),IF(E637=2,$C$4+($C$5-$C$4)*D637,$C$6-($C$6-$C$5)*SQRT(1-D637)))</f>
        <v>2.44687234412708</v>
      </c>
    </row>
    <row r="638" customFormat="false" ht="15" hidden="false" customHeight="false" outlineLevel="0" collapsed="false">
      <c r="B638" s="0" t="n">
        <v>622</v>
      </c>
      <c r="C638" s="0" t="n">
        <f aca="true">RAND()</f>
        <v>0.00348654787167708</v>
      </c>
      <c r="D638" s="0" t="n">
        <f aca="true">RAND()</f>
        <v>0.601670768471367</v>
      </c>
      <c r="E638" s="0" t="n">
        <f aca="false">IF(C638&lt;=$C$10,1,IF(C638&lt;=$C$10+$C$11,2,3))</f>
        <v>1</v>
      </c>
      <c r="F638" s="0" t="n">
        <f aca="false">IF(E638=1,$C$4*SQRT(D638),IF(E638=2,$C$4+($C$5-$C$4)*D638,$C$6-($C$6-$C$5)*SQRT(1-D638)))</f>
        <v>2.32702318773198</v>
      </c>
    </row>
    <row r="639" customFormat="false" ht="15" hidden="false" customHeight="false" outlineLevel="0" collapsed="false">
      <c r="B639" s="0" t="n">
        <v>623</v>
      </c>
      <c r="C639" s="0" t="n">
        <f aca="true">RAND()</f>
        <v>0.458455756596941</v>
      </c>
      <c r="D639" s="0" t="n">
        <f aca="true">RAND()</f>
        <v>0.726209316917129</v>
      </c>
      <c r="E639" s="0" t="n">
        <f aca="false">IF(C639&lt;=$C$10,1,IF(C639&lt;=$C$10+$C$11,2,3))</f>
        <v>2</v>
      </c>
      <c r="F639" s="0" t="n">
        <f aca="false">IF(E639=1,$C$4*SQRT(D639),IF(E639=2,$C$4+($C$5-$C$4)*D639,$C$6-($C$6-$C$5)*SQRT(1-D639)))</f>
        <v>5.90483726766851</v>
      </c>
    </row>
    <row r="640" customFormat="false" ht="15" hidden="false" customHeight="false" outlineLevel="0" collapsed="false">
      <c r="B640" s="0" t="n">
        <v>624</v>
      </c>
      <c r="C640" s="0" t="n">
        <f aca="true">RAND()</f>
        <v>0.574670977201881</v>
      </c>
      <c r="D640" s="0" t="n">
        <f aca="true">RAND()</f>
        <v>0.156471300974022</v>
      </c>
      <c r="E640" s="0" t="n">
        <f aca="false">IF(C640&lt;=$C$10,1,IF(C640&lt;=$C$10+$C$11,2,3))</f>
        <v>2</v>
      </c>
      <c r="F640" s="0" t="n">
        <f aca="false">IF(E640=1,$C$4*SQRT(D640),IF(E640=2,$C$4+($C$5-$C$4)*D640,$C$6-($C$6-$C$5)*SQRT(1-D640)))</f>
        <v>3.62588520389609</v>
      </c>
    </row>
    <row r="641" customFormat="false" ht="15" hidden="false" customHeight="false" outlineLevel="0" collapsed="false">
      <c r="B641" s="0" t="n">
        <v>625</v>
      </c>
      <c r="C641" s="0" t="n">
        <f aca="true">RAND()</f>
        <v>0.624513632247707</v>
      </c>
      <c r="D641" s="0" t="n">
        <f aca="true">RAND()</f>
        <v>0.587710777289337</v>
      </c>
      <c r="E641" s="0" t="n">
        <f aca="false">IF(C641&lt;=$C$10,1,IF(C641&lt;=$C$10+$C$11,2,3))</f>
        <v>2</v>
      </c>
      <c r="F641" s="0" t="n">
        <f aca="false">IF(E641=1,$C$4*SQRT(D641),IF(E641=2,$C$4+($C$5-$C$4)*D641,$C$6-($C$6-$C$5)*SQRT(1-D641)))</f>
        <v>5.35084310915735</v>
      </c>
    </row>
    <row r="642" customFormat="false" ht="15" hidden="false" customHeight="false" outlineLevel="0" collapsed="false">
      <c r="B642" s="0" t="n">
        <v>626</v>
      </c>
      <c r="C642" s="0" t="n">
        <f aca="true">RAND()</f>
        <v>0.583825511888032</v>
      </c>
      <c r="D642" s="0" t="n">
        <f aca="true">RAND()</f>
        <v>0.446151676693348</v>
      </c>
      <c r="E642" s="0" t="n">
        <f aca="false">IF(C642&lt;=$C$10,1,IF(C642&lt;=$C$10+$C$11,2,3))</f>
        <v>2</v>
      </c>
      <c r="F642" s="0" t="n">
        <f aca="false">IF(E642=1,$C$4*SQRT(D642),IF(E642=2,$C$4+($C$5-$C$4)*D642,$C$6-($C$6-$C$5)*SQRT(1-D642)))</f>
        <v>4.78460670677339</v>
      </c>
    </row>
    <row r="643" customFormat="false" ht="15" hidden="false" customHeight="false" outlineLevel="0" collapsed="false">
      <c r="B643" s="0" t="n">
        <v>627</v>
      </c>
      <c r="C643" s="0" t="n">
        <f aca="true">RAND()</f>
        <v>0.903417775319754</v>
      </c>
      <c r="D643" s="0" t="n">
        <f aca="true">RAND()</f>
        <v>0.0486962380325158</v>
      </c>
      <c r="E643" s="0" t="n">
        <f aca="false">IF(C643&lt;=$C$10,1,IF(C643&lt;=$C$10+$C$11,2,3))</f>
        <v>3</v>
      </c>
      <c r="F643" s="0" t="n">
        <f aca="false">IF(E643=1,$C$4*SQRT(D643),IF(E643=2,$C$4+($C$5-$C$4)*D643,$C$6-($C$6-$C$5)*SQRT(1-D643)))</f>
        <v>7.07395593715553</v>
      </c>
    </row>
    <row r="644" customFormat="false" ht="15" hidden="false" customHeight="false" outlineLevel="0" collapsed="false">
      <c r="B644" s="0" t="n">
        <v>628</v>
      </c>
      <c r="C644" s="0" t="n">
        <f aca="true">RAND()</f>
        <v>0.66551512434082</v>
      </c>
      <c r="D644" s="0" t="n">
        <f aca="true">RAND()</f>
        <v>0.280789782130775</v>
      </c>
      <c r="E644" s="0" t="n">
        <f aca="false">IF(C644&lt;=$C$10,1,IF(C644&lt;=$C$10+$C$11,2,3))</f>
        <v>2</v>
      </c>
      <c r="F644" s="0" t="n">
        <f aca="false">IF(E644=1,$C$4*SQRT(D644),IF(E644=2,$C$4+($C$5-$C$4)*D644,$C$6-($C$6-$C$5)*SQRT(1-D644)))</f>
        <v>4.1231591285231</v>
      </c>
    </row>
    <row r="645" customFormat="false" ht="15" hidden="false" customHeight="false" outlineLevel="0" collapsed="false">
      <c r="B645" s="0" t="n">
        <v>629</v>
      </c>
      <c r="C645" s="0" t="n">
        <f aca="true">RAND()</f>
        <v>0.918831451016517</v>
      </c>
      <c r="D645" s="0" t="n">
        <f aca="true">RAND()</f>
        <v>0.982062021959524</v>
      </c>
      <c r="E645" s="0" t="n">
        <f aca="false">IF(C645&lt;=$C$10,1,IF(C645&lt;=$C$10+$C$11,2,3))</f>
        <v>3</v>
      </c>
      <c r="F645" s="0" t="n">
        <f aca="false">IF(E645=1,$C$4*SQRT(D645),IF(E645=2,$C$4+($C$5-$C$4)*D645,$C$6-($C$6-$C$5)*SQRT(1-D645)))</f>
        <v>9.59820178899815</v>
      </c>
    </row>
    <row r="646" customFormat="false" ht="15" hidden="false" customHeight="false" outlineLevel="0" collapsed="false">
      <c r="B646" s="0" t="n">
        <v>630</v>
      </c>
      <c r="C646" s="0" t="n">
        <f aca="true">RAND()</f>
        <v>0.717388096448333</v>
      </c>
      <c r="D646" s="0" t="n">
        <f aca="true">RAND()</f>
        <v>0.150961115909233</v>
      </c>
      <c r="E646" s="0" t="n">
        <f aca="false">IF(C646&lt;=$C$10,1,IF(C646&lt;=$C$10+$C$11,2,3))</f>
        <v>2</v>
      </c>
      <c r="F646" s="0" t="n">
        <f aca="false">IF(E646=1,$C$4*SQRT(D646),IF(E646=2,$C$4+($C$5-$C$4)*D646,$C$6-($C$6-$C$5)*SQRT(1-D646)))</f>
        <v>3.60384446363693</v>
      </c>
    </row>
    <row r="647" customFormat="false" ht="15" hidden="false" customHeight="false" outlineLevel="0" collapsed="false">
      <c r="B647" s="0" t="n">
        <v>631</v>
      </c>
      <c r="C647" s="0" t="n">
        <f aca="true">RAND()</f>
        <v>0.00236618382707993</v>
      </c>
      <c r="D647" s="0" t="n">
        <f aca="true">RAND()</f>
        <v>0.394358081125531</v>
      </c>
      <c r="E647" s="0" t="n">
        <f aca="false">IF(C647&lt;=$C$10,1,IF(C647&lt;=$C$10+$C$11,2,3))</f>
        <v>1</v>
      </c>
      <c r="F647" s="0" t="n">
        <f aca="false">IF(E647=1,$C$4*SQRT(D647),IF(E647=2,$C$4+($C$5-$C$4)*D647,$C$6-($C$6-$C$5)*SQRT(1-D647)))</f>
        <v>1.88393809084316</v>
      </c>
    </row>
    <row r="648" customFormat="false" ht="15" hidden="false" customHeight="false" outlineLevel="0" collapsed="false">
      <c r="B648" s="0" t="n">
        <v>632</v>
      </c>
      <c r="C648" s="0" t="n">
        <f aca="true">RAND()</f>
        <v>0.500837162290016</v>
      </c>
      <c r="D648" s="0" t="n">
        <f aca="true">RAND()</f>
        <v>0.816627455077881</v>
      </c>
      <c r="E648" s="0" t="n">
        <f aca="false">IF(C648&lt;=$C$10,1,IF(C648&lt;=$C$10+$C$11,2,3))</f>
        <v>2</v>
      </c>
      <c r="F648" s="0" t="n">
        <f aca="false">IF(E648=1,$C$4*SQRT(D648),IF(E648=2,$C$4+($C$5-$C$4)*D648,$C$6-($C$6-$C$5)*SQRT(1-D648)))</f>
        <v>6.26650982031153</v>
      </c>
    </row>
    <row r="649" customFormat="false" ht="15" hidden="false" customHeight="false" outlineLevel="0" collapsed="false">
      <c r="B649" s="0" t="n">
        <v>633</v>
      </c>
      <c r="C649" s="0" t="n">
        <f aca="true">RAND()</f>
        <v>0.58310451427744</v>
      </c>
      <c r="D649" s="0" t="n">
        <f aca="true">RAND()</f>
        <v>0.125485913861994</v>
      </c>
      <c r="E649" s="0" t="n">
        <f aca="false">IF(C649&lt;=$C$10,1,IF(C649&lt;=$C$10+$C$11,2,3))</f>
        <v>2</v>
      </c>
      <c r="F649" s="0" t="n">
        <f aca="false">IF(E649=1,$C$4*SQRT(D649),IF(E649=2,$C$4+($C$5-$C$4)*D649,$C$6-($C$6-$C$5)*SQRT(1-D649)))</f>
        <v>3.50194365544798</v>
      </c>
    </row>
    <row r="650" customFormat="false" ht="15" hidden="false" customHeight="false" outlineLevel="0" collapsed="false">
      <c r="B650" s="0" t="n">
        <v>634</v>
      </c>
      <c r="C650" s="0" t="n">
        <f aca="true">RAND()</f>
        <v>0.505528333656619</v>
      </c>
      <c r="D650" s="0" t="n">
        <f aca="true">RAND()</f>
        <v>0.111719826626641</v>
      </c>
      <c r="E650" s="0" t="n">
        <f aca="false">IF(C650&lt;=$C$10,1,IF(C650&lt;=$C$10+$C$11,2,3))</f>
        <v>2</v>
      </c>
      <c r="F650" s="0" t="n">
        <f aca="false">IF(E650=1,$C$4*SQRT(D650),IF(E650=2,$C$4+($C$5-$C$4)*D650,$C$6-($C$6-$C$5)*SQRT(1-D650)))</f>
        <v>3.44687930650656</v>
      </c>
    </row>
    <row r="651" customFormat="false" ht="15" hidden="false" customHeight="false" outlineLevel="0" collapsed="false">
      <c r="B651" s="0" t="n">
        <v>635</v>
      </c>
      <c r="C651" s="0" t="n">
        <f aca="true">RAND()</f>
        <v>0.651559012518647</v>
      </c>
      <c r="D651" s="0" t="n">
        <f aca="true">RAND()</f>
        <v>0.256607910836424</v>
      </c>
      <c r="E651" s="0" t="n">
        <f aca="false">IF(C651&lt;=$C$10,1,IF(C651&lt;=$C$10+$C$11,2,3))</f>
        <v>2</v>
      </c>
      <c r="F651" s="0" t="n">
        <f aca="false">IF(E651=1,$C$4*SQRT(D651),IF(E651=2,$C$4+($C$5-$C$4)*D651,$C$6-($C$6-$C$5)*SQRT(1-D651)))</f>
        <v>4.02643164334569</v>
      </c>
    </row>
    <row r="652" customFormat="false" ht="15" hidden="false" customHeight="false" outlineLevel="0" collapsed="false">
      <c r="B652" s="0" t="n">
        <v>636</v>
      </c>
      <c r="C652" s="0" t="n">
        <f aca="true">RAND()</f>
        <v>0.46098428126596</v>
      </c>
      <c r="D652" s="0" t="n">
        <f aca="true">RAND()</f>
        <v>0.51785904225589</v>
      </c>
      <c r="E652" s="0" t="n">
        <f aca="false">IF(C652&lt;=$C$10,1,IF(C652&lt;=$C$10+$C$11,2,3))</f>
        <v>2</v>
      </c>
      <c r="F652" s="0" t="n">
        <f aca="false">IF(E652=1,$C$4*SQRT(D652),IF(E652=2,$C$4+($C$5-$C$4)*D652,$C$6-($C$6-$C$5)*SQRT(1-D652)))</f>
        <v>5.07143616902356</v>
      </c>
    </row>
    <row r="653" customFormat="false" ht="15" hidden="false" customHeight="false" outlineLevel="0" collapsed="false">
      <c r="B653" s="0" t="n">
        <v>637</v>
      </c>
      <c r="C653" s="0" t="n">
        <f aca="true">RAND()</f>
        <v>0.0517748387053317</v>
      </c>
      <c r="D653" s="0" t="n">
        <f aca="true">RAND()</f>
        <v>0.0175947416897504</v>
      </c>
      <c r="E653" s="0" t="n">
        <f aca="false">IF(C653&lt;=$C$10,1,IF(C653&lt;=$C$10+$C$11,2,3))</f>
        <v>1</v>
      </c>
      <c r="F653" s="0" t="n">
        <f aca="false">IF(E653=1,$C$4*SQRT(D653),IF(E653=2,$C$4+($C$5-$C$4)*D653,$C$6-($C$6-$C$5)*SQRT(1-D653)))</f>
        <v>0.397935516393993</v>
      </c>
    </row>
    <row r="654" customFormat="false" ht="15" hidden="false" customHeight="false" outlineLevel="0" collapsed="false">
      <c r="B654" s="0" t="n">
        <v>638</v>
      </c>
      <c r="C654" s="0" t="n">
        <f aca="true">RAND()</f>
        <v>0.733096787296604</v>
      </c>
      <c r="D654" s="0" t="n">
        <f aca="true">RAND()</f>
        <v>0.972507745789032</v>
      </c>
      <c r="E654" s="0" t="n">
        <f aca="false">IF(C654&lt;=$C$10,1,IF(C654&lt;=$C$10+$C$11,2,3))</f>
        <v>2</v>
      </c>
      <c r="F654" s="0" t="n">
        <f aca="false">IF(E654=1,$C$4*SQRT(D654),IF(E654=2,$C$4+($C$5-$C$4)*D654,$C$6-($C$6-$C$5)*SQRT(1-D654)))</f>
        <v>6.89003098315613</v>
      </c>
    </row>
    <row r="655" customFormat="false" ht="15" hidden="false" customHeight="false" outlineLevel="0" collapsed="false">
      <c r="B655" s="0" t="n">
        <v>639</v>
      </c>
      <c r="C655" s="0" t="n">
        <f aca="true">RAND()</f>
        <v>0.994367280923493</v>
      </c>
      <c r="D655" s="0" t="n">
        <f aca="true">RAND()</f>
        <v>0.794909417695333</v>
      </c>
      <c r="E655" s="0" t="n">
        <f aca="false">IF(C655&lt;=$C$10,1,IF(C655&lt;=$C$10+$C$11,2,3))</f>
        <v>3</v>
      </c>
      <c r="F655" s="0" t="n">
        <f aca="false">IF(E655=1,$C$4*SQRT(D655),IF(E655=2,$C$4+($C$5-$C$4)*D655,$C$6-($C$6-$C$5)*SQRT(1-D655)))</f>
        <v>8.64139216815816</v>
      </c>
    </row>
    <row r="656" customFormat="false" ht="15" hidden="false" customHeight="false" outlineLevel="0" collapsed="false">
      <c r="B656" s="0" t="n">
        <v>640</v>
      </c>
      <c r="C656" s="0" t="n">
        <f aca="true">RAND()</f>
        <v>0.936535738040761</v>
      </c>
      <c r="D656" s="0" t="n">
        <f aca="true">RAND()</f>
        <v>0.782561197258699</v>
      </c>
      <c r="E656" s="0" t="n">
        <f aca="false">IF(C656&lt;=$C$10,1,IF(C656&lt;=$C$10+$C$11,2,3))</f>
        <v>3</v>
      </c>
      <c r="F656" s="0" t="n">
        <f aca="false">IF(E656=1,$C$4*SQRT(D656),IF(E656=2,$C$4+($C$5-$C$4)*D656,$C$6-($C$6-$C$5)*SQRT(1-D656)))</f>
        <v>8.6010899869285</v>
      </c>
    </row>
    <row r="657" customFormat="false" ht="15" hidden="false" customHeight="false" outlineLevel="0" collapsed="false">
      <c r="B657" s="0" t="n">
        <v>641</v>
      </c>
      <c r="C657" s="0" t="n">
        <f aca="true">RAND()</f>
        <v>0.772528488036716</v>
      </c>
      <c r="D657" s="0" t="n">
        <f aca="true">RAND()</f>
        <v>0.00575738631485914</v>
      </c>
      <c r="E657" s="0" t="n">
        <f aca="false">IF(C657&lt;=$C$10,1,IF(C657&lt;=$C$10+$C$11,2,3))</f>
        <v>2</v>
      </c>
      <c r="F657" s="0" t="n">
        <f aca="false">IF(E657=1,$C$4*SQRT(D657),IF(E657=2,$C$4+($C$5-$C$4)*D657,$C$6-($C$6-$C$5)*SQRT(1-D657)))</f>
        <v>3.02302954525944</v>
      </c>
    </row>
    <row r="658" customFormat="false" ht="15" hidden="false" customHeight="false" outlineLevel="0" collapsed="false">
      <c r="B658" s="0" t="n">
        <v>642</v>
      </c>
      <c r="C658" s="0" t="n">
        <f aca="true">RAND()</f>
        <v>0.117415011149772</v>
      </c>
      <c r="D658" s="0" t="n">
        <f aca="true">RAND()</f>
        <v>0.827117793747934</v>
      </c>
      <c r="E658" s="0" t="n">
        <f aca="false">IF(C658&lt;=$C$10,1,IF(C658&lt;=$C$10+$C$11,2,3))</f>
        <v>1</v>
      </c>
      <c r="F658" s="0" t="n">
        <f aca="false">IF(E658=1,$C$4*SQRT(D658),IF(E658=2,$C$4+($C$5-$C$4)*D658,$C$6-($C$6-$C$5)*SQRT(1-D658)))</f>
        <v>2.72838049834172</v>
      </c>
    </row>
    <row r="659" customFormat="false" ht="15" hidden="false" customHeight="false" outlineLevel="0" collapsed="false">
      <c r="B659" s="0" t="n">
        <v>643</v>
      </c>
      <c r="C659" s="0" t="n">
        <f aca="true">RAND()</f>
        <v>0.395250718860059</v>
      </c>
      <c r="D659" s="0" t="n">
        <f aca="true">RAND()</f>
        <v>0.774714597470567</v>
      </c>
      <c r="E659" s="0" t="n">
        <f aca="false">IF(C659&lt;=$C$10,1,IF(C659&lt;=$C$10+$C$11,2,3))</f>
        <v>2</v>
      </c>
      <c r="F659" s="0" t="n">
        <f aca="false">IF(E659=1,$C$4*SQRT(D659),IF(E659=2,$C$4+($C$5-$C$4)*D659,$C$6-($C$6-$C$5)*SQRT(1-D659)))</f>
        <v>6.09885838988227</v>
      </c>
    </row>
    <row r="660" customFormat="false" ht="15" hidden="false" customHeight="false" outlineLevel="0" collapsed="false">
      <c r="B660" s="0" t="n">
        <v>644</v>
      </c>
      <c r="C660" s="0" t="n">
        <f aca="true">RAND()</f>
        <v>0.142926241098897</v>
      </c>
      <c r="D660" s="0" t="n">
        <f aca="true">RAND()</f>
        <v>0.4347171381866</v>
      </c>
      <c r="E660" s="0" t="n">
        <f aca="false">IF(C660&lt;=$C$10,1,IF(C660&lt;=$C$10+$C$11,2,3))</f>
        <v>1</v>
      </c>
      <c r="F660" s="0" t="n">
        <f aca="false">IF(E660=1,$C$4*SQRT(D660),IF(E660=2,$C$4+($C$5-$C$4)*D660,$C$6-($C$6-$C$5)*SQRT(1-D660)))</f>
        <v>1.97799247816553</v>
      </c>
    </row>
    <row r="661" customFormat="false" ht="15" hidden="false" customHeight="false" outlineLevel="0" collapsed="false">
      <c r="B661" s="0" t="n">
        <v>645</v>
      </c>
      <c r="C661" s="0" t="n">
        <f aca="true">RAND()</f>
        <v>0.855285863620017</v>
      </c>
      <c r="D661" s="0" t="n">
        <f aca="true">RAND()</f>
        <v>0.43644141904699</v>
      </c>
      <c r="E661" s="0" t="n">
        <f aca="false">IF(C661&lt;=$C$10,1,IF(C661&lt;=$C$10+$C$11,2,3))</f>
        <v>3</v>
      </c>
      <c r="F661" s="0" t="n">
        <f aca="false">IF(E661=1,$C$4*SQRT(D661),IF(E661=2,$C$4+($C$5-$C$4)*D661,$C$6-($C$6-$C$5)*SQRT(1-D661)))</f>
        <v>7.74788383324104</v>
      </c>
    </row>
    <row r="662" customFormat="false" ht="15" hidden="false" customHeight="false" outlineLevel="0" collapsed="false">
      <c r="B662" s="0" t="n">
        <v>646</v>
      </c>
      <c r="C662" s="0" t="n">
        <f aca="true">RAND()</f>
        <v>0.974842136896986</v>
      </c>
      <c r="D662" s="0" t="n">
        <f aca="true">RAND()</f>
        <v>0.468567317273325</v>
      </c>
      <c r="E662" s="0" t="n">
        <f aca="false">IF(C662&lt;=$C$10,1,IF(C662&lt;=$C$10+$C$11,2,3))</f>
        <v>3</v>
      </c>
      <c r="F662" s="0" t="n">
        <f aca="false">IF(E662=1,$C$4*SQRT(D662),IF(E662=2,$C$4+($C$5-$C$4)*D662,$C$6-($C$6-$C$5)*SQRT(1-D662)))</f>
        <v>7.81301711379808</v>
      </c>
    </row>
    <row r="663" customFormat="false" ht="15" hidden="false" customHeight="false" outlineLevel="0" collapsed="false">
      <c r="B663" s="0" t="n">
        <v>647</v>
      </c>
      <c r="C663" s="0" t="n">
        <f aca="true">RAND()</f>
        <v>0.265013908346197</v>
      </c>
      <c r="D663" s="0" t="n">
        <f aca="true">RAND()</f>
        <v>0.0604141568838789</v>
      </c>
      <c r="E663" s="0" t="n">
        <f aca="false">IF(C663&lt;=$C$10,1,IF(C663&lt;=$C$10+$C$11,2,3))</f>
        <v>2</v>
      </c>
      <c r="F663" s="0" t="n">
        <f aca="false">IF(E663=1,$C$4*SQRT(D663),IF(E663=2,$C$4+($C$5-$C$4)*D663,$C$6-($C$6-$C$5)*SQRT(1-D663)))</f>
        <v>3.24165662753552</v>
      </c>
    </row>
    <row r="664" customFormat="false" ht="15" hidden="false" customHeight="false" outlineLevel="0" collapsed="false">
      <c r="B664" s="0" t="n">
        <v>648</v>
      </c>
      <c r="C664" s="0" t="n">
        <f aca="true">RAND()</f>
        <v>0.952350009821733</v>
      </c>
      <c r="D664" s="0" t="n">
        <f aca="true">RAND()</f>
        <v>0.740308234221091</v>
      </c>
      <c r="E664" s="0" t="n">
        <f aca="false">IF(C664&lt;=$C$10,1,IF(C664&lt;=$C$10+$C$11,2,3))</f>
        <v>3</v>
      </c>
      <c r="F664" s="0" t="n">
        <f aca="false">IF(E664=1,$C$4*SQRT(D664),IF(E664=2,$C$4+($C$5-$C$4)*D664,$C$6-($C$6-$C$5)*SQRT(1-D664)))</f>
        <v>8.47120116038434</v>
      </c>
    </row>
    <row r="665" customFormat="false" ht="15" hidden="false" customHeight="false" outlineLevel="0" collapsed="false">
      <c r="B665" s="0" t="n">
        <v>649</v>
      </c>
      <c r="C665" s="0" t="n">
        <f aca="true">RAND()</f>
        <v>0.251351404390397</v>
      </c>
      <c r="D665" s="0" t="n">
        <f aca="true">RAND()</f>
        <v>0.397027727090351</v>
      </c>
      <c r="E665" s="0" t="n">
        <f aca="false">IF(C665&lt;=$C$10,1,IF(C665&lt;=$C$10+$C$11,2,3))</f>
        <v>2</v>
      </c>
      <c r="F665" s="0" t="n">
        <f aca="false">IF(E665=1,$C$4*SQRT(D665),IF(E665=2,$C$4+($C$5-$C$4)*D665,$C$6-($C$6-$C$5)*SQRT(1-D665)))</f>
        <v>4.5881109083614</v>
      </c>
    </row>
    <row r="666" customFormat="false" ht="15" hidden="false" customHeight="false" outlineLevel="0" collapsed="false">
      <c r="B666" s="0" t="n">
        <v>650</v>
      </c>
      <c r="C666" s="0" t="n">
        <f aca="true">RAND()</f>
        <v>0.530136102311798</v>
      </c>
      <c r="D666" s="0" t="n">
        <f aca="true">RAND()</f>
        <v>0.0511740528336498</v>
      </c>
      <c r="E666" s="0" t="n">
        <f aca="false">IF(C666&lt;=$C$10,1,IF(C666&lt;=$C$10+$C$11,2,3))</f>
        <v>2</v>
      </c>
      <c r="F666" s="0" t="n">
        <f aca="false">IF(E666=1,$C$4*SQRT(D666),IF(E666=2,$C$4+($C$5-$C$4)*D666,$C$6-($C$6-$C$5)*SQRT(1-D666)))</f>
        <v>3.2046962113346</v>
      </c>
    </row>
    <row r="667" customFormat="false" ht="15" hidden="false" customHeight="false" outlineLevel="0" collapsed="false">
      <c r="B667" s="0" t="n">
        <v>651</v>
      </c>
      <c r="C667" s="0" t="n">
        <f aca="true">RAND()</f>
        <v>0.302613228177709</v>
      </c>
      <c r="D667" s="0" t="n">
        <f aca="true">RAND()</f>
        <v>0.74380013871007</v>
      </c>
      <c r="E667" s="0" t="n">
        <f aca="false">IF(C667&lt;=$C$10,1,IF(C667&lt;=$C$10+$C$11,2,3))</f>
        <v>2</v>
      </c>
      <c r="F667" s="0" t="n">
        <f aca="false">IF(E667=1,$C$4*SQRT(D667),IF(E667=2,$C$4+($C$5-$C$4)*D667,$C$6-($C$6-$C$5)*SQRT(1-D667)))</f>
        <v>5.97520055484028</v>
      </c>
    </row>
    <row r="668" customFormat="false" ht="15" hidden="false" customHeight="false" outlineLevel="0" collapsed="false">
      <c r="B668" s="0" t="n">
        <v>652</v>
      </c>
      <c r="C668" s="0" t="n">
        <f aca="true">RAND()</f>
        <v>0.645773113299602</v>
      </c>
      <c r="D668" s="0" t="n">
        <f aca="true">RAND()</f>
        <v>0.671931634181293</v>
      </c>
      <c r="E668" s="0" t="n">
        <f aca="false">IF(C668&lt;=$C$10,1,IF(C668&lt;=$C$10+$C$11,2,3))</f>
        <v>2</v>
      </c>
      <c r="F668" s="0" t="n">
        <f aca="false">IF(E668=1,$C$4*SQRT(D668),IF(E668=2,$C$4+($C$5-$C$4)*D668,$C$6-($C$6-$C$5)*SQRT(1-D668)))</f>
        <v>5.68772653672517</v>
      </c>
    </row>
    <row r="669" customFormat="false" ht="15" hidden="false" customHeight="false" outlineLevel="0" collapsed="false">
      <c r="B669" s="0" t="n">
        <v>653</v>
      </c>
      <c r="C669" s="0" t="n">
        <f aca="true">RAND()</f>
        <v>0.849379603885966</v>
      </c>
      <c r="D669" s="0" t="n">
        <f aca="true">RAND()</f>
        <v>0.597925634327683</v>
      </c>
      <c r="E669" s="0" t="n">
        <f aca="false">IF(C669&lt;=$C$10,1,IF(C669&lt;=$C$10+$C$11,2,3))</f>
        <v>3</v>
      </c>
      <c r="F669" s="0" t="n">
        <f aca="false">IF(E669=1,$C$4*SQRT(D669),IF(E669=2,$C$4+($C$5-$C$4)*D669,$C$6-($C$6-$C$5)*SQRT(1-D669)))</f>
        <v>8.09771997564742</v>
      </c>
    </row>
    <row r="670" customFormat="false" ht="15" hidden="false" customHeight="false" outlineLevel="0" collapsed="false">
      <c r="B670" s="0" t="n">
        <v>654</v>
      </c>
      <c r="C670" s="0" t="n">
        <f aca="true">RAND()</f>
        <v>0.385627319059242</v>
      </c>
      <c r="D670" s="0" t="n">
        <f aca="true">RAND()</f>
        <v>0.0855315852107334</v>
      </c>
      <c r="E670" s="0" t="n">
        <f aca="false">IF(C670&lt;=$C$10,1,IF(C670&lt;=$C$10+$C$11,2,3))</f>
        <v>2</v>
      </c>
      <c r="F670" s="0" t="n">
        <f aca="false">IF(E670=1,$C$4*SQRT(D670),IF(E670=2,$C$4+($C$5-$C$4)*D670,$C$6-($C$6-$C$5)*SQRT(1-D670)))</f>
        <v>3.34212634084293</v>
      </c>
    </row>
    <row r="671" customFormat="false" ht="15" hidden="false" customHeight="false" outlineLevel="0" collapsed="false">
      <c r="B671" s="0" t="n">
        <v>655</v>
      </c>
      <c r="C671" s="0" t="n">
        <f aca="true">RAND()</f>
        <v>0.990942068321457</v>
      </c>
      <c r="D671" s="0" t="n">
        <f aca="true">RAND()</f>
        <v>0.546410162513391</v>
      </c>
      <c r="E671" s="0" t="n">
        <f aca="false">IF(C671&lt;=$C$10,1,IF(C671&lt;=$C$10+$C$11,2,3))</f>
        <v>3</v>
      </c>
      <c r="F671" s="0" t="n">
        <f aca="false">IF(E671=1,$C$4*SQRT(D671),IF(E671=2,$C$4+($C$5-$C$4)*D671,$C$6-($C$6-$C$5)*SQRT(1-D671)))</f>
        <v>7.97952764498509</v>
      </c>
    </row>
    <row r="672" customFormat="false" ht="15" hidden="false" customHeight="false" outlineLevel="0" collapsed="false">
      <c r="B672" s="0" t="n">
        <v>656</v>
      </c>
      <c r="C672" s="0" t="n">
        <f aca="true">RAND()</f>
        <v>0.474469000202488</v>
      </c>
      <c r="D672" s="0" t="n">
        <f aca="true">RAND()</f>
        <v>0.947241119580887</v>
      </c>
      <c r="E672" s="0" t="n">
        <f aca="false">IF(C672&lt;=$C$10,1,IF(C672&lt;=$C$10+$C$11,2,3))</f>
        <v>2</v>
      </c>
      <c r="F672" s="0" t="n">
        <f aca="false">IF(E672=1,$C$4*SQRT(D672),IF(E672=2,$C$4+($C$5-$C$4)*D672,$C$6-($C$6-$C$5)*SQRT(1-D672)))</f>
        <v>6.78896447832355</v>
      </c>
    </row>
    <row r="673" customFormat="false" ht="15" hidden="false" customHeight="false" outlineLevel="0" collapsed="false">
      <c r="B673" s="0" t="n">
        <v>657</v>
      </c>
      <c r="C673" s="0" t="n">
        <f aca="true">RAND()</f>
        <v>0.193486839886651</v>
      </c>
      <c r="D673" s="0" t="n">
        <f aca="true">RAND()</f>
        <v>0.040622172561461</v>
      </c>
      <c r="E673" s="0" t="n">
        <f aca="false">IF(C673&lt;=$C$10,1,IF(C673&lt;=$C$10+$C$11,2,3))</f>
        <v>1</v>
      </c>
      <c r="F673" s="0" t="n">
        <f aca="false">IF(E673=1,$C$4*SQRT(D673),IF(E673=2,$C$4+($C$5-$C$4)*D673,$C$6-($C$6-$C$5)*SQRT(1-D673)))</f>
        <v>0.60464828872093</v>
      </c>
    </row>
    <row r="674" customFormat="false" ht="15" hidden="false" customHeight="false" outlineLevel="0" collapsed="false">
      <c r="B674" s="0" t="n">
        <v>658</v>
      </c>
      <c r="C674" s="0" t="n">
        <f aca="true">RAND()</f>
        <v>0.763178529411374</v>
      </c>
      <c r="D674" s="0" t="n">
        <f aca="true">RAND()</f>
        <v>0.247909563960221</v>
      </c>
      <c r="E674" s="0" t="n">
        <f aca="false">IF(C674&lt;=$C$10,1,IF(C674&lt;=$C$10+$C$11,2,3))</f>
        <v>2</v>
      </c>
      <c r="F674" s="0" t="n">
        <f aca="false">IF(E674=1,$C$4*SQRT(D674),IF(E674=2,$C$4+($C$5-$C$4)*D674,$C$6-($C$6-$C$5)*SQRT(1-D674)))</f>
        <v>3.99163825584088</v>
      </c>
    </row>
    <row r="675" customFormat="false" ht="15" hidden="false" customHeight="false" outlineLevel="0" collapsed="false">
      <c r="B675" s="0" t="n">
        <v>659</v>
      </c>
      <c r="C675" s="0" t="n">
        <f aca="true">RAND()</f>
        <v>0.96512476768064</v>
      </c>
      <c r="D675" s="0" t="n">
        <f aca="true">RAND()</f>
        <v>0.76883235657605</v>
      </c>
      <c r="E675" s="0" t="n">
        <f aca="false">IF(C675&lt;=$C$10,1,IF(C675&lt;=$C$10+$C$11,2,3))</f>
        <v>3</v>
      </c>
      <c r="F675" s="0" t="n">
        <f aca="false">IF(E675=1,$C$4*SQRT(D675),IF(E675=2,$C$4+($C$5-$C$4)*D675,$C$6-($C$6-$C$5)*SQRT(1-D675)))</f>
        <v>8.55760310912164</v>
      </c>
    </row>
    <row r="676" customFormat="false" ht="15" hidden="false" customHeight="false" outlineLevel="0" collapsed="false">
      <c r="B676" s="0" t="n">
        <v>660</v>
      </c>
      <c r="C676" s="0" t="n">
        <f aca="true">RAND()</f>
        <v>0.943093634075887</v>
      </c>
      <c r="D676" s="0" t="n">
        <f aca="true">RAND()</f>
        <v>0.405876847377396</v>
      </c>
      <c r="E676" s="0" t="n">
        <f aca="false">IF(C676&lt;=$C$10,1,IF(C676&lt;=$C$10+$C$11,2,3))</f>
        <v>3</v>
      </c>
      <c r="F676" s="0" t="n">
        <f aca="false">IF(E676=1,$C$4*SQRT(D676),IF(E676=2,$C$4+($C$5-$C$4)*D676,$C$6-($C$6-$C$5)*SQRT(1-D676)))</f>
        <v>7.68761846279568</v>
      </c>
    </row>
    <row r="677" customFormat="false" ht="15" hidden="false" customHeight="false" outlineLevel="0" collapsed="false">
      <c r="B677" s="0" t="n">
        <v>661</v>
      </c>
      <c r="C677" s="0" t="n">
        <f aca="true">RAND()</f>
        <v>0.206314708954701</v>
      </c>
      <c r="D677" s="0" t="n">
        <f aca="true">RAND()</f>
        <v>0.921517162151628</v>
      </c>
      <c r="E677" s="0" t="n">
        <f aca="false">IF(C677&lt;=$C$10,1,IF(C677&lt;=$C$10+$C$11,2,3))</f>
        <v>1</v>
      </c>
      <c r="F677" s="0" t="n">
        <f aca="false">IF(E677=1,$C$4*SQRT(D677),IF(E677=2,$C$4+($C$5-$C$4)*D677,$C$6-($C$6-$C$5)*SQRT(1-D677)))</f>
        <v>2.87987056295325</v>
      </c>
    </row>
    <row r="678" customFormat="false" ht="15" hidden="false" customHeight="false" outlineLevel="0" collapsed="false">
      <c r="B678" s="0" t="n">
        <v>662</v>
      </c>
      <c r="C678" s="0" t="n">
        <f aca="true">RAND()</f>
        <v>0.0847424561451957</v>
      </c>
      <c r="D678" s="0" t="n">
        <f aca="true">RAND()</f>
        <v>0.313293825070093</v>
      </c>
      <c r="E678" s="0" t="n">
        <f aca="false">IF(C678&lt;=$C$10,1,IF(C678&lt;=$C$10+$C$11,2,3))</f>
        <v>1</v>
      </c>
      <c r="F678" s="0" t="n">
        <f aca="false">IF(E678=1,$C$4*SQRT(D678),IF(E678=2,$C$4+($C$5-$C$4)*D678,$C$6-($C$6-$C$5)*SQRT(1-D678)))</f>
        <v>1.6791796883094</v>
      </c>
    </row>
    <row r="679" customFormat="false" ht="15" hidden="false" customHeight="false" outlineLevel="0" collapsed="false">
      <c r="B679" s="0" t="n">
        <v>663</v>
      </c>
      <c r="C679" s="0" t="n">
        <f aca="true">RAND()</f>
        <v>0.602306787444872</v>
      </c>
      <c r="D679" s="0" t="n">
        <f aca="true">RAND()</f>
        <v>0.97111665616512</v>
      </c>
      <c r="E679" s="0" t="n">
        <f aca="false">IF(C679&lt;=$C$10,1,IF(C679&lt;=$C$10+$C$11,2,3))</f>
        <v>2</v>
      </c>
      <c r="F679" s="0" t="n">
        <f aca="false">IF(E679=1,$C$4*SQRT(D679),IF(E679=2,$C$4+($C$5-$C$4)*D679,$C$6-($C$6-$C$5)*SQRT(1-D679)))</f>
        <v>6.88446662466048</v>
      </c>
    </row>
    <row r="680" customFormat="false" ht="15" hidden="false" customHeight="false" outlineLevel="0" collapsed="false">
      <c r="B680" s="0" t="n">
        <v>664</v>
      </c>
      <c r="C680" s="0" t="n">
        <f aca="true">RAND()</f>
        <v>0.153651732177694</v>
      </c>
      <c r="D680" s="0" t="n">
        <f aca="true">RAND()</f>
        <v>0.241365645795196</v>
      </c>
      <c r="E680" s="0" t="n">
        <f aca="false">IF(C680&lt;=$C$10,1,IF(C680&lt;=$C$10+$C$11,2,3))</f>
        <v>1</v>
      </c>
      <c r="F680" s="0" t="n">
        <f aca="false">IF(E680=1,$C$4*SQRT(D680),IF(E680=2,$C$4+($C$5-$C$4)*D680,$C$6-($C$6-$C$5)*SQRT(1-D680)))</f>
        <v>1.47386933347457</v>
      </c>
    </row>
    <row r="681" customFormat="false" ht="15" hidden="false" customHeight="false" outlineLevel="0" collapsed="false">
      <c r="B681" s="0" t="n">
        <v>665</v>
      </c>
      <c r="C681" s="0" t="n">
        <f aca="true">RAND()</f>
        <v>0.900279071572963</v>
      </c>
      <c r="D681" s="0" t="n">
        <f aca="true">RAND()</f>
        <v>0.334966448952128</v>
      </c>
      <c r="E681" s="0" t="n">
        <f aca="false">IF(C681&lt;=$C$10,1,IF(C681&lt;=$C$10+$C$11,2,3))</f>
        <v>3</v>
      </c>
      <c r="F681" s="0" t="n">
        <f aca="false">IF(E681=1,$C$4*SQRT(D681),IF(E681=2,$C$4+($C$5-$C$4)*D681,$C$6-($C$6-$C$5)*SQRT(1-D681)))</f>
        <v>7.55351232183139</v>
      </c>
    </row>
    <row r="682" customFormat="false" ht="15" hidden="false" customHeight="false" outlineLevel="0" collapsed="false">
      <c r="B682" s="0" t="n">
        <v>666</v>
      </c>
      <c r="C682" s="0" t="n">
        <f aca="true">RAND()</f>
        <v>0.209602172564369</v>
      </c>
      <c r="D682" s="0" t="n">
        <f aca="true">RAND()</f>
        <v>0.105063010788208</v>
      </c>
      <c r="E682" s="0" t="n">
        <f aca="false">IF(C682&lt;=$C$10,1,IF(C682&lt;=$C$10+$C$11,2,3))</f>
        <v>1</v>
      </c>
      <c r="F682" s="0" t="n">
        <f aca="false">IF(E682=1,$C$4*SQRT(D682),IF(E682=2,$C$4+($C$5-$C$4)*D682,$C$6-($C$6-$C$5)*SQRT(1-D682)))</f>
        <v>0.97240274428545</v>
      </c>
    </row>
    <row r="683" customFormat="false" ht="15" hidden="false" customHeight="false" outlineLevel="0" collapsed="false">
      <c r="B683" s="0" t="n">
        <v>667</v>
      </c>
      <c r="C683" s="0" t="n">
        <f aca="true">RAND()</f>
        <v>0.766113503120549</v>
      </c>
      <c r="D683" s="0" t="n">
        <f aca="true">RAND()</f>
        <v>0.562311067744989</v>
      </c>
      <c r="E683" s="0" t="n">
        <f aca="false">IF(C683&lt;=$C$10,1,IF(C683&lt;=$C$10+$C$11,2,3))</f>
        <v>2</v>
      </c>
      <c r="F683" s="0" t="n">
        <f aca="false">IF(E683=1,$C$4*SQRT(D683),IF(E683=2,$C$4+($C$5-$C$4)*D683,$C$6-($C$6-$C$5)*SQRT(1-D683)))</f>
        <v>5.24924427097996</v>
      </c>
    </row>
    <row r="684" customFormat="false" ht="15" hidden="false" customHeight="false" outlineLevel="0" collapsed="false">
      <c r="B684" s="0" t="n">
        <v>668</v>
      </c>
      <c r="C684" s="0" t="n">
        <f aca="true">RAND()</f>
        <v>0.687334889510004</v>
      </c>
      <c r="D684" s="0" t="n">
        <f aca="true">RAND()</f>
        <v>0.131902702624112</v>
      </c>
      <c r="E684" s="0" t="n">
        <f aca="false">IF(C684&lt;=$C$10,1,IF(C684&lt;=$C$10+$C$11,2,3))</f>
        <v>2</v>
      </c>
      <c r="F684" s="0" t="n">
        <f aca="false">IF(E684=1,$C$4*SQRT(D684),IF(E684=2,$C$4+($C$5-$C$4)*D684,$C$6-($C$6-$C$5)*SQRT(1-D684)))</f>
        <v>3.52761081049645</v>
      </c>
    </row>
    <row r="685" customFormat="false" ht="15" hidden="false" customHeight="false" outlineLevel="0" collapsed="false">
      <c r="B685" s="0" t="n">
        <v>669</v>
      </c>
      <c r="C685" s="0" t="n">
        <f aca="true">RAND()</f>
        <v>0.346159664434757</v>
      </c>
      <c r="D685" s="0" t="n">
        <f aca="true">RAND()</f>
        <v>0.67537394052112</v>
      </c>
      <c r="E685" s="0" t="n">
        <f aca="false">IF(C685&lt;=$C$10,1,IF(C685&lt;=$C$10+$C$11,2,3))</f>
        <v>2</v>
      </c>
      <c r="F685" s="0" t="n">
        <f aca="false">IF(E685=1,$C$4*SQRT(D685),IF(E685=2,$C$4+($C$5-$C$4)*D685,$C$6-($C$6-$C$5)*SQRT(1-D685)))</f>
        <v>5.70149576208448</v>
      </c>
    </row>
    <row r="686" customFormat="false" ht="15" hidden="false" customHeight="false" outlineLevel="0" collapsed="false">
      <c r="B686" s="0" t="n">
        <v>670</v>
      </c>
      <c r="C686" s="0" t="n">
        <f aca="true">RAND()</f>
        <v>0.0459260767247837</v>
      </c>
      <c r="D686" s="0" t="n">
        <f aca="true">RAND()</f>
        <v>0.433358757445102</v>
      </c>
      <c r="E686" s="0" t="n">
        <f aca="false">IF(C686&lt;=$C$10,1,IF(C686&lt;=$C$10+$C$11,2,3))</f>
        <v>1</v>
      </c>
      <c r="F686" s="0" t="n">
        <f aca="false">IF(E686=1,$C$4*SQRT(D686),IF(E686=2,$C$4+($C$5-$C$4)*D686,$C$6-($C$6-$C$5)*SQRT(1-D686)))</f>
        <v>1.97489969796087</v>
      </c>
    </row>
    <row r="687" customFormat="false" ht="15" hidden="false" customHeight="false" outlineLevel="0" collapsed="false">
      <c r="B687" s="0" t="n">
        <v>671</v>
      </c>
      <c r="C687" s="0" t="n">
        <f aca="true">RAND()</f>
        <v>0.201406560319753</v>
      </c>
      <c r="D687" s="0" t="n">
        <f aca="true">RAND()</f>
        <v>0.695509812203006</v>
      </c>
      <c r="E687" s="0" t="n">
        <f aca="false">IF(C687&lt;=$C$10,1,IF(C687&lt;=$C$10+$C$11,2,3))</f>
        <v>1</v>
      </c>
      <c r="F687" s="0" t="n">
        <f aca="false">IF(E687=1,$C$4*SQRT(D687),IF(E687=2,$C$4+($C$5-$C$4)*D687,$C$6-($C$6-$C$5)*SQRT(1-D687)))</f>
        <v>2.50191692704355</v>
      </c>
    </row>
    <row r="688" customFormat="false" ht="15" hidden="false" customHeight="false" outlineLevel="0" collapsed="false">
      <c r="B688" s="0" t="n">
        <v>672</v>
      </c>
      <c r="C688" s="0" t="n">
        <f aca="true">RAND()</f>
        <v>0.411244963422589</v>
      </c>
      <c r="D688" s="0" t="n">
        <f aca="true">RAND()</f>
        <v>0.666772644957606</v>
      </c>
      <c r="E688" s="0" t="n">
        <f aca="false">IF(C688&lt;=$C$10,1,IF(C688&lt;=$C$10+$C$11,2,3))</f>
        <v>2</v>
      </c>
      <c r="F688" s="0" t="n">
        <f aca="false">IF(E688=1,$C$4*SQRT(D688),IF(E688=2,$C$4+($C$5-$C$4)*D688,$C$6-($C$6-$C$5)*SQRT(1-D688)))</f>
        <v>5.66709057983042</v>
      </c>
    </row>
    <row r="689" customFormat="false" ht="15" hidden="false" customHeight="false" outlineLevel="0" collapsed="false">
      <c r="B689" s="0" t="n">
        <v>673</v>
      </c>
      <c r="C689" s="0" t="n">
        <f aca="true">RAND()</f>
        <v>0.246004589612572</v>
      </c>
      <c r="D689" s="0" t="n">
        <f aca="true">RAND()</f>
        <v>0.0892917886036044</v>
      </c>
      <c r="E689" s="0" t="n">
        <f aca="false">IF(C689&lt;=$C$10,1,IF(C689&lt;=$C$10+$C$11,2,3))</f>
        <v>2</v>
      </c>
      <c r="F689" s="0" t="n">
        <f aca="false">IF(E689=1,$C$4*SQRT(D689),IF(E689=2,$C$4+($C$5-$C$4)*D689,$C$6-($C$6-$C$5)*SQRT(1-D689)))</f>
        <v>3.35716715441442</v>
      </c>
    </row>
    <row r="690" customFormat="false" ht="15" hidden="false" customHeight="false" outlineLevel="0" collapsed="false">
      <c r="B690" s="0" t="n">
        <v>674</v>
      </c>
      <c r="C690" s="0" t="n">
        <f aca="true">RAND()</f>
        <v>0.977272431228048</v>
      </c>
      <c r="D690" s="0" t="n">
        <f aca="true">RAND()</f>
        <v>0.992305764168463</v>
      </c>
      <c r="E690" s="0" t="n">
        <f aca="false">IF(C690&lt;=$C$10,1,IF(C690&lt;=$C$10+$C$11,2,3))</f>
        <v>3</v>
      </c>
      <c r="F690" s="0" t="n">
        <f aca="false">IF(E690=1,$C$4*SQRT(D690),IF(E690=2,$C$4+($C$5-$C$4)*D690,$C$6-($C$6-$C$5)*SQRT(1-D690)))</f>
        <v>9.7368496200196</v>
      </c>
    </row>
    <row r="691" customFormat="false" ht="15" hidden="false" customHeight="false" outlineLevel="0" collapsed="false">
      <c r="B691" s="0" t="n">
        <v>675</v>
      </c>
      <c r="C691" s="0" t="n">
        <f aca="true">RAND()</f>
        <v>0.641053275001565</v>
      </c>
      <c r="D691" s="0" t="n">
        <f aca="true">RAND()</f>
        <v>0.343897456962452</v>
      </c>
      <c r="E691" s="0" t="n">
        <f aca="false">IF(C691&lt;=$C$10,1,IF(C691&lt;=$C$10+$C$11,2,3))</f>
        <v>2</v>
      </c>
      <c r="F691" s="0" t="n">
        <f aca="false">IF(E691=1,$C$4*SQRT(D691),IF(E691=2,$C$4+($C$5-$C$4)*D691,$C$6-($C$6-$C$5)*SQRT(1-D691)))</f>
        <v>4.37558982784981</v>
      </c>
    </row>
    <row r="692" customFormat="false" ht="15" hidden="false" customHeight="false" outlineLevel="0" collapsed="false">
      <c r="B692" s="0" t="n">
        <v>676</v>
      </c>
      <c r="C692" s="0" t="n">
        <f aca="true">RAND()</f>
        <v>0.932975665483553</v>
      </c>
      <c r="D692" s="0" t="n">
        <f aca="true">RAND()</f>
        <v>0.540659665934819</v>
      </c>
      <c r="E692" s="0" t="n">
        <f aca="false">IF(C692&lt;=$C$10,1,IF(C692&lt;=$C$10+$C$11,2,3))</f>
        <v>3</v>
      </c>
      <c r="F692" s="0" t="n">
        <f aca="false">IF(E692=1,$C$4*SQRT(D692),IF(E692=2,$C$4+($C$5-$C$4)*D692,$C$6-($C$6-$C$5)*SQRT(1-D692)))</f>
        <v>7.96676046502469</v>
      </c>
    </row>
    <row r="693" customFormat="false" ht="15" hidden="false" customHeight="false" outlineLevel="0" collapsed="false">
      <c r="B693" s="0" t="n">
        <v>677</v>
      </c>
      <c r="C693" s="0" t="n">
        <f aca="true">RAND()</f>
        <v>0.528911751059772</v>
      </c>
      <c r="D693" s="0" t="n">
        <f aca="true">RAND()</f>
        <v>0.0241220617775779</v>
      </c>
      <c r="E693" s="0" t="n">
        <f aca="false">IF(C693&lt;=$C$10,1,IF(C693&lt;=$C$10+$C$11,2,3))</f>
        <v>2</v>
      </c>
      <c r="F693" s="0" t="n">
        <f aca="false">IF(E693=1,$C$4*SQRT(D693),IF(E693=2,$C$4+($C$5-$C$4)*D693,$C$6-($C$6-$C$5)*SQRT(1-D693)))</f>
        <v>3.09648824711031</v>
      </c>
    </row>
    <row r="694" customFormat="false" ht="15" hidden="false" customHeight="false" outlineLevel="0" collapsed="false">
      <c r="B694" s="0" t="n">
        <v>678</v>
      </c>
      <c r="C694" s="0" t="n">
        <f aca="true">RAND()</f>
        <v>0.855139192898201</v>
      </c>
      <c r="D694" s="0" t="n">
        <f aca="true">RAND()</f>
        <v>0.944405931321083</v>
      </c>
      <c r="E694" s="0" t="n">
        <f aca="false">IF(C694&lt;=$C$10,1,IF(C694&lt;=$C$10+$C$11,2,3))</f>
        <v>3</v>
      </c>
      <c r="F694" s="0" t="n">
        <f aca="false">IF(E694=1,$C$4*SQRT(D694),IF(E694=2,$C$4+($C$5-$C$4)*D694,$C$6-($C$6-$C$5)*SQRT(1-D694)))</f>
        <v>9.29264816525985</v>
      </c>
    </row>
    <row r="695" customFormat="false" ht="15" hidden="false" customHeight="false" outlineLevel="0" collapsed="false">
      <c r="B695" s="0" t="n">
        <v>679</v>
      </c>
      <c r="C695" s="0" t="n">
        <f aca="true">RAND()</f>
        <v>0.237363487850507</v>
      </c>
      <c r="D695" s="0" t="n">
        <f aca="true">RAND()</f>
        <v>0.435805032318743</v>
      </c>
      <c r="E695" s="0" t="n">
        <f aca="false">IF(C695&lt;=$C$10,1,IF(C695&lt;=$C$10+$C$11,2,3))</f>
        <v>2</v>
      </c>
      <c r="F695" s="0" t="n">
        <f aca="false">IF(E695=1,$C$4*SQRT(D695),IF(E695=2,$C$4+($C$5-$C$4)*D695,$C$6-($C$6-$C$5)*SQRT(1-D695)))</f>
        <v>4.74322012927497</v>
      </c>
    </row>
    <row r="696" customFormat="false" ht="15" hidden="false" customHeight="false" outlineLevel="0" collapsed="false">
      <c r="B696" s="0" t="n">
        <v>680</v>
      </c>
      <c r="C696" s="0" t="n">
        <f aca="true">RAND()</f>
        <v>0.356980987641735</v>
      </c>
      <c r="D696" s="0" t="n">
        <f aca="true">RAND()</f>
        <v>0.241944443177515</v>
      </c>
      <c r="E696" s="0" t="n">
        <f aca="false">IF(C696&lt;=$C$10,1,IF(C696&lt;=$C$10+$C$11,2,3))</f>
        <v>2</v>
      </c>
      <c r="F696" s="0" t="n">
        <f aca="false">IF(E696=1,$C$4*SQRT(D696),IF(E696=2,$C$4+($C$5-$C$4)*D696,$C$6-($C$6-$C$5)*SQRT(1-D696)))</f>
        <v>3.96777777271006</v>
      </c>
    </row>
    <row r="697" customFormat="false" ht="15" hidden="false" customHeight="false" outlineLevel="0" collapsed="false">
      <c r="B697" s="0" t="n">
        <v>681</v>
      </c>
      <c r="C697" s="0" t="n">
        <f aca="true">RAND()</f>
        <v>0.469142511725773</v>
      </c>
      <c r="D697" s="0" t="n">
        <f aca="true">RAND()</f>
        <v>0.779273623502184</v>
      </c>
      <c r="E697" s="0" t="n">
        <f aca="false">IF(C697&lt;=$C$10,1,IF(C697&lt;=$C$10+$C$11,2,3))</f>
        <v>2</v>
      </c>
      <c r="F697" s="0" t="n">
        <f aca="false">IF(E697=1,$C$4*SQRT(D697),IF(E697=2,$C$4+($C$5-$C$4)*D697,$C$6-($C$6-$C$5)*SQRT(1-D697)))</f>
        <v>6.11709449400873</v>
      </c>
    </row>
    <row r="698" customFormat="false" ht="15" hidden="false" customHeight="false" outlineLevel="0" collapsed="false">
      <c r="B698" s="0" t="n">
        <v>682</v>
      </c>
      <c r="C698" s="0" t="n">
        <f aca="true">RAND()</f>
        <v>0.188684829018577</v>
      </c>
      <c r="D698" s="0" t="n">
        <f aca="true">RAND()</f>
        <v>0.295189626869349</v>
      </c>
      <c r="E698" s="0" t="n">
        <f aca="false">IF(C698&lt;=$C$10,1,IF(C698&lt;=$C$10+$C$11,2,3))</f>
        <v>1</v>
      </c>
      <c r="F698" s="0" t="n">
        <f aca="false">IF(E698=1,$C$4*SQRT(D698),IF(E698=2,$C$4+($C$5-$C$4)*D698,$C$6-($C$6-$C$5)*SQRT(1-D698)))</f>
        <v>1.62994068659695</v>
      </c>
    </row>
    <row r="699" customFormat="false" ht="15" hidden="false" customHeight="false" outlineLevel="0" collapsed="false">
      <c r="B699" s="0" t="n">
        <v>683</v>
      </c>
      <c r="C699" s="0" t="n">
        <f aca="true">RAND()</f>
        <v>0.0337950614769685</v>
      </c>
      <c r="D699" s="0" t="n">
        <f aca="true">RAND()</f>
        <v>0.377783337687341</v>
      </c>
      <c r="E699" s="0" t="n">
        <f aca="false">IF(C699&lt;=$C$10,1,IF(C699&lt;=$C$10+$C$11,2,3))</f>
        <v>1</v>
      </c>
      <c r="F699" s="0" t="n">
        <f aca="false">IF(E699=1,$C$4*SQRT(D699),IF(E699=2,$C$4+($C$5-$C$4)*D699,$C$6-($C$6-$C$5)*SQRT(1-D699)))</f>
        <v>1.84392246018808</v>
      </c>
    </row>
    <row r="700" customFormat="false" ht="15" hidden="false" customHeight="false" outlineLevel="0" collapsed="false">
      <c r="B700" s="0" t="n">
        <v>684</v>
      </c>
      <c r="C700" s="0" t="n">
        <f aca="true">RAND()</f>
        <v>0.279898291158354</v>
      </c>
      <c r="D700" s="0" t="n">
        <f aca="true">RAND()</f>
        <v>0.0611288867857285</v>
      </c>
      <c r="E700" s="0" t="n">
        <f aca="false">IF(C700&lt;=$C$10,1,IF(C700&lt;=$C$10+$C$11,2,3))</f>
        <v>2</v>
      </c>
      <c r="F700" s="0" t="n">
        <f aca="false">IF(E700=1,$C$4*SQRT(D700),IF(E700=2,$C$4+($C$5-$C$4)*D700,$C$6-($C$6-$C$5)*SQRT(1-D700)))</f>
        <v>3.24451554714291</v>
      </c>
    </row>
    <row r="701" customFormat="false" ht="15" hidden="false" customHeight="false" outlineLevel="0" collapsed="false">
      <c r="B701" s="0" t="n">
        <v>685</v>
      </c>
      <c r="C701" s="0" t="n">
        <f aca="true">RAND()</f>
        <v>0.461487647678749</v>
      </c>
      <c r="D701" s="0" t="n">
        <f aca="true">RAND()</f>
        <v>0.677976606484326</v>
      </c>
      <c r="E701" s="0" t="n">
        <f aca="false">IF(C701&lt;=$C$10,1,IF(C701&lt;=$C$10+$C$11,2,3))</f>
        <v>2</v>
      </c>
      <c r="F701" s="0" t="n">
        <f aca="false">IF(E701=1,$C$4*SQRT(D701),IF(E701=2,$C$4+($C$5-$C$4)*D701,$C$6-($C$6-$C$5)*SQRT(1-D701)))</f>
        <v>5.7119064259373</v>
      </c>
    </row>
    <row r="702" customFormat="false" ht="15" hidden="false" customHeight="false" outlineLevel="0" collapsed="false">
      <c r="B702" s="0" t="n">
        <v>686</v>
      </c>
      <c r="C702" s="0" t="n">
        <f aca="true">RAND()</f>
        <v>0.314236773890132</v>
      </c>
      <c r="D702" s="0" t="n">
        <f aca="true">RAND()</f>
        <v>0.228974890646547</v>
      </c>
      <c r="E702" s="0" t="n">
        <f aca="false">IF(C702&lt;=$C$10,1,IF(C702&lt;=$C$10+$C$11,2,3))</f>
        <v>2</v>
      </c>
      <c r="F702" s="0" t="n">
        <f aca="false">IF(E702=1,$C$4*SQRT(D702),IF(E702=2,$C$4+($C$5-$C$4)*D702,$C$6-($C$6-$C$5)*SQRT(1-D702)))</f>
        <v>3.91589956258619</v>
      </c>
    </row>
    <row r="703" customFormat="false" ht="15" hidden="false" customHeight="false" outlineLevel="0" collapsed="false">
      <c r="B703" s="0" t="n">
        <v>687</v>
      </c>
      <c r="C703" s="0" t="n">
        <f aca="true">RAND()</f>
        <v>0.868708193627384</v>
      </c>
      <c r="D703" s="0" t="n">
        <f aca="true">RAND()</f>
        <v>0.42574577842892</v>
      </c>
      <c r="E703" s="0" t="n">
        <f aca="false">IF(C703&lt;=$C$10,1,IF(C703&lt;=$C$10+$C$11,2,3))</f>
        <v>3</v>
      </c>
      <c r="F703" s="0" t="n">
        <f aca="false">IF(E703=1,$C$4*SQRT(D703),IF(E703=2,$C$4+($C$5-$C$4)*D703,$C$6-($C$6-$C$5)*SQRT(1-D703)))</f>
        <v>7.72661310064923</v>
      </c>
    </row>
    <row r="704" customFormat="false" ht="15" hidden="false" customHeight="false" outlineLevel="0" collapsed="false">
      <c r="B704" s="0" t="n">
        <v>688</v>
      </c>
      <c r="C704" s="0" t="n">
        <f aca="true">RAND()</f>
        <v>0.427634768442894</v>
      </c>
      <c r="D704" s="0" t="n">
        <f aca="true">RAND()</f>
        <v>0.78272477848364</v>
      </c>
      <c r="E704" s="0" t="n">
        <f aca="false">IF(C704&lt;=$C$10,1,IF(C704&lt;=$C$10+$C$11,2,3))</f>
        <v>2</v>
      </c>
      <c r="F704" s="0" t="n">
        <f aca="false">IF(E704=1,$C$4*SQRT(D704),IF(E704=2,$C$4+($C$5-$C$4)*D704,$C$6-($C$6-$C$5)*SQRT(1-D704)))</f>
        <v>6.13089911393456</v>
      </c>
    </row>
    <row r="705" customFormat="false" ht="15" hidden="false" customHeight="false" outlineLevel="0" collapsed="false">
      <c r="B705" s="0" t="n">
        <v>689</v>
      </c>
      <c r="C705" s="0" t="n">
        <f aca="true">RAND()</f>
        <v>0.424370622451622</v>
      </c>
      <c r="D705" s="0" t="n">
        <f aca="true">RAND()</f>
        <v>0.441143632439304</v>
      </c>
      <c r="E705" s="0" t="n">
        <f aca="false">IF(C705&lt;=$C$10,1,IF(C705&lt;=$C$10+$C$11,2,3))</f>
        <v>2</v>
      </c>
      <c r="F705" s="0" t="n">
        <f aca="false">IF(E705=1,$C$4*SQRT(D705),IF(E705=2,$C$4+($C$5-$C$4)*D705,$C$6-($C$6-$C$5)*SQRT(1-D705)))</f>
        <v>4.76457452975722</v>
      </c>
    </row>
    <row r="706" customFormat="false" ht="15" hidden="false" customHeight="false" outlineLevel="0" collapsed="false">
      <c r="B706" s="0" t="n">
        <v>690</v>
      </c>
      <c r="C706" s="0" t="n">
        <f aca="true">RAND()</f>
        <v>0.840281196814765</v>
      </c>
      <c r="D706" s="0" t="n">
        <f aca="true">RAND()</f>
        <v>0.512974099023777</v>
      </c>
      <c r="E706" s="0" t="n">
        <f aca="false">IF(C706&lt;=$C$10,1,IF(C706&lt;=$C$10+$C$11,2,3))</f>
        <v>3</v>
      </c>
      <c r="F706" s="0" t="n">
        <f aca="false">IF(E706=1,$C$4*SQRT(D706),IF(E706=2,$C$4+($C$5-$C$4)*D706,$C$6-($C$6-$C$5)*SQRT(1-D706)))</f>
        <v>7.90638276927562</v>
      </c>
    </row>
    <row r="707" customFormat="false" ht="15" hidden="false" customHeight="false" outlineLevel="0" collapsed="false">
      <c r="B707" s="0" t="n">
        <v>691</v>
      </c>
      <c r="C707" s="0" t="n">
        <f aca="true">RAND()</f>
        <v>0.0849719824591951</v>
      </c>
      <c r="D707" s="0" t="n">
        <f aca="true">RAND()</f>
        <v>0.778866182080845</v>
      </c>
      <c r="E707" s="0" t="n">
        <f aca="false">IF(C707&lt;=$C$10,1,IF(C707&lt;=$C$10+$C$11,2,3))</f>
        <v>1</v>
      </c>
      <c r="F707" s="0" t="n">
        <f aca="false">IF(E707=1,$C$4*SQRT(D707),IF(E707=2,$C$4+($C$5-$C$4)*D707,$C$6-($C$6-$C$5)*SQRT(1-D707)))</f>
        <v>2.64760186559981</v>
      </c>
    </row>
    <row r="708" customFormat="false" ht="15" hidden="false" customHeight="false" outlineLevel="0" collapsed="false">
      <c r="B708" s="0" t="n">
        <v>692</v>
      </c>
      <c r="C708" s="0" t="n">
        <f aca="true">RAND()</f>
        <v>0.733719264016688</v>
      </c>
      <c r="D708" s="0" t="n">
        <f aca="true">RAND()</f>
        <v>0.739282115553508</v>
      </c>
      <c r="E708" s="0" t="n">
        <f aca="false">IF(C708&lt;=$C$10,1,IF(C708&lt;=$C$10+$C$11,2,3))</f>
        <v>2</v>
      </c>
      <c r="F708" s="0" t="n">
        <f aca="false">IF(E708=1,$C$4*SQRT(D708),IF(E708=2,$C$4+($C$5-$C$4)*D708,$C$6-($C$6-$C$5)*SQRT(1-D708)))</f>
        <v>5.95712846221403</v>
      </c>
    </row>
    <row r="709" customFormat="false" ht="15" hidden="false" customHeight="false" outlineLevel="0" collapsed="false">
      <c r="B709" s="0" t="n">
        <v>693</v>
      </c>
      <c r="C709" s="0" t="n">
        <f aca="true">RAND()</f>
        <v>0.664352611200077</v>
      </c>
      <c r="D709" s="0" t="n">
        <f aca="true">RAND()</f>
        <v>0.509457198312224</v>
      </c>
      <c r="E709" s="0" t="n">
        <f aca="false">IF(C709&lt;=$C$10,1,IF(C709&lt;=$C$10+$C$11,2,3))</f>
        <v>2</v>
      </c>
      <c r="F709" s="0" t="n">
        <f aca="false">IF(E709=1,$C$4*SQRT(D709),IF(E709=2,$C$4+($C$5-$C$4)*D709,$C$6-($C$6-$C$5)*SQRT(1-D709)))</f>
        <v>5.0378287932489</v>
      </c>
    </row>
    <row r="710" customFormat="false" ht="15" hidden="false" customHeight="false" outlineLevel="0" collapsed="false">
      <c r="B710" s="0" t="n">
        <v>694</v>
      </c>
      <c r="C710" s="0" t="n">
        <f aca="true">RAND()</f>
        <v>0.397937415592348</v>
      </c>
      <c r="D710" s="0" t="n">
        <f aca="true">RAND()</f>
        <v>0.465625190953657</v>
      </c>
      <c r="E710" s="0" t="n">
        <f aca="false">IF(C710&lt;=$C$10,1,IF(C710&lt;=$C$10+$C$11,2,3))</f>
        <v>2</v>
      </c>
      <c r="F710" s="0" t="n">
        <f aca="false">IF(E710=1,$C$4*SQRT(D710),IF(E710=2,$C$4+($C$5-$C$4)*D710,$C$6-($C$6-$C$5)*SQRT(1-D710)))</f>
        <v>4.86250076381463</v>
      </c>
    </row>
    <row r="711" customFormat="false" ht="15" hidden="false" customHeight="false" outlineLevel="0" collapsed="false">
      <c r="B711" s="0" t="n">
        <v>695</v>
      </c>
      <c r="C711" s="0" t="n">
        <f aca="true">RAND()</f>
        <v>0.865432526259446</v>
      </c>
      <c r="D711" s="0" t="n">
        <f aca="true">RAND()</f>
        <v>0.332258238024018</v>
      </c>
      <c r="E711" s="0" t="n">
        <f aca="false">IF(C711&lt;=$C$10,1,IF(C711&lt;=$C$10+$C$11,2,3))</f>
        <v>3</v>
      </c>
      <c r="F711" s="0" t="n">
        <f aca="false">IF(E711=1,$C$4*SQRT(D711),IF(E711=2,$C$4+($C$5-$C$4)*D711,$C$6-($C$6-$C$5)*SQRT(1-D711)))</f>
        <v>7.54853597664909</v>
      </c>
    </row>
    <row r="712" customFormat="false" ht="15" hidden="false" customHeight="false" outlineLevel="0" collapsed="false">
      <c r="B712" s="0" t="n">
        <v>696</v>
      </c>
      <c r="C712" s="0" t="n">
        <f aca="true">RAND()</f>
        <v>0.863237310105967</v>
      </c>
      <c r="D712" s="0" t="n">
        <f aca="true">RAND()</f>
        <v>0.875645152851468</v>
      </c>
      <c r="E712" s="0" t="n">
        <f aca="false">IF(C712&lt;=$C$10,1,IF(C712&lt;=$C$10+$C$11,2,3))</f>
        <v>3</v>
      </c>
      <c r="F712" s="0" t="n">
        <f aca="false">IF(E712=1,$C$4*SQRT(D712),IF(E712=2,$C$4+($C$5-$C$4)*D712,$C$6-($C$6-$C$5)*SQRT(1-D712)))</f>
        <v>8.94208052086334</v>
      </c>
    </row>
    <row r="713" customFormat="false" ht="15" hidden="false" customHeight="false" outlineLevel="0" collapsed="false">
      <c r="B713" s="0" t="n">
        <v>697</v>
      </c>
      <c r="C713" s="0" t="n">
        <f aca="true">RAND()</f>
        <v>0.0344802198806466</v>
      </c>
      <c r="D713" s="0" t="n">
        <f aca="true">RAND()</f>
        <v>0.352215203609366</v>
      </c>
      <c r="E713" s="0" t="n">
        <f aca="false">IF(C713&lt;=$C$10,1,IF(C713&lt;=$C$10+$C$11,2,3))</f>
        <v>1</v>
      </c>
      <c r="F713" s="0" t="n">
        <f aca="false">IF(E713=1,$C$4*SQRT(D713),IF(E713=2,$C$4+($C$5-$C$4)*D713,$C$6-($C$6-$C$5)*SQRT(1-D713)))</f>
        <v>1.78043164218239</v>
      </c>
    </row>
    <row r="714" customFormat="false" ht="15" hidden="false" customHeight="false" outlineLevel="0" collapsed="false">
      <c r="B714" s="0" t="n">
        <v>698</v>
      </c>
      <c r="C714" s="0" t="n">
        <f aca="true">RAND()</f>
        <v>0.159979637133616</v>
      </c>
      <c r="D714" s="0" t="n">
        <f aca="true">RAND()</f>
        <v>0.10030798358853</v>
      </c>
      <c r="E714" s="0" t="n">
        <f aca="false">IF(C714&lt;=$C$10,1,IF(C714&lt;=$C$10+$C$11,2,3))</f>
        <v>1</v>
      </c>
      <c r="F714" s="0" t="n">
        <f aca="false">IF(E714=1,$C$4*SQRT(D714),IF(E714=2,$C$4+($C$5-$C$4)*D714,$C$6-($C$6-$C$5)*SQRT(1-D714)))</f>
        <v>0.950143069383116</v>
      </c>
    </row>
    <row r="715" customFormat="false" ht="15" hidden="false" customHeight="false" outlineLevel="0" collapsed="false">
      <c r="B715" s="0" t="n">
        <v>699</v>
      </c>
      <c r="C715" s="0" t="n">
        <f aca="true">RAND()</f>
        <v>0.878862972747329</v>
      </c>
      <c r="D715" s="0" t="n">
        <f aca="true">RAND()</f>
        <v>0.887346223155374</v>
      </c>
      <c r="E715" s="0" t="n">
        <f aca="false">IF(C715&lt;=$C$10,1,IF(C715&lt;=$C$10+$C$11,2,3))</f>
        <v>3</v>
      </c>
      <c r="F715" s="0" t="n">
        <f aca="false">IF(E715=1,$C$4*SQRT(D715),IF(E715=2,$C$4+($C$5-$C$4)*D715,$C$6-($C$6-$C$5)*SQRT(1-D715)))</f>
        <v>8.99308193401765</v>
      </c>
    </row>
    <row r="716" customFormat="false" ht="15" hidden="false" customHeight="false" outlineLevel="0" collapsed="false">
      <c r="B716" s="0" t="n">
        <v>700</v>
      </c>
      <c r="C716" s="0" t="n">
        <f aca="true">RAND()</f>
        <v>0.441973353911418</v>
      </c>
      <c r="D716" s="0" t="n">
        <f aca="true">RAND()</f>
        <v>0.500604674698238</v>
      </c>
      <c r="E716" s="0" t="n">
        <f aca="false">IF(C716&lt;=$C$10,1,IF(C716&lt;=$C$10+$C$11,2,3))</f>
        <v>2</v>
      </c>
      <c r="F716" s="0" t="n">
        <f aca="false">IF(E716=1,$C$4*SQRT(D716),IF(E716=2,$C$4+($C$5-$C$4)*D716,$C$6-($C$6-$C$5)*SQRT(1-D716)))</f>
        <v>5.00241869879295</v>
      </c>
    </row>
    <row r="717" customFormat="false" ht="15" hidden="false" customHeight="false" outlineLevel="0" collapsed="false">
      <c r="B717" s="0" t="n">
        <v>701</v>
      </c>
      <c r="C717" s="0" t="n">
        <f aca="true">RAND()</f>
        <v>0.44208671043885</v>
      </c>
      <c r="D717" s="0" t="n">
        <f aca="true">RAND()</f>
        <v>0.846980555464867</v>
      </c>
      <c r="E717" s="0" t="n">
        <f aca="false">IF(C717&lt;=$C$10,1,IF(C717&lt;=$C$10+$C$11,2,3))</f>
        <v>2</v>
      </c>
      <c r="F717" s="0" t="n">
        <f aca="false">IF(E717=1,$C$4*SQRT(D717),IF(E717=2,$C$4+($C$5-$C$4)*D717,$C$6-($C$6-$C$5)*SQRT(1-D717)))</f>
        <v>6.38792222185947</v>
      </c>
    </row>
    <row r="718" customFormat="false" ht="15" hidden="false" customHeight="false" outlineLevel="0" collapsed="false">
      <c r="B718" s="0" t="n">
        <v>702</v>
      </c>
      <c r="C718" s="0" t="n">
        <f aca="true">RAND()</f>
        <v>0.249937892902275</v>
      </c>
      <c r="D718" s="0" t="n">
        <f aca="true">RAND()</f>
        <v>0.497247127090983</v>
      </c>
      <c r="E718" s="0" t="n">
        <f aca="false">IF(C718&lt;=$C$10,1,IF(C718&lt;=$C$10+$C$11,2,3))</f>
        <v>2</v>
      </c>
      <c r="F718" s="0" t="n">
        <f aca="false">IF(E718=1,$C$4*SQRT(D718),IF(E718=2,$C$4+($C$5-$C$4)*D718,$C$6-($C$6-$C$5)*SQRT(1-D718)))</f>
        <v>4.98898850836393</v>
      </c>
    </row>
    <row r="719" customFormat="false" ht="15" hidden="false" customHeight="false" outlineLevel="0" collapsed="false">
      <c r="B719" s="0" t="n">
        <v>703</v>
      </c>
      <c r="C719" s="0" t="n">
        <f aca="true">RAND()</f>
        <v>0.880661151569733</v>
      </c>
      <c r="D719" s="0" t="n">
        <f aca="true">RAND()</f>
        <v>0.847595022545945</v>
      </c>
      <c r="E719" s="0" t="n">
        <f aca="false">IF(C719&lt;=$C$10,1,IF(C719&lt;=$C$10+$C$11,2,3))</f>
        <v>3</v>
      </c>
      <c r="F719" s="0" t="n">
        <f aca="false">IF(E719=1,$C$4*SQRT(D719),IF(E719=2,$C$4+($C$5-$C$4)*D719,$C$6-($C$6-$C$5)*SQRT(1-D719)))</f>
        <v>8.82882759719737</v>
      </c>
    </row>
    <row r="720" customFormat="false" ht="15" hidden="false" customHeight="false" outlineLevel="0" collapsed="false">
      <c r="B720" s="0" t="n">
        <v>704</v>
      </c>
      <c r="C720" s="0" t="n">
        <f aca="true">RAND()</f>
        <v>0.742801645533657</v>
      </c>
      <c r="D720" s="0" t="n">
        <f aca="true">RAND()</f>
        <v>0.427120707142915</v>
      </c>
      <c r="E720" s="0" t="n">
        <f aca="false">IF(C720&lt;=$C$10,1,IF(C720&lt;=$C$10+$C$11,2,3))</f>
        <v>2</v>
      </c>
      <c r="F720" s="0" t="n">
        <f aca="false">IF(E720=1,$C$4*SQRT(D720),IF(E720=2,$C$4+($C$5-$C$4)*D720,$C$6-($C$6-$C$5)*SQRT(1-D720)))</f>
        <v>4.70848282857166</v>
      </c>
    </row>
    <row r="721" customFormat="false" ht="15" hidden="false" customHeight="false" outlineLevel="0" collapsed="false">
      <c r="B721" s="0" t="n">
        <v>705</v>
      </c>
      <c r="C721" s="0" t="n">
        <f aca="true">RAND()</f>
        <v>0.291864827888372</v>
      </c>
      <c r="D721" s="0" t="n">
        <f aca="true">RAND()</f>
        <v>0.688094270053838</v>
      </c>
      <c r="E721" s="0" t="n">
        <f aca="false">IF(C721&lt;=$C$10,1,IF(C721&lt;=$C$10+$C$11,2,3))</f>
        <v>2</v>
      </c>
      <c r="F721" s="0" t="n">
        <f aca="false">IF(E721=1,$C$4*SQRT(D721),IF(E721=2,$C$4+($C$5-$C$4)*D721,$C$6-($C$6-$C$5)*SQRT(1-D721)))</f>
        <v>5.75237708021535</v>
      </c>
    </row>
    <row r="722" customFormat="false" ht="15" hidden="false" customHeight="false" outlineLevel="0" collapsed="false">
      <c r="B722" s="0" t="n">
        <v>706</v>
      </c>
      <c r="C722" s="0" t="n">
        <f aca="true">RAND()</f>
        <v>0.443334659241636</v>
      </c>
      <c r="D722" s="0" t="n">
        <f aca="true">RAND()</f>
        <v>0.579611295651135</v>
      </c>
      <c r="E722" s="0" t="n">
        <f aca="false">IF(C722&lt;=$C$10,1,IF(C722&lt;=$C$10+$C$11,2,3))</f>
        <v>2</v>
      </c>
      <c r="F722" s="0" t="n">
        <f aca="false">IF(E722=1,$C$4*SQRT(D722),IF(E722=2,$C$4+($C$5-$C$4)*D722,$C$6-($C$6-$C$5)*SQRT(1-D722)))</f>
        <v>5.31844518260454</v>
      </c>
    </row>
    <row r="723" customFormat="false" ht="15" hidden="false" customHeight="false" outlineLevel="0" collapsed="false">
      <c r="B723" s="0" t="n">
        <v>707</v>
      </c>
      <c r="C723" s="0" t="n">
        <f aca="true">RAND()</f>
        <v>0.117265723086868</v>
      </c>
      <c r="D723" s="0" t="n">
        <f aca="true">RAND()</f>
        <v>0.449571469800809</v>
      </c>
      <c r="E723" s="0" t="n">
        <f aca="false">IF(C723&lt;=$C$10,1,IF(C723&lt;=$C$10+$C$11,2,3))</f>
        <v>1</v>
      </c>
      <c r="F723" s="0" t="n">
        <f aca="false">IF(E723=1,$C$4*SQRT(D723),IF(E723=2,$C$4+($C$5-$C$4)*D723,$C$6-($C$6-$C$5)*SQRT(1-D723)))</f>
        <v>2.01150272885902</v>
      </c>
    </row>
    <row r="724" customFormat="false" ht="15" hidden="false" customHeight="false" outlineLevel="0" collapsed="false">
      <c r="B724" s="0" t="n">
        <v>708</v>
      </c>
      <c r="C724" s="0" t="n">
        <f aca="true">RAND()</f>
        <v>0.0315232706187469</v>
      </c>
      <c r="D724" s="0" t="n">
        <f aca="true">RAND()</f>
        <v>0.574120672163781</v>
      </c>
      <c r="E724" s="0" t="n">
        <f aca="false">IF(C724&lt;=$C$10,1,IF(C724&lt;=$C$10+$C$11,2,3))</f>
        <v>1</v>
      </c>
      <c r="F724" s="0" t="n">
        <f aca="false">IF(E724=1,$C$4*SQRT(D724),IF(E724=2,$C$4+($C$5-$C$4)*D724,$C$6-($C$6-$C$5)*SQRT(1-D724)))</f>
        <v>2.27312253287719</v>
      </c>
    </row>
    <row r="725" customFormat="false" ht="15" hidden="false" customHeight="false" outlineLevel="0" collapsed="false">
      <c r="B725" s="0" t="n">
        <v>709</v>
      </c>
      <c r="C725" s="0" t="n">
        <f aca="true">RAND()</f>
        <v>0.70975044592951</v>
      </c>
      <c r="D725" s="0" t="n">
        <f aca="true">RAND()</f>
        <v>0.6569253657557</v>
      </c>
      <c r="E725" s="0" t="n">
        <f aca="false">IF(C725&lt;=$C$10,1,IF(C725&lt;=$C$10+$C$11,2,3))</f>
        <v>2</v>
      </c>
      <c r="F725" s="0" t="n">
        <f aca="false">IF(E725=1,$C$4*SQRT(D725),IF(E725=2,$C$4+($C$5-$C$4)*D725,$C$6-($C$6-$C$5)*SQRT(1-D725)))</f>
        <v>5.6277014630228</v>
      </c>
    </row>
    <row r="726" customFormat="false" ht="15" hidden="false" customHeight="false" outlineLevel="0" collapsed="false">
      <c r="B726" s="0" t="n">
        <v>710</v>
      </c>
      <c r="C726" s="0" t="n">
        <f aca="true">RAND()</f>
        <v>0.916937180112056</v>
      </c>
      <c r="D726" s="0" t="n">
        <f aca="true">RAND()</f>
        <v>0.210736214963291</v>
      </c>
      <c r="E726" s="0" t="n">
        <f aca="false">IF(C726&lt;=$C$10,1,IF(C726&lt;=$C$10+$C$11,2,3))</f>
        <v>3</v>
      </c>
      <c r="F726" s="0" t="n">
        <f aca="false">IF(E726=1,$C$4*SQRT(D726),IF(E726=2,$C$4+($C$5-$C$4)*D726,$C$6-($C$6-$C$5)*SQRT(1-D726)))</f>
        <v>7.33478442422937</v>
      </c>
    </row>
    <row r="727" customFormat="false" ht="15" hidden="false" customHeight="false" outlineLevel="0" collapsed="false">
      <c r="B727" s="0" t="n">
        <v>711</v>
      </c>
      <c r="C727" s="0" t="n">
        <f aca="true">RAND()</f>
        <v>0.0681288596223447</v>
      </c>
      <c r="D727" s="0" t="n">
        <f aca="true">RAND()</f>
        <v>0.287328681766975</v>
      </c>
      <c r="E727" s="0" t="n">
        <f aca="false">IF(C727&lt;=$C$10,1,IF(C727&lt;=$C$10+$C$11,2,3))</f>
        <v>1</v>
      </c>
      <c r="F727" s="0" t="n">
        <f aca="false">IF(E727=1,$C$4*SQRT(D727),IF(E727=2,$C$4+($C$5-$C$4)*D727,$C$6-($C$6-$C$5)*SQRT(1-D727)))</f>
        <v>1.60809145756788</v>
      </c>
    </row>
    <row r="728" customFormat="false" ht="15" hidden="false" customHeight="false" outlineLevel="0" collapsed="false">
      <c r="B728" s="0" t="n">
        <v>712</v>
      </c>
      <c r="C728" s="0" t="n">
        <f aca="true">RAND()</f>
        <v>0.360134975233169</v>
      </c>
      <c r="D728" s="0" t="n">
        <f aca="true">RAND()</f>
        <v>0.105840858898059</v>
      </c>
      <c r="E728" s="0" t="n">
        <f aca="false">IF(C728&lt;=$C$10,1,IF(C728&lt;=$C$10+$C$11,2,3))</f>
        <v>2</v>
      </c>
      <c r="F728" s="0" t="n">
        <f aca="false">IF(E728=1,$C$4*SQRT(D728),IF(E728=2,$C$4+($C$5-$C$4)*D728,$C$6-($C$6-$C$5)*SQRT(1-D728)))</f>
        <v>3.42336343559224</v>
      </c>
    </row>
    <row r="729" customFormat="false" ht="15" hidden="false" customHeight="false" outlineLevel="0" collapsed="false">
      <c r="B729" s="0" t="n">
        <v>713</v>
      </c>
      <c r="C729" s="0" t="n">
        <f aca="true">RAND()</f>
        <v>0.578681239019433</v>
      </c>
      <c r="D729" s="0" t="n">
        <f aca="true">RAND()</f>
        <v>0.11246796538095</v>
      </c>
      <c r="E729" s="0" t="n">
        <f aca="false">IF(C729&lt;=$C$10,1,IF(C729&lt;=$C$10+$C$11,2,3))</f>
        <v>2</v>
      </c>
      <c r="F729" s="0" t="n">
        <f aca="false">IF(E729=1,$C$4*SQRT(D729),IF(E729=2,$C$4+($C$5-$C$4)*D729,$C$6-($C$6-$C$5)*SQRT(1-D729)))</f>
        <v>3.4498718615238</v>
      </c>
    </row>
    <row r="730" customFormat="false" ht="15" hidden="false" customHeight="false" outlineLevel="0" collapsed="false">
      <c r="B730" s="0" t="n">
        <v>714</v>
      </c>
      <c r="C730" s="0" t="n">
        <f aca="true">RAND()</f>
        <v>0.222389965267228</v>
      </c>
      <c r="D730" s="0" t="n">
        <f aca="true">RAND()</f>
        <v>0.702247092733652</v>
      </c>
      <c r="E730" s="0" t="n">
        <f aca="false">IF(C730&lt;=$C$10,1,IF(C730&lt;=$C$10+$C$11,2,3))</f>
        <v>2</v>
      </c>
      <c r="F730" s="0" t="n">
        <f aca="false">IF(E730=1,$C$4*SQRT(D730),IF(E730=2,$C$4+($C$5-$C$4)*D730,$C$6-($C$6-$C$5)*SQRT(1-D730)))</f>
        <v>5.80898837093461</v>
      </c>
    </row>
    <row r="731" customFormat="false" ht="15" hidden="false" customHeight="false" outlineLevel="0" collapsed="false">
      <c r="B731" s="0" t="n">
        <v>715</v>
      </c>
      <c r="C731" s="0" t="n">
        <f aca="true">RAND()</f>
        <v>0.301774936045879</v>
      </c>
      <c r="D731" s="0" t="n">
        <f aca="true">RAND()</f>
        <v>0.67059520038391</v>
      </c>
      <c r="E731" s="0" t="n">
        <f aca="false">IF(C731&lt;=$C$10,1,IF(C731&lt;=$C$10+$C$11,2,3))</f>
        <v>2</v>
      </c>
      <c r="F731" s="0" t="n">
        <f aca="false">IF(E731=1,$C$4*SQRT(D731),IF(E731=2,$C$4+($C$5-$C$4)*D731,$C$6-($C$6-$C$5)*SQRT(1-D731)))</f>
        <v>5.68238080153564</v>
      </c>
    </row>
    <row r="732" customFormat="false" ht="15" hidden="false" customHeight="false" outlineLevel="0" collapsed="false">
      <c r="B732" s="0" t="n">
        <v>716</v>
      </c>
      <c r="C732" s="0" t="n">
        <f aca="true">RAND()</f>
        <v>0.116447700073941</v>
      </c>
      <c r="D732" s="0" t="n">
        <f aca="true">RAND()</f>
        <v>0.138105763722304</v>
      </c>
      <c r="E732" s="0" t="n">
        <f aca="false">IF(C732&lt;=$C$10,1,IF(C732&lt;=$C$10+$C$11,2,3))</f>
        <v>1</v>
      </c>
      <c r="F732" s="0" t="n">
        <f aca="false">IF(E732=1,$C$4*SQRT(D732),IF(E732=2,$C$4+($C$5-$C$4)*D732,$C$6-($C$6-$C$5)*SQRT(1-D732)))</f>
        <v>1.1148775150216</v>
      </c>
    </row>
    <row r="733" customFormat="false" ht="15" hidden="false" customHeight="false" outlineLevel="0" collapsed="false">
      <c r="B733" s="0" t="n">
        <v>717</v>
      </c>
      <c r="C733" s="0" t="n">
        <f aca="true">RAND()</f>
        <v>0.194321560798494</v>
      </c>
      <c r="D733" s="0" t="n">
        <f aca="true">RAND()</f>
        <v>0.751618786893104</v>
      </c>
      <c r="E733" s="0" t="n">
        <f aca="false">IF(C733&lt;=$C$10,1,IF(C733&lt;=$C$10+$C$11,2,3))</f>
        <v>1</v>
      </c>
      <c r="F733" s="0" t="n">
        <f aca="false">IF(E733=1,$C$4*SQRT(D733),IF(E733=2,$C$4+($C$5-$C$4)*D733,$C$6-($C$6-$C$5)*SQRT(1-D733)))</f>
        <v>2.6008785211997</v>
      </c>
    </row>
    <row r="734" customFormat="false" ht="15" hidden="false" customHeight="false" outlineLevel="0" collapsed="false">
      <c r="B734" s="0" t="n">
        <v>718</v>
      </c>
      <c r="C734" s="0" t="n">
        <f aca="true">RAND()</f>
        <v>0.909084173314918</v>
      </c>
      <c r="D734" s="0" t="n">
        <f aca="true">RAND()</f>
        <v>0.855149551766715</v>
      </c>
      <c r="E734" s="0" t="n">
        <f aca="false">IF(C734&lt;=$C$10,1,IF(C734&lt;=$C$10+$C$11,2,3))</f>
        <v>3</v>
      </c>
      <c r="F734" s="0" t="n">
        <f aca="false">IF(E734=1,$C$4*SQRT(D734),IF(E734=2,$C$4+($C$5-$C$4)*D734,$C$6-($C$6-$C$5)*SQRT(1-D734)))</f>
        <v>8.85822329937086</v>
      </c>
    </row>
    <row r="735" customFormat="false" ht="15" hidden="false" customHeight="false" outlineLevel="0" collapsed="false">
      <c r="B735" s="0" t="n">
        <v>719</v>
      </c>
      <c r="C735" s="0" t="n">
        <f aca="true">RAND()</f>
        <v>0.353583514632807</v>
      </c>
      <c r="D735" s="0" t="n">
        <f aca="true">RAND()</f>
        <v>0.966847262228463</v>
      </c>
      <c r="E735" s="0" t="n">
        <f aca="false">IF(C735&lt;=$C$10,1,IF(C735&lt;=$C$10+$C$11,2,3))</f>
        <v>2</v>
      </c>
      <c r="F735" s="0" t="n">
        <f aca="false">IF(E735=1,$C$4*SQRT(D735),IF(E735=2,$C$4+($C$5-$C$4)*D735,$C$6-($C$6-$C$5)*SQRT(1-D735)))</f>
        <v>6.86738904891385</v>
      </c>
    </row>
    <row r="736" customFormat="false" ht="15" hidden="false" customHeight="false" outlineLevel="0" collapsed="false">
      <c r="B736" s="0" t="n">
        <v>720</v>
      </c>
      <c r="C736" s="0" t="n">
        <f aca="true">RAND()</f>
        <v>0.172072388202325</v>
      </c>
      <c r="D736" s="0" t="n">
        <f aca="true">RAND()</f>
        <v>0.621432085442353</v>
      </c>
      <c r="E736" s="0" t="n">
        <f aca="false">IF(C736&lt;=$C$10,1,IF(C736&lt;=$C$10+$C$11,2,3))</f>
        <v>1</v>
      </c>
      <c r="F736" s="0" t="n">
        <f aca="false">IF(E736=1,$C$4*SQRT(D736),IF(E736=2,$C$4+($C$5-$C$4)*D736,$C$6-($C$6-$C$5)*SQRT(1-D736)))</f>
        <v>2.36492891414968</v>
      </c>
    </row>
    <row r="737" customFormat="false" ht="15" hidden="false" customHeight="false" outlineLevel="0" collapsed="false">
      <c r="B737" s="0" t="n">
        <v>721</v>
      </c>
      <c r="C737" s="0" t="n">
        <f aca="true">RAND()</f>
        <v>0.263734383441391</v>
      </c>
      <c r="D737" s="0" t="n">
        <f aca="true">RAND()</f>
        <v>0.600836112459997</v>
      </c>
      <c r="E737" s="0" t="n">
        <f aca="false">IF(C737&lt;=$C$10,1,IF(C737&lt;=$C$10+$C$11,2,3))</f>
        <v>2</v>
      </c>
      <c r="F737" s="0" t="n">
        <f aca="false">IF(E737=1,$C$4*SQRT(D737),IF(E737=2,$C$4+($C$5-$C$4)*D737,$C$6-($C$6-$C$5)*SQRT(1-D737)))</f>
        <v>5.40334444983999</v>
      </c>
    </row>
    <row r="738" customFormat="false" ht="15" hidden="false" customHeight="false" outlineLevel="0" collapsed="false">
      <c r="B738" s="0" t="n">
        <v>722</v>
      </c>
      <c r="C738" s="0" t="n">
        <f aca="true">RAND()</f>
        <v>0.752356398978197</v>
      </c>
      <c r="D738" s="0" t="n">
        <f aca="true">RAND()</f>
        <v>0.740809132462974</v>
      </c>
      <c r="E738" s="0" t="n">
        <f aca="false">IF(C738&lt;=$C$10,1,IF(C738&lt;=$C$10+$C$11,2,3))</f>
        <v>2</v>
      </c>
      <c r="F738" s="0" t="n">
        <f aca="false">IF(E738=1,$C$4*SQRT(D738),IF(E738=2,$C$4+($C$5-$C$4)*D738,$C$6-($C$6-$C$5)*SQRT(1-D738)))</f>
        <v>5.9632365298519</v>
      </c>
    </row>
    <row r="739" customFormat="false" ht="15" hidden="false" customHeight="false" outlineLevel="0" collapsed="false">
      <c r="B739" s="0" t="n">
        <v>723</v>
      </c>
      <c r="C739" s="0" t="n">
        <f aca="true">RAND()</f>
        <v>0.668480383959893</v>
      </c>
      <c r="D739" s="0" t="n">
        <f aca="true">RAND()</f>
        <v>0.362986045361528</v>
      </c>
      <c r="E739" s="0" t="n">
        <f aca="false">IF(C739&lt;=$C$10,1,IF(C739&lt;=$C$10+$C$11,2,3))</f>
        <v>2</v>
      </c>
      <c r="F739" s="0" t="n">
        <f aca="false">IF(E739=1,$C$4*SQRT(D739),IF(E739=2,$C$4+($C$5-$C$4)*D739,$C$6-($C$6-$C$5)*SQRT(1-D739)))</f>
        <v>4.45194418144611</v>
      </c>
    </row>
    <row r="740" customFormat="false" ht="15" hidden="false" customHeight="false" outlineLevel="0" collapsed="false">
      <c r="B740" s="0" t="n">
        <v>724</v>
      </c>
      <c r="C740" s="0" t="n">
        <f aca="true">RAND()</f>
        <v>0.911593418631629</v>
      </c>
      <c r="D740" s="0" t="n">
        <f aca="true">RAND()</f>
        <v>0.0415216994050115</v>
      </c>
      <c r="E740" s="0" t="n">
        <f aca="false">IF(C740&lt;=$C$10,1,IF(C740&lt;=$C$10+$C$11,2,3))</f>
        <v>3</v>
      </c>
      <c r="F740" s="0" t="n">
        <f aca="false">IF(E740=1,$C$4*SQRT(D740),IF(E740=2,$C$4+($C$5-$C$4)*D740,$C$6-($C$6-$C$5)*SQRT(1-D740)))</f>
        <v>7.0629428494912</v>
      </c>
    </row>
    <row r="741" customFormat="false" ht="15" hidden="false" customHeight="false" outlineLevel="0" collapsed="false">
      <c r="B741" s="0" t="n">
        <v>725</v>
      </c>
      <c r="C741" s="0" t="n">
        <f aca="true">RAND()</f>
        <v>0.429964148344178</v>
      </c>
      <c r="D741" s="0" t="n">
        <f aca="true">RAND()</f>
        <v>0.886233159904637</v>
      </c>
      <c r="E741" s="0" t="n">
        <f aca="false">IF(C741&lt;=$C$10,1,IF(C741&lt;=$C$10+$C$11,2,3))</f>
        <v>2</v>
      </c>
      <c r="F741" s="0" t="n">
        <f aca="false">IF(E741=1,$C$4*SQRT(D741),IF(E741=2,$C$4+($C$5-$C$4)*D741,$C$6-($C$6-$C$5)*SQRT(1-D741)))</f>
        <v>6.54493263961855</v>
      </c>
    </row>
    <row r="742" customFormat="false" ht="15" hidden="false" customHeight="false" outlineLevel="0" collapsed="false">
      <c r="B742" s="0" t="n">
        <v>726</v>
      </c>
      <c r="C742" s="0" t="n">
        <f aca="true">RAND()</f>
        <v>0.949728973431383</v>
      </c>
      <c r="D742" s="0" t="n">
        <f aca="true">RAND()</f>
        <v>0.209859220999092</v>
      </c>
      <c r="E742" s="0" t="n">
        <f aca="false">IF(C742&lt;=$C$10,1,IF(C742&lt;=$C$10+$C$11,2,3))</f>
        <v>3</v>
      </c>
      <c r="F742" s="0" t="n">
        <f aca="false">IF(E742=1,$C$4*SQRT(D742),IF(E742=2,$C$4+($C$5-$C$4)*D742,$C$6-($C$6-$C$5)*SQRT(1-D742)))</f>
        <v>7.33330410226284</v>
      </c>
    </row>
    <row r="743" customFormat="false" ht="15" hidden="false" customHeight="false" outlineLevel="0" collapsed="false">
      <c r="B743" s="0" t="n">
        <v>727</v>
      </c>
      <c r="C743" s="0" t="n">
        <f aca="true">RAND()</f>
        <v>0.692231800253431</v>
      </c>
      <c r="D743" s="0" t="n">
        <f aca="true">RAND()</f>
        <v>0.866358818383903</v>
      </c>
      <c r="E743" s="0" t="n">
        <f aca="false">IF(C743&lt;=$C$10,1,IF(C743&lt;=$C$10+$C$11,2,3))</f>
        <v>2</v>
      </c>
      <c r="F743" s="0" t="n">
        <f aca="false">IF(E743=1,$C$4*SQRT(D743),IF(E743=2,$C$4+($C$5-$C$4)*D743,$C$6-($C$6-$C$5)*SQRT(1-D743)))</f>
        <v>6.46543527353561</v>
      </c>
    </row>
    <row r="744" customFormat="false" ht="15" hidden="false" customHeight="false" outlineLevel="0" collapsed="false">
      <c r="B744" s="0" t="n">
        <v>728</v>
      </c>
      <c r="C744" s="0" t="n">
        <f aca="true">RAND()</f>
        <v>0.197162412522593</v>
      </c>
      <c r="D744" s="0" t="n">
        <f aca="true">RAND()</f>
        <v>0.488530096070702</v>
      </c>
      <c r="E744" s="0" t="n">
        <f aca="false">IF(C744&lt;=$C$10,1,IF(C744&lt;=$C$10+$C$11,2,3))</f>
        <v>1</v>
      </c>
      <c r="F744" s="0" t="n">
        <f aca="false">IF(E744=1,$C$4*SQRT(D744),IF(E744=2,$C$4+($C$5-$C$4)*D744,$C$6-($C$6-$C$5)*SQRT(1-D744)))</f>
        <v>2.09684784012487</v>
      </c>
    </row>
    <row r="745" customFormat="false" ht="15" hidden="false" customHeight="false" outlineLevel="0" collapsed="false">
      <c r="B745" s="0" t="n">
        <v>729</v>
      </c>
      <c r="C745" s="0" t="n">
        <f aca="true">RAND()</f>
        <v>0.146881886332428</v>
      </c>
      <c r="D745" s="0" t="n">
        <f aca="true">RAND()</f>
        <v>0.568283292770319</v>
      </c>
      <c r="E745" s="0" t="n">
        <f aca="false">IF(C745&lt;=$C$10,1,IF(C745&lt;=$C$10+$C$11,2,3))</f>
        <v>1</v>
      </c>
      <c r="F745" s="0" t="n">
        <f aca="false">IF(E745=1,$C$4*SQRT(D745),IF(E745=2,$C$4+($C$5-$C$4)*D745,$C$6-($C$6-$C$5)*SQRT(1-D745)))</f>
        <v>2.2615370071995</v>
      </c>
    </row>
    <row r="746" customFormat="false" ht="15" hidden="false" customHeight="false" outlineLevel="0" collapsed="false">
      <c r="B746" s="0" t="n">
        <v>730</v>
      </c>
      <c r="C746" s="0" t="n">
        <f aca="true">RAND()</f>
        <v>0.950945230881029</v>
      </c>
      <c r="D746" s="0" t="n">
        <f aca="true">RAND()</f>
        <v>0.320477492143604</v>
      </c>
      <c r="E746" s="0" t="n">
        <f aca="false">IF(C746&lt;=$C$10,1,IF(C746&lt;=$C$10+$C$11,2,3))</f>
        <v>3</v>
      </c>
      <c r="F746" s="0" t="n">
        <f aca="false">IF(E746=1,$C$4*SQRT(D746),IF(E746=2,$C$4+($C$5-$C$4)*D746,$C$6-($C$6-$C$5)*SQRT(1-D746)))</f>
        <v>7.52700534357481</v>
      </c>
    </row>
    <row r="747" customFormat="false" ht="15" hidden="false" customHeight="false" outlineLevel="0" collapsed="false">
      <c r="B747" s="0" t="n">
        <v>731</v>
      </c>
      <c r="C747" s="0" t="n">
        <f aca="true">RAND()</f>
        <v>0.570090482820035</v>
      </c>
      <c r="D747" s="0" t="n">
        <f aca="true">RAND()</f>
        <v>0.755978512936475</v>
      </c>
      <c r="E747" s="0" t="n">
        <f aca="false">IF(C747&lt;=$C$10,1,IF(C747&lt;=$C$10+$C$11,2,3))</f>
        <v>2</v>
      </c>
      <c r="F747" s="0" t="n">
        <f aca="false">IF(E747=1,$C$4*SQRT(D747),IF(E747=2,$C$4+($C$5-$C$4)*D747,$C$6-($C$6-$C$5)*SQRT(1-D747)))</f>
        <v>6.0239140517459</v>
      </c>
    </row>
    <row r="748" customFormat="false" ht="15" hidden="false" customHeight="false" outlineLevel="0" collapsed="false">
      <c r="B748" s="0" t="n">
        <v>732</v>
      </c>
      <c r="C748" s="0" t="n">
        <f aca="true">RAND()</f>
        <v>0.358641892202091</v>
      </c>
      <c r="D748" s="0" t="n">
        <f aca="true">RAND()</f>
        <v>0.0553352322930344</v>
      </c>
      <c r="E748" s="0" t="n">
        <f aca="false">IF(C748&lt;=$C$10,1,IF(C748&lt;=$C$10+$C$11,2,3))</f>
        <v>2</v>
      </c>
      <c r="F748" s="0" t="n">
        <f aca="false">IF(E748=1,$C$4*SQRT(D748),IF(E748=2,$C$4+($C$5-$C$4)*D748,$C$6-($C$6-$C$5)*SQRT(1-D748)))</f>
        <v>3.22134092917214</v>
      </c>
    </row>
    <row r="749" customFormat="false" ht="15" hidden="false" customHeight="false" outlineLevel="0" collapsed="false">
      <c r="B749" s="0" t="n">
        <v>733</v>
      </c>
      <c r="C749" s="0" t="n">
        <f aca="true">RAND()</f>
        <v>0.069951890325618</v>
      </c>
      <c r="D749" s="0" t="n">
        <f aca="true">RAND()</f>
        <v>0.147409064551023</v>
      </c>
      <c r="E749" s="0" t="n">
        <f aca="false">IF(C749&lt;=$C$10,1,IF(C749&lt;=$C$10+$C$11,2,3))</f>
        <v>1</v>
      </c>
      <c r="F749" s="0" t="n">
        <f aca="false">IF(E749=1,$C$4*SQRT(D749),IF(E749=2,$C$4+($C$5-$C$4)*D749,$C$6-($C$6-$C$5)*SQRT(1-D749)))</f>
        <v>1.15181664381064</v>
      </c>
    </row>
    <row r="750" customFormat="false" ht="15" hidden="false" customHeight="false" outlineLevel="0" collapsed="false">
      <c r="B750" s="0" t="n">
        <v>734</v>
      </c>
      <c r="C750" s="0" t="n">
        <f aca="true">RAND()</f>
        <v>0.875072896815365</v>
      </c>
      <c r="D750" s="0" t="n">
        <f aca="true">RAND()</f>
        <v>0.392147371201818</v>
      </c>
      <c r="E750" s="0" t="n">
        <f aca="false">IF(C750&lt;=$C$10,1,IF(C750&lt;=$C$10+$C$11,2,3))</f>
        <v>3</v>
      </c>
      <c r="F750" s="0" t="n">
        <f aca="false">IF(E750=1,$C$4*SQRT(D750),IF(E750=2,$C$4+($C$5-$C$4)*D750,$C$6-($C$6-$C$5)*SQRT(1-D750)))</f>
        <v>7.66105287379479</v>
      </c>
    </row>
    <row r="751" customFormat="false" ht="15" hidden="false" customHeight="false" outlineLevel="0" collapsed="false">
      <c r="B751" s="0" t="n">
        <v>735</v>
      </c>
      <c r="C751" s="0" t="n">
        <f aca="true">RAND()</f>
        <v>0.459861332441163</v>
      </c>
      <c r="D751" s="0" t="n">
        <f aca="true">RAND()</f>
        <v>0.74428307543013</v>
      </c>
      <c r="E751" s="0" t="n">
        <f aca="false">IF(C751&lt;=$C$10,1,IF(C751&lt;=$C$10+$C$11,2,3))</f>
        <v>2</v>
      </c>
      <c r="F751" s="0" t="n">
        <f aca="false">IF(E751=1,$C$4*SQRT(D751),IF(E751=2,$C$4+($C$5-$C$4)*D751,$C$6-($C$6-$C$5)*SQRT(1-D751)))</f>
        <v>5.97713230172052</v>
      </c>
    </row>
    <row r="752" customFormat="false" ht="15" hidden="false" customHeight="false" outlineLevel="0" collapsed="false">
      <c r="B752" s="0" t="n">
        <v>736</v>
      </c>
      <c r="C752" s="0" t="n">
        <f aca="true">RAND()</f>
        <v>0.202452988958793</v>
      </c>
      <c r="D752" s="0" t="n">
        <f aca="true">RAND()</f>
        <v>0.148210140812005</v>
      </c>
      <c r="E752" s="0" t="n">
        <f aca="false">IF(C752&lt;=$C$10,1,IF(C752&lt;=$C$10+$C$11,2,3))</f>
        <v>1</v>
      </c>
      <c r="F752" s="0" t="n">
        <f aca="false">IF(E752=1,$C$4*SQRT(D752),IF(E752=2,$C$4+($C$5-$C$4)*D752,$C$6-($C$6-$C$5)*SQRT(1-D752)))</f>
        <v>1.15494210560878</v>
      </c>
    </row>
    <row r="753" customFormat="false" ht="15" hidden="false" customHeight="false" outlineLevel="0" collapsed="false">
      <c r="B753" s="0" t="n">
        <v>737</v>
      </c>
      <c r="C753" s="0" t="n">
        <f aca="true">RAND()</f>
        <v>0.914228164422329</v>
      </c>
      <c r="D753" s="0" t="n">
        <f aca="true">RAND()</f>
        <v>0.96073201984257</v>
      </c>
      <c r="E753" s="0" t="n">
        <f aca="false">IF(C753&lt;=$C$10,1,IF(C753&lt;=$C$10+$C$11,2,3))</f>
        <v>3</v>
      </c>
      <c r="F753" s="0" t="n">
        <f aca="false">IF(E753=1,$C$4*SQRT(D753),IF(E753=2,$C$4+($C$5-$C$4)*D753,$C$6-($C$6-$C$5)*SQRT(1-D753)))</f>
        <v>9.40551549943092</v>
      </c>
    </row>
    <row r="754" customFormat="false" ht="15" hidden="false" customHeight="false" outlineLevel="0" collapsed="false">
      <c r="B754" s="0" t="n">
        <v>738</v>
      </c>
      <c r="C754" s="0" t="n">
        <f aca="true">RAND()</f>
        <v>0.623016695532691</v>
      </c>
      <c r="D754" s="0" t="n">
        <f aca="true">RAND()</f>
        <v>0.497631933744249</v>
      </c>
      <c r="E754" s="0" t="n">
        <f aca="false">IF(C754&lt;=$C$10,1,IF(C754&lt;=$C$10+$C$11,2,3))</f>
        <v>2</v>
      </c>
      <c r="F754" s="0" t="n">
        <f aca="false">IF(E754=1,$C$4*SQRT(D754),IF(E754=2,$C$4+($C$5-$C$4)*D754,$C$6-($C$6-$C$5)*SQRT(1-D754)))</f>
        <v>4.990527734977</v>
      </c>
    </row>
    <row r="755" customFormat="false" ht="15" hidden="false" customHeight="false" outlineLevel="0" collapsed="false">
      <c r="B755" s="0" t="n">
        <v>739</v>
      </c>
      <c r="C755" s="0" t="n">
        <f aca="true">RAND()</f>
        <v>0.643300451450585</v>
      </c>
      <c r="D755" s="0" t="n">
        <f aca="true">RAND()</f>
        <v>0.0741320287468654</v>
      </c>
      <c r="E755" s="0" t="n">
        <f aca="false">IF(C755&lt;=$C$10,1,IF(C755&lt;=$C$10+$C$11,2,3))</f>
        <v>2</v>
      </c>
      <c r="F755" s="0" t="n">
        <f aca="false">IF(E755=1,$C$4*SQRT(D755),IF(E755=2,$C$4+($C$5-$C$4)*D755,$C$6-($C$6-$C$5)*SQRT(1-D755)))</f>
        <v>3.29652811498746</v>
      </c>
    </row>
    <row r="756" customFormat="false" ht="15" hidden="false" customHeight="false" outlineLevel="0" collapsed="false">
      <c r="B756" s="0" t="n">
        <v>740</v>
      </c>
      <c r="C756" s="0" t="n">
        <f aca="true">RAND()</f>
        <v>0.104219623087588</v>
      </c>
      <c r="D756" s="0" t="n">
        <f aca="true">RAND()</f>
        <v>0.404035365102003</v>
      </c>
      <c r="E756" s="0" t="n">
        <f aca="false">IF(C756&lt;=$C$10,1,IF(C756&lt;=$C$10+$C$11,2,3))</f>
        <v>1</v>
      </c>
      <c r="F756" s="0" t="n">
        <f aca="false">IF(E756=1,$C$4*SQRT(D756),IF(E756=2,$C$4+($C$5-$C$4)*D756,$C$6-($C$6-$C$5)*SQRT(1-D756)))</f>
        <v>1.90691328746695</v>
      </c>
    </row>
    <row r="757" customFormat="false" ht="15" hidden="false" customHeight="false" outlineLevel="0" collapsed="false">
      <c r="B757" s="0" t="n">
        <v>741</v>
      </c>
      <c r="C757" s="0" t="n">
        <f aca="true">RAND()</f>
        <v>0.685492521854094</v>
      </c>
      <c r="D757" s="0" t="n">
        <f aca="true">RAND()</f>
        <v>0.0366693970660626</v>
      </c>
      <c r="E757" s="0" t="n">
        <f aca="false">IF(C757&lt;=$C$10,1,IF(C757&lt;=$C$10+$C$11,2,3))</f>
        <v>2</v>
      </c>
      <c r="F757" s="0" t="n">
        <f aca="false">IF(E757=1,$C$4*SQRT(D757),IF(E757=2,$C$4+($C$5-$C$4)*D757,$C$6-($C$6-$C$5)*SQRT(1-D757)))</f>
        <v>3.14667758826425</v>
      </c>
    </row>
    <row r="758" customFormat="false" ht="15" hidden="false" customHeight="false" outlineLevel="0" collapsed="false">
      <c r="B758" s="0" t="n">
        <v>742</v>
      </c>
      <c r="C758" s="0" t="n">
        <f aca="true">RAND()</f>
        <v>0.534301225650546</v>
      </c>
      <c r="D758" s="0" t="n">
        <f aca="true">RAND()</f>
        <v>0.769615168545313</v>
      </c>
      <c r="E758" s="0" t="n">
        <f aca="false">IF(C758&lt;=$C$10,1,IF(C758&lt;=$C$10+$C$11,2,3))</f>
        <v>2</v>
      </c>
      <c r="F758" s="0" t="n">
        <f aca="false">IF(E758=1,$C$4*SQRT(D758),IF(E758=2,$C$4+($C$5-$C$4)*D758,$C$6-($C$6-$C$5)*SQRT(1-D758)))</f>
        <v>6.07846067418125</v>
      </c>
    </row>
    <row r="759" customFormat="false" ht="15" hidden="false" customHeight="false" outlineLevel="0" collapsed="false">
      <c r="B759" s="0" t="n">
        <v>743</v>
      </c>
      <c r="C759" s="0" t="n">
        <f aca="true">RAND()</f>
        <v>0.762250148531986</v>
      </c>
      <c r="D759" s="0" t="n">
        <f aca="true">RAND()</f>
        <v>0.0979651668340852</v>
      </c>
      <c r="E759" s="0" t="n">
        <f aca="false">IF(C759&lt;=$C$10,1,IF(C759&lt;=$C$10+$C$11,2,3))</f>
        <v>2</v>
      </c>
      <c r="F759" s="0" t="n">
        <f aca="false">IF(E759=1,$C$4*SQRT(D759),IF(E759=2,$C$4+($C$5-$C$4)*D759,$C$6-($C$6-$C$5)*SQRT(1-D759)))</f>
        <v>3.39186066733634</v>
      </c>
    </row>
    <row r="760" customFormat="false" ht="15" hidden="false" customHeight="false" outlineLevel="0" collapsed="false">
      <c r="B760" s="0" t="n">
        <v>744</v>
      </c>
      <c r="C760" s="0" t="n">
        <f aca="true">RAND()</f>
        <v>0.329298698326147</v>
      </c>
      <c r="D760" s="0" t="n">
        <f aca="true">RAND()</f>
        <v>0.65128342626828</v>
      </c>
      <c r="E760" s="0" t="n">
        <f aca="false">IF(C760&lt;=$C$10,1,IF(C760&lt;=$C$10+$C$11,2,3))</f>
        <v>2</v>
      </c>
      <c r="F760" s="0" t="n">
        <f aca="false">IF(E760=1,$C$4*SQRT(D760),IF(E760=2,$C$4+($C$5-$C$4)*D760,$C$6-($C$6-$C$5)*SQRT(1-D760)))</f>
        <v>5.60513370507312</v>
      </c>
    </row>
    <row r="761" customFormat="false" ht="15" hidden="false" customHeight="false" outlineLevel="0" collapsed="false">
      <c r="B761" s="0" t="n">
        <v>745</v>
      </c>
      <c r="C761" s="0" t="n">
        <f aca="true">RAND()</f>
        <v>0.822295905150562</v>
      </c>
      <c r="D761" s="0" t="n">
        <f aca="true">RAND()</f>
        <v>0.895413926511762</v>
      </c>
      <c r="E761" s="0" t="n">
        <f aca="false">IF(C761&lt;=$C$10,1,IF(C761&lt;=$C$10+$C$11,2,3))</f>
        <v>3</v>
      </c>
      <c r="F761" s="0" t="n">
        <f aca="false">IF(E761=1,$C$4*SQRT(D761),IF(E761=2,$C$4+($C$5-$C$4)*D761,$C$6-($C$6-$C$5)*SQRT(1-D761)))</f>
        <v>9.02980689479149</v>
      </c>
    </row>
    <row r="762" customFormat="false" ht="15" hidden="false" customHeight="false" outlineLevel="0" collapsed="false">
      <c r="B762" s="0" t="n">
        <v>746</v>
      </c>
      <c r="C762" s="0" t="n">
        <f aca="true">RAND()</f>
        <v>0.373022762558216</v>
      </c>
      <c r="D762" s="0" t="n">
        <f aca="true">RAND()</f>
        <v>0.65254265553131</v>
      </c>
      <c r="E762" s="0" t="n">
        <f aca="false">IF(C762&lt;=$C$10,1,IF(C762&lt;=$C$10+$C$11,2,3))</f>
        <v>2</v>
      </c>
      <c r="F762" s="0" t="n">
        <f aca="false">IF(E762=1,$C$4*SQRT(D762),IF(E762=2,$C$4+($C$5-$C$4)*D762,$C$6-($C$6-$C$5)*SQRT(1-D762)))</f>
        <v>5.61017062212524</v>
      </c>
    </row>
    <row r="763" customFormat="false" ht="15" hidden="false" customHeight="false" outlineLevel="0" collapsed="false">
      <c r="B763" s="0" t="n">
        <v>747</v>
      </c>
      <c r="C763" s="0" t="n">
        <f aca="true">RAND()</f>
        <v>0.122352483292966</v>
      </c>
      <c r="D763" s="0" t="n">
        <f aca="true">RAND()</f>
        <v>0.198835290888496</v>
      </c>
      <c r="E763" s="0" t="n">
        <f aca="false">IF(C763&lt;=$C$10,1,IF(C763&lt;=$C$10+$C$11,2,3))</f>
        <v>1</v>
      </c>
      <c r="F763" s="0" t="n">
        <f aca="false">IF(E763=1,$C$4*SQRT(D763),IF(E763=2,$C$4+($C$5-$C$4)*D763,$C$6-($C$6-$C$5)*SQRT(1-D763)))</f>
        <v>1.33772852926013</v>
      </c>
    </row>
    <row r="764" customFormat="false" ht="15" hidden="false" customHeight="false" outlineLevel="0" collapsed="false">
      <c r="B764" s="0" t="n">
        <v>748</v>
      </c>
      <c r="C764" s="0" t="n">
        <f aca="true">RAND()</f>
        <v>0.735760630697138</v>
      </c>
      <c r="D764" s="0" t="n">
        <f aca="true">RAND()</f>
        <v>0.41028898416718</v>
      </c>
      <c r="E764" s="0" t="n">
        <f aca="false">IF(C764&lt;=$C$10,1,IF(C764&lt;=$C$10+$C$11,2,3))</f>
        <v>2</v>
      </c>
      <c r="F764" s="0" t="n">
        <f aca="false">IF(E764=1,$C$4*SQRT(D764),IF(E764=2,$C$4+($C$5-$C$4)*D764,$C$6-($C$6-$C$5)*SQRT(1-D764)))</f>
        <v>4.64115593666872</v>
      </c>
    </row>
    <row r="765" customFormat="false" ht="15" hidden="false" customHeight="false" outlineLevel="0" collapsed="false">
      <c r="B765" s="0" t="n">
        <v>749</v>
      </c>
      <c r="C765" s="0" t="n">
        <f aca="true">RAND()</f>
        <v>0.77828667358451</v>
      </c>
      <c r="D765" s="0" t="n">
        <f aca="true">RAND()</f>
        <v>0.609569679008901</v>
      </c>
      <c r="E765" s="0" t="n">
        <f aca="false">IF(C765&lt;=$C$10,1,IF(C765&lt;=$C$10+$C$11,2,3))</f>
        <v>2</v>
      </c>
      <c r="F765" s="0" t="n">
        <f aca="false">IF(E765=1,$C$4*SQRT(D765),IF(E765=2,$C$4+($C$5-$C$4)*D765,$C$6-($C$6-$C$5)*SQRT(1-D765)))</f>
        <v>5.4382787160356</v>
      </c>
    </row>
    <row r="766" customFormat="false" ht="15" hidden="false" customHeight="false" outlineLevel="0" collapsed="false">
      <c r="B766" s="0" t="n">
        <v>750</v>
      </c>
      <c r="C766" s="0" t="n">
        <f aca="true">RAND()</f>
        <v>0.725285749128512</v>
      </c>
      <c r="D766" s="0" t="n">
        <f aca="true">RAND()</f>
        <v>0.964325517544379</v>
      </c>
      <c r="E766" s="0" t="n">
        <f aca="false">IF(C766&lt;=$C$10,1,IF(C766&lt;=$C$10+$C$11,2,3))</f>
        <v>2</v>
      </c>
      <c r="F766" s="0" t="n">
        <f aca="false">IF(E766=1,$C$4*SQRT(D766),IF(E766=2,$C$4+($C$5-$C$4)*D766,$C$6-($C$6-$C$5)*SQRT(1-D766)))</f>
        <v>6.85730207017752</v>
      </c>
    </row>
    <row r="767" customFormat="false" ht="15" hidden="false" customHeight="false" outlineLevel="0" collapsed="false">
      <c r="B767" s="0" t="n">
        <v>751</v>
      </c>
      <c r="C767" s="0" t="n">
        <f aca="true">RAND()</f>
        <v>0.894336194336012</v>
      </c>
      <c r="D767" s="0" t="n">
        <f aca="true">RAND()</f>
        <v>0.293366623643039</v>
      </c>
      <c r="E767" s="0" t="n">
        <f aca="false">IF(C767&lt;=$C$10,1,IF(C767&lt;=$C$10+$C$11,2,3))</f>
        <v>3</v>
      </c>
      <c r="F767" s="0" t="n">
        <f aca="false">IF(E767=1,$C$4*SQRT(D767),IF(E767=2,$C$4+($C$5-$C$4)*D767,$C$6-($C$6-$C$5)*SQRT(1-D767)))</f>
        <v>7.47815536021494</v>
      </c>
    </row>
    <row r="768" customFormat="false" ht="15" hidden="false" customHeight="false" outlineLevel="0" collapsed="false">
      <c r="B768" s="0" t="n">
        <v>752</v>
      </c>
      <c r="C768" s="0" t="n">
        <f aca="true">RAND()</f>
        <v>0.16131713461263</v>
      </c>
      <c r="D768" s="0" t="n">
        <f aca="true">RAND()</f>
        <v>0.533991206163511</v>
      </c>
      <c r="E768" s="0" t="n">
        <f aca="false">IF(C768&lt;=$C$10,1,IF(C768&lt;=$C$10+$C$11,2,3))</f>
        <v>1</v>
      </c>
      <c r="F768" s="0" t="n">
        <f aca="false">IF(E768=1,$C$4*SQRT(D768),IF(E768=2,$C$4+($C$5-$C$4)*D768,$C$6-($C$6-$C$5)*SQRT(1-D768)))</f>
        <v>2.1922410577926</v>
      </c>
    </row>
    <row r="769" customFormat="false" ht="15" hidden="false" customHeight="false" outlineLevel="0" collapsed="false">
      <c r="B769" s="0" t="n">
        <v>753</v>
      </c>
      <c r="C769" s="0" t="n">
        <f aca="true">RAND()</f>
        <v>0.776026846427986</v>
      </c>
      <c r="D769" s="0" t="n">
        <f aca="true">RAND()</f>
        <v>0.622511165064873</v>
      </c>
      <c r="E769" s="0" t="n">
        <f aca="false">IF(C769&lt;=$C$10,1,IF(C769&lt;=$C$10+$C$11,2,3))</f>
        <v>2</v>
      </c>
      <c r="F769" s="0" t="n">
        <f aca="false">IF(E769=1,$C$4*SQRT(D769),IF(E769=2,$C$4+($C$5-$C$4)*D769,$C$6-($C$6-$C$5)*SQRT(1-D769)))</f>
        <v>5.49004466025949</v>
      </c>
    </row>
    <row r="770" customFormat="false" ht="15" hidden="false" customHeight="false" outlineLevel="0" collapsed="false">
      <c r="B770" s="0" t="n">
        <v>754</v>
      </c>
      <c r="C770" s="0" t="n">
        <f aca="true">RAND()</f>
        <v>0.376155361948469</v>
      </c>
      <c r="D770" s="0" t="n">
        <f aca="true">RAND()</f>
        <v>0.404418866538625</v>
      </c>
      <c r="E770" s="0" t="n">
        <f aca="false">IF(C770&lt;=$C$10,1,IF(C770&lt;=$C$10+$C$11,2,3))</f>
        <v>2</v>
      </c>
      <c r="F770" s="0" t="n">
        <f aca="false">IF(E770=1,$C$4*SQRT(D770),IF(E770=2,$C$4+($C$5-$C$4)*D770,$C$6-($C$6-$C$5)*SQRT(1-D770)))</f>
        <v>4.6176754661545</v>
      </c>
    </row>
    <row r="771" customFormat="false" ht="15" hidden="false" customHeight="false" outlineLevel="0" collapsed="false">
      <c r="B771" s="0" t="n">
        <v>755</v>
      </c>
      <c r="C771" s="0" t="n">
        <f aca="true">RAND()</f>
        <v>0.953488177843541</v>
      </c>
      <c r="D771" s="0" t="n">
        <f aca="true">RAND()</f>
        <v>0.292828210200652</v>
      </c>
      <c r="E771" s="0" t="n">
        <f aca="false">IF(C771&lt;=$C$10,1,IF(C771&lt;=$C$10+$C$11,2,3))</f>
        <v>3</v>
      </c>
      <c r="F771" s="0" t="n">
        <f aca="false">IF(E771=1,$C$4*SQRT(D771),IF(E771=2,$C$4+($C$5-$C$4)*D771,$C$6-($C$6-$C$5)*SQRT(1-D771)))</f>
        <v>7.47719479384671</v>
      </c>
    </row>
    <row r="772" customFormat="false" ht="15" hidden="false" customHeight="false" outlineLevel="0" collapsed="false">
      <c r="B772" s="0" t="n">
        <v>756</v>
      </c>
      <c r="C772" s="0" t="n">
        <f aca="true">RAND()</f>
        <v>0.57634253991075</v>
      </c>
      <c r="D772" s="0" t="n">
        <f aca="true">RAND()</f>
        <v>0.646305717906451</v>
      </c>
      <c r="E772" s="0" t="n">
        <f aca="false">IF(C772&lt;=$C$10,1,IF(C772&lt;=$C$10+$C$11,2,3))</f>
        <v>2</v>
      </c>
      <c r="F772" s="0" t="n">
        <f aca="false">IF(E772=1,$C$4*SQRT(D772),IF(E772=2,$C$4+($C$5-$C$4)*D772,$C$6-($C$6-$C$5)*SQRT(1-D772)))</f>
        <v>5.5852228716258</v>
      </c>
    </row>
    <row r="773" customFormat="false" ht="15" hidden="false" customHeight="false" outlineLevel="0" collapsed="false">
      <c r="B773" s="0" t="n">
        <v>757</v>
      </c>
      <c r="C773" s="0" t="n">
        <f aca="true">RAND()</f>
        <v>0.396207172519754</v>
      </c>
      <c r="D773" s="0" t="n">
        <f aca="true">RAND()</f>
        <v>0.497747551973895</v>
      </c>
      <c r="E773" s="0" t="n">
        <f aca="false">IF(C773&lt;=$C$10,1,IF(C773&lt;=$C$10+$C$11,2,3))</f>
        <v>2</v>
      </c>
      <c r="F773" s="0" t="n">
        <f aca="false">IF(E773=1,$C$4*SQRT(D773),IF(E773=2,$C$4+($C$5-$C$4)*D773,$C$6-($C$6-$C$5)*SQRT(1-D773)))</f>
        <v>4.99099020789558</v>
      </c>
    </row>
    <row r="774" customFormat="false" ht="15" hidden="false" customHeight="false" outlineLevel="0" collapsed="false">
      <c r="B774" s="0" t="n">
        <v>758</v>
      </c>
      <c r="C774" s="0" t="n">
        <f aca="true">RAND()</f>
        <v>0.790594615671578</v>
      </c>
      <c r="D774" s="0" t="n">
        <f aca="true">RAND()</f>
        <v>0.449622044954817</v>
      </c>
      <c r="E774" s="0" t="n">
        <f aca="false">IF(C774&lt;=$C$10,1,IF(C774&lt;=$C$10+$C$11,2,3))</f>
        <v>3</v>
      </c>
      <c r="F774" s="0" t="n">
        <f aca="false">IF(E774=1,$C$4*SQRT(D774),IF(E774=2,$C$4+($C$5-$C$4)*D774,$C$6-($C$6-$C$5)*SQRT(1-D774)))</f>
        <v>7.77437613343884</v>
      </c>
    </row>
    <row r="775" customFormat="false" ht="15" hidden="false" customHeight="false" outlineLevel="0" collapsed="false">
      <c r="B775" s="0" t="n">
        <v>759</v>
      </c>
      <c r="C775" s="0" t="n">
        <f aca="true">RAND()</f>
        <v>0.638695496629442</v>
      </c>
      <c r="D775" s="0" t="n">
        <f aca="true">RAND()</f>
        <v>0.608468760139837</v>
      </c>
      <c r="E775" s="0" t="n">
        <f aca="false">IF(C775&lt;=$C$10,1,IF(C775&lt;=$C$10+$C$11,2,3))</f>
        <v>2</v>
      </c>
      <c r="F775" s="0" t="n">
        <f aca="false">IF(E775=1,$C$4*SQRT(D775),IF(E775=2,$C$4+($C$5-$C$4)*D775,$C$6-($C$6-$C$5)*SQRT(1-D775)))</f>
        <v>5.43387504055935</v>
      </c>
    </row>
    <row r="776" customFormat="false" ht="15" hidden="false" customHeight="false" outlineLevel="0" collapsed="false">
      <c r="B776" s="0" t="n">
        <v>760</v>
      </c>
      <c r="C776" s="0" t="n">
        <f aca="true">RAND()</f>
        <v>0.0387324629380671</v>
      </c>
      <c r="D776" s="0" t="n">
        <f aca="true">RAND()</f>
        <v>0.543754377918617</v>
      </c>
      <c r="E776" s="0" t="n">
        <f aca="false">IF(C776&lt;=$C$10,1,IF(C776&lt;=$C$10+$C$11,2,3))</f>
        <v>1</v>
      </c>
      <c r="F776" s="0" t="n">
        <f aca="false">IF(E776=1,$C$4*SQRT(D776),IF(E776=2,$C$4+($C$5-$C$4)*D776,$C$6-($C$6-$C$5)*SQRT(1-D776)))</f>
        <v>2.21219108606548</v>
      </c>
    </row>
    <row r="777" customFormat="false" ht="15" hidden="false" customHeight="false" outlineLevel="0" collapsed="false">
      <c r="B777" s="0" t="n">
        <v>761</v>
      </c>
      <c r="C777" s="0" t="n">
        <f aca="true">RAND()</f>
        <v>0.554849265982147</v>
      </c>
      <c r="D777" s="0" t="n">
        <f aca="true">RAND()</f>
        <v>0.251020695196388</v>
      </c>
      <c r="E777" s="0" t="n">
        <f aca="false">IF(C777&lt;=$C$10,1,IF(C777&lt;=$C$10+$C$11,2,3))</f>
        <v>2</v>
      </c>
      <c r="F777" s="0" t="n">
        <f aca="false">IF(E777=1,$C$4*SQRT(D777),IF(E777=2,$C$4+($C$5-$C$4)*D777,$C$6-($C$6-$C$5)*SQRT(1-D777)))</f>
        <v>4.00408278078555</v>
      </c>
    </row>
    <row r="778" customFormat="false" ht="15" hidden="false" customHeight="false" outlineLevel="0" collapsed="false">
      <c r="B778" s="0" t="n">
        <v>762</v>
      </c>
      <c r="C778" s="0" t="n">
        <f aca="true">RAND()</f>
        <v>0.626260396091868</v>
      </c>
      <c r="D778" s="0" t="n">
        <f aca="true">RAND()</f>
        <v>0.515154463407688</v>
      </c>
      <c r="E778" s="0" t="n">
        <f aca="false">IF(C778&lt;=$C$10,1,IF(C778&lt;=$C$10+$C$11,2,3))</f>
        <v>2</v>
      </c>
      <c r="F778" s="0" t="n">
        <f aca="false">IF(E778=1,$C$4*SQRT(D778),IF(E778=2,$C$4+($C$5-$C$4)*D778,$C$6-($C$6-$C$5)*SQRT(1-D778)))</f>
        <v>5.06061785363075</v>
      </c>
    </row>
    <row r="779" customFormat="false" ht="15" hidden="false" customHeight="false" outlineLevel="0" collapsed="false">
      <c r="B779" s="0" t="n">
        <v>763</v>
      </c>
      <c r="C779" s="0" t="n">
        <f aca="true">RAND()</f>
        <v>0.0503376189716396</v>
      </c>
      <c r="D779" s="0" t="n">
        <f aca="true">RAND()</f>
        <v>0.90325719810348</v>
      </c>
      <c r="E779" s="0" t="n">
        <f aca="false">IF(C779&lt;=$C$10,1,IF(C779&lt;=$C$10+$C$11,2,3))</f>
        <v>1</v>
      </c>
      <c r="F779" s="0" t="n">
        <f aca="false">IF(E779=1,$C$4*SQRT(D779),IF(E779=2,$C$4+($C$5-$C$4)*D779,$C$6-($C$6-$C$5)*SQRT(1-D779)))</f>
        <v>2.85119532528575</v>
      </c>
    </row>
    <row r="780" customFormat="false" ht="15" hidden="false" customHeight="false" outlineLevel="0" collapsed="false">
      <c r="B780" s="0" t="n">
        <v>764</v>
      </c>
      <c r="C780" s="0" t="n">
        <f aca="true">RAND()</f>
        <v>0.045283360815359</v>
      </c>
      <c r="D780" s="0" t="n">
        <f aca="true">RAND()</f>
        <v>0.481655963767275</v>
      </c>
      <c r="E780" s="0" t="n">
        <f aca="false">IF(C780&lt;=$C$10,1,IF(C780&lt;=$C$10+$C$11,2,3))</f>
        <v>1</v>
      </c>
      <c r="F780" s="0" t="n">
        <f aca="false">IF(E780=1,$C$4*SQRT(D780),IF(E780=2,$C$4+($C$5-$C$4)*D780,$C$6-($C$6-$C$5)*SQRT(1-D780)))</f>
        <v>2.08204314890578</v>
      </c>
    </row>
    <row r="781" customFormat="false" ht="15" hidden="false" customHeight="false" outlineLevel="0" collapsed="false">
      <c r="B781" s="0" t="n">
        <v>765</v>
      </c>
      <c r="C781" s="0" t="n">
        <f aca="true">RAND()</f>
        <v>0.635486316990104</v>
      </c>
      <c r="D781" s="0" t="n">
        <f aca="true">RAND()</f>
        <v>0.768355486456198</v>
      </c>
      <c r="E781" s="0" t="n">
        <f aca="false">IF(C781&lt;=$C$10,1,IF(C781&lt;=$C$10+$C$11,2,3))</f>
        <v>2</v>
      </c>
      <c r="F781" s="0" t="n">
        <f aca="false">IF(E781=1,$C$4*SQRT(D781),IF(E781=2,$C$4+($C$5-$C$4)*D781,$C$6-($C$6-$C$5)*SQRT(1-D781)))</f>
        <v>6.07342194582479</v>
      </c>
    </row>
    <row r="782" customFormat="false" ht="15" hidden="false" customHeight="false" outlineLevel="0" collapsed="false">
      <c r="B782" s="0" t="n">
        <v>766</v>
      </c>
      <c r="C782" s="0" t="n">
        <f aca="true">RAND()</f>
        <v>0.618119749295515</v>
      </c>
      <c r="D782" s="0" t="n">
        <f aca="true">RAND()</f>
        <v>0.656682260101756</v>
      </c>
      <c r="E782" s="0" t="n">
        <f aca="false">IF(C782&lt;=$C$10,1,IF(C782&lt;=$C$10+$C$11,2,3))</f>
        <v>2</v>
      </c>
      <c r="F782" s="0" t="n">
        <f aca="false">IF(E782=1,$C$4*SQRT(D782),IF(E782=2,$C$4+($C$5-$C$4)*D782,$C$6-($C$6-$C$5)*SQRT(1-D782)))</f>
        <v>5.62672904040702</v>
      </c>
    </row>
    <row r="783" customFormat="false" ht="15" hidden="false" customHeight="false" outlineLevel="0" collapsed="false">
      <c r="B783" s="0" t="n">
        <v>767</v>
      </c>
      <c r="C783" s="0" t="n">
        <f aca="true">RAND()</f>
        <v>0.643353060449622</v>
      </c>
      <c r="D783" s="0" t="n">
        <f aca="true">RAND()</f>
        <v>0.836560017269694</v>
      </c>
      <c r="E783" s="0" t="n">
        <f aca="false">IF(C783&lt;=$C$10,1,IF(C783&lt;=$C$10+$C$11,2,3))</f>
        <v>2</v>
      </c>
      <c r="F783" s="0" t="n">
        <f aca="false">IF(E783=1,$C$4*SQRT(D783),IF(E783=2,$C$4+($C$5-$C$4)*D783,$C$6-($C$6-$C$5)*SQRT(1-D783)))</f>
        <v>6.34624006907878</v>
      </c>
    </row>
    <row r="784" customFormat="false" ht="15" hidden="false" customHeight="false" outlineLevel="0" collapsed="false">
      <c r="B784" s="0" t="n">
        <v>768</v>
      </c>
      <c r="C784" s="0" t="n">
        <f aca="true">RAND()</f>
        <v>0.0861389774420938</v>
      </c>
      <c r="D784" s="0" t="n">
        <f aca="true">RAND()</f>
        <v>0.988245673610209</v>
      </c>
      <c r="E784" s="0" t="n">
        <f aca="false">IF(C784&lt;=$C$10,1,IF(C784&lt;=$C$10+$C$11,2,3))</f>
        <v>1</v>
      </c>
      <c r="F784" s="0" t="n">
        <f aca="false">IF(E784=1,$C$4*SQRT(D784),IF(E784=2,$C$4+($C$5-$C$4)*D784,$C$6-($C$6-$C$5)*SQRT(1-D784)))</f>
        <v>2.98231639208382</v>
      </c>
    </row>
    <row r="785" customFormat="false" ht="15" hidden="false" customHeight="false" outlineLevel="0" collapsed="false">
      <c r="B785" s="0" t="n">
        <v>769</v>
      </c>
      <c r="C785" s="0" t="n">
        <f aca="true">RAND()</f>
        <v>0.581688801911981</v>
      </c>
      <c r="D785" s="0" t="n">
        <f aca="true">RAND()</f>
        <v>0.49484159518695</v>
      </c>
      <c r="E785" s="0" t="n">
        <f aca="false">IF(C785&lt;=$C$10,1,IF(C785&lt;=$C$10+$C$11,2,3))</f>
        <v>2</v>
      </c>
      <c r="F785" s="0" t="n">
        <f aca="false">IF(E785=1,$C$4*SQRT(D785),IF(E785=2,$C$4+($C$5-$C$4)*D785,$C$6-($C$6-$C$5)*SQRT(1-D785)))</f>
        <v>4.9793663807478</v>
      </c>
    </row>
    <row r="786" customFormat="false" ht="15" hidden="false" customHeight="false" outlineLevel="0" collapsed="false">
      <c r="B786" s="0" t="n">
        <v>770</v>
      </c>
      <c r="C786" s="0" t="n">
        <f aca="true">RAND()</f>
        <v>0.280294562370896</v>
      </c>
      <c r="D786" s="0" t="n">
        <f aca="true">RAND()</f>
        <v>0.0178321052789893</v>
      </c>
      <c r="E786" s="0" t="n">
        <f aca="false">IF(C786&lt;=$C$10,1,IF(C786&lt;=$C$10+$C$11,2,3))</f>
        <v>2</v>
      </c>
      <c r="F786" s="0" t="n">
        <f aca="false">IF(E786=1,$C$4*SQRT(D786),IF(E786=2,$C$4+($C$5-$C$4)*D786,$C$6-($C$6-$C$5)*SQRT(1-D786)))</f>
        <v>3.07132842111596</v>
      </c>
    </row>
    <row r="787" customFormat="false" ht="15" hidden="false" customHeight="false" outlineLevel="0" collapsed="false">
      <c r="B787" s="0" t="n">
        <v>771</v>
      </c>
      <c r="C787" s="0" t="n">
        <f aca="true">RAND()</f>
        <v>0.932460760290375</v>
      </c>
      <c r="D787" s="0" t="n">
        <f aca="true">RAND()</f>
        <v>0.732935121576576</v>
      </c>
      <c r="E787" s="0" t="n">
        <f aca="false">IF(C787&lt;=$C$10,1,IF(C787&lt;=$C$10+$C$11,2,3))</f>
        <v>3</v>
      </c>
      <c r="F787" s="0" t="n">
        <f aca="false">IF(E787=1,$C$4*SQRT(D787),IF(E787=2,$C$4+($C$5-$C$4)*D787,$C$6-($C$6-$C$5)*SQRT(1-D787)))</f>
        <v>8.44965039239183</v>
      </c>
    </row>
    <row r="788" customFormat="false" ht="15" hidden="false" customHeight="false" outlineLevel="0" collapsed="false">
      <c r="B788" s="0" t="n">
        <v>772</v>
      </c>
      <c r="C788" s="0" t="n">
        <f aca="true">RAND()</f>
        <v>0.581480867847404</v>
      </c>
      <c r="D788" s="0" t="n">
        <f aca="true">RAND()</f>
        <v>0.171117783077069</v>
      </c>
      <c r="E788" s="0" t="n">
        <f aca="false">IF(C788&lt;=$C$10,1,IF(C788&lt;=$C$10+$C$11,2,3))</f>
        <v>2</v>
      </c>
      <c r="F788" s="0" t="n">
        <f aca="false">IF(E788=1,$C$4*SQRT(D788),IF(E788=2,$C$4+($C$5-$C$4)*D788,$C$6-($C$6-$C$5)*SQRT(1-D788)))</f>
        <v>3.68447113230828</v>
      </c>
    </row>
    <row r="789" customFormat="false" ht="15" hidden="false" customHeight="false" outlineLevel="0" collapsed="false">
      <c r="B789" s="0" t="n">
        <v>773</v>
      </c>
      <c r="C789" s="0" t="n">
        <f aca="true">RAND()</f>
        <v>0.349373729619782</v>
      </c>
      <c r="D789" s="0" t="n">
        <f aca="true">RAND()</f>
        <v>0.870753906923939</v>
      </c>
      <c r="E789" s="0" t="n">
        <f aca="false">IF(C789&lt;=$C$10,1,IF(C789&lt;=$C$10+$C$11,2,3))</f>
        <v>2</v>
      </c>
      <c r="F789" s="0" t="n">
        <f aca="false">IF(E789=1,$C$4*SQRT(D789),IF(E789=2,$C$4+($C$5-$C$4)*D789,$C$6-($C$6-$C$5)*SQRT(1-D789)))</f>
        <v>6.48301562769576</v>
      </c>
    </row>
    <row r="790" customFormat="false" ht="15" hidden="false" customHeight="false" outlineLevel="0" collapsed="false">
      <c r="B790" s="0" t="n">
        <v>774</v>
      </c>
      <c r="C790" s="0" t="n">
        <f aca="true">RAND()</f>
        <v>0.769575959120393</v>
      </c>
      <c r="D790" s="0" t="n">
        <f aca="true">RAND()</f>
        <v>0.150774304048761</v>
      </c>
      <c r="E790" s="0" t="n">
        <f aca="false">IF(C790&lt;=$C$10,1,IF(C790&lt;=$C$10+$C$11,2,3))</f>
        <v>2</v>
      </c>
      <c r="F790" s="0" t="n">
        <f aca="false">IF(E790=1,$C$4*SQRT(D790),IF(E790=2,$C$4+($C$5-$C$4)*D790,$C$6-($C$6-$C$5)*SQRT(1-D790)))</f>
        <v>3.60309721619504</v>
      </c>
    </row>
    <row r="791" customFormat="false" ht="15" hidden="false" customHeight="false" outlineLevel="0" collapsed="false">
      <c r="B791" s="0" t="n">
        <v>775</v>
      </c>
      <c r="C791" s="0" t="n">
        <f aca="true">RAND()</f>
        <v>0.131411215314187</v>
      </c>
      <c r="D791" s="0" t="n">
        <f aca="true">RAND()</f>
        <v>0.82942192392908</v>
      </c>
      <c r="E791" s="0" t="n">
        <f aca="false">IF(C791&lt;=$C$10,1,IF(C791&lt;=$C$10+$C$11,2,3))</f>
        <v>1</v>
      </c>
      <c r="F791" s="0" t="n">
        <f aca="false">IF(E791=1,$C$4*SQRT(D791),IF(E791=2,$C$4+($C$5-$C$4)*D791,$C$6-($C$6-$C$5)*SQRT(1-D791)))</f>
        <v>2.73217812657991</v>
      </c>
    </row>
    <row r="792" customFormat="false" ht="15" hidden="false" customHeight="false" outlineLevel="0" collapsed="false">
      <c r="B792" s="0" t="n">
        <v>776</v>
      </c>
      <c r="C792" s="0" t="n">
        <f aca="true">RAND()</f>
        <v>0.567813679234026</v>
      </c>
      <c r="D792" s="0" t="n">
        <f aca="true">RAND()</f>
        <v>0.514789131461279</v>
      </c>
      <c r="E792" s="0" t="n">
        <f aca="false">IF(C792&lt;=$C$10,1,IF(C792&lt;=$C$10+$C$11,2,3))</f>
        <v>2</v>
      </c>
      <c r="F792" s="0" t="n">
        <f aca="false">IF(E792=1,$C$4*SQRT(D792),IF(E792=2,$C$4+($C$5-$C$4)*D792,$C$6-($C$6-$C$5)*SQRT(1-D792)))</f>
        <v>5.05915652584512</v>
      </c>
    </row>
    <row r="793" customFormat="false" ht="15" hidden="false" customHeight="false" outlineLevel="0" collapsed="false">
      <c r="B793" s="0" t="n">
        <v>777</v>
      </c>
      <c r="C793" s="0" t="n">
        <f aca="true">RAND()</f>
        <v>0.712367783696962</v>
      </c>
      <c r="D793" s="0" t="n">
        <f aca="true">RAND()</f>
        <v>0.669948324093441</v>
      </c>
      <c r="E793" s="0" t="n">
        <f aca="false">IF(C793&lt;=$C$10,1,IF(C793&lt;=$C$10+$C$11,2,3))</f>
        <v>2</v>
      </c>
      <c r="F793" s="0" t="n">
        <f aca="false">IF(E793=1,$C$4*SQRT(D793),IF(E793=2,$C$4+($C$5-$C$4)*D793,$C$6-($C$6-$C$5)*SQRT(1-D793)))</f>
        <v>5.67979329637376</v>
      </c>
    </row>
    <row r="794" customFormat="false" ht="15" hidden="false" customHeight="false" outlineLevel="0" collapsed="false">
      <c r="B794" s="0" t="n">
        <v>778</v>
      </c>
      <c r="C794" s="0" t="n">
        <f aca="true">RAND()</f>
        <v>0.377653484787198</v>
      </c>
      <c r="D794" s="0" t="n">
        <f aca="true">RAND()</f>
        <v>0.583887020903192</v>
      </c>
      <c r="E794" s="0" t="n">
        <f aca="false">IF(C794&lt;=$C$10,1,IF(C794&lt;=$C$10+$C$11,2,3))</f>
        <v>2</v>
      </c>
      <c r="F794" s="0" t="n">
        <f aca="false">IF(E794=1,$C$4*SQRT(D794),IF(E794=2,$C$4+($C$5-$C$4)*D794,$C$6-($C$6-$C$5)*SQRT(1-D794)))</f>
        <v>5.33554808361277</v>
      </c>
    </row>
    <row r="795" customFormat="false" ht="15" hidden="false" customHeight="false" outlineLevel="0" collapsed="false">
      <c r="B795" s="0" t="n">
        <v>779</v>
      </c>
      <c r="C795" s="0" t="n">
        <f aca="true">RAND()</f>
        <v>0.852376199871511</v>
      </c>
      <c r="D795" s="0" t="n">
        <f aca="true">RAND()</f>
        <v>0.536983709296393</v>
      </c>
      <c r="E795" s="0" t="n">
        <f aca="false">IF(C795&lt;=$C$10,1,IF(C795&lt;=$C$10+$C$11,2,3))</f>
        <v>3</v>
      </c>
      <c r="F795" s="0" t="n">
        <f aca="false">IF(E795=1,$C$4*SQRT(D795),IF(E795=2,$C$4+($C$5-$C$4)*D795,$C$6-($C$6-$C$5)*SQRT(1-D795)))</f>
        <v>7.95864098788761</v>
      </c>
    </row>
    <row r="796" customFormat="false" ht="15" hidden="false" customHeight="false" outlineLevel="0" collapsed="false">
      <c r="B796" s="0" t="n">
        <v>780</v>
      </c>
      <c r="C796" s="0" t="n">
        <f aca="true">RAND()</f>
        <v>0.00368420782253844</v>
      </c>
      <c r="D796" s="0" t="n">
        <f aca="true">RAND()</f>
        <v>0.974492678387967</v>
      </c>
      <c r="E796" s="0" t="n">
        <f aca="false">IF(C796&lt;=$C$10,1,IF(C796&lt;=$C$10+$C$11,2,3))</f>
        <v>1</v>
      </c>
      <c r="F796" s="0" t="n">
        <f aca="false">IF(E796=1,$C$4*SQRT(D796),IF(E796=2,$C$4+($C$5-$C$4)*D796,$C$6-($C$6-$C$5)*SQRT(1-D796)))</f>
        <v>2.96149187158967</v>
      </c>
    </row>
    <row r="797" customFormat="false" ht="15" hidden="false" customHeight="false" outlineLevel="0" collapsed="false">
      <c r="B797" s="0" t="n">
        <v>781</v>
      </c>
      <c r="C797" s="0" t="n">
        <f aca="true">RAND()</f>
        <v>0.41128019599956</v>
      </c>
      <c r="D797" s="0" t="n">
        <f aca="true">RAND()</f>
        <v>0.63791428542115</v>
      </c>
      <c r="E797" s="0" t="n">
        <f aca="false">IF(C797&lt;=$C$10,1,IF(C797&lt;=$C$10+$C$11,2,3))</f>
        <v>2</v>
      </c>
      <c r="F797" s="0" t="n">
        <f aca="false">IF(E797=1,$C$4*SQRT(D797),IF(E797=2,$C$4+($C$5-$C$4)*D797,$C$6-($C$6-$C$5)*SQRT(1-D797)))</f>
        <v>5.5516571416846</v>
      </c>
    </row>
    <row r="798" customFormat="false" ht="15" hidden="false" customHeight="false" outlineLevel="0" collapsed="false">
      <c r="B798" s="0" t="n">
        <v>782</v>
      </c>
      <c r="C798" s="0" t="n">
        <f aca="true">RAND()</f>
        <v>0.323123096040658</v>
      </c>
      <c r="D798" s="0" t="n">
        <f aca="true">RAND()</f>
        <v>0.253116253179284</v>
      </c>
      <c r="E798" s="0" t="n">
        <f aca="false">IF(C798&lt;=$C$10,1,IF(C798&lt;=$C$10+$C$11,2,3))</f>
        <v>2</v>
      </c>
      <c r="F798" s="0" t="n">
        <f aca="false">IF(E798=1,$C$4*SQRT(D798),IF(E798=2,$C$4+($C$5-$C$4)*D798,$C$6-($C$6-$C$5)*SQRT(1-D798)))</f>
        <v>4.01246501271714</v>
      </c>
    </row>
    <row r="799" customFormat="false" ht="15" hidden="false" customHeight="false" outlineLevel="0" collapsed="false">
      <c r="B799" s="0" t="n">
        <v>783</v>
      </c>
      <c r="C799" s="0" t="n">
        <f aca="true">RAND()</f>
        <v>0.0971210277716459</v>
      </c>
      <c r="D799" s="0" t="n">
        <f aca="true">RAND()</f>
        <v>0.0140292799591808</v>
      </c>
      <c r="E799" s="0" t="n">
        <f aca="false">IF(C799&lt;=$C$10,1,IF(C799&lt;=$C$10+$C$11,2,3))</f>
        <v>1</v>
      </c>
      <c r="F799" s="0" t="n">
        <f aca="false">IF(E799=1,$C$4*SQRT(D799),IF(E799=2,$C$4+($C$5-$C$4)*D799,$C$6-($C$6-$C$5)*SQRT(1-D799)))</f>
        <v>0.355335784340147</v>
      </c>
    </row>
    <row r="800" customFormat="false" ht="15" hidden="false" customHeight="false" outlineLevel="0" collapsed="false">
      <c r="B800" s="0" t="n">
        <v>784</v>
      </c>
      <c r="C800" s="0" t="n">
        <f aca="true">RAND()</f>
        <v>0.355860976400352</v>
      </c>
      <c r="D800" s="0" t="n">
        <f aca="true">RAND()</f>
        <v>0.773370091409152</v>
      </c>
      <c r="E800" s="0" t="n">
        <f aca="false">IF(C800&lt;=$C$10,1,IF(C800&lt;=$C$10+$C$11,2,3))</f>
        <v>2</v>
      </c>
      <c r="F800" s="0" t="n">
        <f aca="false">IF(E800=1,$C$4*SQRT(D800),IF(E800=2,$C$4+($C$5-$C$4)*D800,$C$6-($C$6-$C$5)*SQRT(1-D800)))</f>
        <v>6.09348036563661</v>
      </c>
    </row>
    <row r="801" customFormat="false" ht="15" hidden="false" customHeight="false" outlineLevel="0" collapsed="false">
      <c r="B801" s="0" t="n">
        <v>785</v>
      </c>
      <c r="C801" s="0" t="n">
        <f aca="true">RAND()</f>
        <v>0.679014560513017</v>
      </c>
      <c r="D801" s="0" t="n">
        <f aca="true">RAND()</f>
        <v>0.278521876601427</v>
      </c>
      <c r="E801" s="0" t="n">
        <f aca="false">IF(C801&lt;=$C$10,1,IF(C801&lt;=$C$10+$C$11,2,3))</f>
        <v>2</v>
      </c>
      <c r="F801" s="0" t="n">
        <f aca="false">IF(E801=1,$C$4*SQRT(D801),IF(E801=2,$C$4+($C$5-$C$4)*D801,$C$6-($C$6-$C$5)*SQRT(1-D801)))</f>
        <v>4.11408750640571</v>
      </c>
    </row>
    <row r="802" customFormat="false" ht="15" hidden="false" customHeight="false" outlineLevel="0" collapsed="false">
      <c r="B802" s="0" t="n">
        <v>786</v>
      </c>
      <c r="C802" s="0" t="n">
        <f aca="true">RAND()</f>
        <v>0.988086980147452</v>
      </c>
      <c r="D802" s="0" t="n">
        <f aca="true">RAND()</f>
        <v>0.734803355010476</v>
      </c>
      <c r="E802" s="0" t="n">
        <f aca="false">IF(C802&lt;=$C$10,1,IF(C802&lt;=$C$10+$C$11,2,3))</f>
        <v>3</v>
      </c>
      <c r="F802" s="0" t="n">
        <f aca="false">IF(E802=1,$C$4*SQRT(D802),IF(E802=2,$C$4+($C$5-$C$4)*D802,$C$6-($C$6-$C$5)*SQRT(1-D802)))</f>
        <v>8.45508258961661</v>
      </c>
    </row>
    <row r="803" customFormat="false" ht="15" hidden="false" customHeight="false" outlineLevel="0" collapsed="false">
      <c r="B803" s="0" t="n">
        <v>787</v>
      </c>
      <c r="C803" s="0" t="n">
        <f aca="true">RAND()</f>
        <v>0.875316518605414</v>
      </c>
      <c r="D803" s="0" t="n">
        <f aca="true">RAND()</f>
        <v>0.880497650298358</v>
      </c>
      <c r="E803" s="0" t="n">
        <f aca="false">IF(C803&lt;=$C$10,1,IF(C803&lt;=$C$10+$C$11,2,3))</f>
        <v>3</v>
      </c>
      <c r="F803" s="0" t="n">
        <f aca="false">IF(E803=1,$C$4*SQRT(D803),IF(E803=2,$C$4+($C$5-$C$4)*D803,$C$6-($C$6-$C$5)*SQRT(1-D803)))</f>
        <v>8.96292664323357</v>
      </c>
    </row>
    <row r="804" customFormat="false" ht="15" hidden="false" customHeight="false" outlineLevel="0" collapsed="false">
      <c r="B804" s="0" t="n">
        <v>788</v>
      </c>
      <c r="C804" s="0" t="n">
        <f aca="true">RAND()</f>
        <v>0.631876149587204</v>
      </c>
      <c r="D804" s="0" t="n">
        <f aca="true">RAND()</f>
        <v>0.777097223374296</v>
      </c>
      <c r="E804" s="0" t="n">
        <f aca="false">IF(C804&lt;=$C$10,1,IF(C804&lt;=$C$10+$C$11,2,3))</f>
        <v>2</v>
      </c>
      <c r="F804" s="0" t="n">
        <f aca="false">IF(E804=1,$C$4*SQRT(D804),IF(E804=2,$C$4+($C$5-$C$4)*D804,$C$6-($C$6-$C$5)*SQRT(1-D804)))</f>
        <v>6.10838889349718</v>
      </c>
    </row>
    <row r="805" customFormat="false" ht="15" hidden="false" customHeight="false" outlineLevel="0" collapsed="false">
      <c r="B805" s="0" t="n">
        <v>789</v>
      </c>
      <c r="C805" s="0" t="n">
        <f aca="true">RAND()</f>
        <v>0.211752140417443</v>
      </c>
      <c r="D805" s="0" t="n">
        <f aca="true">RAND()</f>
        <v>0.223082925068384</v>
      </c>
      <c r="E805" s="0" t="n">
        <f aca="false">IF(C805&lt;=$C$10,1,IF(C805&lt;=$C$10+$C$11,2,3))</f>
        <v>1</v>
      </c>
      <c r="F805" s="0" t="n">
        <f aca="false">IF(E805=1,$C$4*SQRT(D805),IF(E805=2,$C$4+($C$5-$C$4)*D805,$C$6-($C$6-$C$5)*SQRT(1-D805)))</f>
        <v>1.41694965528612</v>
      </c>
    </row>
    <row r="806" customFormat="false" ht="15" hidden="false" customHeight="false" outlineLevel="0" collapsed="false">
      <c r="B806" s="0" t="n">
        <v>790</v>
      </c>
      <c r="C806" s="0" t="n">
        <f aca="true">RAND()</f>
        <v>0.00508776902364278</v>
      </c>
      <c r="D806" s="0" t="n">
        <f aca="true">RAND()</f>
        <v>0.171381084469412</v>
      </c>
      <c r="E806" s="0" t="n">
        <f aca="false">IF(C806&lt;=$C$10,1,IF(C806&lt;=$C$10+$C$11,2,3))</f>
        <v>1</v>
      </c>
      <c r="F806" s="0" t="n">
        <f aca="false">IF(E806=1,$C$4*SQRT(D806),IF(E806=2,$C$4+($C$5-$C$4)*D806,$C$6-($C$6-$C$5)*SQRT(1-D806)))</f>
        <v>1.24194595704673</v>
      </c>
    </row>
    <row r="807" customFormat="false" ht="15" hidden="false" customHeight="false" outlineLevel="0" collapsed="false">
      <c r="B807" s="0" t="n">
        <v>791</v>
      </c>
      <c r="C807" s="0" t="n">
        <f aca="true">RAND()</f>
        <v>0.855655088251798</v>
      </c>
      <c r="D807" s="0" t="n">
        <f aca="true">RAND()</f>
        <v>0.493941616140381</v>
      </c>
      <c r="E807" s="0" t="n">
        <f aca="false">IF(C807&lt;=$C$10,1,IF(C807&lt;=$C$10+$C$11,2,3))</f>
        <v>3</v>
      </c>
      <c r="F807" s="0" t="n">
        <f aca="false">IF(E807=1,$C$4*SQRT(D807),IF(E807=2,$C$4+($C$5-$C$4)*D807,$C$6-($C$6-$C$5)*SQRT(1-D807)))</f>
        <v>7.86586657991198</v>
      </c>
    </row>
    <row r="808" customFormat="false" ht="15" hidden="false" customHeight="false" outlineLevel="0" collapsed="false">
      <c r="B808" s="0" t="n">
        <v>792</v>
      </c>
      <c r="C808" s="0" t="n">
        <f aca="true">RAND()</f>
        <v>0.472307594359611</v>
      </c>
      <c r="D808" s="0" t="n">
        <f aca="true">RAND()</f>
        <v>0.207399380797436</v>
      </c>
      <c r="E808" s="0" t="n">
        <f aca="false">IF(C808&lt;=$C$10,1,IF(C808&lt;=$C$10+$C$11,2,3))</f>
        <v>2</v>
      </c>
      <c r="F808" s="0" t="n">
        <f aca="false">IF(E808=1,$C$4*SQRT(D808),IF(E808=2,$C$4+($C$5-$C$4)*D808,$C$6-($C$6-$C$5)*SQRT(1-D808)))</f>
        <v>3.82959752318975</v>
      </c>
    </row>
    <row r="809" customFormat="false" ht="15" hidden="false" customHeight="false" outlineLevel="0" collapsed="false">
      <c r="B809" s="0" t="n">
        <v>793</v>
      </c>
      <c r="C809" s="0" t="n">
        <f aca="true">RAND()</f>
        <v>0.071515690432414</v>
      </c>
      <c r="D809" s="0" t="n">
        <f aca="true">RAND()</f>
        <v>0.10557816611627</v>
      </c>
      <c r="E809" s="0" t="n">
        <f aca="false">IF(C809&lt;=$C$10,1,IF(C809&lt;=$C$10+$C$11,2,3))</f>
        <v>1</v>
      </c>
      <c r="F809" s="0" t="n">
        <f aca="false">IF(E809=1,$C$4*SQRT(D809),IF(E809=2,$C$4+($C$5-$C$4)*D809,$C$6-($C$6-$C$5)*SQRT(1-D809)))</f>
        <v>0.974783819647428</v>
      </c>
    </row>
    <row r="810" customFormat="false" ht="15" hidden="false" customHeight="false" outlineLevel="0" collapsed="false">
      <c r="B810" s="0" t="n">
        <v>794</v>
      </c>
      <c r="C810" s="0" t="n">
        <f aca="true">RAND()</f>
        <v>0.474117325106088</v>
      </c>
      <c r="D810" s="0" t="n">
        <f aca="true">RAND()</f>
        <v>0.894151000958056</v>
      </c>
      <c r="E810" s="0" t="n">
        <f aca="false">IF(C810&lt;=$C$10,1,IF(C810&lt;=$C$10+$C$11,2,3))</f>
        <v>2</v>
      </c>
      <c r="F810" s="0" t="n">
        <f aca="false">IF(E810=1,$C$4*SQRT(D810),IF(E810=2,$C$4+($C$5-$C$4)*D810,$C$6-($C$6-$C$5)*SQRT(1-D810)))</f>
        <v>6.57660400383222</v>
      </c>
    </row>
    <row r="811" customFormat="false" ht="15" hidden="false" customHeight="false" outlineLevel="0" collapsed="false">
      <c r="B811" s="0" t="n">
        <v>795</v>
      </c>
      <c r="C811" s="0" t="n">
        <f aca="true">RAND()</f>
        <v>0.663987566322299</v>
      </c>
      <c r="D811" s="0" t="n">
        <f aca="true">RAND()</f>
        <v>0.499531344283376</v>
      </c>
      <c r="E811" s="0" t="n">
        <f aca="false">IF(C811&lt;=$C$10,1,IF(C811&lt;=$C$10+$C$11,2,3))</f>
        <v>2</v>
      </c>
      <c r="F811" s="0" t="n">
        <f aca="false">IF(E811=1,$C$4*SQRT(D811),IF(E811=2,$C$4+($C$5-$C$4)*D811,$C$6-($C$6-$C$5)*SQRT(1-D811)))</f>
        <v>4.9981253771335</v>
      </c>
    </row>
    <row r="812" customFormat="false" ht="15" hidden="false" customHeight="false" outlineLevel="0" collapsed="false">
      <c r="B812" s="0" t="n">
        <v>796</v>
      </c>
      <c r="C812" s="0" t="n">
        <f aca="true">RAND()</f>
        <v>0.0553485320021874</v>
      </c>
      <c r="D812" s="0" t="n">
        <f aca="true">RAND()</f>
        <v>0.780084999928942</v>
      </c>
      <c r="E812" s="0" t="n">
        <f aca="false">IF(C812&lt;=$C$10,1,IF(C812&lt;=$C$10+$C$11,2,3))</f>
        <v>1</v>
      </c>
      <c r="F812" s="0" t="n">
        <f aca="false">IF(E812=1,$C$4*SQRT(D812),IF(E812=2,$C$4+($C$5-$C$4)*D812,$C$6-($C$6-$C$5)*SQRT(1-D812)))</f>
        <v>2.64967262116671</v>
      </c>
    </row>
    <row r="813" customFormat="false" ht="15" hidden="false" customHeight="false" outlineLevel="0" collapsed="false">
      <c r="B813" s="0" t="n">
        <v>797</v>
      </c>
      <c r="C813" s="0" t="n">
        <f aca="true">RAND()</f>
        <v>0.876856266913138</v>
      </c>
      <c r="D813" s="0" t="n">
        <f aca="true">RAND()</f>
        <v>0.539178999100521</v>
      </c>
      <c r="E813" s="0" t="n">
        <f aca="false">IF(C813&lt;=$C$10,1,IF(C813&lt;=$C$10+$C$11,2,3))</f>
        <v>3</v>
      </c>
      <c r="F813" s="0" t="n">
        <f aca="false">IF(E813=1,$C$4*SQRT(D813),IF(E813=2,$C$4+($C$5-$C$4)*D813,$C$6-($C$6-$C$5)*SQRT(1-D813)))</f>
        <v>7.96348606484137</v>
      </c>
    </row>
    <row r="814" customFormat="false" ht="15" hidden="false" customHeight="false" outlineLevel="0" collapsed="false">
      <c r="B814" s="0" t="n">
        <v>798</v>
      </c>
      <c r="C814" s="0" t="n">
        <f aca="true">RAND()</f>
        <v>0.284876009579193</v>
      </c>
      <c r="D814" s="0" t="n">
        <f aca="true">RAND()</f>
        <v>0.365901193576108</v>
      </c>
      <c r="E814" s="0" t="n">
        <f aca="false">IF(C814&lt;=$C$10,1,IF(C814&lt;=$C$10+$C$11,2,3))</f>
        <v>2</v>
      </c>
      <c r="F814" s="0" t="n">
        <f aca="false">IF(E814=1,$C$4*SQRT(D814),IF(E814=2,$C$4+($C$5-$C$4)*D814,$C$6-($C$6-$C$5)*SQRT(1-D814)))</f>
        <v>4.46360477430443</v>
      </c>
    </row>
    <row r="815" customFormat="false" ht="15" hidden="false" customHeight="false" outlineLevel="0" collapsed="false">
      <c r="B815" s="0" t="n">
        <v>799</v>
      </c>
      <c r="C815" s="0" t="n">
        <f aca="true">RAND()</f>
        <v>0.112132769273566</v>
      </c>
      <c r="D815" s="0" t="n">
        <f aca="true">RAND()</f>
        <v>0.702135868649076</v>
      </c>
      <c r="E815" s="0" t="n">
        <f aca="false">IF(C815&lt;=$C$10,1,IF(C815&lt;=$C$10+$C$11,2,3))</f>
        <v>1</v>
      </c>
      <c r="F815" s="0" t="n">
        <f aca="false">IF(E815=1,$C$4*SQRT(D815),IF(E815=2,$C$4+($C$5-$C$4)*D815,$C$6-($C$6-$C$5)*SQRT(1-D815)))</f>
        <v>2.51380644001118</v>
      </c>
    </row>
    <row r="816" customFormat="false" ht="15" hidden="false" customHeight="false" outlineLevel="0" collapsed="false">
      <c r="B816" s="0" t="n">
        <v>800</v>
      </c>
      <c r="C816" s="0" t="n">
        <f aca="true">RAND()</f>
        <v>0.313873816904089</v>
      </c>
      <c r="D816" s="0" t="n">
        <f aca="true">RAND()</f>
        <v>0.505465072971571</v>
      </c>
      <c r="E816" s="0" t="n">
        <f aca="false">IF(C816&lt;=$C$10,1,IF(C816&lt;=$C$10+$C$11,2,3))</f>
        <v>2</v>
      </c>
      <c r="F816" s="0" t="n">
        <f aca="false">IF(E816=1,$C$4*SQRT(D816),IF(E816=2,$C$4+($C$5-$C$4)*D816,$C$6-($C$6-$C$5)*SQRT(1-D816)))</f>
        <v>5.02186029188628</v>
      </c>
    </row>
    <row r="817" customFormat="false" ht="15" hidden="false" customHeight="false" outlineLevel="0" collapsed="false">
      <c r="B817" s="0" t="n">
        <v>801</v>
      </c>
      <c r="C817" s="0" t="n">
        <f aca="true">RAND()</f>
        <v>0.200275380637957</v>
      </c>
      <c r="D817" s="0" t="n">
        <f aca="true">RAND()</f>
        <v>0.239766642366948</v>
      </c>
      <c r="E817" s="0" t="n">
        <f aca="false">IF(C817&lt;=$C$10,1,IF(C817&lt;=$C$10+$C$11,2,3))</f>
        <v>1</v>
      </c>
      <c r="F817" s="0" t="n">
        <f aca="false">IF(E817=1,$C$4*SQRT(D817),IF(E817=2,$C$4+($C$5-$C$4)*D817,$C$6-($C$6-$C$5)*SQRT(1-D817)))</f>
        <v>1.46897916299127</v>
      </c>
    </row>
    <row r="818" customFormat="false" ht="15" hidden="false" customHeight="false" outlineLevel="0" collapsed="false">
      <c r="B818" s="0" t="n">
        <v>802</v>
      </c>
      <c r="C818" s="0" t="n">
        <f aca="true">RAND()</f>
        <v>0.380628838130324</v>
      </c>
      <c r="D818" s="0" t="n">
        <f aca="true">RAND()</f>
        <v>0.160623653334061</v>
      </c>
      <c r="E818" s="0" t="n">
        <f aca="false">IF(C818&lt;=$C$10,1,IF(C818&lt;=$C$10+$C$11,2,3))</f>
        <v>2</v>
      </c>
      <c r="F818" s="0" t="n">
        <f aca="false">IF(E818=1,$C$4*SQRT(D818),IF(E818=2,$C$4+($C$5-$C$4)*D818,$C$6-($C$6-$C$5)*SQRT(1-D818)))</f>
        <v>3.64249461333624</v>
      </c>
    </row>
    <row r="819" customFormat="false" ht="15" hidden="false" customHeight="false" outlineLevel="0" collapsed="false">
      <c r="B819" s="0" t="n">
        <v>803</v>
      </c>
      <c r="C819" s="0" t="n">
        <f aca="true">RAND()</f>
        <v>0.898069574102352</v>
      </c>
      <c r="D819" s="0" t="n">
        <f aca="true">RAND()</f>
        <v>0.842967269698653</v>
      </c>
      <c r="E819" s="0" t="n">
        <f aca="false">IF(C819&lt;=$C$10,1,IF(C819&lt;=$C$10+$C$11,2,3))</f>
        <v>3</v>
      </c>
      <c r="F819" s="0" t="n">
        <f aca="false">IF(E819=1,$C$4*SQRT(D819),IF(E819=2,$C$4+($C$5-$C$4)*D819,$C$6-($C$6-$C$5)*SQRT(1-D819)))</f>
        <v>8.81117933534443</v>
      </c>
    </row>
    <row r="820" customFormat="false" ht="15" hidden="false" customHeight="false" outlineLevel="0" collapsed="false">
      <c r="B820" s="0" t="n">
        <v>804</v>
      </c>
      <c r="C820" s="0" t="n">
        <f aca="true">RAND()</f>
        <v>0.687523398255161</v>
      </c>
      <c r="D820" s="0" t="n">
        <f aca="true">RAND()</f>
        <v>0.360982313783694</v>
      </c>
      <c r="E820" s="0" t="n">
        <f aca="false">IF(C820&lt;=$C$10,1,IF(C820&lt;=$C$10+$C$11,2,3))</f>
        <v>2</v>
      </c>
      <c r="F820" s="0" t="n">
        <f aca="false">IF(E820=1,$C$4*SQRT(D820),IF(E820=2,$C$4+($C$5-$C$4)*D820,$C$6-($C$6-$C$5)*SQRT(1-D820)))</f>
        <v>4.44392925513478</v>
      </c>
    </row>
    <row r="821" customFormat="false" ht="15" hidden="false" customHeight="false" outlineLevel="0" collapsed="false">
      <c r="B821" s="0" t="n">
        <v>805</v>
      </c>
      <c r="C821" s="0" t="n">
        <f aca="true">RAND()</f>
        <v>0.438174794846783</v>
      </c>
      <c r="D821" s="0" t="n">
        <f aca="true">RAND()</f>
        <v>0.796021328207017</v>
      </c>
      <c r="E821" s="0" t="n">
        <f aca="false">IF(C821&lt;=$C$10,1,IF(C821&lt;=$C$10+$C$11,2,3))</f>
        <v>2</v>
      </c>
      <c r="F821" s="0" t="n">
        <f aca="false">IF(E821=1,$C$4*SQRT(D821),IF(E821=2,$C$4+($C$5-$C$4)*D821,$C$6-($C$6-$C$5)*SQRT(1-D821)))</f>
        <v>6.18408531282807</v>
      </c>
    </row>
    <row r="822" customFormat="false" ht="15" hidden="false" customHeight="false" outlineLevel="0" collapsed="false">
      <c r="B822" s="0" t="n">
        <v>806</v>
      </c>
      <c r="C822" s="0" t="n">
        <f aca="true">RAND()</f>
        <v>0.922300241840852</v>
      </c>
      <c r="D822" s="0" t="n">
        <f aca="true">RAND()</f>
        <v>0.957931526631992</v>
      </c>
      <c r="E822" s="0" t="n">
        <f aca="false">IF(C822&lt;=$C$10,1,IF(C822&lt;=$C$10+$C$11,2,3))</f>
        <v>3</v>
      </c>
      <c r="F822" s="0" t="n">
        <f aca="false">IF(E822=1,$C$4*SQRT(D822),IF(E822=2,$C$4+($C$5-$C$4)*D822,$C$6-($C$6-$C$5)*SQRT(1-D822)))</f>
        <v>9.384681984408</v>
      </c>
    </row>
    <row r="823" customFormat="false" ht="15" hidden="false" customHeight="false" outlineLevel="0" collapsed="false">
      <c r="B823" s="0" t="n">
        <v>807</v>
      </c>
      <c r="C823" s="0" t="n">
        <f aca="true">RAND()</f>
        <v>0.432426226366062</v>
      </c>
      <c r="D823" s="0" t="n">
        <f aca="true">RAND()</f>
        <v>0.408256565210962</v>
      </c>
      <c r="E823" s="0" t="n">
        <f aca="false">IF(C823&lt;=$C$10,1,IF(C823&lt;=$C$10+$C$11,2,3))</f>
        <v>2</v>
      </c>
      <c r="F823" s="0" t="n">
        <f aca="false">IF(E823=1,$C$4*SQRT(D823),IF(E823=2,$C$4+($C$5-$C$4)*D823,$C$6-($C$6-$C$5)*SQRT(1-D823)))</f>
        <v>4.63302626084385</v>
      </c>
    </row>
    <row r="824" customFormat="false" ht="15" hidden="false" customHeight="false" outlineLevel="0" collapsed="false">
      <c r="B824" s="0" t="n">
        <v>808</v>
      </c>
      <c r="C824" s="0" t="n">
        <f aca="true">RAND()</f>
        <v>0.217404579076939</v>
      </c>
      <c r="D824" s="0" t="n">
        <f aca="true">RAND()</f>
        <v>0.754469658484426</v>
      </c>
      <c r="E824" s="0" t="n">
        <f aca="false">IF(C824&lt;=$C$10,1,IF(C824&lt;=$C$10+$C$11,2,3))</f>
        <v>2</v>
      </c>
      <c r="F824" s="0" t="n">
        <f aca="false">IF(E824=1,$C$4*SQRT(D824),IF(E824=2,$C$4+($C$5-$C$4)*D824,$C$6-($C$6-$C$5)*SQRT(1-D824)))</f>
        <v>6.0178786339377</v>
      </c>
    </row>
    <row r="825" customFormat="false" ht="15" hidden="false" customHeight="false" outlineLevel="0" collapsed="false">
      <c r="B825" s="0" t="n">
        <v>809</v>
      </c>
      <c r="C825" s="0" t="n">
        <f aca="true">RAND()</f>
        <v>0.749175699960931</v>
      </c>
      <c r="D825" s="0" t="n">
        <f aca="true">RAND()</f>
        <v>0.716030590503269</v>
      </c>
      <c r="E825" s="0" t="n">
        <f aca="false">IF(C825&lt;=$C$10,1,IF(C825&lt;=$C$10+$C$11,2,3))</f>
        <v>2</v>
      </c>
      <c r="F825" s="0" t="n">
        <f aca="false">IF(E825=1,$C$4*SQRT(D825),IF(E825=2,$C$4+($C$5-$C$4)*D825,$C$6-($C$6-$C$5)*SQRT(1-D825)))</f>
        <v>5.86412236201308</v>
      </c>
    </row>
    <row r="826" customFormat="false" ht="15" hidden="false" customHeight="false" outlineLevel="0" collapsed="false">
      <c r="B826" s="0" t="n">
        <v>810</v>
      </c>
      <c r="C826" s="0" t="n">
        <f aca="true">RAND()</f>
        <v>0.230740280289129</v>
      </c>
      <c r="D826" s="0" t="n">
        <f aca="true">RAND()</f>
        <v>0.369883438251033</v>
      </c>
      <c r="E826" s="0" t="n">
        <f aca="false">IF(C826&lt;=$C$10,1,IF(C826&lt;=$C$10+$C$11,2,3))</f>
        <v>2</v>
      </c>
      <c r="F826" s="0" t="n">
        <f aca="false">IF(E826=1,$C$4*SQRT(D826),IF(E826=2,$C$4+($C$5-$C$4)*D826,$C$6-($C$6-$C$5)*SQRT(1-D826)))</f>
        <v>4.47953375300413</v>
      </c>
    </row>
    <row r="827" customFormat="false" ht="15" hidden="false" customHeight="false" outlineLevel="0" collapsed="false">
      <c r="B827" s="0" t="n">
        <v>811</v>
      </c>
      <c r="C827" s="0" t="n">
        <f aca="true">RAND()</f>
        <v>0.305436925050972</v>
      </c>
      <c r="D827" s="0" t="n">
        <f aca="true">RAND()</f>
        <v>0.228408425110625</v>
      </c>
      <c r="E827" s="0" t="n">
        <f aca="false">IF(C827&lt;=$C$10,1,IF(C827&lt;=$C$10+$C$11,2,3))</f>
        <v>2</v>
      </c>
      <c r="F827" s="0" t="n">
        <f aca="false">IF(E827=1,$C$4*SQRT(D827),IF(E827=2,$C$4+($C$5-$C$4)*D827,$C$6-($C$6-$C$5)*SQRT(1-D827)))</f>
        <v>3.9136337004425</v>
      </c>
    </row>
    <row r="828" customFormat="false" ht="15" hidden="false" customHeight="false" outlineLevel="0" collapsed="false">
      <c r="B828" s="0" t="n">
        <v>812</v>
      </c>
      <c r="C828" s="0" t="n">
        <f aca="true">RAND()</f>
        <v>0.820970528012394</v>
      </c>
      <c r="D828" s="0" t="n">
        <f aca="true">RAND()</f>
        <v>0.704876430075932</v>
      </c>
      <c r="E828" s="0" t="n">
        <f aca="false">IF(C828&lt;=$C$10,1,IF(C828&lt;=$C$10+$C$11,2,3))</f>
        <v>3</v>
      </c>
      <c r="F828" s="0" t="n">
        <f aca="false">IF(E828=1,$C$4*SQRT(D828),IF(E828=2,$C$4+($C$5-$C$4)*D828,$C$6-($C$6-$C$5)*SQRT(1-D828)))</f>
        <v>8.37024169604306</v>
      </c>
    </row>
    <row r="829" customFormat="false" ht="15" hidden="false" customHeight="false" outlineLevel="0" collapsed="false">
      <c r="B829" s="0" t="n">
        <v>813</v>
      </c>
      <c r="C829" s="0" t="n">
        <f aca="true">RAND()</f>
        <v>0.46621033461397</v>
      </c>
      <c r="D829" s="0" t="n">
        <f aca="true">RAND()</f>
        <v>0.874911592318782</v>
      </c>
      <c r="E829" s="0" t="n">
        <f aca="false">IF(C829&lt;=$C$10,1,IF(C829&lt;=$C$10+$C$11,2,3))</f>
        <v>2</v>
      </c>
      <c r="F829" s="0" t="n">
        <f aca="false">IF(E829=1,$C$4*SQRT(D829),IF(E829=2,$C$4+($C$5-$C$4)*D829,$C$6-($C$6-$C$5)*SQRT(1-D829)))</f>
        <v>6.49964636927513</v>
      </c>
    </row>
    <row r="830" customFormat="false" ht="15" hidden="false" customHeight="false" outlineLevel="0" collapsed="false">
      <c r="B830" s="0" t="n">
        <v>814</v>
      </c>
      <c r="C830" s="0" t="n">
        <f aca="true">RAND()</f>
        <v>0.421114953149868</v>
      </c>
      <c r="D830" s="0" t="n">
        <f aca="true">RAND()</f>
        <v>0.407704229268522</v>
      </c>
      <c r="E830" s="0" t="n">
        <f aca="false">IF(C830&lt;=$C$10,1,IF(C830&lt;=$C$10+$C$11,2,3))</f>
        <v>2</v>
      </c>
      <c r="F830" s="0" t="n">
        <f aca="false">IF(E830=1,$C$4*SQRT(D830),IF(E830=2,$C$4+($C$5-$C$4)*D830,$C$6-($C$6-$C$5)*SQRT(1-D830)))</f>
        <v>4.63081691707409</v>
      </c>
    </row>
    <row r="831" customFormat="false" ht="15" hidden="false" customHeight="false" outlineLevel="0" collapsed="false">
      <c r="B831" s="0" t="n">
        <v>815</v>
      </c>
      <c r="C831" s="0" t="n">
        <f aca="true">RAND()</f>
        <v>0.255305203207215</v>
      </c>
      <c r="D831" s="0" t="n">
        <f aca="true">RAND()</f>
        <v>0.556300017892733</v>
      </c>
      <c r="E831" s="0" t="n">
        <f aca="false">IF(C831&lt;=$C$10,1,IF(C831&lt;=$C$10+$C$11,2,3))</f>
        <v>2</v>
      </c>
      <c r="F831" s="0" t="n">
        <f aca="false">IF(E831=1,$C$4*SQRT(D831),IF(E831=2,$C$4+($C$5-$C$4)*D831,$C$6-($C$6-$C$5)*SQRT(1-D831)))</f>
        <v>5.22520007157093</v>
      </c>
    </row>
    <row r="832" customFormat="false" ht="15" hidden="false" customHeight="false" outlineLevel="0" collapsed="false">
      <c r="B832" s="0" t="n">
        <v>816</v>
      </c>
      <c r="C832" s="0" t="n">
        <f aca="true">RAND()</f>
        <v>0.507227112229613</v>
      </c>
      <c r="D832" s="0" t="n">
        <f aca="true">RAND()</f>
        <v>0.606011789551415</v>
      </c>
      <c r="E832" s="0" t="n">
        <f aca="false">IF(C832&lt;=$C$10,1,IF(C832&lt;=$C$10+$C$11,2,3))</f>
        <v>2</v>
      </c>
      <c r="F832" s="0" t="n">
        <f aca="false">IF(E832=1,$C$4*SQRT(D832),IF(E832=2,$C$4+($C$5-$C$4)*D832,$C$6-($C$6-$C$5)*SQRT(1-D832)))</f>
        <v>5.42404715820566</v>
      </c>
    </row>
    <row r="833" customFormat="false" ht="15" hidden="false" customHeight="false" outlineLevel="0" collapsed="false">
      <c r="B833" s="0" t="n">
        <v>817</v>
      </c>
      <c r="C833" s="0" t="n">
        <f aca="true">RAND()</f>
        <v>0.562701789389106</v>
      </c>
      <c r="D833" s="0" t="n">
        <f aca="true">RAND()</f>
        <v>0.663371163385437</v>
      </c>
      <c r="E833" s="0" t="n">
        <f aca="false">IF(C833&lt;=$C$10,1,IF(C833&lt;=$C$10+$C$11,2,3))</f>
        <v>2</v>
      </c>
      <c r="F833" s="0" t="n">
        <f aca="false">IF(E833=1,$C$4*SQRT(D833),IF(E833=2,$C$4+($C$5-$C$4)*D833,$C$6-($C$6-$C$5)*SQRT(1-D833)))</f>
        <v>5.65348465354175</v>
      </c>
    </row>
    <row r="834" customFormat="false" ht="15" hidden="false" customHeight="false" outlineLevel="0" collapsed="false">
      <c r="B834" s="0" t="n">
        <v>818</v>
      </c>
      <c r="C834" s="0" t="n">
        <f aca="true">RAND()</f>
        <v>0.900159134597092</v>
      </c>
      <c r="D834" s="0" t="n">
        <f aca="true">RAND()</f>
        <v>0.459527960929675</v>
      </c>
      <c r="E834" s="0" t="n">
        <f aca="false">IF(C834&lt;=$C$10,1,IF(C834&lt;=$C$10+$C$11,2,3))</f>
        <v>3</v>
      </c>
      <c r="F834" s="0" t="n">
        <f aca="false">IF(E834=1,$C$4*SQRT(D834),IF(E834=2,$C$4+($C$5-$C$4)*D834,$C$6-($C$6-$C$5)*SQRT(1-D834)))</f>
        <v>7.79449589625571</v>
      </c>
    </row>
    <row r="835" customFormat="false" ht="15" hidden="false" customHeight="false" outlineLevel="0" collapsed="false">
      <c r="B835" s="0" t="n">
        <v>819</v>
      </c>
      <c r="C835" s="0" t="n">
        <f aca="true">RAND()</f>
        <v>0.650662805385263</v>
      </c>
      <c r="D835" s="0" t="n">
        <f aca="true">RAND()</f>
        <v>0.587176978874791</v>
      </c>
      <c r="E835" s="0" t="n">
        <f aca="false">IF(C835&lt;=$C$10,1,IF(C835&lt;=$C$10+$C$11,2,3))</f>
        <v>2</v>
      </c>
      <c r="F835" s="0" t="n">
        <f aca="false">IF(E835=1,$C$4*SQRT(D835),IF(E835=2,$C$4+($C$5-$C$4)*D835,$C$6-($C$6-$C$5)*SQRT(1-D835)))</f>
        <v>5.34870791549917</v>
      </c>
    </row>
    <row r="836" customFormat="false" ht="15" hidden="false" customHeight="false" outlineLevel="0" collapsed="false">
      <c r="B836" s="0" t="n">
        <v>820</v>
      </c>
      <c r="C836" s="0" t="n">
        <f aca="true">RAND()</f>
        <v>0.581653714925007</v>
      </c>
      <c r="D836" s="0" t="n">
        <f aca="true">RAND()</f>
        <v>0.456746828125791</v>
      </c>
      <c r="E836" s="0" t="n">
        <f aca="false">IF(C836&lt;=$C$10,1,IF(C836&lt;=$C$10+$C$11,2,3))</f>
        <v>2</v>
      </c>
      <c r="F836" s="0" t="n">
        <f aca="false">IF(E836=1,$C$4*SQRT(D836),IF(E836=2,$C$4+($C$5-$C$4)*D836,$C$6-($C$6-$C$5)*SQRT(1-D836)))</f>
        <v>4.82698731250317</v>
      </c>
    </row>
    <row r="837" customFormat="false" ht="15" hidden="false" customHeight="false" outlineLevel="0" collapsed="false">
      <c r="B837" s="0" t="n">
        <v>821</v>
      </c>
      <c r="C837" s="0" t="n">
        <f aca="true">RAND()</f>
        <v>0.782619867610563</v>
      </c>
      <c r="D837" s="0" t="n">
        <f aca="true">RAND()</f>
        <v>0.861202566581355</v>
      </c>
      <c r="E837" s="0" t="n">
        <f aca="false">IF(C837&lt;=$C$10,1,IF(C837&lt;=$C$10+$C$11,2,3))</f>
        <v>2</v>
      </c>
      <c r="F837" s="0" t="n">
        <f aca="false">IF(E837=1,$C$4*SQRT(D837),IF(E837=2,$C$4+($C$5-$C$4)*D837,$C$6-($C$6-$C$5)*SQRT(1-D837)))</f>
        <v>6.44481026632542</v>
      </c>
    </row>
    <row r="838" customFormat="false" ht="15" hidden="false" customHeight="false" outlineLevel="0" collapsed="false">
      <c r="B838" s="0" t="n">
        <v>822</v>
      </c>
      <c r="C838" s="0" t="n">
        <f aca="true">RAND()</f>
        <v>0.360871948465499</v>
      </c>
      <c r="D838" s="0" t="n">
        <f aca="true">RAND()</f>
        <v>0.31164969055249</v>
      </c>
      <c r="E838" s="0" t="n">
        <f aca="false">IF(C838&lt;=$C$10,1,IF(C838&lt;=$C$10+$C$11,2,3))</f>
        <v>2</v>
      </c>
      <c r="F838" s="0" t="n">
        <f aca="false">IF(E838=1,$C$4*SQRT(D838),IF(E838=2,$C$4+($C$5-$C$4)*D838,$C$6-($C$6-$C$5)*SQRT(1-D838)))</f>
        <v>4.24659876220996</v>
      </c>
    </row>
    <row r="839" customFormat="false" ht="15" hidden="false" customHeight="false" outlineLevel="0" collapsed="false">
      <c r="B839" s="0" t="n">
        <v>823</v>
      </c>
      <c r="C839" s="0" t="n">
        <f aca="true">RAND()</f>
        <v>0.665687261107901</v>
      </c>
      <c r="D839" s="0" t="n">
        <f aca="true">RAND()</f>
        <v>0.231027678635161</v>
      </c>
      <c r="E839" s="0" t="n">
        <f aca="false">IF(C839&lt;=$C$10,1,IF(C839&lt;=$C$10+$C$11,2,3))</f>
        <v>2</v>
      </c>
      <c r="F839" s="0" t="n">
        <f aca="false">IF(E839=1,$C$4*SQRT(D839),IF(E839=2,$C$4+($C$5-$C$4)*D839,$C$6-($C$6-$C$5)*SQRT(1-D839)))</f>
        <v>3.92411071454065</v>
      </c>
    </row>
    <row r="840" customFormat="false" ht="15" hidden="false" customHeight="false" outlineLevel="0" collapsed="false">
      <c r="B840" s="0" t="n">
        <v>824</v>
      </c>
      <c r="C840" s="0" t="n">
        <f aca="true">RAND()</f>
        <v>0.320136841829765</v>
      </c>
      <c r="D840" s="0" t="n">
        <f aca="true">RAND()</f>
        <v>0.0269467201204711</v>
      </c>
      <c r="E840" s="0" t="n">
        <f aca="false">IF(C840&lt;=$C$10,1,IF(C840&lt;=$C$10+$C$11,2,3))</f>
        <v>2</v>
      </c>
      <c r="F840" s="0" t="n">
        <f aca="false">IF(E840=1,$C$4*SQRT(D840),IF(E840=2,$C$4+($C$5-$C$4)*D840,$C$6-($C$6-$C$5)*SQRT(1-D840)))</f>
        <v>3.10778688048188</v>
      </c>
    </row>
    <row r="841" customFormat="false" ht="15" hidden="false" customHeight="false" outlineLevel="0" collapsed="false">
      <c r="B841" s="0" t="n">
        <v>825</v>
      </c>
      <c r="C841" s="0" t="n">
        <f aca="true">RAND()</f>
        <v>0.318208035691466</v>
      </c>
      <c r="D841" s="0" t="n">
        <f aca="true">RAND()</f>
        <v>0.0915220226701297</v>
      </c>
      <c r="E841" s="0" t="n">
        <f aca="false">IF(C841&lt;=$C$10,1,IF(C841&lt;=$C$10+$C$11,2,3))</f>
        <v>2</v>
      </c>
      <c r="F841" s="0" t="n">
        <f aca="false">IF(E841=1,$C$4*SQRT(D841),IF(E841=2,$C$4+($C$5-$C$4)*D841,$C$6-($C$6-$C$5)*SQRT(1-D841)))</f>
        <v>3.36608809068052</v>
      </c>
    </row>
    <row r="842" customFormat="false" ht="15" hidden="false" customHeight="false" outlineLevel="0" collapsed="false">
      <c r="B842" s="0" t="n">
        <v>826</v>
      </c>
      <c r="C842" s="0" t="n">
        <f aca="true">RAND()</f>
        <v>0.188381983901548</v>
      </c>
      <c r="D842" s="0" t="n">
        <f aca="true">RAND()</f>
        <v>0.118864860722779</v>
      </c>
      <c r="E842" s="0" t="n">
        <f aca="false">IF(C842&lt;=$C$10,1,IF(C842&lt;=$C$10+$C$11,2,3))</f>
        <v>1</v>
      </c>
      <c r="F842" s="0" t="n">
        <f aca="false">IF(E842=1,$C$4*SQRT(D842),IF(E842=2,$C$4+($C$5-$C$4)*D842,$C$6-($C$6-$C$5)*SQRT(1-D842)))</f>
        <v>1.03430350792454</v>
      </c>
    </row>
    <row r="843" customFormat="false" ht="15" hidden="false" customHeight="false" outlineLevel="0" collapsed="false">
      <c r="B843" s="0" t="n">
        <v>827</v>
      </c>
      <c r="C843" s="0" t="n">
        <f aca="true">RAND()</f>
        <v>0.378794884683557</v>
      </c>
      <c r="D843" s="0" t="n">
        <f aca="true">RAND()</f>
        <v>0.0408752648909977</v>
      </c>
      <c r="E843" s="0" t="n">
        <f aca="false">IF(C843&lt;=$C$10,1,IF(C843&lt;=$C$10+$C$11,2,3))</f>
        <v>2</v>
      </c>
      <c r="F843" s="0" t="n">
        <f aca="false">IF(E843=1,$C$4*SQRT(D843),IF(E843=2,$C$4+($C$5-$C$4)*D843,$C$6-($C$6-$C$5)*SQRT(1-D843)))</f>
        <v>3.16350105956399</v>
      </c>
    </row>
    <row r="844" customFormat="false" ht="15" hidden="false" customHeight="false" outlineLevel="0" collapsed="false">
      <c r="B844" s="0" t="n">
        <v>828</v>
      </c>
      <c r="C844" s="0" t="n">
        <f aca="true">RAND()</f>
        <v>0.00308687381609005</v>
      </c>
      <c r="D844" s="0" t="n">
        <f aca="true">RAND()</f>
        <v>0.322784708070683</v>
      </c>
      <c r="E844" s="0" t="n">
        <f aca="false">IF(C844&lt;=$C$10,1,IF(C844&lt;=$C$10+$C$11,2,3))</f>
        <v>1</v>
      </c>
      <c r="F844" s="0" t="n">
        <f aca="false">IF(E844=1,$C$4*SQRT(D844),IF(E844=2,$C$4+($C$5-$C$4)*D844,$C$6-($C$6-$C$5)*SQRT(1-D844)))</f>
        <v>1.70442435227737</v>
      </c>
    </row>
    <row r="845" customFormat="false" ht="15" hidden="false" customHeight="false" outlineLevel="0" collapsed="false">
      <c r="B845" s="0" t="n">
        <v>829</v>
      </c>
      <c r="C845" s="0" t="n">
        <f aca="true">RAND()</f>
        <v>0.245630836253291</v>
      </c>
      <c r="D845" s="0" t="n">
        <f aca="true">RAND()</f>
        <v>0.0873959182688336</v>
      </c>
      <c r="E845" s="0" t="n">
        <f aca="false">IF(C845&lt;=$C$10,1,IF(C845&lt;=$C$10+$C$11,2,3))</f>
        <v>2</v>
      </c>
      <c r="F845" s="0" t="n">
        <f aca="false">IF(E845=1,$C$4*SQRT(D845),IF(E845=2,$C$4+($C$5-$C$4)*D845,$C$6-($C$6-$C$5)*SQRT(1-D845)))</f>
        <v>3.34958367307533</v>
      </c>
    </row>
    <row r="846" customFormat="false" ht="15" hidden="false" customHeight="false" outlineLevel="0" collapsed="false">
      <c r="B846" s="0" t="n">
        <v>830</v>
      </c>
      <c r="C846" s="0" t="n">
        <f aca="true">RAND()</f>
        <v>0.966611062542796</v>
      </c>
      <c r="D846" s="0" t="n">
        <f aca="true">RAND()</f>
        <v>0.74428863081424</v>
      </c>
      <c r="E846" s="0" t="n">
        <f aca="false">IF(C846&lt;=$C$10,1,IF(C846&lt;=$C$10+$C$11,2,3))</f>
        <v>3</v>
      </c>
      <c r="F846" s="0" t="n">
        <f aca="false">IF(E846=1,$C$4*SQRT(D846),IF(E846=2,$C$4+($C$5-$C$4)*D846,$C$6-($C$6-$C$5)*SQRT(1-D846)))</f>
        <v>8.48296264954622</v>
      </c>
    </row>
    <row r="847" customFormat="false" ht="15" hidden="false" customHeight="false" outlineLevel="0" collapsed="false">
      <c r="B847" s="0" t="n">
        <v>831</v>
      </c>
      <c r="C847" s="0" t="n">
        <f aca="true">RAND()</f>
        <v>0.769780052675531</v>
      </c>
      <c r="D847" s="0" t="n">
        <f aca="true">RAND()</f>
        <v>0.580782272407072</v>
      </c>
      <c r="E847" s="0" t="n">
        <f aca="false">IF(C847&lt;=$C$10,1,IF(C847&lt;=$C$10+$C$11,2,3))</f>
        <v>2</v>
      </c>
      <c r="F847" s="0" t="n">
        <f aca="false">IF(E847=1,$C$4*SQRT(D847),IF(E847=2,$C$4+($C$5-$C$4)*D847,$C$6-($C$6-$C$5)*SQRT(1-D847)))</f>
        <v>5.32312908962829</v>
      </c>
    </row>
    <row r="848" customFormat="false" ht="15" hidden="false" customHeight="false" outlineLevel="0" collapsed="false">
      <c r="B848" s="0" t="n">
        <v>832</v>
      </c>
      <c r="C848" s="0" t="n">
        <f aca="true">RAND()</f>
        <v>0.4977193145545</v>
      </c>
      <c r="D848" s="0" t="n">
        <f aca="true">RAND()</f>
        <v>0.143921887704593</v>
      </c>
      <c r="E848" s="0" t="n">
        <f aca="false">IF(C848&lt;=$C$10,1,IF(C848&lt;=$C$10+$C$11,2,3))</f>
        <v>2</v>
      </c>
      <c r="F848" s="0" t="n">
        <f aca="false">IF(E848=1,$C$4*SQRT(D848),IF(E848=2,$C$4+($C$5-$C$4)*D848,$C$6-($C$6-$C$5)*SQRT(1-D848)))</f>
        <v>3.57568755081837</v>
      </c>
    </row>
    <row r="849" customFormat="false" ht="15" hidden="false" customHeight="false" outlineLevel="0" collapsed="false">
      <c r="B849" s="0" t="n">
        <v>833</v>
      </c>
      <c r="C849" s="0" t="n">
        <f aca="true">RAND()</f>
        <v>0.699045827039852</v>
      </c>
      <c r="D849" s="0" t="n">
        <f aca="true">RAND()</f>
        <v>0.678318134588833</v>
      </c>
      <c r="E849" s="0" t="n">
        <f aca="false">IF(C849&lt;=$C$10,1,IF(C849&lt;=$C$10+$C$11,2,3))</f>
        <v>2</v>
      </c>
      <c r="F849" s="0" t="n">
        <f aca="false">IF(E849=1,$C$4*SQRT(D849),IF(E849=2,$C$4+($C$5-$C$4)*D849,$C$6-($C$6-$C$5)*SQRT(1-D849)))</f>
        <v>5.71327253835533</v>
      </c>
    </row>
    <row r="850" customFormat="false" ht="15" hidden="false" customHeight="false" outlineLevel="0" collapsed="false">
      <c r="B850" s="0" t="n">
        <v>834</v>
      </c>
      <c r="C850" s="0" t="n">
        <f aca="true">RAND()</f>
        <v>0.296368803244878</v>
      </c>
      <c r="D850" s="0" t="n">
        <f aca="true">RAND()</f>
        <v>0.83306476241246</v>
      </c>
      <c r="E850" s="0" t="n">
        <f aca="false">IF(C850&lt;=$C$10,1,IF(C850&lt;=$C$10+$C$11,2,3))</f>
        <v>2</v>
      </c>
      <c r="F850" s="0" t="n">
        <f aca="false">IF(E850=1,$C$4*SQRT(D850),IF(E850=2,$C$4+($C$5-$C$4)*D850,$C$6-($C$6-$C$5)*SQRT(1-D850)))</f>
        <v>6.33225904964984</v>
      </c>
    </row>
    <row r="851" customFormat="false" ht="15" hidden="false" customHeight="false" outlineLevel="0" collapsed="false">
      <c r="B851" s="0" t="n">
        <v>835</v>
      </c>
      <c r="C851" s="0" t="n">
        <f aca="true">RAND()</f>
        <v>0.824728899510321</v>
      </c>
      <c r="D851" s="0" t="n">
        <f aca="true">RAND()</f>
        <v>0.989747285769159</v>
      </c>
      <c r="E851" s="0" t="n">
        <f aca="false">IF(C851&lt;=$C$10,1,IF(C851&lt;=$C$10+$C$11,2,3))</f>
        <v>3</v>
      </c>
      <c r="F851" s="0" t="n">
        <f aca="false">IF(E851=1,$C$4*SQRT(D851),IF(E851=2,$C$4+($C$5-$C$4)*D851,$C$6-($C$6-$C$5)*SQRT(1-D851)))</f>
        <v>9.69623293780008</v>
      </c>
    </row>
    <row r="852" customFormat="false" ht="15" hidden="false" customHeight="false" outlineLevel="0" collapsed="false">
      <c r="B852" s="0" t="n">
        <v>836</v>
      </c>
      <c r="C852" s="0" t="n">
        <f aca="true">RAND()</f>
        <v>0.392712200889453</v>
      </c>
      <c r="D852" s="0" t="n">
        <f aca="true">RAND()</f>
        <v>0.533139609644357</v>
      </c>
      <c r="E852" s="0" t="n">
        <f aca="false">IF(C852&lt;=$C$10,1,IF(C852&lt;=$C$10+$C$11,2,3))</f>
        <v>2</v>
      </c>
      <c r="F852" s="0" t="n">
        <f aca="false">IF(E852=1,$C$4*SQRT(D852),IF(E852=2,$C$4+($C$5-$C$4)*D852,$C$6-($C$6-$C$5)*SQRT(1-D852)))</f>
        <v>5.13255843857743</v>
      </c>
    </row>
    <row r="853" customFormat="false" ht="15" hidden="false" customHeight="false" outlineLevel="0" collapsed="false">
      <c r="B853" s="0" t="n">
        <v>837</v>
      </c>
      <c r="C853" s="0" t="n">
        <f aca="true">RAND()</f>
        <v>0.00114677978979271</v>
      </c>
      <c r="D853" s="0" t="n">
        <f aca="true">RAND()</f>
        <v>0.945745658066907</v>
      </c>
      <c r="E853" s="0" t="n">
        <f aca="false">IF(C853&lt;=$C$10,1,IF(C853&lt;=$C$10+$C$11,2,3))</f>
        <v>1</v>
      </c>
      <c r="F853" s="0" t="n">
        <f aca="false">IF(E853=1,$C$4*SQRT(D853),IF(E853=2,$C$4+($C$5-$C$4)*D853,$C$6-($C$6-$C$5)*SQRT(1-D853)))</f>
        <v>2.91748366278239</v>
      </c>
    </row>
    <row r="854" customFormat="false" ht="15" hidden="false" customHeight="false" outlineLevel="0" collapsed="false">
      <c r="B854" s="0" t="n">
        <v>838</v>
      </c>
      <c r="C854" s="0" t="n">
        <f aca="true">RAND()</f>
        <v>0.774590497051375</v>
      </c>
      <c r="D854" s="0" t="n">
        <f aca="true">RAND()</f>
        <v>0.0352151605947133</v>
      </c>
      <c r="E854" s="0" t="n">
        <f aca="false">IF(C854&lt;=$C$10,1,IF(C854&lt;=$C$10+$C$11,2,3))</f>
        <v>2</v>
      </c>
      <c r="F854" s="0" t="n">
        <f aca="false">IF(E854=1,$C$4*SQRT(D854),IF(E854=2,$C$4+($C$5-$C$4)*D854,$C$6-($C$6-$C$5)*SQRT(1-D854)))</f>
        <v>3.14086064237885</v>
      </c>
    </row>
    <row r="855" customFormat="false" ht="15" hidden="false" customHeight="false" outlineLevel="0" collapsed="false">
      <c r="B855" s="0" t="n">
        <v>839</v>
      </c>
      <c r="C855" s="0" t="n">
        <f aca="true">RAND()</f>
        <v>0.90720427552267</v>
      </c>
      <c r="D855" s="0" t="n">
        <f aca="true">RAND()</f>
        <v>0.479264656247589</v>
      </c>
      <c r="E855" s="0" t="n">
        <f aca="false">IF(C855&lt;=$C$10,1,IF(C855&lt;=$C$10+$C$11,2,3))</f>
        <v>3</v>
      </c>
      <c r="F855" s="0" t="n">
        <f aca="false">IF(E855=1,$C$4*SQRT(D855),IF(E855=2,$C$4+($C$5-$C$4)*D855,$C$6-($C$6-$C$5)*SQRT(1-D855)))</f>
        <v>7.83514016763863</v>
      </c>
    </row>
    <row r="856" customFormat="false" ht="15" hidden="false" customHeight="false" outlineLevel="0" collapsed="false">
      <c r="B856" s="0" t="n">
        <v>840</v>
      </c>
      <c r="C856" s="0" t="n">
        <f aca="true">RAND()</f>
        <v>0.682254433013092</v>
      </c>
      <c r="D856" s="0" t="n">
        <f aca="true">RAND()</f>
        <v>0.504298930840332</v>
      </c>
      <c r="E856" s="0" t="n">
        <f aca="false">IF(C856&lt;=$C$10,1,IF(C856&lt;=$C$10+$C$11,2,3))</f>
        <v>2</v>
      </c>
      <c r="F856" s="0" t="n">
        <f aca="false">IF(E856=1,$C$4*SQRT(D856),IF(E856=2,$C$4+($C$5-$C$4)*D856,$C$6-($C$6-$C$5)*SQRT(1-D856)))</f>
        <v>5.01719572336133</v>
      </c>
    </row>
    <row r="857" customFormat="false" ht="15" hidden="false" customHeight="false" outlineLevel="0" collapsed="false">
      <c r="B857" s="0" t="n">
        <v>841</v>
      </c>
      <c r="C857" s="0" t="n">
        <f aca="true">RAND()</f>
        <v>0.892950620734091</v>
      </c>
      <c r="D857" s="0" t="n">
        <f aca="true">RAND()</f>
        <v>0.824791935807546</v>
      </c>
      <c r="E857" s="0" t="n">
        <f aca="false">IF(C857&lt;=$C$10,1,IF(C857&lt;=$C$10+$C$11,2,3))</f>
        <v>3</v>
      </c>
      <c r="F857" s="0" t="n">
        <f aca="false">IF(E857=1,$C$4*SQRT(D857),IF(E857=2,$C$4+($C$5-$C$4)*D857,$C$6-($C$6-$C$5)*SQRT(1-D857)))</f>
        <v>8.74426412899365</v>
      </c>
    </row>
    <row r="858" customFormat="false" ht="15" hidden="false" customHeight="false" outlineLevel="0" collapsed="false">
      <c r="B858" s="0" t="n">
        <v>842</v>
      </c>
      <c r="C858" s="0" t="n">
        <f aca="true">RAND()</f>
        <v>0.957822584612617</v>
      </c>
      <c r="D858" s="0" t="n">
        <f aca="true">RAND()</f>
        <v>0.0624320096872375</v>
      </c>
      <c r="E858" s="0" t="n">
        <f aca="false">IF(C858&lt;=$C$10,1,IF(C858&lt;=$C$10+$C$11,2,3))</f>
        <v>3</v>
      </c>
      <c r="F858" s="0" t="n">
        <f aca="false">IF(E858=1,$C$4*SQRT(D858),IF(E858=2,$C$4+($C$5-$C$4)*D858,$C$6-($C$6-$C$5)*SQRT(1-D858)))</f>
        <v>7.09515716211447</v>
      </c>
    </row>
    <row r="859" customFormat="false" ht="15" hidden="false" customHeight="false" outlineLevel="0" collapsed="false">
      <c r="B859" s="0" t="n">
        <v>843</v>
      </c>
      <c r="C859" s="0" t="n">
        <f aca="true">RAND()</f>
        <v>0.0631321879856848</v>
      </c>
      <c r="D859" s="0" t="n">
        <f aca="true">RAND()</f>
        <v>0.973048127051864</v>
      </c>
      <c r="E859" s="0" t="n">
        <f aca="false">IF(C859&lt;=$C$10,1,IF(C859&lt;=$C$10+$C$11,2,3))</f>
        <v>1</v>
      </c>
      <c r="F859" s="0" t="n">
        <f aca="false">IF(E859=1,$C$4*SQRT(D859),IF(E859=2,$C$4+($C$5-$C$4)*D859,$C$6-($C$6-$C$5)*SQRT(1-D859)))</f>
        <v>2.95929605539337</v>
      </c>
    </row>
    <row r="860" customFormat="false" ht="15" hidden="false" customHeight="false" outlineLevel="0" collapsed="false">
      <c r="B860" s="0" t="n">
        <v>844</v>
      </c>
      <c r="C860" s="0" t="n">
        <f aca="true">RAND()</f>
        <v>0.350780937433791</v>
      </c>
      <c r="D860" s="0" t="n">
        <f aca="true">RAND()</f>
        <v>0.381587385332783</v>
      </c>
      <c r="E860" s="0" t="n">
        <f aca="false">IF(C860&lt;=$C$10,1,IF(C860&lt;=$C$10+$C$11,2,3))</f>
        <v>2</v>
      </c>
      <c r="F860" s="0" t="n">
        <f aca="false">IF(E860=1,$C$4*SQRT(D860),IF(E860=2,$C$4+($C$5-$C$4)*D860,$C$6-($C$6-$C$5)*SQRT(1-D860)))</f>
        <v>4.52634954133113</v>
      </c>
    </row>
    <row r="861" customFormat="false" ht="15" hidden="false" customHeight="false" outlineLevel="0" collapsed="false">
      <c r="B861" s="0" t="n">
        <v>845</v>
      </c>
      <c r="C861" s="0" t="n">
        <f aca="true">RAND()</f>
        <v>0.436030272918707</v>
      </c>
      <c r="D861" s="0" t="n">
        <f aca="true">RAND()</f>
        <v>0.0224301358637254</v>
      </c>
      <c r="E861" s="0" t="n">
        <f aca="false">IF(C861&lt;=$C$10,1,IF(C861&lt;=$C$10+$C$11,2,3))</f>
        <v>2</v>
      </c>
      <c r="F861" s="0" t="n">
        <f aca="false">IF(E861=1,$C$4*SQRT(D861),IF(E861=2,$C$4+($C$5-$C$4)*D861,$C$6-($C$6-$C$5)*SQRT(1-D861)))</f>
        <v>3.0897205434549</v>
      </c>
    </row>
    <row r="862" customFormat="false" ht="15" hidden="false" customHeight="false" outlineLevel="0" collapsed="false">
      <c r="B862" s="0" t="n">
        <v>846</v>
      </c>
      <c r="C862" s="0" t="n">
        <f aca="true">RAND()</f>
        <v>0.80099940061882</v>
      </c>
      <c r="D862" s="0" t="n">
        <f aca="true">RAND()</f>
        <v>0.149336012666412</v>
      </c>
      <c r="E862" s="0" t="n">
        <f aca="false">IF(C862&lt;=$C$10,1,IF(C862&lt;=$C$10+$C$11,2,3))</f>
        <v>3</v>
      </c>
      <c r="F862" s="0" t="n">
        <f aca="false">IF(E862=1,$C$4*SQRT(D862),IF(E862=2,$C$4+($C$5-$C$4)*D862,$C$6-($C$6-$C$5)*SQRT(1-D862)))</f>
        <v>7.23305658062867</v>
      </c>
    </row>
    <row r="863" customFormat="false" ht="15" hidden="false" customHeight="false" outlineLevel="0" collapsed="false">
      <c r="B863" s="0" t="n">
        <v>847</v>
      </c>
      <c r="C863" s="0" t="n">
        <f aca="true">RAND()</f>
        <v>0.31528441598785</v>
      </c>
      <c r="D863" s="0" t="n">
        <f aca="true">RAND()</f>
        <v>0.0987748386802585</v>
      </c>
      <c r="E863" s="0" t="n">
        <f aca="false">IF(C863&lt;=$C$10,1,IF(C863&lt;=$C$10+$C$11,2,3))</f>
        <v>2</v>
      </c>
      <c r="F863" s="0" t="n">
        <f aca="false">IF(E863=1,$C$4*SQRT(D863),IF(E863=2,$C$4+($C$5-$C$4)*D863,$C$6-($C$6-$C$5)*SQRT(1-D863)))</f>
        <v>3.39509935472103</v>
      </c>
    </row>
    <row r="864" customFormat="false" ht="15" hidden="false" customHeight="false" outlineLevel="0" collapsed="false">
      <c r="B864" s="0" t="n">
        <v>848</v>
      </c>
      <c r="C864" s="0" t="n">
        <f aca="true">RAND()</f>
        <v>0.826843517117145</v>
      </c>
      <c r="D864" s="0" t="n">
        <f aca="true">RAND()</f>
        <v>0.0062046243481273</v>
      </c>
      <c r="E864" s="0" t="n">
        <f aca="false">IF(C864&lt;=$C$10,1,IF(C864&lt;=$C$10+$C$11,2,3))</f>
        <v>3</v>
      </c>
      <c r="F864" s="0" t="n">
        <f aca="false">IF(E864=1,$C$4*SQRT(D864),IF(E864=2,$C$4+($C$5-$C$4)*D864,$C$6-($C$6-$C$5)*SQRT(1-D864)))</f>
        <v>7.00932141799443</v>
      </c>
    </row>
    <row r="865" customFormat="false" ht="15" hidden="false" customHeight="false" outlineLevel="0" collapsed="false">
      <c r="B865" s="0" t="n">
        <v>849</v>
      </c>
      <c r="C865" s="0" t="n">
        <f aca="true">RAND()</f>
        <v>0.320456280007488</v>
      </c>
      <c r="D865" s="0" t="n">
        <f aca="true">RAND()</f>
        <v>0.477700254946919</v>
      </c>
      <c r="E865" s="0" t="n">
        <f aca="false">IF(C865&lt;=$C$10,1,IF(C865&lt;=$C$10+$C$11,2,3))</f>
        <v>2</v>
      </c>
      <c r="F865" s="0" t="n">
        <f aca="false">IF(E865=1,$C$4*SQRT(D865),IF(E865=2,$C$4+($C$5-$C$4)*D865,$C$6-($C$6-$C$5)*SQRT(1-D865)))</f>
        <v>4.91080101978768</v>
      </c>
    </row>
    <row r="866" customFormat="false" ht="15" hidden="false" customHeight="false" outlineLevel="0" collapsed="false">
      <c r="B866" s="0" t="n">
        <v>850</v>
      </c>
      <c r="C866" s="0" t="n">
        <f aca="true">RAND()</f>
        <v>0.957136891769476</v>
      </c>
      <c r="D866" s="0" t="n">
        <f aca="true">RAND()</f>
        <v>0.517391028429228</v>
      </c>
      <c r="E866" s="0" t="n">
        <f aca="false">IF(C866&lt;=$C$10,1,IF(C866&lt;=$C$10+$C$11,2,3))</f>
        <v>3</v>
      </c>
      <c r="F866" s="0" t="n">
        <f aca="false">IF(E866=1,$C$4*SQRT(D866),IF(E866=2,$C$4+($C$5-$C$4)*D866,$C$6-($C$6-$C$5)*SQRT(1-D866)))</f>
        <v>7.91589809650849</v>
      </c>
    </row>
    <row r="867" customFormat="false" ht="15" hidden="false" customHeight="false" outlineLevel="0" collapsed="false">
      <c r="B867" s="0" t="n">
        <v>851</v>
      </c>
      <c r="C867" s="0" t="n">
        <f aca="true">RAND()</f>
        <v>0.462756153719684</v>
      </c>
      <c r="D867" s="0" t="n">
        <f aca="true">RAND()</f>
        <v>0.415778819752368</v>
      </c>
      <c r="E867" s="0" t="n">
        <f aca="false">IF(C867&lt;=$C$10,1,IF(C867&lt;=$C$10+$C$11,2,3))</f>
        <v>2</v>
      </c>
      <c r="F867" s="0" t="n">
        <f aca="false">IF(E867=1,$C$4*SQRT(D867),IF(E867=2,$C$4+($C$5-$C$4)*D867,$C$6-($C$6-$C$5)*SQRT(1-D867)))</f>
        <v>4.66311527900947</v>
      </c>
    </row>
    <row r="868" customFormat="false" ht="15" hidden="false" customHeight="false" outlineLevel="0" collapsed="false">
      <c r="B868" s="0" t="n">
        <v>852</v>
      </c>
      <c r="C868" s="0" t="n">
        <f aca="true">RAND()</f>
        <v>0.712568453914464</v>
      </c>
      <c r="D868" s="0" t="n">
        <f aca="true">RAND()</f>
        <v>0.62222242305643</v>
      </c>
      <c r="E868" s="0" t="n">
        <f aca="false">IF(C868&lt;=$C$10,1,IF(C868&lt;=$C$10+$C$11,2,3))</f>
        <v>2</v>
      </c>
      <c r="F868" s="0" t="n">
        <f aca="false">IF(E868=1,$C$4*SQRT(D868),IF(E868=2,$C$4+($C$5-$C$4)*D868,$C$6-($C$6-$C$5)*SQRT(1-D868)))</f>
        <v>5.48888969222572</v>
      </c>
    </row>
    <row r="869" customFormat="false" ht="15" hidden="false" customHeight="false" outlineLevel="0" collapsed="false">
      <c r="B869" s="0" t="n">
        <v>853</v>
      </c>
      <c r="C869" s="0" t="n">
        <f aca="true">RAND()</f>
        <v>0.431693719195004</v>
      </c>
      <c r="D869" s="0" t="n">
        <f aca="true">RAND()</f>
        <v>0.426970016166957</v>
      </c>
      <c r="E869" s="0" t="n">
        <f aca="false">IF(C869&lt;=$C$10,1,IF(C869&lt;=$C$10+$C$11,2,3))</f>
        <v>2</v>
      </c>
      <c r="F869" s="0" t="n">
        <f aca="false">IF(E869=1,$C$4*SQRT(D869),IF(E869=2,$C$4+($C$5-$C$4)*D869,$C$6-($C$6-$C$5)*SQRT(1-D869)))</f>
        <v>4.70788006466783</v>
      </c>
    </row>
    <row r="870" customFormat="false" ht="15" hidden="false" customHeight="false" outlineLevel="0" collapsed="false">
      <c r="B870" s="0" t="n">
        <v>854</v>
      </c>
      <c r="C870" s="0" t="n">
        <f aca="true">RAND()</f>
        <v>0.685131853310725</v>
      </c>
      <c r="D870" s="0" t="n">
        <f aca="true">RAND()</f>
        <v>0.413260169977832</v>
      </c>
      <c r="E870" s="0" t="n">
        <f aca="false">IF(C870&lt;=$C$10,1,IF(C870&lt;=$C$10+$C$11,2,3))</f>
        <v>2</v>
      </c>
      <c r="F870" s="0" t="n">
        <f aca="false">IF(E870=1,$C$4*SQRT(D870),IF(E870=2,$C$4+($C$5-$C$4)*D870,$C$6-($C$6-$C$5)*SQRT(1-D870)))</f>
        <v>4.65304067991133</v>
      </c>
    </row>
    <row r="871" customFormat="false" ht="15" hidden="false" customHeight="false" outlineLevel="0" collapsed="false">
      <c r="B871" s="0" t="n">
        <v>855</v>
      </c>
      <c r="C871" s="0" t="n">
        <f aca="true">RAND()</f>
        <v>0.236832790607327</v>
      </c>
      <c r="D871" s="0" t="n">
        <f aca="true">RAND()</f>
        <v>0.315810848882957</v>
      </c>
      <c r="E871" s="0" t="n">
        <f aca="false">IF(C871&lt;=$C$10,1,IF(C871&lt;=$C$10+$C$11,2,3))</f>
        <v>2</v>
      </c>
      <c r="F871" s="0" t="n">
        <f aca="false">IF(E871=1,$C$4*SQRT(D871),IF(E871=2,$C$4+($C$5-$C$4)*D871,$C$6-($C$6-$C$5)*SQRT(1-D871)))</f>
        <v>4.26324339553183</v>
      </c>
    </row>
    <row r="872" customFormat="false" ht="15" hidden="false" customHeight="false" outlineLevel="0" collapsed="false">
      <c r="B872" s="0" t="n">
        <v>856</v>
      </c>
      <c r="C872" s="0" t="n">
        <f aca="true">RAND()</f>
        <v>0.222081608628214</v>
      </c>
      <c r="D872" s="0" t="n">
        <f aca="true">RAND()</f>
        <v>0.301138843605176</v>
      </c>
      <c r="E872" s="0" t="n">
        <f aca="false">IF(C872&lt;=$C$10,1,IF(C872&lt;=$C$10+$C$11,2,3))</f>
        <v>2</v>
      </c>
      <c r="F872" s="0" t="n">
        <f aca="false">IF(E872=1,$C$4*SQRT(D872),IF(E872=2,$C$4+($C$5-$C$4)*D872,$C$6-($C$6-$C$5)*SQRT(1-D872)))</f>
        <v>4.20455537442071</v>
      </c>
    </row>
    <row r="873" customFormat="false" ht="15" hidden="false" customHeight="false" outlineLevel="0" collapsed="false">
      <c r="B873" s="0" t="n">
        <v>857</v>
      </c>
      <c r="C873" s="0" t="n">
        <f aca="true">RAND()</f>
        <v>0.446110093938802</v>
      </c>
      <c r="D873" s="0" t="n">
        <f aca="true">RAND()</f>
        <v>0.919598050948964</v>
      </c>
      <c r="E873" s="0" t="n">
        <f aca="false">IF(C873&lt;=$C$10,1,IF(C873&lt;=$C$10+$C$11,2,3))</f>
        <v>2</v>
      </c>
      <c r="F873" s="0" t="n">
        <f aca="false">IF(E873=1,$C$4*SQRT(D873),IF(E873=2,$C$4+($C$5-$C$4)*D873,$C$6-($C$6-$C$5)*SQRT(1-D873)))</f>
        <v>6.67839220379586</v>
      </c>
    </row>
    <row r="874" customFormat="false" ht="15" hidden="false" customHeight="false" outlineLevel="0" collapsed="false">
      <c r="B874" s="0" t="n">
        <v>858</v>
      </c>
      <c r="C874" s="0" t="n">
        <f aca="true">RAND()</f>
        <v>0.309707679637149</v>
      </c>
      <c r="D874" s="0" t="n">
        <f aca="true">RAND()</f>
        <v>0.345424557558869</v>
      </c>
      <c r="E874" s="0" t="n">
        <f aca="false">IF(C874&lt;=$C$10,1,IF(C874&lt;=$C$10+$C$11,2,3))</f>
        <v>2</v>
      </c>
      <c r="F874" s="0" t="n">
        <f aca="false">IF(E874=1,$C$4*SQRT(D874),IF(E874=2,$C$4+($C$5-$C$4)*D874,$C$6-($C$6-$C$5)*SQRT(1-D874)))</f>
        <v>4.38169823023548</v>
      </c>
    </row>
    <row r="875" customFormat="false" ht="15" hidden="false" customHeight="false" outlineLevel="0" collapsed="false">
      <c r="B875" s="0" t="n">
        <v>859</v>
      </c>
      <c r="C875" s="0" t="n">
        <f aca="true">RAND()</f>
        <v>0.995189799504549</v>
      </c>
      <c r="D875" s="0" t="n">
        <f aca="true">RAND()</f>
        <v>0.581406157531617</v>
      </c>
      <c r="E875" s="0" t="n">
        <f aca="false">IF(C875&lt;=$C$10,1,IF(C875&lt;=$C$10+$C$11,2,3))</f>
        <v>3</v>
      </c>
      <c r="F875" s="0" t="n">
        <f aca="false">IF(E875=1,$C$4*SQRT(D875),IF(E875=2,$C$4+($C$5-$C$4)*D875,$C$6-($C$6-$C$5)*SQRT(1-D875)))</f>
        <v>8.05903514142696</v>
      </c>
    </row>
    <row r="876" customFormat="false" ht="15" hidden="false" customHeight="false" outlineLevel="0" collapsed="false">
      <c r="B876" s="0" t="n">
        <v>860</v>
      </c>
      <c r="C876" s="0" t="n">
        <f aca="true">RAND()</f>
        <v>0.959504063655959</v>
      </c>
      <c r="D876" s="0" t="n">
        <f aca="true">RAND()</f>
        <v>0.18539953648018</v>
      </c>
      <c r="E876" s="0" t="n">
        <f aca="false">IF(C876&lt;=$C$10,1,IF(C876&lt;=$C$10+$C$11,2,3))</f>
        <v>3</v>
      </c>
      <c r="F876" s="0" t="n">
        <f aca="false">IF(E876=1,$C$4*SQRT(D876),IF(E876=2,$C$4+($C$5-$C$4)*D876,$C$6-($C$6-$C$5)*SQRT(1-D876)))</f>
        <v>7.29234341696027</v>
      </c>
    </row>
    <row r="877" customFormat="false" ht="15" hidden="false" customHeight="false" outlineLevel="0" collapsed="false">
      <c r="B877" s="0" t="n">
        <v>861</v>
      </c>
      <c r="C877" s="0" t="n">
        <f aca="true">RAND()</f>
        <v>0.528254024336064</v>
      </c>
      <c r="D877" s="0" t="n">
        <f aca="true">RAND()</f>
        <v>0.620192365247394</v>
      </c>
      <c r="E877" s="0" t="n">
        <f aca="false">IF(C877&lt;=$C$10,1,IF(C877&lt;=$C$10+$C$11,2,3))</f>
        <v>2</v>
      </c>
      <c r="F877" s="0" t="n">
        <f aca="false">IF(E877=1,$C$4*SQRT(D877),IF(E877=2,$C$4+($C$5-$C$4)*D877,$C$6-($C$6-$C$5)*SQRT(1-D877)))</f>
        <v>5.48076946098958</v>
      </c>
    </row>
    <row r="878" customFormat="false" ht="15" hidden="false" customHeight="false" outlineLevel="0" collapsed="false">
      <c r="B878" s="0" t="n">
        <v>862</v>
      </c>
      <c r="C878" s="0" t="n">
        <f aca="true">RAND()</f>
        <v>0.761211383047722</v>
      </c>
      <c r="D878" s="0" t="n">
        <f aca="true">RAND()</f>
        <v>0.157774210532608</v>
      </c>
      <c r="E878" s="0" t="n">
        <f aca="false">IF(C878&lt;=$C$10,1,IF(C878&lt;=$C$10+$C$11,2,3))</f>
        <v>2</v>
      </c>
      <c r="F878" s="0" t="n">
        <f aca="false">IF(E878=1,$C$4*SQRT(D878),IF(E878=2,$C$4+($C$5-$C$4)*D878,$C$6-($C$6-$C$5)*SQRT(1-D878)))</f>
        <v>3.63109684213043</v>
      </c>
    </row>
    <row r="879" customFormat="false" ht="15" hidden="false" customHeight="false" outlineLevel="0" collapsed="false">
      <c r="B879" s="0" t="n">
        <v>863</v>
      </c>
      <c r="C879" s="0" t="n">
        <f aca="true">RAND()</f>
        <v>0.369415092056469</v>
      </c>
      <c r="D879" s="0" t="n">
        <f aca="true">RAND()</f>
        <v>0.384531658463657</v>
      </c>
      <c r="E879" s="0" t="n">
        <f aca="false">IF(C879&lt;=$C$10,1,IF(C879&lt;=$C$10+$C$11,2,3))</f>
        <v>2</v>
      </c>
      <c r="F879" s="0" t="n">
        <f aca="false">IF(E879=1,$C$4*SQRT(D879),IF(E879=2,$C$4+($C$5-$C$4)*D879,$C$6-($C$6-$C$5)*SQRT(1-D879)))</f>
        <v>4.53812663385463</v>
      </c>
    </row>
    <row r="880" customFormat="false" ht="15" hidden="false" customHeight="false" outlineLevel="0" collapsed="false">
      <c r="B880" s="0" t="n">
        <v>864</v>
      </c>
      <c r="C880" s="0" t="n">
        <f aca="true">RAND()</f>
        <v>0.0533972349040009</v>
      </c>
      <c r="D880" s="0" t="n">
        <f aca="true">RAND()</f>
        <v>0.323859426598735</v>
      </c>
      <c r="E880" s="0" t="n">
        <f aca="false">IF(C880&lt;=$C$10,1,IF(C880&lt;=$C$10+$C$11,2,3))</f>
        <v>1</v>
      </c>
      <c r="F880" s="0" t="n">
        <f aca="false">IF(E880=1,$C$4*SQRT(D880),IF(E880=2,$C$4+($C$5-$C$4)*D880,$C$6-($C$6-$C$5)*SQRT(1-D880)))</f>
        <v>1.70725945286257</v>
      </c>
    </row>
    <row r="881" customFormat="false" ht="15" hidden="false" customHeight="false" outlineLevel="0" collapsed="false">
      <c r="B881" s="0" t="n">
        <v>865</v>
      </c>
      <c r="C881" s="0" t="n">
        <f aca="true">RAND()</f>
        <v>0.891111757909648</v>
      </c>
      <c r="D881" s="0" t="n">
        <f aca="true">RAND()</f>
        <v>0.0746004332519937</v>
      </c>
      <c r="E881" s="0" t="n">
        <f aca="false">IF(C881&lt;=$C$10,1,IF(C881&lt;=$C$10+$C$11,2,3))</f>
        <v>3</v>
      </c>
      <c r="F881" s="0" t="n">
        <f aca="false">IF(E881=1,$C$4*SQRT(D881),IF(E881=2,$C$4+($C$5-$C$4)*D881,$C$6-($C$6-$C$5)*SQRT(1-D881)))</f>
        <v>7.11406928344909</v>
      </c>
    </row>
    <row r="882" customFormat="false" ht="15" hidden="false" customHeight="false" outlineLevel="0" collapsed="false">
      <c r="B882" s="0" t="n">
        <v>866</v>
      </c>
      <c r="C882" s="0" t="n">
        <f aca="true">RAND()</f>
        <v>0.878828941678834</v>
      </c>
      <c r="D882" s="0" t="n">
        <f aca="true">RAND()</f>
        <v>0.297851201881963</v>
      </c>
      <c r="E882" s="0" t="n">
        <f aca="false">IF(C882&lt;=$C$10,1,IF(C882&lt;=$C$10+$C$11,2,3))</f>
        <v>3</v>
      </c>
      <c r="F882" s="0" t="n">
        <f aca="false">IF(E882=1,$C$4*SQRT(D882),IF(E882=2,$C$4+($C$5-$C$4)*D882,$C$6-($C$6-$C$5)*SQRT(1-D882)))</f>
        <v>7.48617041487249</v>
      </c>
    </row>
    <row r="883" customFormat="false" ht="15" hidden="false" customHeight="false" outlineLevel="0" collapsed="false">
      <c r="B883" s="0" t="n">
        <v>867</v>
      </c>
      <c r="C883" s="0" t="n">
        <f aca="true">RAND()</f>
        <v>0.538600903646256</v>
      </c>
      <c r="D883" s="0" t="n">
        <f aca="true">RAND()</f>
        <v>0.384323021385007</v>
      </c>
      <c r="E883" s="0" t="n">
        <f aca="false">IF(C883&lt;=$C$10,1,IF(C883&lt;=$C$10+$C$11,2,3))</f>
        <v>2</v>
      </c>
      <c r="F883" s="0" t="n">
        <f aca="false">IF(E883=1,$C$4*SQRT(D883),IF(E883=2,$C$4+($C$5-$C$4)*D883,$C$6-($C$6-$C$5)*SQRT(1-D883)))</f>
        <v>4.53729208554003</v>
      </c>
    </row>
    <row r="884" customFormat="false" ht="15" hidden="false" customHeight="false" outlineLevel="0" collapsed="false">
      <c r="B884" s="0" t="n">
        <v>868</v>
      </c>
      <c r="C884" s="0" t="n">
        <f aca="true">RAND()</f>
        <v>0.322232676684101</v>
      </c>
      <c r="D884" s="0" t="n">
        <f aca="true">RAND()</f>
        <v>0.679824446530839</v>
      </c>
      <c r="E884" s="0" t="n">
        <f aca="false">IF(C884&lt;=$C$10,1,IF(C884&lt;=$C$10+$C$11,2,3))</f>
        <v>2</v>
      </c>
      <c r="F884" s="0" t="n">
        <f aca="false">IF(E884=1,$C$4*SQRT(D884),IF(E884=2,$C$4+($C$5-$C$4)*D884,$C$6-($C$6-$C$5)*SQRT(1-D884)))</f>
        <v>5.71929778612336</v>
      </c>
    </row>
    <row r="885" customFormat="false" ht="15" hidden="false" customHeight="false" outlineLevel="0" collapsed="false">
      <c r="B885" s="0" t="n">
        <v>869</v>
      </c>
      <c r="C885" s="0" t="n">
        <f aca="true">RAND()</f>
        <v>0.08605778191536</v>
      </c>
      <c r="D885" s="0" t="n">
        <f aca="true">RAND()</f>
        <v>0.687565927008355</v>
      </c>
      <c r="E885" s="0" t="n">
        <f aca="false">IF(C885&lt;=$C$10,1,IF(C885&lt;=$C$10+$C$11,2,3))</f>
        <v>1</v>
      </c>
      <c r="F885" s="0" t="n">
        <f aca="false">IF(E885=1,$C$4*SQRT(D885),IF(E885=2,$C$4+($C$5-$C$4)*D885,$C$6-($C$6-$C$5)*SQRT(1-D885)))</f>
        <v>2.48758785635306</v>
      </c>
    </row>
    <row r="886" customFormat="false" ht="15" hidden="false" customHeight="false" outlineLevel="0" collapsed="false">
      <c r="B886" s="0" t="n">
        <v>870</v>
      </c>
      <c r="C886" s="0" t="n">
        <f aca="true">RAND()</f>
        <v>0.664173478931192</v>
      </c>
      <c r="D886" s="0" t="n">
        <f aca="true">RAND()</f>
        <v>0.944789201849984</v>
      </c>
      <c r="E886" s="0" t="n">
        <f aca="false">IF(C886&lt;=$C$10,1,IF(C886&lt;=$C$10+$C$11,2,3))</f>
        <v>2</v>
      </c>
      <c r="F886" s="0" t="n">
        <f aca="false">IF(E886=1,$C$4*SQRT(D886),IF(E886=2,$C$4+($C$5-$C$4)*D886,$C$6-($C$6-$C$5)*SQRT(1-D886)))</f>
        <v>6.77915680739994</v>
      </c>
    </row>
    <row r="887" customFormat="false" ht="15" hidden="false" customHeight="false" outlineLevel="0" collapsed="false">
      <c r="B887" s="0" t="n">
        <v>871</v>
      </c>
      <c r="C887" s="0" t="n">
        <f aca="true">RAND()</f>
        <v>0.586149215145173</v>
      </c>
      <c r="D887" s="0" t="n">
        <f aca="true">RAND()</f>
        <v>0.969823019081718</v>
      </c>
      <c r="E887" s="0" t="n">
        <f aca="false">IF(C887&lt;=$C$10,1,IF(C887&lt;=$C$10+$C$11,2,3))</f>
        <v>2</v>
      </c>
      <c r="F887" s="0" t="n">
        <f aca="false">IF(E887=1,$C$4*SQRT(D887),IF(E887=2,$C$4+($C$5-$C$4)*D887,$C$6-($C$6-$C$5)*SQRT(1-D887)))</f>
        <v>6.87929207632687</v>
      </c>
    </row>
    <row r="888" customFormat="false" ht="15" hidden="false" customHeight="false" outlineLevel="0" collapsed="false">
      <c r="B888" s="0" t="n">
        <v>872</v>
      </c>
      <c r="C888" s="0" t="n">
        <f aca="true">RAND()</f>
        <v>0.613035074639614</v>
      </c>
      <c r="D888" s="0" t="n">
        <f aca="true">RAND()</f>
        <v>0.893331062887767</v>
      </c>
      <c r="E888" s="0" t="n">
        <f aca="false">IF(C888&lt;=$C$10,1,IF(C888&lt;=$C$10+$C$11,2,3))</f>
        <v>2</v>
      </c>
      <c r="F888" s="0" t="n">
        <f aca="false">IF(E888=1,$C$4*SQRT(D888),IF(E888=2,$C$4+($C$5-$C$4)*D888,$C$6-($C$6-$C$5)*SQRT(1-D888)))</f>
        <v>6.57332425155107</v>
      </c>
    </row>
    <row r="889" customFormat="false" ht="15" hidden="false" customHeight="false" outlineLevel="0" collapsed="false">
      <c r="B889" s="0" t="n">
        <v>873</v>
      </c>
      <c r="C889" s="0" t="n">
        <f aca="true">RAND()</f>
        <v>0.623840481508445</v>
      </c>
      <c r="D889" s="0" t="n">
        <f aca="true">RAND()</f>
        <v>0.614872632835891</v>
      </c>
      <c r="E889" s="0" t="n">
        <f aca="false">IF(C889&lt;=$C$10,1,IF(C889&lt;=$C$10+$C$11,2,3))</f>
        <v>2</v>
      </c>
      <c r="F889" s="0" t="n">
        <f aca="false">IF(E889=1,$C$4*SQRT(D889),IF(E889=2,$C$4+($C$5-$C$4)*D889,$C$6-($C$6-$C$5)*SQRT(1-D889)))</f>
        <v>5.45949053134357</v>
      </c>
    </row>
    <row r="890" customFormat="false" ht="15" hidden="false" customHeight="false" outlineLevel="0" collapsed="false">
      <c r="B890" s="0" t="n">
        <v>874</v>
      </c>
      <c r="C890" s="0" t="n">
        <f aca="true">RAND()</f>
        <v>0.868571321135552</v>
      </c>
      <c r="D890" s="0" t="n">
        <f aca="true">RAND()</f>
        <v>0.924638437566618</v>
      </c>
      <c r="E890" s="0" t="n">
        <f aca="false">IF(C890&lt;=$C$10,1,IF(C890&lt;=$C$10+$C$11,2,3))</f>
        <v>3</v>
      </c>
      <c r="F890" s="0" t="n">
        <f aca="false">IF(E890=1,$C$4*SQRT(D890),IF(E890=2,$C$4+($C$5-$C$4)*D890,$C$6-($C$6-$C$5)*SQRT(1-D890)))</f>
        <v>9.17643818574412</v>
      </c>
    </row>
    <row r="891" customFormat="false" ht="15" hidden="false" customHeight="false" outlineLevel="0" collapsed="false">
      <c r="B891" s="0" t="n">
        <v>875</v>
      </c>
      <c r="C891" s="0" t="n">
        <f aca="true">RAND()</f>
        <v>0.11768471887347</v>
      </c>
      <c r="D891" s="0" t="n">
        <f aca="true">RAND()</f>
        <v>0.936451749002127</v>
      </c>
      <c r="E891" s="0" t="n">
        <f aca="false">IF(C891&lt;=$C$10,1,IF(C891&lt;=$C$10+$C$11,2,3))</f>
        <v>1</v>
      </c>
      <c r="F891" s="0" t="n">
        <f aca="false">IF(E891=1,$C$4*SQRT(D891),IF(E891=2,$C$4+($C$5-$C$4)*D891,$C$6-($C$6-$C$5)*SQRT(1-D891)))</f>
        <v>2.90311311199187</v>
      </c>
    </row>
    <row r="892" customFormat="false" ht="15" hidden="false" customHeight="false" outlineLevel="0" collapsed="false">
      <c r="B892" s="0" t="n">
        <v>876</v>
      </c>
      <c r="C892" s="0" t="n">
        <f aca="true">RAND()</f>
        <v>0.749611998509095</v>
      </c>
      <c r="D892" s="0" t="n">
        <f aca="true">RAND()</f>
        <v>0.250290173500483</v>
      </c>
      <c r="E892" s="0" t="n">
        <f aca="false">IF(C892&lt;=$C$10,1,IF(C892&lt;=$C$10+$C$11,2,3))</f>
        <v>2</v>
      </c>
      <c r="F892" s="0" t="n">
        <f aca="false">IF(E892=1,$C$4*SQRT(D892),IF(E892=2,$C$4+($C$5-$C$4)*D892,$C$6-($C$6-$C$5)*SQRT(1-D892)))</f>
        <v>4.00116069400193</v>
      </c>
    </row>
    <row r="893" customFormat="false" ht="15" hidden="false" customHeight="false" outlineLevel="0" collapsed="false">
      <c r="B893" s="0" t="n">
        <v>877</v>
      </c>
      <c r="C893" s="0" t="n">
        <f aca="true">RAND()</f>
        <v>0.509448006465869</v>
      </c>
      <c r="D893" s="0" t="n">
        <f aca="true">RAND()</f>
        <v>0.440630024328824</v>
      </c>
      <c r="E893" s="0" t="n">
        <f aca="false">IF(C893&lt;=$C$10,1,IF(C893&lt;=$C$10+$C$11,2,3))</f>
        <v>2</v>
      </c>
      <c r="F893" s="0" t="n">
        <f aca="false">IF(E893=1,$C$4*SQRT(D893),IF(E893=2,$C$4+($C$5-$C$4)*D893,$C$6-($C$6-$C$5)*SQRT(1-D893)))</f>
        <v>4.7625200973153</v>
      </c>
    </row>
    <row r="894" customFormat="false" ht="15" hidden="false" customHeight="false" outlineLevel="0" collapsed="false">
      <c r="B894" s="0" t="n">
        <v>878</v>
      </c>
      <c r="C894" s="0" t="n">
        <f aca="true">RAND()</f>
        <v>0.490963880697191</v>
      </c>
      <c r="D894" s="0" t="n">
        <f aca="true">RAND()</f>
        <v>0.772480554077262</v>
      </c>
      <c r="E894" s="0" t="n">
        <f aca="false">IF(C894&lt;=$C$10,1,IF(C894&lt;=$C$10+$C$11,2,3))</f>
        <v>2</v>
      </c>
      <c r="F894" s="0" t="n">
        <f aca="false">IF(E894=1,$C$4*SQRT(D894),IF(E894=2,$C$4+($C$5-$C$4)*D894,$C$6-($C$6-$C$5)*SQRT(1-D894)))</f>
        <v>6.08992221630905</v>
      </c>
    </row>
    <row r="895" customFormat="false" ht="15" hidden="false" customHeight="false" outlineLevel="0" collapsed="false">
      <c r="B895" s="0" t="n">
        <v>879</v>
      </c>
      <c r="C895" s="0" t="n">
        <f aca="true">RAND()</f>
        <v>0.323141451266845</v>
      </c>
      <c r="D895" s="0" t="n">
        <f aca="true">RAND()</f>
        <v>0.259327871608205</v>
      </c>
      <c r="E895" s="0" t="n">
        <f aca="false">IF(C895&lt;=$C$10,1,IF(C895&lt;=$C$10+$C$11,2,3))</f>
        <v>2</v>
      </c>
      <c r="F895" s="0" t="n">
        <f aca="false">IF(E895=1,$C$4*SQRT(D895),IF(E895=2,$C$4+($C$5-$C$4)*D895,$C$6-($C$6-$C$5)*SQRT(1-D895)))</f>
        <v>4.03731148643282</v>
      </c>
    </row>
    <row r="896" customFormat="false" ht="15" hidden="false" customHeight="false" outlineLevel="0" collapsed="false">
      <c r="B896" s="0" t="n">
        <v>880</v>
      </c>
      <c r="C896" s="0" t="n">
        <f aca="true">RAND()</f>
        <v>0.631691527684359</v>
      </c>
      <c r="D896" s="0" t="n">
        <f aca="true">RAND()</f>
        <v>0.883373175665372</v>
      </c>
      <c r="E896" s="0" t="n">
        <f aca="false">IF(C896&lt;=$C$10,1,IF(C896&lt;=$C$10+$C$11,2,3))</f>
        <v>2</v>
      </c>
      <c r="F896" s="0" t="n">
        <f aca="false">IF(E896=1,$C$4*SQRT(D896),IF(E896=2,$C$4+($C$5-$C$4)*D896,$C$6-($C$6-$C$5)*SQRT(1-D896)))</f>
        <v>6.53349270266149</v>
      </c>
    </row>
    <row r="897" customFormat="false" ht="15" hidden="false" customHeight="false" outlineLevel="0" collapsed="false">
      <c r="B897" s="0" t="n">
        <v>881</v>
      </c>
      <c r="C897" s="0" t="n">
        <f aca="true">RAND()</f>
        <v>0.743860805710402</v>
      </c>
      <c r="D897" s="0" t="n">
        <f aca="true">RAND()</f>
        <v>0.176177743453336</v>
      </c>
      <c r="E897" s="0" t="n">
        <f aca="false">IF(C897&lt;=$C$10,1,IF(C897&lt;=$C$10+$C$11,2,3))</f>
        <v>2</v>
      </c>
      <c r="F897" s="0" t="n">
        <f aca="false">IF(E897=1,$C$4*SQRT(D897),IF(E897=2,$C$4+($C$5-$C$4)*D897,$C$6-($C$6-$C$5)*SQRT(1-D897)))</f>
        <v>3.70471097381334</v>
      </c>
    </row>
    <row r="898" customFormat="false" ht="15" hidden="false" customHeight="false" outlineLevel="0" collapsed="false">
      <c r="B898" s="0" t="n">
        <v>882</v>
      </c>
      <c r="C898" s="0" t="n">
        <f aca="true">RAND()</f>
        <v>0.00699605078629308</v>
      </c>
      <c r="D898" s="0" t="n">
        <f aca="true">RAND()</f>
        <v>0.36366349098805</v>
      </c>
      <c r="E898" s="0" t="n">
        <f aca="false">IF(C898&lt;=$C$10,1,IF(C898&lt;=$C$10+$C$11,2,3))</f>
        <v>1</v>
      </c>
      <c r="F898" s="0" t="n">
        <f aca="false">IF(E898=1,$C$4*SQRT(D898),IF(E898=2,$C$4+($C$5-$C$4)*D898,$C$6-($C$6-$C$5)*SQRT(1-D898)))</f>
        <v>1.80913554464348</v>
      </c>
    </row>
    <row r="899" customFormat="false" ht="15" hidden="false" customHeight="false" outlineLevel="0" collapsed="false">
      <c r="B899" s="0" t="n">
        <v>883</v>
      </c>
      <c r="C899" s="0" t="n">
        <f aca="true">RAND()</f>
        <v>0.0132093643274055</v>
      </c>
      <c r="D899" s="0" t="n">
        <f aca="true">RAND()</f>
        <v>0.67079592941624</v>
      </c>
      <c r="E899" s="0" t="n">
        <f aca="false">IF(C899&lt;=$C$10,1,IF(C899&lt;=$C$10+$C$11,2,3))</f>
        <v>1</v>
      </c>
      <c r="F899" s="0" t="n">
        <f aca="false">IF(E899=1,$C$4*SQRT(D899),IF(E899=2,$C$4+($C$5-$C$4)*D899,$C$6-($C$6-$C$5)*SQRT(1-D899)))</f>
        <v>2.457063972457</v>
      </c>
    </row>
    <row r="900" customFormat="false" ht="15" hidden="false" customHeight="false" outlineLevel="0" collapsed="false">
      <c r="B900" s="0" t="n">
        <v>884</v>
      </c>
      <c r="C900" s="0" t="n">
        <f aca="true">RAND()</f>
        <v>0.653560367930465</v>
      </c>
      <c r="D900" s="0" t="n">
        <f aca="true">RAND()</f>
        <v>0.640527501151676</v>
      </c>
      <c r="E900" s="0" t="n">
        <f aca="false">IF(C900&lt;=$C$10,1,IF(C900&lt;=$C$10+$C$11,2,3))</f>
        <v>2</v>
      </c>
      <c r="F900" s="0" t="n">
        <f aca="false">IF(E900=1,$C$4*SQRT(D900),IF(E900=2,$C$4+($C$5-$C$4)*D900,$C$6-($C$6-$C$5)*SQRT(1-D900)))</f>
        <v>5.56211000460671</v>
      </c>
    </row>
    <row r="901" customFormat="false" ht="15" hidden="false" customHeight="false" outlineLevel="0" collapsed="false">
      <c r="B901" s="0" t="n">
        <v>885</v>
      </c>
      <c r="C901" s="0" t="n">
        <f aca="true">RAND()</f>
        <v>0.377432206372548</v>
      </c>
      <c r="D901" s="0" t="n">
        <f aca="true">RAND()</f>
        <v>0.149542911195652</v>
      </c>
      <c r="E901" s="0" t="n">
        <f aca="false">IF(C901&lt;=$C$10,1,IF(C901&lt;=$C$10+$C$11,2,3))</f>
        <v>2</v>
      </c>
      <c r="F901" s="0" t="n">
        <f aca="false">IF(E901=1,$C$4*SQRT(D901),IF(E901=2,$C$4+($C$5-$C$4)*D901,$C$6-($C$6-$C$5)*SQRT(1-D901)))</f>
        <v>3.59817164478261</v>
      </c>
    </row>
    <row r="902" customFormat="false" ht="15" hidden="false" customHeight="false" outlineLevel="0" collapsed="false">
      <c r="B902" s="0" t="n">
        <v>886</v>
      </c>
      <c r="C902" s="0" t="n">
        <f aca="true">RAND()</f>
        <v>0.969261804244421</v>
      </c>
      <c r="D902" s="0" t="n">
        <f aca="true">RAND()</f>
        <v>0.120697633458681</v>
      </c>
      <c r="E902" s="0" t="n">
        <f aca="false">IF(C902&lt;=$C$10,1,IF(C902&lt;=$C$10+$C$11,2,3))</f>
        <v>3</v>
      </c>
      <c r="F902" s="0" t="n">
        <f aca="false">IF(E902=1,$C$4*SQRT(D902),IF(E902=2,$C$4+($C$5-$C$4)*D902,$C$6-($C$6-$C$5)*SQRT(1-D902)))</f>
        <v>7.18686628492852</v>
      </c>
    </row>
    <row r="903" customFormat="false" ht="15" hidden="false" customHeight="false" outlineLevel="0" collapsed="false">
      <c r="B903" s="0" t="n">
        <v>887</v>
      </c>
      <c r="C903" s="0" t="n">
        <f aca="true">RAND()</f>
        <v>0.428923881666915</v>
      </c>
      <c r="D903" s="0" t="n">
        <f aca="true">RAND()</f>
        <v>0.675506398346056</v>
      </c>
      <c r="E903" s="0" t="n">
        <f aca="false">IF(C903&lt;=$C$10,1,IF(C903&lt;=$C$10+$C$11,2,3))</f>
        <v>2</v>
      </c>
      <c r="F903" s="0" t="n">
        <f aca="false">IF(E903=1,$C$4*SQRT(D903),IF(E903=2,$C$4+($C$5-$C$4)*D903,$C$6-($C$6-$C$5)*SQRT(1-D903)))</f>
        <v>5.70202559338422</v>
      </c>
    </row>
    <row r="904" customFormat="false" ht="15" hidden="false" customHeight="false" outlineLevel="0" collapsed="false">
      <c r="B904" s="0" t="n">
        <v>888</v>
      </c>
      <c r="C904" s="0" t="n">
        <f aca="true">RAND()</f>
        <v>0.399305659887689</v>
      </c>
      <c r="D904" s="0" t="n">
        <f aca="true">RAND()</f>
        <v>0.540143175524161</v>
      </c>
      <c r="E904" s="0" t="n">
        <f aca="false">IF(C904&lt;=$C$10,1,IF(C904&lt;=$C$10+$C$11,2,3))</f>
        <v>2</v>
      </c>
      <c r="F904" s="0" t="n">
        <f aca="false">IF(E904=1,$C$4*SQRT(D904),IF(E904=2,$C$4+($C$5-$C$4)*D904,$C$6-($C$6-$C$5)*SQRT(1-D904)))</f>
        <v>5.16057270209665</v>
      </c>
    </row>
    <row r="905" customFormat="false" ht="15" hidden="false" customHeight="false" outlineLevel="0" collapsed="false">
      <c r="B905" s="0" t="n">
        <v>889</v>
      </c>
      <c r="C905" s="0" t="n">
        <f aca="true">RAND()</f>
        <v>0.236839711536228</v>
      </c>
      <c r="D905" s="0" t="n">
        <f aca="true">RAND()</f>
        <v>0.387788622875066</v>
      </c>
      <c r="E905" s="0" t="n">
        <f aca="false">IF(C905&lt;=$C$10,1,IF(C905&lt;=$C$10+$C$11,2,3))</f>
        <v>2</v>
      </c>
      <c r="F905" s="0" t="n">
        <f aca="false">IF(E905=1,$C$4*SQRT(D905),IF(E905=2,$C$4+($C$5-$C$4)*D905,$C$6-($C$6-$C$5)*SQRT(1-D905)))</f>
        <v>4.55115449150026</v>
      </c>
    </row>
    <row r="906" customFormat="false" ht="15" hidden="false" customHeight="false" outlineLevel="0" collapsed="false">
      <c r="B906" s="0" t="n">
        <v>890</v>
      </c>
      <c r="C906" s="0" t="n">
        <f aca="true">RAND()</f>
        <v>0.64263482353382</v>
      </c>
      <c r="D906" s="0" t="n">
        <f aca="true">RAND()</f>
        <v>0.324918668453084</v>
      </c>
      <c r="E906" s="0" t="n">
        <f aca="false">IF(C906&lt;=$C$10,1,IF(C906&lt;=$C$10+$C$11,2,3))</f>
        <v>2</v>
      </c>
      <c r="F906" s="0" t="n">
        <f aca="false">IF(E906=1,$C$4*SQRT(D906),IF(E906=2,$C$4+($C$5-$C$4)*D906,$C$6-($C$6-$C$5)*SQRT(1-D906)))</f>
        <v>4.29967467381234</v>
      </c>
    </row>
    <row r="907" customFormat="false" ht="15" hidden="false" customHeight="false" outlineLevel="0" collapsed="false">
      <c r="B907" s="0" t="n">
        <v>891</v>
      </c>
      <c r="C907" s="0" t="n">
        <f aca="true">RAND()</f>
        <v>0.0766943065291522</v>
      </c>
      <c r="D907" s="0" t="n">
        <f aca="true">RAND()</f>
        <v>0.0493805461129185</v>
      </c>
      <c r="E907" s="0" t="n">
        <f aca="false">IF(C907&lt;=$C$10,1,IF(C907&lt;=$C$10+$C$11,2,3))</f>
        <v>1</v>
      </c>
      <c r="F907" s="0" t="n">
        <f aca="false">IF(E907=1,$C$4*SQRT(D907),IF(E907=2,$C$4+($C$5-$C$4)*D907,$C$6-($C$6-$C$5)*SQRT(1-D907)))</f>
        <v>0.666652019434627</v>
      </c>
    </row>
    <row r="908" customFormat="false" ht="15" hidden="false" customHeight="false" outlineLevel="0" collapsed="false">
      <c r="B908" s="0" t="n">
        <v>892</v>
      </c>
      <c r="C908" s="0" t="n">
        <f aca="true">RAND()</f>
        <v>0.634971213514045</v>
      </c>
      <c r="D908" s="0" t="n">
        <f aca="true">RAND()</f>
        <v>0.915147640573303</v>
      </c>
      <c r="E908" s="0" t="n">
        <f aca="false">IF(C908&lt;=$C$10,1,IF(C908&lt;=$C$10+$C$11,2,3))</f>
        <v>2</v>
      </c>
      <c r="F908" s="0" t="n">
        <f aca="false">IF(E908=1,$C$4*SQRT(D908),IF(E908=2,$C$4+($C$5-$C$4)*D908,$C$6-($C$6-$C$5)*SQRT(1-D908)))</f>
        <v>6.66059056229321</v>
      </c>
    </row>
    <row r="909" customFormat="false" ht="15" hidden="false" customHeight="false" outlineLevel="0" collapsed="false">
      <c r="B909" s="0" t="n">
        <v>893</v>
      </c>
      <c r="C909" s="0" t="n">
        <f aca="true">RAND()</f>
        <v>0.321005521305321</v>
      </c>
      <c r="D909" s="0" t="n">
        <f aca="true">RAND()</f>
        <v>0.986561854238923</v>
      </c>
      <c r="E909" s="0" t="n">
        <f aca="false">IF(C909&lt;=$C$10,1,IF(C909&lt;=$C$10+$C$11,2,3))</f>
        <v>2</v>
      </c>
      <c r="F909" s="0" t="n">
        <f aca="false">IF(E909=1,$C$4*SQRT(D909),IF(E909=2,$C$4+($C$5-$C$4)*D909,$C$6-($C$6-$C$5)*SQRT(1-D909)))</f>
        <v>6.94624741695569</v>
      </c>
    </row>
    <row r="910" customFormat="false" ht="15" hidden="false" customHeight="false" outlineLevel="0" collapsed="false">
      <c r="B910" s="0" t="n">
        <v>894</v>
      </c>
      <c r="C910" s="0" t="n">
        <f aca="true">RAND()</f>
        <v>0.435410850101573</v>
      </c>
      <c r="D910" s="0" t="n">
        <f aca="true">RAND()</f>
        <v>0.972954495657215</v>
      </c>
      <c r="E910" s="0" t="n">
        <f aca="false">IF(C910&lt;=$C$10,1,IF(C910&lt;=$C$10+$C$11,2,3))</f>
        <v>2</v>
      </c>
      <c r="F910" s="0" t="n">
        <f aca="false">IF(E910=1,$C$4*SQRT(D910),IF(E910=2,$C$4+($C$5-$C$4)*D910,$C$6-($C$6-$C$5)*SQRT(1-D910)))</f>
        <v>6.89181798262886</v>
      </c>
    </row>
    <row r="911" customFormat="false" ht="15" hidden="false" customHeight="false" outlineLevel="0" collapsed="false">
      <c r="B911" s="0" t="n">
        <v>895</v>
      </c>
      <c r="C911" s="0" t="n">
        <f aca="true">RAND()</f>
        <v>0.0868428725604742</v>
      </c>
      <c r="D911" s="0" t="n">
        <f aca="true">RAND()</f>
        <v>0.200897527822682</v>
      </c>
      <c r="E911" s="0" t="n">
        <f aca="false">IF(C911&lt;=$C$10,1,IF(C911&lt;=$C$10+$C$11,2,3))</f>
        <v>1</v>
      </c>
      <c r="F911" s="0" t="n">
        <f aca="false">IF(E911=1,$C$4*SQRT(D911),IF(E911=2,$C$4+($C$5-$C$4)*D911,$C$6-($C$6-$C$5)*SQRT(1-D911)))</f>
        <v>1.34464781649477</v>
      </c>
    </row>
    <row r="912" customFormat="false" ht="15" hidden="false" customHeight="false" outlineLevel="0" collapsed="false">
      <c r="B912" s="0" t="n">
        <v>896</v>
      </c>
      <c r="C912" s="0" t="n">
        <f aca="true">RAND()</f>
        <v>0.935371160659381</v>
      </c>
      <c r="D912" s="0" t="n">
        <f aca="true">RAND()</f>
        <v>0.962614858719527</v>
      </c>
      <c r="E912" s="0" t="n">
        <f aca="false">IF(C912&lt;=$C$10,1,IF(C912&lt;=$C$10+$C$11,2,3))</f>
        <v>3</v>
      </c>
      <c r="F912" s="0" t="n">
        <f aca="false">IF(E912=1,$C$4*SQRT(D912),IF(E912=2,$C$4+($C$5-$C$4)*D912,$C$6-($C$6-$C$5)*SQRT(1-D912)))</f>
        <v>9.41994287218907</v>
      </c>
    </row>
    <row r="913" customFormat="false" ht="15" hidden="false" customHeight="false" outlineLevel="0" collapsed="false">
      <c r="B913" s="0" t="n">
        <v>897</v>
      </c>
      <c r="C913" s="0" t="n">
        <f aca="true">RAND()</f>
        <v>0.585457026438329</v>
      </c>
      <c r="D913" s="0" t="n">
        <f aca="true">RAND()</f>
        <v>0.0790604913284536</v>
      </c>
      <c r="E913" s="0" t="n">
        <f aca="false">IF(C913&lt;=$C$10,1,IF(C913&lt;=$C$10+$C$11,2,3))</f>
        <v>2</v>
      </c>
      <c r="F913" s="0" t="n">
        <f aca="false">IF(E913=1,$C$4*SQRT(D913),IF(E913=2,$C$4+($C$5-$C$4)*D913,$C$6-($C$6-$C$5)*SQRT(1-D913)))</f>
        <v>3.31624196531381</v>
      </c>
    </row>
    <row r="914" customFormat="false" ht="15" hidden="false" customHeight="false" outlineLevel="0" collapsed="false">
      <c r="B914" s="0" t="n">
        <v>898</v>
      </c>
      <c r="C914" s="0" t="n">
        <f aca="true">RAND()</f>
        <v>0.118787729435808</v>
      </c>
      <c r="D914" s="0" t="n">
        <f aca="true">RAND()</f>
        <v>0.95262962919791</v>
      </c>
      <c r="E914" s="0" t="n">
        <f aca="false">IF(C914&lt;=$C$10,1,IF(C914&lt;=$C$10+$C$11,2,3))</f>
        <v>1</v>
      </c>
      <c r="F914" s="0" t="n">
        <f aca="false">IF(E914=1,$C$4*SQRT(D914),IF(E914=2,$C$4+($C$5-$C$4)*D914,$C$6-($C$6-$C$5)*SQRT(1-D914)))</f>
        <v>2.92808242076298</v>
      </c>
    </row>
    <row r="915" customFormat="false" ht="15" hidden="false" customHeight="false" outlineLevel="0" collapsed="false">
      <c r="B915" s="0" t="n">
        <v>899</v>
      </c>
      <c r="C915" s="0" t="n">
        <f aca="true">RAND()</f>
        <v>0.654121667033351</v>
      </c>
      <c r="D915" s="0" t="n">
        <f aca="true">RAND()</f>
        <v>0.96811792798851</v>
      </c>
      <c r="E915" s="0" t="n">
        <f aca="false">IF(C915&lt;=$C$10,1,IF(C915&lt;=$C$10+$C$11,2,3))</f>
        <v>2</v>
      </c>
      <c r="F915" s="0" t="n">
        <f aca="false">IF(E915=1,$C$4*SQRT(D915),IF(E915=2,$C$4+($C$5-$C$4)*D915,$C$6-($C$6-$C$5)*SQRT(1-D915)))</f>
        <v>6.87247171195404</v>
      </c>
    </row>
    <row r="916" customFormat="false" ht="15" hidden="false" customHeight="false" outlineLevel="0" collapsed="false">
      <c r="B916" s="0" t="n">
        <v>900</v>
      </c>
      <c r="C916" s="0" t="n">
        <f aca="true">RAND()</f>
        <v>0.0771928047997843</v>
      </c>
      <c r="D916" s="0" t="n">
        <f aca="true">RAND()</f>
        <v>0.00500542515409218</v>
      </c>
      <c r="E916" s="0" t="n">
        <f aca="false">IF(C916&lt;=$C$10,1,IF(C916&lt;=$C$10+$C$11,2,3))</f>
        <v>1</v>
      </c>
      <c r="F916" s="0" t="n">
        <f aca="false">IF(E916=1,$C$4*SQRT(D916),IF(E916=2,$C$4+($C$5-$C$4)*D916,$C$6-($C$6-$C$5)*SQRT(1-D916)))</f>
        <v>0.212247088052651</v>
      </c>
    </row>
    <row r="917" customFormat="false" ht="15" hidden="false" customHeight="false" outlineLevel="0" collapsed="false">
      <c r="B917" s="0" t="n">
        <v>901</v>
      </c>
      <c r="C917" s="0" t="n">
        <f aca="true">RAND()</f>
        <v>0.136887752760325</v>
      </c>
      <c r="D917" s="0" t="n">
        <f aca="true">RAND()</f>
        <v>0.354372937529624</v>
      </c>
      <c r="E917" s="0" t="n">
        <f aca="false">IF(C917&lt;=$C$10,1,IF(C917&lt;=$C$10+$C$11,2,3))</f>
        <v>1</v>
      </c>
      <c r="F917" s="0" t="n">
        <f aca="false">IF(E917=1,$C$4*SQRT(D917),IF(E917=2,$C$4+($C$5-$C$4)*D917,$C$6-($C$6-$C$5)*SQRT(1-D917)))</f>
        <v>1.78587693802418</v>
      </c>
    </row>
    <row r="918" customFormat="false" ht="15" hidden="false" customHeight="false" outlineLevel="0" collapsed="false">
      <c r="B918" s="0" t="n">
        <v>902</v>
      </c>
      <c r="C918" s="0" t="n">
        <f aca="true">RAND()</f>
        <v>0.131707561717262</v>
      </c>
      <c r="D918" s="0" t="n">
        <f aca="true">RAND()</f>
        <v>0.865890481562995</v>
      </c>
      <c r="E918" s="0" t="n">
        <f aca="false">IF(C918&lt;=$C$10,1,IF(C918&lt;=$C$10+$C$11,2,3))</f>
        <v>1</v>
      </c>
      <c r="F918" s="0" t="n">
        <f aca="false">IF(E918=1,$C$4*SQRT(D918),IF(E918=2,$C$4+($C$5-$C$4)*D918,$C$6-($C$6-$C$5)*SQRT(1-D918)))</f>
        <v>2.79159709379182</v>
      </c>
    </row>
    <row r="919" customFormat="false" ht="15" hidden="false" customHeight="false" outlineLevel="0" collapsed="false">
      <c r="B919" s="0" t="n">
        <v>903</v>
      </c>
      <c r="C919" s="0" t="n">
        <f aca="true">RAND()</f>
        <v>0.362545892850621</v>
      </c>
      <c r="D919" s="0" t="n">
        <f aca="true">RAND()</f>
        <v>0.392305977468891</v>
      </c>
      <c r="E919" s="0" t="n">
        <f aca="false">IF(C919&lt;=$C$10,1,IF(C919&lt;=$C$10+$C$11,2,3))</f>
        <v>2</v>
      </c>
      <c r="F919" s="0" t="n">
        <f aca="false">IF(E919=1,$C$4*SQRT(D919),IF(E919=2,$C$4+($C$5-$C$4)*D919,$C$6-($C$6-$C$5)*SQRT(1-D919)))</f>
        <v>4.56922390987556</v>
      </c>
    </row>
    <row r="920" customFormat="false" ht="15" hidden="false" customHeight="false" outlineLevel="0" collapsed="false">
      <c r="B920" s="0" t="n">
        <v>904</v>
      </c>
      <c r="C920" s="0" t="n">
        <f aca="true">RAND()</f>
        <v>0.316332971236316</v>
      </c>
      <c r="D920" s="0" t="n">
        <f aca="true">RAND()</f>
        <v>0.626482991934752</v>
      </c>
      <c r="E920" s="0" t="n">
        <f aca="false">IF(C920&lt;=$C$10,1,IF(C920&lt;=$C$10+$C$11,2,3))</f>
        <v>2</v>
      </c>
      <c r="F920" s="0" t="n">
        <f aca="false">IF(E920=1,$C$4*SQRT(D920),IF(E920=2,$C$4+($C$5-$C$4)*D920,$C$6-($C$6-$C$5)*SQRT(1-D920)))</f>
        <v>5.50593196773901</v>
      </c>
    </row>
    <row r="921" customFormat="false" ht="15" hidden="false" customHeight="false" outlineLevel="0" collapsed="false">
      <c r="B921" s="0" t="n">
        <v>905</v>
      </c>
      <c r="C921" s="0" t="n">
        <f aca="true">RAND()</f>
        <v>0.516991930377017</v>
      </c>
      <c r="D921" s="0" t="n">
        <f aca="true">RAND()</f>
        <v>0.328423470289229</v>
      </c>
      <c r="E921" s="0" t="n">
        <f aca="false">IF(C921&lt;=$C$10,1,IF(C921&lt;=$C$10+$C$11,2,3))</f>
        <v>2</v>
      </c>
      <c r="F921" s="0" t="n">
        <f aca="false">IF(E921=1,$C$4*SQRT(D921),IF(E921=2,$C$4+($C$5-$C$4)*D921,$C$6-($C$6-$C$5)*SQRT(1-D921)))</f>
        <v>4.31369388115692</v>
      </c>
    </row>
    <row r="922" customFormat="false" ht="15" hidden="false" customHeight="false" outlineLevel="0" collapsed="false">
      <c r="B922" s="0" t="n">
        <v>906</v>
      </c>
      <c r="C922" s="0" t="n">
        <f aca="true">RAND()</f>
        <v>0.588054003827338</v>
      </c>
      <c r="D922" s="0" t="n">
        <f aca="true">RAND()</f>
        <v>0.446912064307392</v>
      </c>
      <c r="E922" s="0" t="n">
        <f aca="false">IF(C922&lt;=$C$10,1,IF(C922&lt;=$C$10+$C$11,2,3))</f>
        <v>2</v>
      </c>
      <c r="F922" s="0" t="n">
        <f aca="false">IF(E922=1,$C$4*SQRT(D922),IF(E922=2,$C$4+($C$5-$C$4)*D922,$C$6-($C$6-$C$5)*SQRT(1-D922)))</f>
        <v>4.78764825722957</v>
      </c>
    </row>
    <row r="923" customFormat="false" ht="15" hidden="false" customHeight="false" outlineLevel="0" collapsed="false">
      <c r="B923" s="0" t="n">
        <v>907</v>
      </c>
      <c r="C923" s="0" t="n">
        <f aca="true">RAND()</f>
        <v>0.93334954097194</v>
      </c>
      <c r="D923" s="0" t="n">
        <f aca="true">RAND()</f>
        <v>0.414756215597609</v>
      </c>
      <c r="E923" s="0" t="n">
        <f aca="false">IF(C923&lt;=$C$10,1,IF(C923&lt;=$C$10+$C$11,2,3))</f>
        <v>3</v>
      </c>
      <c r="F923" s="0" t="n">
        <f aca="false">IF(E923=1,$C$4*SQRT(D923),IF(E923=2,$C$4+($C$5-$C$4)*D923,$C$6-($C$6-$C$5)*SQRT(1-D923)))</f>
        <v>7.704963168134</v>
      </c>
    </row>
    <row r="924" customFormat="false" ht="15" hidden="false" customHeight="false" outlineLevel="0" collapsed="false">
      <c r="B924" s="0" t="n">
        <v>908</v>
      </c>
      <c r="C924" s="0" t="n">
        <f aca="true">RAND()</f>
        <v>0.178529186041924</v>
      </c>
      <c r="D924" s="0" t="n">
        <f aca="true">RAND()</f>
        <v>0.863635453835889</v>
      </c>
      <c r="E924" s="0" t="n">
        <f aca="false">IF(C924&lt;=$C$10,1,IF(C924&lt;=$C$10+$C$11,2,3))</f>
        <v>1</v>
      </c>
      <c r="F924" s="0" t="n">
        <f aca="false">IF(E924=1,$C$4*SQRT(D924),IF(E924=2,$C$4+($C$5-$C$4)*D924,$C$6-($C$6-$C$5)*SQRT(1-D924)))</f>
        <v>2.78795966336011</v>
      </c>
    </row>
    <row r="925" customFormat="false" ht="15" hidden="false" customHeight="false" outlineLevel="0" collapsed="false">
      <c r="B925" s="0" t="n">
        <v>909</v>
      </c>
      <c r="C925" s="0" t="n">
        <f aca="true">RAND()</f>
        <v>0.468173948953988</v>
      </c>
      <c r="D925" s="0" t="n">
        <f aca="true">RAND()</f>
        <v>0.244192704634061</v>
      </c>
      <c r="E925" s="0" t="n">
        <f aca="false">IF(C925&lt;=$C$10,1,IF(C925&lt;=$C$10+$C$11,2,3))</f>
        <v>2</v>
      </c>
      <c r="F925" s="0" t="n">
        <f aca="false">IF(E925=1,$C$4*SQRT(D925),IF(E925=2,$C$4+($C$5-$C$4)*D925,$C$6-($C$6-$C$5)*SQRT(1-D925)))</f>
        <v>3.97677081853624</v>
      </c>
    </row>
    <row r="926" customFormat="false" ht="15" hidden="false" customHeight="false" outlineLevel="0" collapsed="false">
      <c r="B926" s="0" t="n">
        <v>910</v>
      </c>
      <c r="C926" s="0" t="n">
        <f aca="true">RAND()</f>
        <v>0.887119587792528</v>
      </c>
      <c r="D926" s="0" t="n">
        <f aca="true">RAND()</f>
        <v>0.677984866569973</v>
      </c>
      <c r="E926" s="0" t="n">
        <f aca="false">IF(C926&lt;=$C$10,1,IF(C926&lt;=$C$10+$C$11,2,3))</f>
        <v>3</v>
      </c>
      <c r="F926" s="0" t="n">
        <f aca="false">IF(E926=1,$C$4*SQRT(D926),IF(E926=2,$C$4+($C$5-$C$4)*D926,$C$6-($C$6-$C$5)*SQRT(1-D926)))</f>
        <v>8.29760868162745</v>
      </c>
    </row>
    <row r="927" customFormat="false" ht="15" hidden="false" customHeight="false" outlineLevel="0" collapsed="false">
      <c r="B927" s="0" t="n">
        <v>911</v>
      </c>
      <c r="C927" s="0" t="n">
        <f aca="true">RAND()</f>
        <v>0.0560152021770661</v>
      </c>
      <c r="D927" s="0" t="n">
        <f aca="true">RAND()</f>
        <v>0.833390112414501</v>
      </c>
      <c r="E927" s="0" t="n">
        <f aca="false">IF(C927&lt;=$C$10,1,IF(C927&lt;=$C$10+$C$11,2,3))</f>
        <v>1</v>
      </c>
      <c r="F927" s="0" t="n">
        <f aca="false">IF(E927=1,$C$4*SQRT(D927),IF(E927=2,$C$4+($C$5-$C$4)*D927,$C$6-($C$6-$C$5)*SQRT(1-D927)))</f>
        <v>2.73870608348733</v>
      </c>
    </row>
    <row r="928" customFormat="false" ht="15" hidden="false" customHeight="false" outlineLevel="0" collapsed="false">
      <c r="B928" s="0" t="n">
        <v>912</v>
      </c>
      <c r="C928" s="0" t="n">
        <f aca="true">RAND()</f>
        <v>0.887979750463587</v>
      </c>
      <c r="D928" s="0" t="n">
        <f aca="true">RAND()</f>
        <v>0.177804787950954</v>
      </c>
      <c r="E928" s="0" t="n">
        <f aca="false">IF(C928&lt;=$C$10,1,IF(C928&lt;=$C$10+$C$11,2,3))</f>
        <v>3</v>
      </c>
      <c r="F928" s="0" t="n">
        <f aca="false">IF(E928=1,$C$4*SQRT(D928),IF(E928=2,$C$4+($C$5-$C$4)*D928,$C$6-($C$6-$C$5)*SQRT(1-D928)))</f>
        <v>7.27975057973696</v>
      </c>
    </row>
    <row r="929" customFormat="false" ht="15" hidden="false" customHeight="false" outlineLevel="0" collapsed="false">
      <c r="B929" s="0" t="n">
        <v>913</v>
      </c>
      <c r="C929" s="0" t="n">
        <f aca="true">RAND()</f>
        <v>0.538002273254301</v>
      </c>
      <c r="D929" s="0" t="n">
        <f aca="true">RAND()</f>
        <v>0.349880654161816</v>
      </c>
      <c r="E929" s="0" t="n">
        <f aca="false">IF(C929&lt;=$C$10,1,IF(C929&lt;=$C$10+$C$11,2,3))</f>
        <v>2</v>
      </c>
      <c r="F929" s="0" t="n">
        <f aca="false">IF(E929=1,$C$4*SQRT(D929),IF(E929=2,$C$4+($C$5-$C$4)*D929,$C$6-($C$6-$C$5)*SQRT(1-D929)))</f>
        <v>4.39952261664726</v>
      </c>
    </row>
    <row r="930" customFormat="false" ht="15" hidden="false" customHeight="false" outlineLevel="0" collapsed="false">
      <c r="B930" s="0" t="n">
        <v>914</v>
      </c>
      <c r="C930" s="0" t="n">
        <f aca="true">RAND()</f>
        <v>0.695957024373957</v>
      </c>
      <c r="D930" s="0" t="n">
        <f aca="true">RAND()</f>
        <v>0.503655858473485</v>
      </c>
      <c r="E930" s="0" t="n">
        <f aca="false">IF(C930&lt;=$C$10,1,IF(C930&lt;=$C$10+$C$11,2,3))</f>
        <v>2</v>
      </c>
      <c r="F930" s="0" t="n">
        <f aca="false">IF(E930=1,$C$4*SQRT(D930),IF(E930=2,$C$4+($C$5-$C$4)*D930,$C$6-($C$6-$C$5)*SQRT(1-D930)))</f>
        <v>5.01462343389394</v>
      </c>
    </row>
    <row r="931" customFormat="false" ht="15" hidden="false" customHeight="false" outlineLevel="0" collapsed="false">
      <c r="B931" s="0" t="n">
        <v>915</v>
      </c>
      <c r="C931" s="0" t="n">
        <f aca="true">RAND()</f>
        <v>0.392846933559181</v>
      </c>
      <c r="D931" s="0" t="n">
        <f aca="true">RAND()</f>
        <v>0.14374660192043</v>
      </c>
      <c r="E931" s="0" t="n">
        <f aca="false">IF(C931&lt;=$C$10,1,IF(C931&lt;=$C$10+$C$11,2,3))</f>
        <v>2</v>
      </c>
      <c r="F931" s="0" t="n">
        <f aca="false">IF(E931=1,$C$4*SQRT(D931),IF(E931=2,$C$4+($C$5-$C$4)*D931,$C$6-($C$6-$C$5)*SQRT(1-D931)))</f>
        <v>3.57498640768172</v>
      </c>
    </row>
    <row r="932" customFormat="false" ht="15" hidden="false" customHeight="false" outlineLevel="0" collapsed="false">
      <c r="B932" s="0" t="n">
        <v>916</v>
      </c>
      <c r="C932" s="0" t="n">
        <f aca="true">RAND()</f>
        <v>0.636837624995221</v>
      </c>
      <c r="D932" s="0" t="n">
        <f aca="true">RAND()</f>
        <v>0.095229668983783</v>
      </c>
      <c r="E932" s="0" t="n">
        <f aca="false">IF(C932&lt;=$C$10,1,IF(C932&lt;=$C$10+$C$11,2,3))</f>
        <v>2</v>
      </c>
      <c r="F932" s="0" t="n">
        <f aca="false">IF(E932=1,$C$4*SQRT(D932),IF(E932=2,$C$4+($C$5-$C$4)*D932,$C$6-($C$6-$C$5)*SQRT(1-D932)))</f>
        <v>3.38091867593513</v>
      </c>
    </row>
    <row r="933" customFormat="false" ht="15" hidden="false" customHeight="false" outlineLevel="0" collapsed="false">
      <c r="B933" s="0" t="n">
        <v>917</v>
      </c>
      <c r="C933" s="0" t="n">
        <f aca="true">RAND()</f>
        <v>0.578894509883498</v>
      </c>
      <c r="D933" s="0" t="n">
        <f aca="true">RAND()</f>
        <v>0.133289539432383</v>
      </c>
      <c r="E933" s="0" t="n">
        <f aca="false">IF(C933&lt;=$C$10,1,IF(C933&lt;=$C$10+$C$11,2,3))</f>
        <v>2</v>
      </c>
      <c r="F933" s="0" t="n">
        <f aca="false">IF(E933=1,$C$4*SQRT(D933),IF(E933=2,$C$4+($C$5-$C$4)*D933,$C$6-($C$6-$C$5)*SQRT(1-D933)))</f>
        <v>3.53315815772953</v>
      </c>
    </row>
    <row r="934" customFormat="false" ht="15" hidden="false" customHeight="false" outlineLevel="0" collapsed="false">
      <c r="B934" s="0" t="n">
        <v>918</v>
      </c>
      <c r="C934" s="0" t="n">
        <f aca="true">RAND()</f>
        <v>0.893947721676875</v>
      </c>
      <c r="D934" s="0" t="n">
        <f aca="true">RAND()</f>
        <v>0.638035061773703</v>
      </c>
      <c r="E934" s="0" t="n">
        <f aca="false">IF(C934&lt;=$C$10,1,IF(C934&lt;=$C$10+$C$11,2,3))</f>
        <v>3</v>
      </c>
      <c r="F934" s="0" t="n">
        <f aca="false">IF(E934=1,$C$4*SQRT(D934),IF(E934=2,$C$4+($C$5-$C$4)*D934,$C$6-($C$6-$C$5)*SQRT(1-D934)))</f>
        <v>8.19509433929729</v>
      </c>
    </row>
    <row r="935" customFormat="false" ht="15" hidden="false" customHeight="false" outlineLevel="0" collapsed="false">
      <c r="B935" s="0" t="n">
        <v>919</v>
      </c>
      <c r="C935" s="0" t="n">
        <f aca="true">RAND()</f>
        <v>0.698001778565712</v>
      </c>
      <c r="D935" s="0" t="n">
        <f aca="true">RAND()</f>
        <v>0.641003771024404</v>
      </c>
      <c r="E935" s="0" t="n">
        <f aca="false">IF(C935&lt;=$C$10,1,IF(C935&lt;=$C$10+$C$11,2,3))</f>
        <v>2</v>
      </c>
      <c r="F935" s="0" t="n">
        <f aca="false">IF(E935=1,$C$4*SQRT(D935),IF(E935=2,$C$4+($C$5-$C$4)*D935,$C$6-($C$6-$C$5)*SQRT(1-D935)))</f>
        <v>5.56401508409762</v>
      </c>
    </row>
    <row r="936" customFormat="false" ht="15" hidden="false" customHeight="false" outlineLevel="0" collapsed="false">
      <c r="B936" s="0" t="n">
        <v>920</v>
      </c>
      <c r="C936" s="0" t="n">
        <f aca="true">RAND()</f>
        <v>0.125802068818536</v>
      </c>
      <c r="D936" s="0" t="n">
        <f aca="true">RAND()</f>
        <v>0.0744631853765285</v>
      </c>
      <c r="E936" s="0" t="n">
        <f aca="false">IF(C936&lt;=$C$10,1,IF(C936&lt;=$C$10+$C$11,2,3))</f>
        <v>1</v>
      </c>
      <c r="F936" s="0" t="n">
        <f aca="false">IF(E936=1,$C$4*SQRT(D936),IF(E936=2,$C$4+($C$5-$C$4)*D936,$C$6-($C$6-$C$5)*SQRT(1-D936)))</f>
        <v>0.818638301320404</v>
      </c>
    </row>
    <row r="937" customFormat="false" ht="15" hidden="false" customHeight="false" outlineLevel="0" collapsed="false">
      <c r="B937" s="0" t="n">
        <v>921</v>
      </c>
      <c r="C937" s="0" t="n">
        <f aca="true">RAND()</f>
        <v>0.714036335479903</v>
      </c>
      <c r="D937" s="0" t="n">
        <f aca="true">RAND()</f>
        <v>0.532188575722688</v>
      </c>
      <c r="E937" s="0" t="n">
        <f aca="false">IF(C937&lt;=$C$10,1,IF(C937&lt;=$C$10+$C$11,2,3))</f>
        <v>2</v>
      </c>
      <c r="F937" s="0" t="n">
        <f aca="false">IF(E937=1,$C$4*SQRT(D937),IF(E937=2,$C$4+($C$5-$C$4)*D937,$C$6-($C$6-$C$5)*SQRT(1-D937)))</f>
        <v>5.12875430289075</v>
      </c>
    </row>
    <row r="938" customFormat="false" ht="15" hidden="false" customHeight="false" outlineLevel="0" collapsed="false">
      <c r="B938" s="0" t="n">
        <v>922</v>
      </c>
      <c r="C938" s="0" t="n">
        <f aca="true">RAND()</f>
        <v>0.0238650572822445</v>
      </c>
      <c r="D938" s="0" t="n">
        <f aca="true">RAND()</f>
        <v>0.182226380583627</v>
      </c>
      <c r="E938" s="0" t="n">
        <f aca="false">IF(C938&lt;=$C$10,1,IF(C938&lt;=$C$10+$C$11,2,3))</f>
        <v>1</v>
      </c>
      <c r="F938" s="0" t="n">
        <f aca="false">IF(E938=1,$C$4*SQRT(D938),IF(E938=2,$C$4+($C$5-$C$4)*D938,$C$6-($C$6-$C$5)*SQRT(1-D938)))</f>
        <v>1.28063945950944</v>
      </c>
    </row>
    <row r="939" customFormat="false" ht="15" hidden="false" customHeight="false" outlineLevel="0" collapsed="false">
      <c r="B939" s="0" t="n">
        <v>923</v>
      </c>
      <c r="C939" s="0" t="n">
        <f aca="true">RAND()</f>
        <v>0.600714267436458</v>
      </c>
      <c r="D939" s="0" t="n">
        <f aca="true">RAND()</f>
        <v>0.583215669430813</v>
      </c>
      <c r="E939" s="0" t="n">
        <f aca="false">IF(C939&lt;=$C$10,1,IF(C939&lt;=$C$10+$C$11,2,3))</f>
        <v>2</v>
      </c>
      <c r="F939" s="0" t="n">
        <f aca="false">IF(E939=1,$C$4*SQRT(D939),IF(E939=2,$C$4+($C$5-$C$4)*D939,$C$6-($C$6-$C$5)*SQRT(1-D939)))</f>
        <v>5.33286267772325</v>
      </c>
    </row>
    <row r="940" customFormat="false" ht="15" hidden="false" customHeight="false" outlineLevel="0" collapsed="false">
      <c r="B940" s="0" t="n">
        <v>924</v>
      </c>
      <c r="C940" s="0" t="n">
        <f aca="true">RAND()</f>
        <v>0.40642103215351</v>
      </c>
      <c r="D940" s="0" t="n">
        <f aca="true">RAND()</f>
        <v>0.979097446322564</v>
      </c>
      <c r="E940" s="0" t="n">
        <f aca="false">IF(C940&lt;=$C$10,1,IF(C940&lt;=$C$10+$C$11,2,3))</f>
        <v>2</v>
      </c>
      <c r="F940" s="0" t="n">
        <f aca="false">IF(E940=1,$C$4*SQRT(D940),IF(E940=2,$C$4+($C$5-$C$4)*D940,$C$6-($C$6-$C$5)*SQRT(1-D940)))</f>
        <v>6.91638978529026</v>
      </c>
    </row>
    <row r="941" customFormat="false" ht="15" hidden="false" customHeight="false" outlineLevel="0" collapsed="false">
      <c r="B941" s="0" t="n">
        <v>925</v>
      </c>
      <c r="C941" s="0" t="n">
        <f aca="true">RAND()</f>
        <v>0.357822935276291</v>
      </c>
      <c r="D941" s="0" t="n">
        <f aca="true">RAND()</f>
        <v>0.249087566309858</v>
      </c>
      <c r="E941" s="0" t="n">
        <f aca="false">IF(C941&lt;=$C$10,1,IF(C941&lt;=$C$10+$C$11,2,3))</f>
        <v>2</v>
      </c>
      <c r="F941" s="0" t="n">
        <f aca="false">IF(E941=1,$C$4*SQRT(D941),IF(E941=2,$C$4+($C$5-$C$4)*D941,$C$6-($C$6-$C$5)*SQRT(1-D941)))</f>
        <v>3.99635026523943</v>
      </c>
    </row>
    <row r="942" customFormat="false" ht="15" hidden="false" customHeight="false" outlineLevel="0" collapsed="false">
      <c r="B942" s="0" t="n">
        <v>926</v>
      </c>
      <c r="C942" s="0" t="n">
        <f aca="true">RAND()</f>
        <v>0.969611638573224</v>
      </c>
      <c r="D942" s="0" t="n">
        <f aca="true">RAND()</f>
        <v>0.310822279208389</v>
      </c>
      <c r="E942" s="0" t="n">
        <f aca="false">IF(C942&lt;=$C$10,1,IF(C942&lt;=$C$10+$C$11,2,3))</f>
        <v>3</v>
      </c>
      <c r="F942" s="0" t="n">
        <f aca="false">IF(E942=1,$C$4*SQRT(D942),IF(E942=2,$C$4+($C$5-$C$4)*D942,$C$6-($C$6-$C$5)*SQRT(1-D942)))</f>
        <v>7.5094981455288</v>
      </c>
    </row>
    <row r="943" customFormat="false" ht="15" hidden="false" customHeight="false" outlineLevel="0" collapsed="false">
      <c r="B943" s="0" t="n">
        <v>927</v>
      </c>
      <c r="C943" s="0" t="n">
        <f aca="true">RAND()</f>
        <v>0.508437313214997</v>
      </c>
      <c r="D943" s="0" t="n">
        <f aca="true">RAND()</f>
        <v>0.131276131824408</v>
      </c>
      <c r="E943" s="0" t="n">
        <f aca="false">IF(C943&lt;=$C$10,1,IF(C943&lt;=$C$10+$C$11,2,3))</f>
        <v>2</v>
      </c>
      <c r="F943" s="0" t="n">
        <f aca="false">IF(E943=1,$C$4*SQRT(D943),IF(E943=2,$C$4+($C$5-$C$4)*D943,$C$6-($C$6-$C$5)*SQRT(1-D943)))</f>
        <v>3.52510452729763</v>
      </c>
    </row>
    <row r="944" customFormat="false" ht="15" hidden="false" customHeight="false" outlineLevel="0" collapsed="false">
      <c r="B944" s="0" t="n">
        <v>928</v>
      </c>
      <c r="C944" s="0" t="n">
        <f aca="true">RAND()</f>
        <v>0.554460545061728</v>
      </c>
      <c r="D944" s="0" t="n">
        <f aca="true">RAND()</f>
        <v>0.505913710556592</v>
      </c>
      <c r="E944" s="0" t="n">
        <f aca="false">IF(C944&lt;=$C$10,1,IF(C944&lt;=$C$10+$C$11,2,3))</f>
        <v>2</v>
      </c>
      <c r="F944" s="0" t="n">
        <f aca="false">IF(E944=1,$C$4*SQRT(D944),IF(E944=2,$C$4+($C$5-$C$4)*D944,$C$6-($C$6-$C$5)*SQRT(1-D944)))</f>
        <v>5.02365484222637</v>
      </c>
    </row>
    <row r="945" customFormat="false" ht="15" hidden="false" customHeight="false" outlineLevel="0" collapsed="false">
      <c r="B945" s="0" t="n">
        <v>929</v>
      </c>
      <c r="C945" s="0" t="n">
        <f aca="true">RAND()</f>
        <v>0.926950236924686</v>
      </c>
      <c r="D945" s="0" t="n">
        <f aca="true">RAND()</f>
        <v>0.86562067079211</v>
      </c>
      <c r="E945" s="0" t="n">
        <f aca="false">IF(C945&lt;=$C$10,1,IF(C945&lt;=$C$10+$C$11,2,3))</f>
        <v>3</v>
      </c>
      <c r="F945" s="0" t="n">
        <f aca="false">IF(E945=1,$C$4*SQRT(D945),IF(E945=2,$C$4+($C$5-$C$4)*D945,$C$6-($C$6-$C$5)*SQRT(1-D945)))</f>
        <v>8.90026641277489</v>
      </c>
    </row>
    <row r="946" customFormat="false" ht="15" hidden="false" customHeight="false" outlineLevel="0" collapsed="false">
      <c r="B946" s="0" t="n">
        <v>930</v>
      </c>
      <c r="C946" s="0" t="n">
        <f aca="true">RAND()</f>
        <v>0.952941394895829</v>
      </c>
      <c r="D946" s="0" t="n">
        <f aca="true">RAND()</f>
        <v>0.28218126021342</v>
      </c>
      <c r="E946" s="0" t="n">
        <f aca="false">IF(C946&lt;=$C$10,1,IF(C946&lt;=$C$10+$C$11,2,3))</f>
        <v>3</v>
      </c>
      <c r="F946" s="0" t="n">
        <f aca="false">IF(E946=1,$C$4*SQRT(D946),IF(E946=2,$C$4+($C$5-$C$4)*D946,$C$6-($C$6-$C$5)*SQRT(1-D946)))</f>
        <v>7.45827447231625</v>
      </c>
    </row>
    <row r="947" customFormat="false" ht="15" hidden="false" customHeight="false" outlineLevel="0" collapsed="false">
      <c r="B947" s="0" t="n">
        <v>931</v>
      </c>
      <c r="C947" s="0" t="n">
        <f aca="true">RAND()</f>
        <v>0.523662483953764</v>
      </c>
      <c r="D947" s="0" t="n">
        <f aca="true">RAND()</f>
        <v>0.183022540958675</v>
      </c>
      <c r="E947" s="0" t="n">
        <f aca="false">IF(C947&lt;=$C$10,1,IF(C947&lt;=$C$10+$C$11,2,3))</f>
        <v>2</v>
      </c>
      <c r="F947" s="0" t="n">
        <f aca="false">IF(E947=1,$C$4*SQRT(D947),IF(E947=2,$C$4+($C$5-$C$4)*D947,$C$6-($C$6-$C$5)*SQRT(1-D947)))</f>
        <v>3.7320901638347</v>
      </c>
    </row>
    <row r="948" customFormat="false" ht="15" hidden="false" customHeight="false" outlineLevel="0" collapsed="false">
      <c r="B948" s="0" t="n">
        <v>932</v>
      </c>
      <c r="C948" s="0" t="n">
        <f aca="true">RAND()</f>
        <v>0.308721038624307</v>
      </c>
      <c r="D948" s="0" t="n">
        <f aca="true">RAND()</f>
        <v>0.962383060400321</v>
      </c>
      <c r="E948" s="0" t="n">
        <f aca="false">IF(C948&lt;=$C$10,1,IF(C948&lt;=$C$10+$C$11,2,3))</f>
        <v>2</v>
      </c>
      <c r="F948" s="0" t="n">
        <f aca="false">IF(E948=1,$C$4*SQRT(D948),IF(E948=2,$C$4+($C$5-$C$4)*D948,$C$6-($C$6-$C$5)*SQRT(1-D948)))</f>
        <v>6.84953224160128</v>
      </c>
    </row>
    <row r="949" customFormat="false" ht="15" hidden="false" customHeight="false" outlineLevel="0" collapsed="false">
      <c r="B949" s="0" t="n">
        <v>933</v>
      </c>
      <c r="C949" s="0" t="n">
        <f aca="true">RAND()</f>
        <v>0.911851330472125</v>
      </c>
      <c r="D949" s="0" t="n">
        <f aca="true">RAND()</f>
        <v>0.431639499052024</v>
      </c>
      <c r="E949" s="0" t="n">
        <f aca="false">IF(C949&lt;=$C$10,1,IF(C949&lt;=$C$10+$C$11,2,3))</f>
        <v>3</v>
      </c>
      <c r="F949" s="0" t="n">
        <f aca="false">IF(E949=1,$C$4*SQRT(D949),IF(E949=2,$C$4+($C$5-$C$4)*D949,$C$6-($C$6-$C$5)*SQRT(1-D949)))</f>
        <v>7.73830936940266</v>
      </c>
    </row>
    <row r="950" customFormat="false" ht="15" hidden="false" customHeight="false" outlineLevel="0" collapsed="false">
      <c r="B950" s="0" t="n">
        <v>934</v>
      </c>
      <c r="C950" s="0" t="n">
        <f aca="true">RAND()</f>
        <v>0.530190515498506</v>
      </c>
      <c r="D950" s="0" t="n">
        <f aca="true">RAND()</f>
        <v>0.546746293475113</v>
      </c>
      <c r="E950" s="0" t="n">
        <f aca="false">IF(C950&lt;=$C$10,1,IF(C950&lt;=$C$10+$C$11,2,3))</f>
        <v>2</v>
      </c>
      <c r="F950" s="0" t="n">
        <f aca="false">IF(E950=1,$C$4*SQRT(D950),IF(E950=2,$C$4+($C$5-$C$4)*D950,$C$6-($C$6-$C$5)*SQRT(1-D950)))</f>
        <v>5.18698517390045</v>
      </c>
    </row>
    <row r="951" customFormat="false" ht="15" hidden="false" customHeight="false" outlineLevel="0" collapsed="false">
      <c r="B951" s="0" t="n">
        <v>935</v>
      </c>
      <c r="C951" s="0" t="n">
        <f aca="true">RAND()</f>
        <v>0.972000630813673</v>
      </c>
      <c r="D951" s="0" t="n">
        <f aca="true">RAND()</f>
        <v>0.0430760961822175</v>
      </c>
      <c r="E951" s="0" t="n">
        <f aca="false">IF(C951&lt;=$C$10,1,IF(C951&lt;=$C$10+$C$11,2,3))</f>
        <v>3</v>
      </c>
      <c r="F951" s="0" t="n">
        <f aca="false">IF(E951=1,$C$4*SQRT(D951),IF(E951=2,$C$4+($C$5-$C$4)*D951,$C$6-($C$6-$C$5)*SQRT(1-D951)))</f>
        <v>7.06532537845163</v>
      </c>
    </row>
    <row r="952" customFormat="false" ht="15" hidden="false" customHeight="false" outlineLevel="0" collapsed="false">
      <c r="B952" s="0" t="n">
        <v>936</v>
      </c>
      <c r="C952" s="0" t="n">
        <f aca="true">RAND()</f>
        <v>0.82396949031971</v>
      </c>
      <c r="D952" s="0" t="n">
        <f aca="true">RAND()</f>
        <v>0.503671042211518</v>
      </c>
      <c r="E952" s="0" t="n">
        <f aca="false">IF(C952&lt;=$C$10,1,IF(C952&lt;=$C$10+$C$11,2,3))</f>
        <v>3</v>
      </c>
      <c r="F952" s="0" t="n">
        <f aca="false">IF(E952=1,$C$4*SQRT(D952),IF(E952=2,$C$4+($C$5-$C$4)*D952,$C$6-($C$6-$C$5)*SQRT(1-D952)))</f>
        <v>7.88648145972259</v>
      </c>
    </row>
    <row r="953" customFormat="false" ht="15" hidden="false" customHeight="false" outlineLevel="0" collapsed="false">
      <c r="B953" s="0" t="n">
        <v>937</v>
      </c>
      <c r="C953" s="0" t="n">
        <f aca="true">RAND()</f>
        <v>0.036258354913919</v>
      </c>
      <c r="D953" s="0" t="n">
        <f aca="true">RAND()</f>
        <v>0.336924406576874</v>
      </c>
      <c r="E953" s="0" t="n">
        <f aca="false">IF(C953&lt;=$C$10,1,IF(C953&lt;=$C$10+$C$11,2,3))</f>
        <v>1</v>
      </c>
      <c r="F953" s="0" t="n">
        <f aca="false">IF(E953=1,$C$4*SQRT(D953),IF(E953=2,$C$4+($C$5-$C$4)*D953,$C$6-($C$6-$C$5)*SQRT(1-D953)))</f>
        <v>1.74135569577036</v>
      </c>
    </row>
    <row r="954" customFormat="false" ht="15" hidden="false" customHeight="false" outlineLevel="0" collapsed="false">
      <c r="B954" s="0" t="n">
        <v>938</v>
      </c>
      <c r="C954" s="0" t="n">
        <f aca="true">RAND()</f>
        <v>0.824843281244143</v>
      </c>
      <c r="D954" s="0" t="n">
        <f aca="true">RAND()</f>
        <v>0.586861773647253</v>
      </c>
      <c r="E954" s="0" t="n">
        <f aca="false">IF(C954&lt;=$C$10,1,IF(C954&lt;=$C$10+$C$11,2,3))</f>
        <v>3</v>
      </c>
      <c r="F954" s="0" t="n">
        <f aca="false">IF(E954=1,$C$4*SQRT(D954),IF(E954=2,$C$4+($C$5-$C$4)*D954,$C$6-($C$6-$C$5)*SQRT(1-D954)))</f>
        <v>8.07172511368977</v>
      </c>
    </row>
    <row r="955" customFormat="false" ht="15" hidden="false" customHeight="false" outlineLevel="0" collapsed="false">
      <c r="B955" s="0" t="n">
        <v>939</v>
      </c>
      <c r="C955" s="0" t="n">
        <f aca="true">RAND()</f>
        <v>0.841402411932612</v>
      </c>
      <c r="D955" s="0" t="n">
        <f aca="true">RAND()</f>
        <v>0.885860889882453</v>
      </c>
      <c r="E955" s="0" t="n">
        <f aca="false">IF(C955&lt;=$C$10,1,IF(C955&lt;=$C$10+$C$11,2,3))</f>
        <v>3</v>
      </c>
      <c r="F955" s="0" t="n">
        <f aca="false">IF(E955=1,$C$4*SQRT(D955),IF(E955=2,$C$4+($C$5-$C$4)*D955,$C$6-($C$6-$C$5)*SQRT(1-D955)))</f>
        <v>8.98646559453666</v>
      </c>
    </row>
    <row r="956" customFormat="false" ht="15" hidden="false" customHeight="false" outlineLevel="0" collapsed="false">
      <c r="B956" s="0" t="n">
        <v>940</v>
      </c>
      <c r="C956" s="0" t="n">
        <f aca="true">RAND()</f>
        <v>0.556235734722675</v>
      </c>
      <c r="D956" s="0" t="n">
        <f aca="true">RAND()</f>
        <v>0.919552123027605</v>
      </c>
      <c r="E956" s="0" t="n">
        <f aca="false">IF(C956&lt;=$C$10,1,IF(C956&lt;=$C$10+$C$11,2,3))</f>
        <v>2</v>
      </c>
      <c r="F956" s="0" t="n">
        <f aca="false">IF(E956=1,$C$4*SQRT(D956),IF(E956=2,$C$4+($C$5-$C$4)*D956,$C$6-($C$6-$C$5)*SQRT(1-D956)))</f>
        <v>6.67820849211042</v>
      </c>
    </row>
    <row r="957" customFormat="false" ht="15" hidden="false" customHeight="false" outlineLevel="0" collapsed="false">
      <c r="B957" s="0" t="n">
        <v>941</v>
      </c>
      <c r="C957" s="0" t="n">
        <f aca="true">RAND()</f>
        <v>0.1170167956598</v>
      </c>
      <c r="D957" s="0" t="n">
        <f aca="true">RAND()</f>
        <v>0.843767974472261</v>
      </c>
      <c r="E957" s="0" t="n">
        <f aca="false">IF(C957&lt;=$C$10,1,IF(C957&lt;=$C$10+$C$11,2,3))</f>
        <v>1</v>
      </c>
      <c r="F957" s="0" t="n">
        <f aca="false">IF(E957=1,$C$4*SQRT(D957),IF(E957=2,$C$4+($C$5-$C$4)*D957,$C$6-($C$6-$C$5)*SQRT(1-D957)))</f>
        <v>2.75570531266504</v>
      </c>
    </row>
    <row r="958" customFormat="false" ht="15" hidden="false" customHeight="false" outlineLevel="0" collapsed="false">
      <c r="B958" s="0" t="n">
        <v>942</v>
      </c>
      <c r="C958" s="0" t="n">
        <f aca="true">RAND()</f>
        <v>0.910743496499493</v>
      </c>
      <c r="D958" s="0" t="n">
        <f aca="true">RAND()</f>
        <v>0.00644413569497542</v>
      </c>
      <c r="E958" s="0" t="n">
        <f aca="false">IF(C958&lt;=$C$10,1,IF(C958&lt;=$C$10+$C$11,2,3))</f>
        <v>3</v>
      </c>
      <c r="F958" s="0" t="n">
        <f aca="false">IF(E958=1,$C$4*SQRT(D958),IF(E958=2,$C$4+($C$5-$C$4)*D958,$C$6-($C$6-$C$5)*SQRT(1-D958)))</f>
        <v>7.0096818265032</v>
      </c>
    </row>
    <row r="959" customFormat="false" ht="15" hidden="false" customHeight="false" outlineLevel="0" collapsed="false">
      <c r="B959" s="0" t="n">
        <v>943</v>
      </c>
      <c r="C959" s="0" t="n">
        <f aca="true">RAND()</f>
        <v>0.589379629814682</v>
      </c>
      <c r="D959" s="0" t="n">
        <f aca="true">RAND()</f>
        <v>0.718605834632059</v>
      </c>
      <c r="E959" s="0" t="n">
        <f aca="false">IF(C959&lt;=$C$10,1,IF(C959&lt;=$C$10+$C$11,2,3))</f>
        <v>2</v>
      </c>
      <c r="F959" s="0" t="n">
        <f aca="false">IF(E959=1,$C$4*SQRT(D959),IF(E959=2,$C$4+($C$5-$C$4)*D959,$C$6-($C$6-$C$5)*SQRT(1-D959)))</f>
        <v>5.87442333852824</v>
      </c>
    </row>
    <row r="960" customFormat="false" ht="15" hidden="false" customHeight="false" outlineLevel="0" collapsed="false">
      <c r="B960" s="0" t="n">
        <v>944</v>
      </c>
      <c r="C960" s="0" t="n">
        <f aca="true">RAND()</f>
        <v>0.466054152290596</v>
      </c>
      <c r="D960" s="0" t="n">
        <f aca="true">RAND()</f>
        <v>0.619855667676156</v>
      </c>
      <c r="E960" s="0" t="n">
        <f aca="false">IF(C960&lt;=$C$10,1,IF(C960&lt;=$C$10+$C$11,2,3))</f>
        <v>2</v>
      </c>
      <c r="F960" s="0" t="n">
        <f aca="false">IF(E960=1,$C$4*SQRT(D960),IF(E960=2,$C$4+($C$5-$C$4)*D960,$C$6-($C$6-$C$5)*SQRT(1-D960)))</f>
        <v>5.47942267070462</v>
      </c>
    </row>
    <row r="961" customFormat="false" ht="15" hidden="false" customHeight="false" outlineLevel="0" collapsed="false">
      <c r="B961" s="0" t="n">
        <v>945</v>
      </c>
      <c r="C961" s="0" t="n">
        <f aca="true">RAND()</f>
        <v>0.176486395387198</v>
      </c>
      <c r="D961" s="0" t="n">
        <f aca="true">RAND()</f>
        <v>0.839303896153833</v>
      </c>
      <c r="E961" s="0" t="n">
        <f aca="false">IF(C961&lt;=$C$10,1,IF(C961&lt;=$C$10+$C$11,2,3))</f>
        <v>1</v>
      </c>
      <c r="F961" s="0" t="n">
        <f aca="false">IF(E961=1,$C$4*SQRT(D961),IF(E961=2,$C$4+($C$5-$C$4)*D961,$C$6-($C$6-$C$5)*SQRT(1-D961)))</f>
        <v>2.74840591350414</v>
      </c>
    </row>
    <row r="962" customFormat="false" ht="15" hidden="false" customHeight="false" outlineLevel="0" collapsed="false">
      <c r="B962" s="0" t="n">
        <v>946</v>
      </c>
      <c r="C962" s="0" t="n">
        <f aca="true">RAND()</f>
        <v>0.256431664800433</v>
      </c>
      <c r="D962" s="0" t="n">
        <f aca="true">RAND()</f>
        <v>0.248367176109469</v>
      </c>
      <c r="E962" s="0" t="n">
        <f aca="false">IF(C962&lt;=$C$10,1,IF(C962&lt;=$C$10+$C$11,2,3))</f>
        <v>2</v>
      </c>
      <c r="F962" s="0" t="n">
        <f aca="false">IF(E962=1,$C$4*SQRT(D962),IF(E962=2,$C$4+($C$5-$C$4)*D962,$C$6-($C$6-$C$5)*SQRT(1-D962)))</f>
        <v>3.99346870443788</v>
      </c>
    </row>
    <row r="963" customFormat="false" ht="15" hidden="false" customHeight="false" outlineLevel="0" collapsed="false">
      <c r="B963" s="0" t="n">
        <v>947</v>
      </c>
      <c r="C963" s="0" t="n">
        <f aca="true">RAND()</f>
        <v>0.494696275855477</v>
      </c>
      <c r="D963" s="0" t="n">
        <f aca="true">RAND()</f>
        <v>0.796670216416651</v>
      </c>
      <c r="E963" s="0" t="n">
        <f aca="false">IF(C963&lt;=$C$10,1,IF(C963&lt;=$C$10+$C$11,2,3))</f>
        <v>2</v>
      </c>
      <c r="F963" s="0" t="n">
        <f aca="false">IF(E963=1,$C$4*SQRT(D963),IF(E963=2,$C$4+($C$5-$C$4)*D963,$C$6-($C$6-$C$5)*SQRT(1-D963)))</f>
        <v>6.18668086566661</v>
      </c>
    </row>
    <row r="964" customFormat="false" ht="15" hidden="false" customHeight="false" outlineLevel="0" collapsed="false">
      <c r="B964" s="0" t="n">
        <v>948</v>
      </c>
      <c r="C964" s="0" t="n">
        <f aca="true">RAND()</f>
        <v>0.113440176854794</v>
      </c>
      <c r="D964" s="0" t="n">
        <f aca="true">RAND()</f>
        <v>0.337264897820455</v>
      </c>
      <c r="E964" s="0" t="n">
        <f aca="false">IF(C964&lt;=$C$10,1,IF(C964&lt;=$C$10+$C$11,2,3))</f>
        <v>1</v>
      </c>
      <c r="F964" s="0" t="n">
        <f aca="false">IF(E964=1,$C$4*SQRT(D964),IF(E964=2,$C$4+($C$5-$C$4)*D964,$C$6-($C$6-$C$5)*SQRT(1-D964)))</f>
        <v>1.7422353688248</v>
      </c>
    </row>
    <row r="965" customFormat="false" ht="15" hidden="false" customHeight="false" outlineLevel="0" collapsed="false">
      <c r="B965" s="0" t="n">
        <v>949</v>
      </c>
      <c r="C965" s="0" t="n">
        <f aca="true">RAND()</f>
        <v>0.6597190283068</v>
      </c>
      <c r="D965" s="0" t="n">
        <f aca="true">RAND()</f>
        <v>0.188930500699425</v>
      </c>
      <c r="E965" s="0" t="n">
        <f aca="false">IF(C965&lt;=$C$10,1,IF(C965&lt;=$C$10+$C$11,2,3))</f>
        <v>2</v>
      </c>
      <c r="F965" s="0" t="n">
        <f aca="false">IF(E965=1,$C$4*SQRT(D965),IF(E965=2,$C$4+($C$5-$C$4)*D965,$C$6-($C$6-$C$5)*SQRT(1-D965)))</f>
        <v>3.7557220027977</v>
      </c>
    </row>
    <row r="966" customFormat="false" ht="15" hidden="false" customHeight="false" outlineLevel="0" collapsed="false">
      <c r="B966" s="0" t="n">
        <v>950</v>
      </c>
      <c r="C966" s="0" t="n">
        <f aca="true">RAND()</f>
        <v>0.238231018132381</v>
      </c>
      <c r="D966" s="0" t="n">
        <f aca="true">RAND()</f>
        <v>0.432941798896963</v>
      </c>
      <c r="E966" s="0" t="n">
        <f aca="false">IF(C966&lt;=$C$10,1,IF(C966&lt;=$C$10+$C$11,2,3))</f>
        <v>2</v>
      </c>
      <c r="F966" s="0" t="n">
        <f aca="false">IF(E966=1,$C$4*SQRT(D966),IF(E966=2,$C$4+($C$5-$C$4)*D966,$C$6-($C$6-$C$5)*SQRT(1-D966)))</f>
        <v>4.73176719558785</v>
      </c>
    </row>
    <row r="967" customFormat="false" ht="15" hidden="false" customHeight="false" outlineLevel="0" collapsed="false">
      <c r="B967" s="0" t="n">
        <v>951</v>
      </c>
      <c r="C967" s="0" t="n">
        <f aca="true">RAND()</f>
        <v>0.778964289293715</v>
      </c>
      <c r="D967" s="0" t="n">
        <f aca="true">RAND()</f>
        <v>0.75302945123646</v>
      </c>
      <c r="E967" s="0" t="n">
        <f aca="false">IF(C967&lt;=$C$10,1,IF(C967&lt;=$C$10+$C$11,2,3))</f>
        <v>2</v>
      </c>
      <c r="F967" s="0" t="n">
        <f aca="false">IF(E967=1,$C$4*SQRT(D967),IF(E967=2,$C$4+($C$5-$C$4)*D967,$C$6-($C$6-$C$5)*SQRT(1-D967)))</f>
        <v>6.01211780494584</v>
      </c>
    </row>
    <row r="968" customFormat="false" ht="15" hidden="false" customHeight="false" outlineLevel="0" collapsed="false">
      <c r="B968" s="0" t="n">
        <v>952</v>
      </c>
      <c r="C968" s="0" t="n">
        <f aca="true">RAND()</f>
        <v>0.356968187094859</v>
      </c>
      <c r="D968" s="0" t="n">
        <f aca="true">RAND()</f>
        <v>0.857412350807959</v>
      </c>
      <c r="E968" s="0" t="n">
        <f aca="false">IF(C968&lt;=$C$10,1,IF(C968&lt;=$C$10+$C$11,2,3))</f>
        <v>2</v>
      </c>
      <c r="F968" s="0" t="n">
        <f aca="false">IF(E968=1,$C$4*SQRT(D968),IF(E968=2,$C$4+($C$5-$C$4)*D968,$C$6-($C$6-$C$5)*SQRT(1-D968)))</f>
        <v>6.42964940323184</v>
      </c>
    </row>
    <row r="969" customFormat="false" ht="15" hidden="false" customHeight="false" outlineLevel="0" collapsed="false">
      <c r="B969" s="0" t="n">
        <v>953</v>
      </c>
      <c r="C969" s="0" t="n">
        <f aca="true">RAND()</f>
        <v>0.34897570423483</v>
      </c>
      <c r="D969" s="0" t="n">
        <f aca="true">RAND()</f>
        <v>0.984431738111111</v>
      </c>
      <c r="E969" s="0" t="n">
        <f aca="false">IF(C969&lt;=$C$10,1,IF(C969&lt;=$C$10+$C$11,2,3))</f>
        <v>2</v>
      </c>
      <c r="F969" s="0" t="n">
        <f aca="false">IF(E969=1,$C$4*SQRT(D969),IF(E969=2,$C$4+($C$5-$C$4)*D969,$C$6-($C$6-$C$5)*SQRT(1-D969)))</f>
        <v>6.93772695244444</v>
      </c>
    </row>
    <row r="970" customFormat="false" ht="15" hidden="false" customHeight="false" outlineLevel="0" collapsed="false">
      <c r="B970" s="0" t="n">
        <v>954</v>
      </c>
      <c r="C970" s="0" t="n">
        <f aca="true">RAND()</f>
        <v>0.79631954264722</v>
      </c>
      <c r="D970" s="0" t="n">
        <f aca="true">RAND()</f>
        <v>0.971065707650198</v>
      </c>
      <c r="E970" s="0" t="n">
        <f aca="false">IF(C970&lt;=$C$10,1,IF(C970&lt;=$C$10+$C$11,2,3))</f>
        <v>3</v>
      </c>
      <c r="F970" s="0" t="n">
        <f aca="false">IF(E970=1,$C$4*SQRT(D970),IF(E970=2,$C$4+($C$5-$C$4)*D970,$C$6-($C$6-$C$5)*SQRT(1-D970)))</f>
        <v>9.48969751014892</v>
      </c>
    </row>
    <row r="971" customFormat="false" ht="15" hidden="false" customHeight="false" outlineLevel="0" collapsed="false">
      <c r="B971" s="0" t="n">
        <v>955</v>
      </c>
      <c r="C971" s="0" t="n">
        <f aca="true">RAND()</f>
        <v>0.84498774729285</v>
      </c>
      <c r="D971" s="0" t="n">
        <f aca="true">RAND()</f>
        <v>0.50072577308526</v>
      </c>
      <c r="E971" s="0" t="n">
        <f aca="false">IF(C971&lt;=$C$10,1,IF(C971&lt;=$C$10+$C$11,2,3))</f>
        <v>3</v>
      </c>
      <c r="F971" s="0" t="n">
        <f aca="false">IF(E971=1,$C$4*SQRT(D971),IF(E971=2,$C$4+($C$5-$C$4)*D971,$C$6-($C$6-$C$5)*SQRT(1-D971)))</f>
        <v>7.88021981275589</v>
      </c>
    </row>
    <row r="972" customFormat="false" ht="15" hidden="false" customHeight="false" outlineLevel="0" collapsed="false">
      <c r="B972" s="0" t="n">
        <v>956</v>
      </c>
      <c r="C972" s="0" t="n">
        <f aca="true">RAND()</f>
        <v>0.537921225046447</v>
      </c>
      <c r="D972" s="0" t="n">
        <f aca="true">RAND()</f>
        <v>0.287674268184449</v>
      </c>
      <c r="E972" s="0" t="n">
        <f aca="false">IF(C972&lt;=$C$10,1,IF(C972&lt;=$C$10+$C$11,2,3))</f>
        <v>2</v>
      </c>
      <c r="F972" s="0" t="n">
        <f aca="false">IF(E972=1,$C$4*SQRT(D972),IF(E972=2,$C$4+($C$5-$C$4)*D972,$C$6-($C$6-$C$5)*SQRT(1-D972)))</f>
        <v>4.15069707273779</v>
      </c>
    </row>
    <row r="973" customFormat="false" ht="15" hidden="false" customHeight="false" outlineLevel="0" collapsed="false">
      <c r="B973" s="0" t="n">
        <v>957</v>
      </c>
      <c r="C973" s="0" t="n">
        <f aca="true">RAND()</f>
        <v>0.712023941862125</v>
      </c>
      <c r="D973" s="0" t="n">
        <f aca="true">RAND()</f>
        <v>0.154638827939973</v>
      </c>
      <c r="E973" s="0" t="n">
        <f aca="false">IF(C973&lt;=$C$10,1,IF(C973&lt;=$C$10+$C$11,2,3))</f>
        <v>2</v>
      </c>
      <c r="F973" s="0" t="n">
        <f aca="false">IF(E973=1,$C$4*SQRT(D973),IF(E973=2,$C$4+($C$5-$C$4)*D973,$C$6-($C$6-$C$5)*SQRT(1-D973)))</f>
        <v>3.61855531175989</v>
      </c>
    </row>
    <row r="974" customFormat="false" ht="15" hidden="false" customHeight="false" outlineLevel="0" collapsed="false">
      <c r="B974" s="0" t="n">
        <v>958</v>
      </c>
      <c r="C974" s="0" t="n">
        <f aca="true">RAND()</f>
        <v>0.331638360702318</v>
      </c>
      <c r="D974" s="0" t="n">
        <f aca="true">RAND()</f>
        <v>0.0827856930351923</v>
      </c>
      <c r="E974" s="0" t="n">
        <f aca="false">IF(C974&lt;=$C$10,1,IF(C974&lt;=$C$10+$C$11,2,3))</f>
        <v>2</v>
      </c>
      <c r="F974" s="0" t="n">
        <f aca="false">IF(E974=1,$C$4*SQRT(D974),IF(E974=2,$C$4+($C$5-$C$4)*D974,$C$6-($C$6-$C$5)*SQRT(1-D974)))</f>
        <v>3.33114277214077</v>
      </c>
    </row>
    <row r="975" customFormat="false" ht="15" hidden="false" customHeight="false" outlineLevel="0" collapsed="false">
      <c r="B975" s="0" t="n">
        <v>959</v>
      </c>
      <c r="C975" s="0" t="n">
        <f aca="true">RAND()</f>
        <v>0.574708650022629</v>
      </c>
      <c r="D975" s="0" t="n">
        <f aca="true">RAND()</f>
        <v>0.484374041627875</v>
      </c>
      <c r="E975" s="0" t="n">
        <f aca="false">IF(C975&lt;=$C$10,1,IF(C975&lt;=$C$10+$C$11,2,3))</f>
        <v>2</v>
      </c>
      <c r="F975" s="0" t="n">
        <f aca="false">IF(E975=1,$C$4*SQRT(D975),IF(E975=2,$C$4+($C$5-$C$4)*D975,$C$6-($C$6-$C$5)*SQRT(1-D975)))</f>
        <v>4.9374961665115</v>
      </c>
    </row>
    <row r="976" customFormat="false" ht="15" hidden="false" customHeight="false" outlineLevel="0" collapsed="false">
      <c r="B976" s="0" t="n">
        <v>960</v>
      </c>
      <c r="C976" s="0" t="n">
        <f aca="true">RAND()</f>
        <v>0.755120998654481</v>
      </c>
      <c r="D976" s="0" t="n">
        <f aca="true">RAND()</f>
        <v>0.0688467719397309</v>
      </c>
      <c r="E976" s="0" t="n">
        <f aca="false">IF(C976&lt;=$C$10,1,IF(C976&lt;=$C$10+$C$11,2,3))</f>
        <v>2</v>
      </c>
      <c r="F976" s="0" t="n">
        <f aca="false">IF(E976=1,$C$4*SQRT(D976),IF(E976=2,$C$4+($C$5-$C$4)*D976,$C$6-($C$6-$C$5)*SQRT(1-D976)))</f>
        <v>3.27538708775892</v>
      </c>
    </row>
    <row r="977" customFormat="false" ht="15" hidden="false" customHeight="false" outlineLevel="0" collapsed="false">
      <c r="B977" s="0" t="n">
        <v>961</v>
      </c>
      <c r="C977" s="0" t="n">
        <f aca="true">RAND()</f>
        <v>0.461416753597667</v>
      </c>
      <c r="D977" s="0" t="n">
        <f aca="true">RAND()</f>
        <v>0.276897253817259</v>
      </c>
      <c r="E977" s="0" t="n">
        <f aca="false">IF(C977&lt;=$C$10,1,IF(C977&lt;=$C$10+$C$11,2,3))</f>
        <v>2</v>
      </c>
      <c r="F977" s="0" t="n">
        <f aca="false">IF(E977=1,$C$4*SQRT(D977),IF(E977=2,$C$4+($C$5-$C$4)*D977,$C$6-($C$6-$C$5)*SQRT(1-D977)))</f>
        <v>4.10758901526904</v>
      </c>
    </row>
    <row r="978" customFormat="false" ht="15" hidden="false" customHeight="false" outlineLevel="0" collapsed="false">
      <c r="B978" s="0" t="n">
        <v>962</v>
      </c>
      <c r="C978" s="0" t="n">
        <f aca="true">RAND()</f>
        <v>0.717173828504523</v>
      </c>
      <c r="D978" s="0" t="n">
        <f aca="true">RAND()</f>
        <v>0.528306217893377</v>
      </c>
      <c r="E978" s="0" t="n">
        <f aca="false">IF(C978&lt;=$C$10,1,IF(C978&lt;=$C$10+$C$11,2,3))</f>
        <v>2</v>
      </c>
      <c r="F978" s="0" t="n">
        <f aca="false">IF(E978=1,$C$4*SQRT(D978),IF(E978=2,$C$4+($C$5-$C$4)*D978,$C$6-($C$6-$C$5)*SQRT(1-D978)))</f>
        <v>5.11322487157351</v>
      </c>
    </row>
    <row r="979" customFormat="false" ht="15" hidden="false" customHeight="false" outlineLevel="0" collapsed="false">
      <c r="B979" s="0" t="n">
        <v>963</v>
      </c>
      <c r="C979" s="0" t="n">
        <f aca="true">RAND()</f>
        <v>0.267661693654842</v>
      </c>
      <c r="D979" s="0" t="n">
        <f aca="true">RAND()</f>
        <v>0.957375165665129</v>
      </c>
      <c r="E979" s="0" t="n">
        <f aca="false">IF(C979&lt;=$C$10,1,IF(C979&lt;=$C$10+$C$11,2,3))</f>
        <v>2</v>
      </c>
      <c r="F979" s="0" t="n">
        <f aca="false">IF(E979=1,$C$4*SQRT(D979),IF(E979=2,$C$4+($C$5-$C$4)*D979,$C$6-($C$6-$C$5)*SQRT(1-D979)))</f>
        <v>6.82950066266052</v>
      </c>
    </row>
    <row r="980" customFormat="false" ht="15" hidden="false" customHeight="false" outlineLevel="0" collapsed="false">
      <c r="B980" s="0" t="n">
        <v>964</v>
      </c>
      <c r="C980" s="0" t="n">
        <f aca="true">RAND()</f>
        <v>0.128955616947655</v>
      </c>
      <c r="D980" s="0" t="n">
        <f aca="true">RAND()</f>
        <v>0.498443008388478</v>
      </c>
      <c r="E980" s="0" t="n">
        <f aca="false">IF(C980&lt;=$C$10,1,IF(C980&lt;=$C$10+$C$11,2,3))</f>
        <v>1</v>
      </c>
      <c r="F980" s="0" t="n">
        <f aca="false">IF(E980=1,$C$4*SQRT(D980),IF(E980=2,$C$4+($C$5-$C$4)*D980,$C$6-($C$6-$C$5)*SQRT(1-D980)))</f>
        <v>2.11801489029145</v>
      </c>
    </row>
    <row r="981" customFormat="false" ht="15" hidden="false" customHeight="false" outlineLevel="0" collapsed="false">
      <c r="B981" s="0" t="n">
        <v>965</v>
      </c>
      <c r="C981" s="0" t="n">
        <f aca="true">RAND()</f>
        <v>0.432066209389976</v>
      </c>
      <c r="D981" s="0" t="n">
        <f aca="true">RAND()</f>
        <v>0.89796946567773</v>
      </c>
      <c r="E981" s="0" t="n">
        <f aca="false">IF(C981&lt;=$C$10,1,IF(C981&lt;=$C$10+$C$11,2,3))</f>
        <v>2</v>
      </c>
      <c r="F981" s="0" t="n">
        <f aca="false">IF(E981=1,$C$4*SQRT(D981),IF(E981=2,$C$4+($C$5-$C$4)*D981,$C$6-($C$6-$C$5)*SQRT(1-D981)))</f>
        <v>6.59187786271092</v>
      </c>
    </row>
    <row r="982" customFormat="false" ht="15" hidden="false" customHeight="false" outlineLevel="0" collapsed="false">
      <c r="B982" s="0" t="n">
        <v>966</v>
      </c>
      <c r="C982" s="0" t="n">
        <f aca="true">RAND()</f>
        <v>0.728355174228156</v>
      </c>
      <c r="D982" s="0" t="n">
        <f aca="true">RAND()</f>
        <v>0.227848447287781</v>
      </c>
      <c r="E982" s="0" t="n">
        <f aca="false">IF(C982&lt;=$C$10,1,IF(C982&lt;=$C$10+$C$11,2,3))</f>
        <v>2</v>
      </c>
      <c r="F982" s="0" t="n">
        <f aca="false">IF(E982=1,$C$4*SQRT(D982),IF(E982=2,$C$4+($C$5-$C$4)*D982,$C$6-($C$6-$C$5)*SQRT(1-D982)))</f>
        <v>3.91139378915113</v>
      </c>
    </row>
    <row r="983" customFormat="false" ht="15" hidden="false" customHeight="false" outlineLevel="0" collapsed="false">
      <c r="B983" s="0" t="n">
        <v>967</v>
      </c>
      <c r="C983" s="0" t="n">
        <f aca="true">RAND()</f>
        <v>0.764606021215814</v>
      </c>
      <c r="D983" s="0" t="n">
        <f aca="true">RAND()</f>
        <v>0.126317046172036</v>
      </c>
      <c r="E983" s="0" t="n">
        <f aca="false">IF(C983&lt;=$C$10,1,IF(C983&lt;=$C$10+$C$11,2,3))</f>
        <v>2</v>
      </c>
      <c r="F983" s="0" t="n">
        <f aca="false">IF(E983=1,$C$4*SQRT(D983),IF(E983=2,$C$4+($C$5-$C$4)*D983,$C$6-($C$6-$C$5)*SQRT(1-D983)))</f>
        <v>3.50526818468814</v>
      </c>
    </row>
    <row r="984" customFormat="false" ht="15" hidden="false" customHeight="false" outlineLevel="0" collapsed="false">
      <c r="B984" s="0" t="n">
        <v>968</v>
      </c>
      <c r="C984" s="0" t="n">
        <f aca="true">RAND()</f>
        <v>0.598750188884525</v>
      </c>
      <c r="D984" s="0" t="n">
        <f aca="true">RAND()</f>
        <v>0.22681935361735</v>
      </c>
      <c r="E984" s="0" t="n">
        <f aca="false">IF(C984&lt;=$C$10,1,IF(C984&lt;=$C$10+$C$11,2,3))</f>
        <v>2</v>
      </c>
      <c r="F984" s="0" t="n">
        <f aca="false">IF(E984=1,$C$4*SQRT(D984),IF(E984=2,$C$4+($C$5-$C$4)*D984,$C$6-($C$6-$C$5)*SQRT(1-D984)))</f>
        <v>3.9072774144694</v>
      </c>
    </row>
    <row r="985" customFormat="false" ht="15" hidden="false" customHeight="false" outlineLevel="0" collapsed="false">
      <c r="B985" s="0" t="n">
        <v>969</v>
      </c>
      <c r="C985" s="0" t="n">
        <f aca="true">RAND()</f>
        <v>0.506574750163157</v>
      </c>
      <c r="D985" s="0" t="n">
        <f aca="true">RAND()</f>
        <v>0.166672812368414</v>
      </c>
      <c r="E985" s="0" t="n">
        <f aca="false">IF(C985&lt;=$C$10,1,IF(C985&lt;=$C$10+$C$11,2,3))</f>
        <v>2</v>
      </c>
      <c r="F985" s="0" t="n">
        <f aca="false">IF(E985=1,$C$4*SQRT(D985),IF(E985=2,$C$4+($C$5-$C$4)*D985,$C$6-($C$6-$C$5)*SQRT(1-D985)))</f>
        <v>3.66669124947366</v>
      </c>
    </row>
    <row r="986" customFormat="false" ht="15" hidden="false" customHeight="false" outlineLevel="0" collapsed="false">
      <c r="B986" s="0" t="n">
        <v>970</v>
      </c>
      <c r="C986" s="0" t="n">
        <f aca="true">RAND()</f>
        <v>0.483352437137636</v>
      </c>
      <c r="D986" s="0" t="n">
        <f aca="true">RAND()</f>
        <v>0.0586828058681209</v>
      </c>
      <c r="E986" s="0" t="n">
        <f aca="false">IF(C986&lt;=$C$10,1,IF(C986&lt;=$C$10+$C$11,2,3))</f>
        <v>2</v>
      </c>
      <c r="F986" s="0" t="n">
        <f aca="false">IF(E986=1,$C$4*SQRT(D986),IF(E986=2,$C$4+($C$5-$C$4)*D986,$C$6-($C$6-$C$5)*SQRT(1-D986)))</f>
        <v>3.23473122347248</v>
      </c>
    </row>
    <row r="987" customFormat="false" ht="15" hidden="false" customHeight="false" outlineLevel="0" collapsed="false">
      <c r="B987" s="0" t="n">
        <v>971</v>
      </c>
      <c r="C987" s="0" t="n">
        <f aca="true">RAND()</f>
        <v>0.317613063276127</v>
      </c>
      <c r="D987" s="0" t="n">
        <f aca="true">RAND()</f>
        <v>0.00599198138246982</v>
      </c>
      <c r="E987" s="0" t="n">
        <f aca="false">IF(C987&lt;=$C$10,1,IF(C987&lt;=$C$10+$C$11,2,3))</f>
        <v>2</v>
      </c>
      <c r="F987" s="0" t="n">
        <f aca="false">IF(E987=1,$C$4*SQRT(D987),IF(E987=2,$C$4+($C$5-$C$4)*D987,$C$6-($C$6-$C$5)*SQRT(1-D987)))</f>
        <v>3.02396792552988</v>
      </c>
    </row>
    <row r="988" customFormat="false" ht="15" hidden="false" customHeight="false" outlineLevel="0" collapsed="false">
      <c r="B988" s="0" t="n">
        <v>972</v>
      </c>
      <c r="C988" s="0" t="n">
        <f aca="true">RAND()</f>
        <v>0.88114100512756</v>
      </c>
      <c r="D988" s="0" t="n">
        <f aca="true">RAND()</f>
        <v>0.314634482506014</v>
      </c>
      <c r="E988" s="0" t="n">
        <f aca="false">IF(C988&lt;=$C$10,1,IF(C988&lt;=$C$10+$C$11,2,3))</f>
        <v>3</v>
      </c>
      <c r="F988" s="0" t="n">
        <f aca="false">IF(E988=1,$C$4*SQRT(D988),IF(E988=2,$C$4+($C$5-$C$4)*D988,$C$6-($C$6-$C$5)*SQRT(1-D988)))</f>
        <v>7.51639583317996</v>
      </c>
    </row>
    <row r="989" customFormat="false" ht="15" hidden="false" customHeight="false" outlineLevel="0" collapsed="false">
      <c r="B989" s="0" t="n">
        <v>973</v>
      </c>
      <c r="C989" s="0" t="n">
        <f aca="true">RAND()</f>
        <v>0.808283366291988</v>
      </c>
      <c r="D989" s="0" t="n">
        <f aca="true">RAND()</f>
        <v>0.157481137642419</v>
      </c>
      <c r="E989" s="0" t="n">
        <f aca="false">IF(C989&lt;=$C$10,1,IF(C989&lt;=$C$10+$C$11,2,3))</f>
        <v>3</v>
      </c>
      <c r="F989" s="0" t="n">
        <f aca="false">IF(E989=1,$C$4*SQRT(D989),IF(E989=2,$C$4+($C$5-$C$4)*D989,$C$6-($C$6-$C$5)*SQRT(1-D989)))</f>
        <v>7.24633521262696</v>
      </c>
    </row>
    <row r="990" customFormat="false" ht="15" hidden="false" customHeight="false" outlineLevel="0" collapsed="false">
      <c r="B990" s="0" t="n">
        <v>974</v>
      </c>
      <c r="C990" s="0" t="n">
        <f aca="true">RAND()</f>
        <v>0.0861556538296094</v>
      </c>
      <c r="D990" s="0" t="n">
        <f aca="true">RAND()</f>
        <v>0.307545725948229</v>
      </c>
      <c r="E990" s="0" t="n">
        <f aca="false">IF(C990&lt;=$C$10,1,IF(C990&lt;=$C$10+$C$11,2,3))</f>
        <v>1</v>
      </c>
      <c r="F990" s="0" t="n">
        <f aca="false">IF(E990=1,$C$4*SQRT(D990),IF(E990=2,$C$4+($C$5-$C$4)*D990,$C$6-($C$6-$C$5)*SQRT(1-D990)))</f>
        <v>1.66370416046065</v>
      </c>
    </row>
    <row r="991" customFormat="false" ht="15" hidden="false" customHeight="false" outlineLevel="0" collapsed="false">
      <c r="B991" s="0" t="n">
        <v>975</v>
      </c>
      <c r="C991" s="0" t="n">
        <f aca="true">RAND()</f>
        <v>0.92322484622125</v>
      </c>
      <c r="D991" s="0" t="n">
        <f aca="true">RAND()</f>
        <v>0.142982940519399</v>
      </c>
      <c r="E991" s="0" t="n">
        <f aca="false">IF(C991&lt;=$C$10,1,IF(C991&lt;=$C$10+$C$11,2,3))</f>
        <v>3</v>
      </c>
      <c r="F991" s="0" t="n">
        <f aca="false">IF(E991=1,$C$4*SQRT(D991),IF(E991=2,$C$4+($C$5-$C$4)*D991,$C$6-($C$6-$C$5)*SQRT(1-D991)))</f>
        <v>7.22274352366847</v>
      </c>
    </row>
    <row r="992" customFormat="false" ht="15" hidden="false" customHeight="false" outlineLevel="0" collapsed="false">
      <c r="B992" s="0" t="n">
        <v>976</v>
      </c>
      <c r="C992" s="0" t="n">
        <f aca="true">RAND()</f>
        <v>0.109987177074714</v>
      </c>
      <c r="D992" s="0" t="n">
        <f aca="true">RAND()</f>
        <v>0.837596653137684</v>
      </c>
      <c r="E992" s="0" t="n">
        <f aca="false">IF(C992&lt;=$C$10,1,IF(C992&lt;=$C$10+$C$11,2,3))</f>
        <v>1</v>
      </c>
      <c r="F992" s="0" t="n">
        <f aca="false">IF(E992=1,$C$4*SQRT(D992),IF(E992=2,$C$4+($C$5-$C$4)*D992,$C$6-($C$6-$C$5)*SQRT(1-D992)))</f>
        <v>2.74560919983875</v>
      </c>
    </row>
    <row r="993" customFormat="false" ht="15" hidden="false" customHeight="false" outlineLevel="0" collapsed="false">
      <c r="B993" s="0" t="n">
        <v>977</v>
      </c>
      <c r="C993" s="0" t="n">
        <f aca="true">RAND()</f>
        <v>0.866280855903763</v>
      </c>
      <c r="D993" s="0" t="n">
        <f aca="true">RAND()</f>
        <v>0.0928409758701184</v>
      </c>
      <c r="E993" s="0" t="n">
        <f aca="false">IF(C993&lt;=$C$10,1,IF(C993&lt;=$C$10+$C$11,2,3))</f>
        <v>3</v>
      </c>
      <c r="F993" s="0" t="n">
        <f aca="false">IF(E993=1,$C$4*SQRT(D993),IF(E993=2,$C$4+($C$5-$C$4)*D993,$C$6-($C$6-$C$5)*SQRT(1-D993)))</f>
        <v>7.14265311570875</v>
      </c>
    </row>
    <row r="994" customFormat="false" ht="15" hidden="false" customHeight="false" outlineLevel="0" collapsed="false">
      <c r="B994" s="0" t="n">
        <v>978</v>
      </c>
      <c r="C994" s="0" t="n">
        <f aca="true">RAND()</f>
        <v>0.643982433773551</v>
      </c>
      <c r="D994" s="0" t="n">
        <f aca="true">RAND()</f>
        <v>0.798248757459791</v>
      </c>
      <c r="E994" s="0" t="n">
        <f aca="false">IF(C994&lt;=$C$10,1,IF(C994&lt;=$C$10+$C$11,2,3))</f>
        <v>2</v>
      </c>
      <c r="F994" s="0" t="n">
        <f aca="false">IF(E994=1,$C$4*SQRT(D994),IF(E994=2,$C$4+($C$5-$C$4)*D994,$C$6-($C$6-$C$5)*SQRT(1-D994)))</f>
        <v>6.19299502983917</v>
      </c>
    </row>
    <row r="995" customFormat="false" ht="15" hidden="false" customHeight="false" outlineLevel="0" collapsed="false">
      <c r="B995" s="0" t="n">
        <v>979</v>
      </c>
      <c r="C995" s="0" t="n">
        <f aca="true">RAND()</f>
        <v>0.497488030787893</v>
      </c>
      <c r="D995" s="0" t="n">
        <f aca="true">RAND()</f>
        <v>0.96265619249032</v>
      </c>
      <c r="E995" s="0" t="n">
        <f aca="false">IF(C995&lt;=$C$10,1,IF(C995&lt;=$C$10+$C$11,2,3))</f>
        <v>2</v>
      </c>
      <c r="F995" s="0" t="n">
        <f aca="false">IF(E995=1,$C$4*SQRT(D995),IF(E995=2,$C$4+($C$5-$C$4)*D995,$C$6-($C$6-$C$5)*SQRT(1-D995)))</f>
        <v>6.85062476996128</v>
      </c>
    </row>
    <row r="996" customFormat="false" ht="15" hidden="false" customHeight="false" outlineLevel="0" collapsed="false">
      <c r="B996" s="0" t="n">
        <v>980</v>
      </c>
      <c r="C996" s="0" t="n">
        <f aca="true">RAND()</f>
        <v>0.622811923530987</v>
      </c>
      <c r="D996" s="0" t="n">
        <f aca="true">RAND()</f>
        <v>0.931371251736025</v>
      </c>
      <c r="E996" s="0" t="n">
        <f aca="false">IF(C996&lt;=$C$10,1,IF(C996&lt;=$C$10+$C$11,2,3))</f>
        <v>2</v>
      </c>
      <c r="F996" s="0" t="n">
        <f aca="false">IF(E996=1,$C$4*SQRT(D996),IF(E996=2,$C$4+($C$5-$C$4)*D996,$C$6-($C$6-$C$5)*SQRT(1-D996)))</f>
        <v>6.7254850069441</v>
      </c>
    </row>
    <row r="997" customFormat="false" ht="15" hidden="false" customHeight="false" outlineLevel="0" collapsed="false">
      <c r="B997" s="0" t="n">
        <v>981</v>
      </c>
      <c r="C997" s="0" t="n">
        <f aca="true">RAND()</f>
        <v>0.0225229853943418</v>
      </c>
      <c r="D997" s="0" t="n">
        <f aca="true">RAND()</f>
        <v>0.902430394009428</v>
      </c>
      <c r="E997" s="0" t="n">
        <f aca="false">IF(C997&lt;=$C$10,1,IF(C997&lt;=$C$10+$C$11,2,3))</f>
        <v>1</v>
      </c>
      <c r="F997" s="0" t="n">
        <f aca="false">IF(E997=1,$C$4*SQRT(D997),IF(E997=2,$C$4+($C$5-$C$4)*D997,$C$6-($C$6-$C$5)*SQRT(1-D997)))</f>
        <v>2.84989009368517</v>
      </c>
    </row>
    <row r="998" customFormat="false" ht="15" hidden="false" customHeight="false" outlineLevel="0" collapsed="false">
      <c r="B998" s="0" t="n">
        <v>982</v>
      </c>
      <c r="C998" s="0" t="n">
        <f aca="true">RAND()</f>
        <v>0.888871113304196</v>
      </c>
      <c r="D998" s="0" t="n">
        <f aca="true">RAND()</f>
        <v>0.159233468251051</v>
      </c>
      <c r="E998" s="0" t="n">
        <f aca="false">IF(C998&lt;=$C$10,1,IF(C998&lt;=$C$10+$C$11,2,3))</f>
        <v>3</v>
      </c>
      <c r="F998" s="0" t="n">
        <f aca="false">IF(E998=1,$C$4*SQRT(D998),IF(E998=2,$C$4+($C$5-$C$4)*D998,$C$6-($C$6-$C$5)*SQRT(1-D998)))</f>
        <v>7.24920033704006</v>
      </c>
    </row>
    <row r="999" customFormat="false" ht="15" hidden="false" customHeight="false" outlineLevel="0" collapsed="false">
      <c r="B999" s="0" t="n">
        <v>983</v>
      </c>
      <c r="C999" s="0" t="n">
        <f aca="true">RAND()</f>
        <v>0.312493683104688</v>
      </c>
      <c r="D999" s="0" t="n">
        <f aca="true">RAND()</f>
        <v>0.245908187145552</v>
      </c>
      <c r="E999" s="0" t="n">
        <f aca="false">IF(C999&lt;=$C$10,1,IF(C999&lt;=$C$10+$C$11,2,3))</f>
        <v>2</v>
      </c>
      <c r="F999" s="0" t="n">
        <f aca="false">IF(E999=1,$C$4*SQRT(D999),IF(E999=2,$C$4+($C$5-$C$4)*D999,$C$6-($C$6-$C$5)*SQRT(1-D999)))</f>
        <v>3.98363274858221</v>
      </c>
    </row>
    <row r="1000" customFormat="false" ht="15" hidden="false" customHeight="false" outlineLevel="0" collapsed="false">
      <c r="B1000" s="0" t="n">
        <v>984</v>
      </c>
      <c r="C1000" s="0" t="n">
        <f aca="true">RAND()</f>
        <v>0.897776530904147</v>
      </c>
      <c r="D1000" s="0" t="n">
        <f aca="true">RAND()</f>
        <v>0.203194201069332</v>
      </c>
      <c r="E1000" s="0" t="n">
        <f aca="false">IF(C1000&lt;=$C$10,1,IF(C1000&lt;=$C$10+$C$11,2,3))</f>
        <v>3</v>
      </c>
      <c r="F1000" s="0" t="n">
        <f aca="false">IF(E1000=1,$C$4*SQRT(D1000),IF(E1000=2,$C$4+($C$5-$C$4)*D1000,$C$6-($C$6-$C$5)*SQRT(1-D1000)))</f>
        <v>7.32208062287604</v>
      </c>
    </row>
    <row r="1001" customFormat="false" ht="15" hidden="false" customHeight="false" outlineLevel="0" collapsed="false">
      <c r="B1001" s="0" t="n">
        <v>985</v>
      </c>
      <c r="C1001" s="0" t="n">
        <f aca="true">RAND()</f>
        <v>0.950928554199246</v>
      </c>
      <c r="D1001" s="0" t="n">
        <f aca="true">RAND()</f>
        <v>0.0315596934383522</v>
      </c>
      <c r="E1001" s="0" t="n">
        <f aca="false">IF(C1001&lt;=$C$10,1,IF(C1001&lt;=$C$10+$C$11,2,3))</f>
        <v>3</v>
      </c>
      <c r="F1001" s="0" t="n">
        <f aca="false">IF(E1001=1,$C$4*SQRT(D1001),IF(E1001=2,$C$4+($C$5-$C$4)*D1001,$C$6-($C$6-$C$5)*SQRT(1-D1001)))</f>
        <v>7.04771905824415</v>
      </c>
    </row>
    <row r="1002" customFormat="false" ht="15" hidden="false" customHeight="false" outlineLevel="0" collapsed="false">
      <c r="B1002" s="0" t="n">
        <v>986</v>
      </c>
      <c r="C1002" s="0" t="n">
        <f aca="true">RAND()</f>
        <v>0.374854891347971</v>
      </c>
      <c r="D1002" s="0" t="n">
        <f aca="true">RAND()</f>
        <v>0.546873732773485</v>
      </c>
      <c r="E1002" s="0" t="n">
        <f aca="false">IF(C1002&lt;=$C$10,1,IF(C1002&lt;=$C$10+$C$11,2,3))</f>
        <v>2</v>
      </c>
      <c r="F1002" s="0" t="n">
        <f aca="false">IF(E1002=1,$C$4*SQRT(D1002),IF(E1002=2,$C$4+($C$5-$C$4)*D1002,$C$6-($C$6-$C$5)*SQRT(1-D1002)))</f>
        <v>5.18749493109394</v>
      </c>
    </row>
    <row r="1003" customFormat="false" ht="15" hidden="false" customHeight="false" outlineLevel="0" collapsed="false">
      <c r="B1003" s="0" t="n">
        <v>987</v>
      </c>
      <c r="C1003" s="0" t="n">
        <f aca="true">RAND()</f>
        <v>0.662234477166915</v>
      </c>
      <c r="D1003" s="0" t="n">
        <f aca="true">RAND()</f>
        <v>0.769366091120442</v>
      </c>
      <c r="E1003" s="0" t="n">
        <f aca="false">IF(C1003&lt;=$C$10,1,IF(C1003&lt;=$C$10+$C$11,2,3))</f>
        <v>2</v>
      </c>
      <c r="F1003" s="0" t="n">
        <f aca="false">IF(E1003=1,$C$4*SQRT(D1003),IF(E1003=2,$C$4+($C$5-$C$4)*D1003,$C$6-($C$6-$C$5)*SQRT(1-D1003)))</f>
        <v>6.07746436448177</v>
      </c>
    </row>
    <row r="1004" customFormat="false" ht="15" hidden="false" customHeight="false" outlineLevel="0" collapsed="false">
      <c r="B1004" s="0" t="n">
        <v>988</v>
      </c>
      <c r="C1004" s="0" t="n">
        <f aca="true">RAND()</f>
        <v>0.622744317123635</v>
      </c>
      <c r="D1004" s="0" t="n">
        <f aca="true">RAND()</f>
        <v>0.556319410951025</v>
      </c>
      <c r="E1004" s="0" t="n">
        <f aca="false">IF(C1004&lt;=$C$10,1,IF(C1004&lt;=$C$10+$C$11,2,3))</f>
        <v>2</v>
      </c>
      <c r="F1004" s="0" t="n">
        <f aca="false">IF(E1004=1,$C$4*SQRT(D1004),IF(E1004=2,$C$4+($C$5-$C$4)*D1004,$C$6-($C$6-$C$5)*SQRT(1-D1004)))</f>
        <v>5.2252776438041</v>
      </c>
    </row>
    <row r="1005" customFormat="false" ht="15" hidden="false" customHeight="false" outlineLevel="0" collapsed="false">
      <c r="B1005" s="0" t="n">
        <v>989</v>
      </c>
      <c r="C1005" s="0" t="n">
        <f aca="true">RAND()</f>
        <v>0.197038560587076</v>
      </c>
      <c r="D1005" s="0" t="n">
        <f aca="true">RAND()</f>
        <v>0.829535230312248</v>
      </c>
      <c r="E1005" s="0" t="n">
        <f aca="false">IF(C1005&lt;=$C$10,1,IF(C1005&lt;=$C$10+$C$11,2,3))</f>
        <v>1</v>
      </c>
      <c r="F1005" s="0" t="n">
        <f aca="false">IF(E1005=1,$C$4*SQRT(D1005),IF(E1005=2,$C$4+($C$5-$C$4)*D1005,$C$6-($C$6-$C$5)*SQRT(1-D1005)))</f>
        <v>2.73236474007594</v>
      </c>
    </row>
    <row r="1006" customFormat="false" ht="15" hidden="false" customHeight="false" outlineLevel="0" collapsed="false">
      <c r="B1006" s="0" t="n">
        <v>990</v>
      </c>
      <c r="C1006" s="0" t="n">
        <f aca="true">RAND()</f>
        <v>0.885826480544991</v>
      </c>
      <c r="D1006" s="0" t="n">
        <f aca="true">RAND()</f>
        <v>0.547217518067436</v>
      </c>
      <c r="E1006" s="0" t="n">
        <f aca="false">IF(C1006&lt;=$C$10,1,IF(C1006&lt;=$C$10+$C$11,2,3))</f>
        <v>3</v>
      </c>
      <c r="F1006" s="0" t="n">
        <f aca="false">IF(E1006=1,$C$4*SQRT(D1006),IF(E1006=2,$C$4+($C$5-$C$4)*D1006,$C$6-($C$6-$C$5)*SQRT(1-D1006)))</f>
        <v>7.98132658971465</v>
      </c>
    </row>
    <row r="1007" customFormat="false" ht="15" hidden="false" customHeight="false" outlineLevel="0" collapsed="false">
      <c r="B1007" s="0" t="n">
        <v>991</v>
      </c>
      <c r="C1007" s="0" t="n">
        <f aca="true">RAND()</f>
        <v>0.195713915934908</v>
      </c>
      <c r="D1007" s="0" t="n">
        <f aca="true">RAND()</f>
        <v>0.947695513721628</v>
      </c>
      <c r="E1007" s="0" t="n">
        <f aca="false">IF(C1007&lt;=$C$10,1,IF(C1007&lt;=$C$10+$C$11,2,3))</f>
        <v>1</v>
      </c>
      <c r="F1007" s="0" t="n">
        <f aca="false">IF(E1007=1,$C$4*SQRT(D1007),IF(E1007=2,$C$4+($C$5-$C$4)*D1007,$C$6-($C$6-$C$5)*SQRT(1-D1007)))</f>
        <v>2.92048962050795</v>
      </c>
    </row>
    <row r="1008" customFormat="false" ht="15" hidden="false" customHeight="false" outlineLevel="0" collapsed="false">
      <c r="B1008" s="0" t="n">
        <v>992</v>
      </c>
      <c r="C1008" s="0" t="n">
        <f aca="true">RAND()</f>
        <v>0.452556646891907</v>
      </c>
      <c r="D1008" s="0" t="n">
        <f aca="true">RAND()</f>
        <v>0.317139408877179</v>
      </c>
      <c r="E1008" s="0" t="n">
        <f aca="false">IF(C1008&lt;=$C$10,1,IF(C1008&lt;=$C$10+$C$11,2,3))</f>
        <v>2</v>
      </c>
      <c r="F1008" s="0" t="n">
        <f aca="false">IF(E1008=1,$C$4*SQRT(D1008),IF(E1008=2,$C$4+($C$5-$C$4)*D1008,$C$6-($C$6-$C$5)*SQRT(1-D1008)))</f>
        <v>4.26855763550872</v>
      </c>
    </row>
    <row r="1009" customFormat="false" ht="15" hidden="false" customHeight="false" outlineLevel="0" collapsed="false">
      <c r="B1009" s="0" t="n">
        <v>993</v>
      </c>
      <c r="C1009" s="0" t="n">
        <f aca="true">RAND()</f>
        <v>0.71698629523085</v>
      </c>
      <c r="D1009" s="0" t="n">
        <f aca="true">RAND()</f>
        <v>0.0890965939382031</v>
      </c>
      <c r="E1009" s="0" t="n">
        <f aca="false">IF(C1009&lt;=$C$10,1,IF(C1009&lt;=$C$10+$C$11,2,3))</f>
        <v>2</v>
      </c>
      <c r="F1009" s="0" t="n">
        <f aca="false">IF(E1009=1,$C$4*SQRT(D1009),IF(E1009=2,$C$4+($C$5-$C$4)*D1009,$C$6-($C$6-$C$5)*SQRT(1-D1009)))</f>
        <v>3.35638637575281</v>
      </c>
    </row>
    <row r="1010" customFormat="false" ht="15" hidden="false" customHeight="false" outlineLevel="0" collapsed="false">
      <c r="B1010" s="0" t="n">
        <v>994</v>
      </c>
      <c r="C1010" s="0" t="n">
        <f aca="true">RAND()</f>
        <v>0.747627420965693</v>
      </c>
      <c r="D1010" s="0" t="n">
        <f aca="true">RAND()</f>
        <v>0.744529195801507</v>
      </c>
      <c r="E1010" s="0" t="n">
        <f aca="false">IF(C1010&lt;=$C$10,1,IF(C1010&lt;=$C$10+$C$11,2,3))</f>
        <v>2</v>
      </c>
      <c r="F1010" s="0" t="n">
        <f aca="false">IF(E1010=1,$C$4*SQRT(D1010),IF(E1010=2,$C$4+($C$5-$C$4)*D1010,$C$6-($C$6-$C$5)*SQRT(1-D1010)))</f>
        <v>5.97811678320603</v>
      </c>
    </row>
    <row r="1011" customFormat="false" ht="15" hidden="false" customHeight="false" outlineLevel="0" collapsed="false">
      <c r="B1011" s="0" t="n">
        <v>995</v>
      </c>
      <c r="C1011" s="0" t="n">
        <f aca="true">RAND()</f>
        <v>0.853819146045066</v>
      </c>
      <c r="D1011" s="0" t="n">
        <f aca="true">RAND()</f>
        <v>0.414214233888728</v>
      </c>
      <c r="E1011" s="0" t="n">
        <f aca="false">IF(C1011&lt;=$C$10,1,IF(C1011&lt;=$C$10+$C$11,2,3))</f>
        <v>3</v>
      </c>
      <c r="F1011" s="0" t="n">
        <f aca="false">IF(E1011=1,$C$4*SQRT(D1011),IF(E1011=2,$C$4+($C$5-$C$4)*D1011,$C$6-($C$6-$C$5)*SQRT(1-D1011)))</f>
        <v>7.70390072187602</v>
      </c>
    </row>
    <row r="1012" customFormat="false" ht="15" hidden="false" customHeight="false" outlineLevel="0" collapsed="false">
      <c r="B1012" s="0" t="n">
        <v>996</v>
      </c>
      <c r="C1012" s="0" t="n">
        <f aca="true">RAND()</f>
        <v>0.346235854608925</v>
      </c>
      <c r="D1012" s="0" t="n">
        <f aca="true">RAND()</f>
        <v>0.424953115344815</v>
      </c>
      <c r="E1012" s="0" t="n">
        <f aca="false">IF(C1012&lt;=$C$10,1,IF(C1012&lt;=$C$10+$C$11,2,3))</f>
        <v>2</v>
      </c>
      <c r="F1012" s="0" t="n">
        <f aca="false">IF(E1012=1,$C$4*SQRT(D1012),IF(E1012=2,$C$4+($C$5-$C$4)*D1012,$C$6-($C$6-$C$5)*SQRT(1-D1012)))</f>
        <v>4.69981246137926</v>
      </c>
    </row>
    <row r="1013" customFormat="false" ht="15" hidden="false" customHeight="false" outlineLevel="0" collapsed="false">
      <c r="B1013" s="0" t="n">
        <v>997</v>
      </c>
      <c r="C1013" s="0" t="n">
        <f aca="true">RAND()</f>
        <v>0.887401091932305</v>
      </c>
      <c r="D1013" s="0" t="n">
        <f aca="true">RAND()</f>
        <v>0.598779617801152</v>
      </c>
      <c r="E1013" s="0" t="n">
        <f aca="false">IF(C1013&lt;=$C$10,1,IF(C1013&lt;=$C$10+$C$11,2,3))</f>
        <v>3</v>
      </c>
      <c r="F1013" s="0" t="n">
        <f aca="false">IF(E1013=1,$C$4*SQRT(D1013),IF(E1013=2,$C$4+($C$5-$C$4)*D1013,$C$6-($C$6-$C$5)*SQRT(1-D1013)))</f>
        <v>8.09974121767859</v>
      </c>
    </row>
    <row r="1014" customFormat="false" ht="15" hidden="false" customHeight="false" outlineLevel="0" collapsed="false">
      <c r="B1014" s="0" t="n">
        <v>998</v>
      </c>
      <c r="C1014" s="0" t="n">
        <f aca="true">RAND()</f>
        <v>0.448109479280072</v>
      </c>
      <c r="D1014" s="0" t="n">
        <f aca="true">RAND()</f>
        <v>0.139200325015835</v>
      </c>
      <c r="E1014" s="0" t="n">
        <f aca="false">IF(C1014&lt;=$C$10,1,IF(C1014&lt;=$C$10+$C$11,2,3))</f>
        <v>2</v>
      </c>
      <c r="F1014" s="0" t="n">
        <f aca="false">IF(E1014=1,$C$4*SQRT(D1014),IF(E1014=2,$C$4+($C$5-$C$4)*D1014,$C$6-($C$6-$C$5)*SQRT(1-D1014)))</f>
        <v>3.55680130006334</v>
      </c>
    </row>
    <row r="1015" customFormat="false" ht="15" hidden="false" customHeight="false" outlineLevel="0" collapsed="false">
      <c r="B1015" s="0" t="n">
        <v>999</v>
      </c>
      <c r="C1015" s="0" t="n">
        <f aca="true">RAND()</f>
        <v>0.906919575248255</v>
      </c>
      <c r="D1015" s="0" t="n">
        <f aca="true">RAND()</f>
        <v>0.00848106942127937</v>
      </c>
      <c r="E1015" s="0" t="n">
        <f aca="false">IF(C1015&lt;=$C$10,1,IF(C1015&lt;=$C$10+$C$11,2,3))</f>
        <v>3</v>
      </c>
      <c r="F1015" s="0" t="n">
        <f aca="false">IF(E1015=1,$C$4*SQRT(D1015),IF(E1015=2,$C$4+($C$5-$C$4)*D1015,$C$6-($C$6-$C$5)*SQRT(1-D1015)))</f>
        <v>7.01274869232458</v>
      </c>
    </row>
    <row r="1016" customFormat="false" ht="15" hidden="false" customHeight="false" outlineLevel="0" collapsed="false">
      <c r="B1016" s="0" t="n">
        <v>1000</v>
      </c>
      <c r="C1016" s="0" t="n">
        <f aca="true">RAND()</f>
        <v>0.221940358761912</v>
      </c>
      <c r="D1016" s="0" t="n">
        <f aca="true">RAND()</f>
        <v>0.465995850683856</v>
      </c>
      <c r="E1016" s="0" t="n">
        <f aca="false">IF(C1016&lt;=$C$10,1,IF(C1016&lt;=$C$10+$C$11,2,3))</f>
        <v>2</v>
      </c>
      <c r="F1016" s="0" t="n">
        <f aca="false">IF(E1016=1,$C$4*SQRT(D1016),IF(E1016=2,$C$4+($C$5-$C$4)*D1016,$C$6-($C$6-$C$5)*SQRT(1-D1016)))</f>
        <v>4.86398340273542</v>
      </c>
    </row>
    <row r="1018" customFormat="false" ht="15" hidden="false" customHeight="false" outlineLevel="0" collapsed="false">
      <c r="B1018" s="3" t="s">
        <v>35</v>
      </c>
      <c r="C1018" s="22" t="n">
        <f aca="false">AVERAGE(F17:F1016)</f>
        <v>5.05991590636136</v>
      </c>
    </row>
    <row r="1019" customFormat="false" ht="15" hidden="false" customHeight="false" outlineLevel="0" collapsed="false">
      <c r="B1019" s="3" t="s">
        <v>36</v>
      </c>
      <c r="C1019" s="22" t="n">
        <f aca="false">MIN(F17:F1016)</f>
        <v>0.111664234840043</v>
      </c>
    </row>
    <row r="1020" customFormat="false" ht="15" hidden="false" customHeight="false" outlineLevel="0" collapsed="false">
      <c r="B1020" s="3" t="s">
        <v>37</v>
      </c>
      <c r="C1020" s="22" t="n">
        <f aca="false">MAX(F17:F1016)</f>
        <v>9.78889883048731</v>
      </c>
    </row>
    <row r="1023" customFormat="false" ht="15" hidden="false" customHeight="false" outlineLevel="0" collapsed="false">
      <c r="B1023" s="3" t="s">
        <v>38</v>
      </c>
    </row>
    <row r="1024" customFormat="false" ht="15" hidden="false" customHeight="false" outlineLevel="0" collapsed="false">
      <c r="H1024" s="0" t="s">
        <v>39</v>
      </c>
      <c r="I1024" s="0" t="n">
        <f aca="false">2/(-C4+C5+C6)</f>
        <v>0.142857142857143</v>
      </c>
    </row>
    <row r="1025" customFormat="false" ht="15" hidden="false" customHeight="false" outlineLevel="0" collapsed="false">
      <c r="B1025" s="23" t="s">
        <v>40</v>
      </c>
      <c r="C1025" s="23" t="s">
        <v>41</v>
      </c>
      <c r="D1025" s="23" t="s">
        <v>42</v>
      </c>
      <c r="E1025" s="23" t="s">
        <v>43</v>
      </c>
      <c r="F1025" s="23" t="s">
        <v>44</v>
      </c>
      <c r="G1025" s="23" t="s">
        <v>45</v>
      </c>
      <c r="H1025" s="23" t="s">
        <v>46</v>
      </c>
    </row>
    <row r="1026" customFormat="false" ht="15" hidden="false" customHeight="false" outlineLevel="0" collapsed="false">
      <c r="B1026" s="24" t="n">
        <v>1</v>
      </c>
      <c r="C1026" s="24" t="n">
        <f aca="false">($C$6/20)*0</f>
        <v>0</v>
      </c>
      <c r="D1026" s="24" t="n">
        <f aca="false">($C$6/20)*1</f>
        <v>0.5</v>
      </c>
      <c r="E1026" s="24" t="n">
        <f aca="false">(C1026+D1026)/2</f>
        <v>0.25</v>
      </c>
      <c r="F1026" s="24" t="n">
        <f aca="false">COUNTIFS($F$17:$F$1016,"&gt;="&amp;C1026,$F$17:$F$1016,"&lt;"&amp;D1026)</f>
        <v>4</v>
      </c>
      <c r="G1026" s="24" t="n">
        <f aca="false">F1026/($C$7*(D1026-C1026))</f>
        <v>0.008</v>
      </c>
      <c r="H1026" s="24" t="n">
        <f aca="false">IF(E1026&lt;=$C$4,$I$1024*E1026/$C$4,IF(E1026&lt;=$C$5,$I$1024,$I$1024*($C$6-E1026)/($C$6-$C$5)))</f>
        <v>0.0119047619047619</v>
      </c>
    </row>
    <row r="1027" customFormat="false" ht="15" hidden="false" customHeight="false" outlineLevel="0" collapsed="false">
      <c r="B1027" s="24" t="n">
        <v>2</v>
      </c>
      <c r="C1027" s="24" t="n">
        <f aca="false">($C$6/20)*1</f>
        <v>0.5</v>
      </c>
      <c r="D1027" s="24" t="n">
        <f aca="false">($C$6/20)*2</f>
        <v>1</v>
      </c>
      <c r="E1027" s="24" t="n">
        <f aca="false">(C1027+D1027)/2</f>
        <v>0.75</v>
      </c>
      <c r="F1027" s="24" t="n">
        <f aca="false">COUNTIFS($F$17:$F$1016,"&gt;="&amp;C1027,$F$17:$F$1016,"&lt;"&amp;D1027)</f>
        <v>17</v>
      </c>
      <c r="G1027" s="24" t="n">
        <f aca="false">F1027/($C$7*(D1027-C1027))</f>
        <v>0.034</v>
      </c>
      <c r="H1027" s="24" t="n">
        <f aca="false">IF(E1027&lt;=$C$4,$I$1024*E1027/$C$4,IF(E1027&lt;=$C$5,$I$1024,$I$1024*($C$6-E1027)/($C$6-$C$5)))</f>
        <v>0.0357142857142857</v>
      </c>
    </row>
    <row r="1028" customFormat="false" ht="15" hidden="false" customHeight="false" outlineLevel="0" collapsed="false">
      <c r="B1028" s="24" t="n">
        <v>3</v>
      </c>
      <c r="C1028" s="24" t="n">
        <f aca="false">($C$6/20)*2</f>
        <v>1</v>
      </c>
      <c r="D1028" s="24" t="n">
        <f aca="false">($C$6/20)*3</f>
        <v>1.5</v>
      </c>
      <c r="E1028" s="24" t="n">
        <f aca="false">(C1028+D1028)/2</f>
        <v>1.25</v>
      </c>
      <c r="F1028" s="24" t="n">
        <f aca="false">COUNTIFS($F$17:$F$1016,"&gt;="&amp;C1028,$F$17:$F$1016,"&lt;"&amp;D1028)</f>
        <v>30</v>
      </c>
      <c r="G1028" s="24" t="n">
        <f aca="false">F1028/($C$7*(D1028-C1028))</f>
        <v>0.06</v>
      </c>
      <c r="H1028" s="24" t="n">
        <f aca="false">IF(E1028&lt;=$C$4,$I$1024*E1028/$C$4,IF(E1028&lt;=$C$5,$I$1024,$I$1024*($C$6-E1028)/($C$6-$C$5)))</f>
        <v>0.0595238095238095</v>
      </c>
    </row>
    <row r="1029" customFormat="false" ht="15" hidden="false" customHeight="false" outlineLevel="0" collapsed="false">
      <c r="B1029" s="24" t="n">
        <v>4</v>
      </c>
      <c r="C1029" s="24" t="n">
        <f aca="false">($C$6/20)*3</f>
        <v>1.5</v>
      </c>
      <c r="D1029" s="24" t="n">
        <f aca="false">($C$6/20)*4</f>
        <v>2</v>
      </c>
      <c r="E1029" s="24" t="n">
        <f aca="false">(C1029+D1029)/2</f>
        <v>1.75</v>
      </c>
      <c r="F1029" s="24" t="n">
        <f aca="false">COUNTIFS($F$17:$F$1016,"&gt;="&amp;C1029,$F$17:$F$1016,"&lt;"&amp;D1029)</f>
        <v>34</v>
      </c>
      <c r="G1029" s="24" t="n">
        <f aca="false">F1029/($C$7*(D1029-C1029))</f>
        <v>0.068</v>
      </c>
      <c r="H1029" s="24" t="n">
        <f aca="false">IF(E1029&lt;=$C$4,$I$1024*E1029/$C$4,IF(E1029&lt;=$C$5,$I$1024,$I$1024*($C$6-E1029)/($C$6-$C$5)))</f>
        <v>0.0833333333333333</v>
      </c>
    </row>
    <row r="1030" customFormat="false" ht="15" hidden="false" customHeight="false" outlineLevel="0" collapsed="false">
      <c r="B1030" s="24" t="n">
        <v>5</v>
      </c>
      <c r="C1030" s="24" t="n">
        <f aca="false">($C$6/20)*4</f>
        <v>2</v>
      </c>
      <c r="D1030" s="24" t="n">
        <f aca="false">($C$6/20)*5</f>
        <v>2.5</v>
      </c>
      <c r="E1030" s="24" t="n">
        <f aca="false">(C1030+D1030)/2</f>
        <v>2.25</v>
      </c>
      <c r="F1030" s="24" t="n">
        <f aca="false">COUNTIFS($F$17:$F$1016,"&gt;="&amp;C1030,$F$17:$F$1016,"&lt;"&amp;D1030)</f>
        <v>47</v>
      </c>
      <c r="G1030" s="24" t="n">
        <f aca="false">F1030/($C$7*(D1030-C1030))</f>
        <v>0.094</v>
      </c>
      <c r="H1030" s="24" t="n">
        <f aca="false">IF(E1030&lt;=$C$4,$I$1024*E1030/$C$4,IF(E1030&lt;=$C$5,$I$1024,$I$1024*($C$6-E1030)/($C$6-$C$5)))</f>
        <v>0.107142857142857</v>
      </c>
    </row>
    <row r="1031" customFormat="false" ht="15" hidden="false" customHeight="false" outlineLevel="0" collapsed="false">
      <c r="B1031" s="24" t="n">
        <v>6</v>
      </c>
      <c r="C1031" s="24" t="n">
        <f aca="false">($C$6/20)*5</f>
        <v>2.5</v>
      </c>
      <c r="D1031" s="24" t="n">
        <f aca="false">($C$6/20)*6</f>
        <v>3</v>
      </c>
      <c r="E1031" s="24" t="n">
        <f aca="false">(C1031+D1031)/2</f>
        <v>2.75</v>
      </c>
      <c r="F1031" s="24" t="n">
        <f aca="false">COUNTIFS($F$17:$F$1016,"&gt;="&amp;C1031,$F$17:$F$1016,"&lt;"&amp;D1031)</f>
        <v>72</v>
      </c>
      <c r="G1031" s="24" t="n">
        <f aca="false">F1031/($C$7*(D1031-C1031))</f>
        <v>0.144</v>
      </c>
      <c r="H1031" s="24" t="n">
        <f aca="false">IF(E1031&lt;=$C$4,$I$1024*E1031/$C$4,IF(E1031&lt;=$C$5,$I$1024,$I$1024*($C$6-E1031)/($C$6-$C$5)))</f>
        <v>0.130952380952381</v>
      </c>
    </row>
    <row r="1032" customFormat="false" ht="15" hidden="false" customHeight="false" outlineLevel="0" collapsed="false">
      <c r="B1032" s="24" t="n">
        <v>7</v>
      </c>
      <c r="C1032" s="24" t="n">
        <f aca="false">($C$6/20)*6</f>
        <v>3</v>
      </c>
      <c r="D1032" s="24" t="n">
        <f aca="false">($C$6/20)*7</f>
        <v>3.5</v>
      </c>
      <c r="E1032" s="24" t="n">
        <f aca="false">(C1032+D1032)/2</f>
        <v>3.25</v>
      </c>
      <c r="F1032" s="24" t="n">
        <f aca="false">COUNTIFS($F$17:$F$1016,"&gt;="&amp;C1032,$F$17:$F$1016,"&lt;"&amp;D1032)</f>
        <v>67</v>
      </c>
      <c r="G1032" s="24" t="n">
        <f aca="false">F1032/($C$7*(D1032-C1032))</f>
        <v>0.134</v>
      </c>
      <c r="H1032" s="24" t="n">
        <f aca="false">IF(E1032&lt;=$C$4,$I$1024*E1032/$C$4,IF(E1032&lt;=$C$5,$I$1024,$I$1024*($C$6-E1032)/($C$6-$C$5)))</f>
        <v>0.142857142857143</v>
      </c>
    </row>
    <row r="1033" customFormat="false" ht="15" hidden="false" customHeight="false" outlineLevel="0" collapsed="false">
      <c r="B1033" s="24" t="n">
        <v>8</v>
      </c>
      <c r="C1033" s="24" t="n">
        <f aca="false">($C$6/20)*7</f>
        <v>3.5</v>
      </c>
      <c r="D1033" s="24" t="n">
        <f aca="false">($C$6/20)*8</f>
        <v>4</v>
      </c>
      <c r="E1033" s="24" t="n">
        <f aca="false">(C1033+D1033)/2</f>
        <v>3.75</v>
      </c>
      <c r="F1033" s="24" t="n">
        <f aca="false">COUNTIFS($F$17:$F$1016,"&gt;="&amp;C1033,$F$17:$F$1016,"&lt;"&amp;D1033)</f>
        <v>65</v>
      </c>
      <c r="G1033" s="24" t="n">
        <f aca="false">F1033/($C$7*(D1033-C1033))</f>
        <v>0.13</v>
      </c>
      <c r="H1033" s="24" t="n">
        <f aca="false">IF(E1033&lt;=$C$4,$I$1024*E1033/$C$4,IF(E1033&lt;=$C$5,$I$1024,$I$1024*($C$6-E1033)/($C$6-$C$5)))</f>
        <v>0.142857142857143</v>
      </c>
    </row>
    <row r="1034" customFormat="false" ht="15" hidden="false" customHeight="false" outlineLevel="0" collapsed="false">
      <c r="B1034" s="24" t="n">
        <v>9</v>
      </c>
      <c r="C1034" s="24" t="n">
        <f aca="false">($C$6/20)*8</f>
        <v>4</v>
      </c>
      <c r="D1034" s="24" t="n">
        <f aca="false">($C$6/20)*9</f>
        <v>4.5</v>
      </c>
      <c r="E1034" s="24" t="n">
        <f aca="false">(C1034+D1034)/2</f>
        <v>4.25</v>
      </c>
      <c r="F1034" s="24" t="n">
        <f aca="false">COUNTIFS($F$17:$F$1016,"&gt;="&amp;C1034,$F$17:$F$1016,"&lt;"&amp;D1034)</f>
        <v>76</v>
      </c>
      <c r="G1034" s="24" t="n">
        <f aca="false">F1034/($C$7*(D1034-C1034))</f>
        <v>0.152</v>
      </c>
      <c r="H1034" s="24" t="n">
        <f aca="false">IF(E1034&lt;=$C$4,$I$1024*E1034/$C$4,IF(E1034&lt;=$C$5,$I$1024,$I$1024*($C$6-E1034)/($C$6-$C$5)))</f>
        <v>0.142857142857143</v>
      </c>
    </row>
    <row r="1035" customFormat="false" ht="15" hidden="false" customHeight="false" outlineLevel="0" collapsed="false">
      <c r="B1035" s="24" t="n">
        <v>10</v>
      </c>
      <c r="C1035" s="24" t="n">
        <f aca="false">($C$6/20)*9</f>
        <v>4.5</v>
      </c>
      <c r="D1035" s="24" t="n">
        <f aca="false">($C$6/20)*10</f>
        <v>5</v>
      </c>
      <c r="E1035" s="24" t="n">
        <f aca="false">(C1035+D1035)/2</f>
        <v>4.75</v>
      </c>
      <c r="F1035" s="24" t="n">
        <f aca="false">COUNTIFS($F$17:$F$1016,"&gt;="&amp;C1035,$F$17:$F$1016,"&lt;"&amp;D1035)</f>
        <v>90</v>
      </c>
      <c r="G1035" s="24" t="n">
        <f aca="false">F1035/($C$7*(D1035-C1035))</f>
        <v>0.18</v>
      </c>
      <c r="H1035" s="24" t="n">
        <f aca="false">IF(E1035&lt;=$C$4,$I$1024*E1035/$C$4,IF(E1035&lt;=$C$5,$I$1024,$I$1024*($C$6-E1035)/($C$6-$C$5)))</f>
        <v>0.142857142857143</v>
      </c>
    </row>
    <row r="1036" customFormat="false" ht="15" hidden="false" customHeight="false" outlineLevel="0" collapsed="false">
      <c r="B1036" s="24" t="n">
        <v>11</v>
      </c>
      <c r="C1036" s="24" t="n">
        <f aca="false">($C$6/20)*10</f>
        <v>5</v>
      </c>
      <c r="D1036" s="24" t="n">
        <f aca="false">($C$6/20)*11</f>
        <v>5.5</v>
      </c>
      <c r="E1036" s="24" t="n">
        <f aca="false">(C1036+D1036)/2</f>
        <v>5.25</v>
      </c>
      <c r="F1036" s="24" t="n">
        <f aca="false">COUNTIFS($F$17:$F$1016,"&gt;="&amp;C1036,$F$17:$F$1016,"&lt;"&amp;D1036)</f>
        <v>69</v>
      </c>
      <c r="G1036" s="24" t="n">
        <f aca="false">F1036/($C$7*(D1036-C1036))</f>
        <v>0.138</v>
      </c>
      <c r="H1036" s="24" t="n">
        <f aca="false">IF(E1036&lt;=$C$4,$I$1024*E1036/$C$4,IF(E1036&lt;=$C$5,$I$1024,$I$1024*($C$6-E1036)/($C$6-$C$5)))</f>
        <v>0.142857142857143</v>
      </c>
    </row>
    <row r="1037" customFormat="false" ht="15" hidden="false" customHeight="false" outlineLevel="0" collapsed="false">
      <c r="B1037" s="24" t="n">
        <v>12</v>
      </c>
      <c r="C1037" s="24" t="n">
        <f aca="false">($C$6/20)*11</f>
        <v>5.5</v>
      </c>
      <c r="D1037" s="24" t="n">
        <f aca="false">($C$6/20)*12</f>
        <v>6</v>
      </c>
      <c r="E1037" s="24" t="n">
        <f aca="false">(C1037+D1037)/2</f>
        <v>5.75</v>
      </c>
      <c r="F1037" s="24" t="n">
        <f aca="false">COUNTIFS($F$17:$F$1016,"&gt;="&amp;C1037,$F$17:$F$1016,"&lt;"&amp;D1037)</f>
        <v>69</v>
      </c>
      <c r="G1037" s="24" t="n">
        <f aca="false">F1037/($C$7*(D1037-C1037))</f>
        <v>0.138</v>
      </c>
      <c r="H1037" s="24" t="n">
        <f aca="false">IF(E1037&lt;=$C$4,$I$1024*E1037/$C$4,IF(E1037&lt;=$C$5,$I$1024,$I$1024*($C$6-E1037)/($C$6-$C$5)))</f>
        <v>0.142857142857143</v>
      </c>
    </row>
    <row r="1038" customFormat="false" ht="15" hidden="false" customHeight="false" outlineLevel="0" collapsed="false">
      <c r="B1038" s="24" t="n">
        <v>13</v>
      </c>
      <c r="C1038" s="24" t="n">
        <f aca="false">($C$6/20)*12</f>
        <v>6</v>
      </c>
      <c r="D1038" s="24" t="n">
        <f aca="false">($C$6/20)*13</f>
        <v>6.5</v>
      </c>
      <c r="E1038" s="24" t="n">
        <f aca="false">(C1038+D1038)/2</f>
        <v>6.25</v>
      </c>
      <c r="F1038" s="24" t="n">
        <f aca="false">COUNTIFS($F$17:$F$1016,"&gt;="&amp;C1038,$F$17:$F$1016,"&lt;"&amp;D1038)</f>
        <v>70</v>
      </c>
      <c r="G1038" s="24" t="n">
        <f aca="false">F1038/($C$7*(D1038-C1038))</f>
        <v>0.14</v>
      </c>
      <c r="H1038" s="24" t="n">
        <f aca="false">IF(E1038&lt;=$C$4,$I$1024*E1038/$C$4,IF(E1038&lt;=$C$5,$I$1024,$I$1024*($C$6-E1038)/($C$6-$C$5)))</f>
        <v>0.142857142857143</v>
      </c>
    </row>
    <row r="1039" customFormat="false" ht="15" hidden="false" customHeight="false" outlineLevel="0" collapsed="false">
      <c r="B1039" s="24" t="n">
        <v>14</v>
      </c>
      <c r="C1039" s="24" t="n">
        <f aca="false">($C$6/20)*13</f>
        <v>6.5</v>
      </c>
      <c r="D1039" s="24" t="n">
        <f aca="false">($C$6/20)*14</f>
        <v>7</v>
      </c>
      <c r="E1039" s="24" t="n">
        <f aca="false">(C1039+D1039)/2</f>
        <v>6.75</v>
      </c>
      <c r="F1039" s="24" t="n">
        <f aca="false">COUNTIFS($F$17:$F$1016,"&gt;="&amp;C1039,$F$17:$F$1016,"&lt;"&amp;D1039)</f>
        <v>67</v>
      </c>
      <c r="G1039" s="24" t="n">
        <f aca="false">F1039/($C$7*(D1039-C1039))</f>
        <v>0.134</v>
      </c>
      <c r="H1039" s="24" t="n">
        <f aca="false">IF(E1039&lt;=$C$4,$I$1024*E1039/$C$4,IF(E1039&lt;=$C$5,$I$1024,$I$1024*($C$6-E1039)/($C$6-$C$5)))</f>
        <v>0.142857142857143</v>
      </c>
    </row>
    <row r="1040" customFormat="false" ht="15" hidden="false" customHeight="false" outlineLevel="0" collapsed="false">
      <c r="B1040" s="24" t="n">
        <v>15</v>
      </c>
      <c r="C1040" s="24" t="n">
        <f aca="false">($C$6/20)*14</f>
        <v>7</v>
      </c>
      <c r="D1040" s="24" t="n">
        <f aca="false">($C$6/20)*15</f>
        <v>7.5</v>
      </c>
      <c r="E1040" s="24" t="n">
        <f aca="false">(C1040+D1040)/2</f>
        <v>7.25</v>
      </c>
      <c r="F1040" s="24" t="n">
        <f aca="false">COUNTIFS($F$17:$F$1016,"&gt;="&amp;C1040,$F$17:$F$1016,"&lt;"&amp;D1040)</f>
        <v>68</v>
      </c>
      <c r="G1040" s="24" t="n">
        <f aca="false">F1040/($C$7*(D1040-C1040))</f>
        <v>0.136</v>
      </c>
      <c r="H1040" s="24" t="n">
        <f aca="false">IF(E1040&lt;=$C$4,$I$1024*E1040/$C$4,IF(E1040&lt;=$C$5,$I$1024,$I$1024*($C$6-E1040)/($C$6-$C$5)))</f>
        <v>0.130952380952381</v>
      </c>
    </row>
    <row r="1041" customFormat="false" ht="15" hidden="false" customHeight="false" outlineLevel="0" collapsed="false">
      <c r="B1041" s="24" t="n">
        <v>16</v>
      </c>
      <c r="C1041" s="24" t="n">
        <f aca="false">($C$6/20)*15</f>
        <v>7.5</v>
      </c>
      <c r="D1041" s="24" t="n">
        <f aca="false">($C$6/20)*16</f>
        <v>8</v>
      </c>
      <c r="E1041" s="24" t="n">
        <f aca="false">(C1041+D1041)/2</f>
        <v>7.75</v>
      </c>
      <c r="F1041" s="24" t="n">
        <f aca="false">COUNTIFS($F$17:$F$1016,"&gt;="&amp;C1041,$F$17:$F$1016,"&lt;"&amp;D1041)</f>
        <v>62</v>
      </c>
      <c r="G1041" s="24" t="n">
        <f aca="false">F1041/($C$7*(D1041-C1041))</f>
        <v>0.124</v>
      </c>
      <c r="H1041" s="24" t="n">
        <f aca="false">IF(E1041&lt;=$C$4,$I$1024*E1041/$C$4,IF(E1041&lt;=$C$5,$I$1024,$I$1024*($C$6-E1041)/($C$6-$C$5)))</f>
        <v>0.107142857142857</v>
      </c>
    </row>
    <row r="1042" customFormat="false" ht="15" hidden="false" customHeight="false" outlineLevel="0" collapsed="false">
      <c r="B1042" s="24" t="n">
        <v>17</v>
      </c>
      <c r="C1042" s="24" t="n">
        <f aca="false">($C$6/20)*16</f>
        <v>8</v>
      </c>
      <c r="D1042" s="24" t="n">
        <f aca="false">($C$6/20)*17</f>
        <v>8.5</v>
      </c>
      <c r="E1042" s="24" t="n">
        <f aca="false">(C1042+D1042)/2</f>
        <v>8.25</v>
      </c>
      <c r="F1042" s="24" t="n">
        <f aca="false">COUNTIFS($F$17:$F$1016,"&gt;="&amp;C1042,$F$17:$F$1016,"&lt;"&amp;D1042)</f>
        <v>36</v>
      </c>
      <c r="G1042" s="24" t="n">
        <f aca="false">F1042/($C$7*(D1042-C1042))</f>
        <v>0.072</v>
      </c>
      <c r="H1042" s="24" t="n">
        <f aca="false">IF(E1042&lt;=$C$4,$I$1024*E1042/$C$4,IF(E1042&lt;=$C$5,$I$1024,$I$1024*($C$6-E1042)/($C$6-$C$5)))</f>
        <v>0.0833333333333333</v>
      </c>
    </row>
    <row r="1043" customFormat="false" ht="15" hidden="false" customHeight="false" outlineLevel="0" collapsed="false">
      <c r="B1043" s="24" t="n">
        <v>18</v>
      </c>
      <c r="C1043" s="24" t="n">
        <f aca="false">($C$6/20)*17</f>
        <v>8.5</v>
      </c>
      <c r="D1043" s="24" t="n">
        <f aca="false">($C$6/20)*18</f>
        <v>9</v>
      </c>
      <c r="E1043" s="24" t="n">
        <f aca="false">(C1043+D1043)/2</f>
        <v>8.75</v>
      </c>
      <c r="F1043" s="24" t="n">
        <f aca="false">COUNTIFS($F$17:$F$1016,"&gt;="&amp;C1043,$F$17:$F$1016,"&lt;"&amp;D1043)</f>
        <v>34</v>
      </c>
      <c r="G1043" s="24" t="n">
        <f aca="false">F1043/($C$7*(D1043-C1043))</f>
        <v>0.068</v>
      </c>
      <c r="H1043" s="24" t="n">
        <f aca="false">IF(E1043&lt;=$C$4,$I$1024*E1043/$C$4,IF(E1043&lt;=$C$5,$I$1024,$I$1024*($C$6-E1043)/($C$6-$C$5)))</f>
        <v>0.0595238095238095</v>
      </c>
    </row>
    <row r="1044" customFormat="false" ht="15" hidden="false" customHeight="false" outlineLevel="0" collapsed="false">
      <c r="B1044" s="24" t="n">
        <v>19</v>
      </c>
      <c r="C1044" s="24" t="n">
        <f aca="false">($C$6/20)*18</f>
        <v>9</v>
      </c>
      <c r="D1044" s="24" t="n">
        <f aca="false">($C$6/20)*19</f>
        <v>9.5</v>
      </c>
      <c r="E1044" s="24" t="n">
        <f aca="false">(C1044+D1044)/2</f>
        <v>9.25</v>
      </c>
      <c r="F1044" s="24" t="n">
        <f aca="false">COUNTIFS($F$17:$F$1016,"&gt;="&amp;C1044,$F$17:$F$1016,"&lt;"&amp;D1044)</f>
        <v>16</v>
      </c>
      <c r="G1044" s="24" t="n">
        <f aca="false">F1044/($C$7*(D1044-C1044))</f>
        <v>0.032</v>
      </c>
      <c r="H1044" s="24" t="n">
        <f aca="false">IF(E1044&lt;=$C$4,$I$1024*E1044/$C$4,IF(E1044&lt;=$C$5,$I$1024,$I$1024*($C$6-E1044)/($C$6-$C$5)))</f>
        <v>0.0357142857142857</v>
      </c>
    </row>
    <row r="1045" customFormat="false" ht="15" hidden="false" customHeight="false" outlineLevel="0" collapsed="false">
      <c r="B1045" s="24" t="n">
        <v>20</v>
      </c>
      <c r="C1045" s="24" t="n">
        <f aca="false">($C$6/20)*19</f>
        <v>9.5</v>
      </c>
      <c r="D1045" s="24" t="n">
        <f aca="false">($C$6/20)*20</f>
        <v>10</v>
      </c>
      <c r="E1045" s="24" t="n">
        <f aca="false">(C1045+D1045)/2</f>
        <v>9.75</v>
      </c>
      <c r="F1045" s="24" t="n">
        <f aca="false">COUNTIFS($F$17:$F$1016,"&gt;="&amp;C1045,$F$17:$F$1016,"&lt;"&amp;D1045)</f>
        <v>7</v>
      </c>
      <c r="G1045" s="24" t="n">
        <f aca="false">F1045/($C$7*(D1045-C1045))</f>
        <v>0.014</v>
      </c>
      <c r="H1045" s="24" t="n">
        <f aca="false">IF(E1045&lt;=$C$4,$I$1024*E1045/$C$4,IF(E1045&lt;=$C$5,$I$1024,$I$1024*($C$6-E1045)/($C$6-$C$5)))</f>
        <v>0.0119047619047619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.03"/>
    <col collapsed="false" customWidth="true" hidden="false" outlineLevel="0" max="3" min="3" style="0" width="14"/>
    <col collapsed="false" customWidth="true" hidden="false" outlineLevel="0" max="5" min="5" style="0" width="12"/>
    <col collapsed="false" customWidth="true" hidden="false" outlineLevel="0" max="6" min="6" style="0" width="27.5"/>
    <col collapsed="false" customWidth="true" hidden="false" outlineLevel="0" max="7" min="7" style="0" width="55"/>
  </cols>
  <sheetData>
    <row r="1" customFormat="false" ht="17.35" hidden="false" customHeight="false" outlineLevel="0" collapsed="false">
      <c r="B1" s="1" t="s">
        <v>47</v>
      </c>
      <c r="C1" s="1"/>
      <c r="D1" s="1"/>
      <c r="E1" s="1"/>
      <c r="F1" s="1"/>
    </row>
    <row r="3" customFormat="false" ht="15" hidden="false" customHeight="false" outlineLevel="0" collapsed="false">
      <c r="B3" s="3" t="s">
        <v>3</v>
      </c>
    </row>
    <row r="4" customFormat="false" ht="15" hidden="false" customHeight="false" outlineLevel="0" collapsed="false">
      <c r="B4" s="0" t="s">
        <v>48</v>
      </c>
      <c r="C4" s="5" t="n">
        <v>8</v>
      </c>
      <c r="G4" s="25" t="s">
        <v>49</v>
      </c>
    </row>
    <row r="5" customFormat="false" ht="15" hidden="false" customHeight="false" outlineLevel="0" collapsed="false">
      <c r="B5" s="0" t="s">
        <v>50</v>
      </c>
      <c r="C5" s="5" t="n">
        <v>9</v>
      </c>
    </row>
    <row r="6" customFormat="false" ht="15" hidden="false" customHeight="false" outlineLevel="0" collapsed="false">
      <c r="B6" s="0" t="s">
        <v>51</v>
      </c>
      <c r="C6" s="5" t="n">
        <v>10</v>
      </c>
    </row>
    <row r="7" customFormat="false" ht="15" hidden="false" customHeight="false" outlineLevel="0" collapsed="false">
      <c r="B7" s="0" t="s">
        <v>16</v>
      </c>
      <c r="C7" s="5" t="n">
        <v>1000</v>
      </c>
    </row>
    <row r="9" customFormat="false" ht="15" hidden="false" customHeight="false" outlineLevel="0" collapsed="false">
      <c r="B9" s="3" t="s">
        <v>52</v>
      </c>
    </row>
    <row r="10" customFormat="false" ht="15" hidden="false" customHeight="false" outlineLevel="0" collapsed="false">
      <c r="B10" s="0" t="s">
        <v>24</v>
      </c>
      <c r="C10" s="7" t="n">
        <f aca="false">(C5-C4)/(C6-C4)</f>
        <v>0.5</v>
      </c>
    </row>
    <row r="11" customFormat="false" ht="15" hidden="false" customHeight="false" outlineLevel="0" collapsed="false">
      <c r="B11" s="0" t="s">
        <v>27</v>
      </c>
      <c r="C11" s="7" t="n">
        <f aca="false">(C6-C5)/(C6-C4)</f>
        <v>0.5</v>
      </c>
    </row>
    <row r="12" customFormat="false" ht="15" hidden="false" customHeight="false" outlineLevel="0" collapsed="false">
      <c r="B12" s="0" t="s">
        <v>29</v>
      </c>
      <c r="C12" s="7" t="n">
        <f aca="false">C10+C11</f>
        <v>1</v>
      </c>
    </row>
    <row r="16" customFormat="false" ht="15" hidden="false" customHeight="false" outlineLevel="0" collapsed="false">
      <c r="B16" s="26" t="s">
        <v>53</v>
      </c>
      <c r="C16" s="27" t="s">
        <v>20</v>
      </c>
      <c r="D16" s="27" t="s">
        <v>23</v>
      </c>
      <c r="E16" s="27" t="s">
        <v>54</v>
      </c>
      <c r="F16" s="28" t="s">
        <v>33</v>
      </c>
    </row>
    <row r="17" customFormat="false" ht="15" hidden="false" customHeight="false" outlineLevel="0" collapsed="false">
      <c r="B17" s="12" t="n">
        <v>1</v>
      </c>
      <c r="C17" s="13" t="n">
        <f aca="true">RAND()</f>
        <v>0.375241376885436</v>
      </c>
      <c r="D17" s="13" t="n">
        <f aca="true">RAND()</f>
        <v>0.140948590637607</v>
      </c>
      <c r="E17" s="13" t="n">
        <f aca="false">IF(C17&lt;=$C$10,1,2)</f>
        <v>1</v>
      </c>
      <c r="F17" s="14" t="n">
        <f aca="false">IF(E17=1,$C$4+SQRT(D17*($C$6-$C$4)*($C$5-$C$4)),$C$6-SQRT((1-D17)*($C$6-$C$4)*($C$6-$C$5)))</f>
        <v>8.53093990363808</v>
      </c>
    </row>
    <row r="18" customFormat="false" ht="15" hidden="false" customHeight="false" outlineLevel="0" collapsed="false">
      <c r="B18" s="15" t="n">
        <v>2</v>
      </c>
      <c r="C18" s="16" t="n">
        <f aca="true">RAND()</f>
        <v>0.450361146663927</v>
      </c>
      <c r="D18" s="16" t="n">
        <f aca="true">RAND()</f>
        <v>0.664447197046565</v>
      </c>
      <c r="E18" s="16" t="n">
        <f aca="false">IF(C18&lt;=$C$10,1,2)</f>
        <v>1</v>
      </c>
      <c r="F18" s="17" t="n">
        <f aca="false">IF(E18=1,$C$4+SQRT(D18*($C$6-$C$4)*($C$5-$C$4)),$C$6-SQRT((1-D18)*($C$6-$C$4)*($C$6-$C$5)))</f>
        <v>9.15277681885659</v>
      </c>
    </row>
    <row r="19" customFormat="false" ht="15" hidden="false" customHeight="false" outlineLevel="0" collapsed="false">
      <c r="B19" s="15" t="n">
        <v>3</v>
      </c>
      <c r="C19" s="16" t="n">
        <f aca="true">RAND()</f>
        <v>0.41767294472878</v>
      </c>
      <c r="D19" s="16" t="n">
        <f aca="true">RAND()</f>
        <v>0.136547910530284</v>
      </c>
      <c r="E19" s="16" t="n">
        <f aca="false">IF(C19&lt;=$C$10,1,2)</f>
        <v>1</v>
      </c>
      <c r="F19" s="17" t="n">
        <f aca="false">IF(E19=1,$C$4+SQRT(D19*($C$6-$C$4)*($C$5-$C$4)),$C$6-SQRT((1-D19)*($C$6-$C$4)*($C$6-$C$5)))</f>
        <v>8.5225857069042</v>
      </c>
    </row>
    <row r="20" customFormat="false" ht="15" hidden="false" customHeight="false" outlineLevel="0" collapsed="false">
      <c r="B20" s="15" t="n">
        <v>4</v>
      </c>
      <c r="C20" s="16" t="n">
        <f aca="true">RAND()</f>
        <v>0.130893438402417</v>
      </c>
      <c r="D20" s="16" t="n">
        <f aca="true">RAND()</f>
        <v>0.922149301959438</v>
      </c>
      <c r="E20" s="16" t="n">
        <f aca="false">IF(C20&lt;=$C$10,1,2)</f>
        <v>1</v>
      </c>
      <c r="F20" s="17" t="n">
        <f aca="false">IF(E20=1,$C$4+SQRT(D20*($C$6-$C$4)*($C$5-$C$4)),$C$6-SQRT((1-D20)*($C$6-$C$4)*($C$6-$C$5)))</f>
        <v>9.35804955871238</v>
      </c>
    </row>
    <row r="21" customFormat="false" ht="15" hidden="false" customHeight="false" outlineLevel="0" collapsed="false">
      <c r="B21" s="15" t="n">
        <v>5</v>
      </c>
      <c r="C21" s="16" t="n">
        <f aca="true">RAND()</f>
        <v>0.958740620114677</v>
      </c>
      <c r="D21" s="16" t="n">
        <f aca="true">RAND()</f>
        <v>0.653164059890322</v>
      </c>
      <c r="E21" s="16" t="n">
        <f aca="false">IF(C21&lt;=$C$10,1,2)</f>
        <v>2</v>
      </c>
      <c r="F21" s="17" t="n">
        <f aca="false">IF(E21=1,$C$4+SQRT(D21*($C$6-$C$4)*($C$5-$C$4)),$C$6-SQRT((1-D21)*($C$6-$C$4)*($C$6-$C$5)))</f>
        <v>9.16713033419427</v>
      </c>
    </row>
    <row r="22" customFormat="false" ht="15" hidden="false" customHeight="false" outlineLevel="0" collapsed="false">
      <c r="B22" s="15" t="n">
        <v>6</v>
      </c>
      <c r="C22" s="16" t="n">
        <f aca="true">RAND()</f>
        <v>0.917120957355689</v>
      </c>
      <c r="D22" s="16" t="n">
        <f aca="true">RAND()</f>
        <v>0.458159676727833</v>
      </c>
      <c r="E22" s="16" t="n">
        <f aca="false">IF(C22&lt;=$C$10,1,2)</f>
        <v>2</v>
      </c>
      <c r="F22" s="17" t="n">
        <f aca="false">IF(E22=1,$C$4+SQRT(D22*($C$6-$C$4)*($C$5-$C$4)),$C$6-SQRT((1-D22)*($C$6-$C$4)*($C$6-$C$5)))</f>
        <v>8.95900016976738</v>
      </c>
    </row>
    <row r="23" customFormat="false" ht="15" hidden="false" customHeight="false" outlineLevel="0" collapsed="false">
      <c r="B23" s="15" t="n">
        <v>7</v>
      </c>
      <c r="C23" s="16" t="n">
        <f aca="true">RAND()</f>
        <v>0.0606875962914574</v>
      </c>
      <c r="D23" s="16" t="n">
        <f aca="true">RAND()</f>
        <v>0.683572822857824</v>
      </c>
      <c r="E23" s="16" t="n">
        <f aca="false">IF(C23&lt;=$C$10,1,2)</f>
        <v>1</v>
      </c>
      <c r="F23" s="17" t="n">
        <f aca="false">IF(E23=1,$C$4+SQRT(D23*($C$6-$C$4)*($C$5-$C$4)),$C$6-SQRT((1-D23)*($C$6-$C$4)*($C$6-$C$5)))</f>
        <v>9.16925003558505</v>
      </c>
    </row>
    <row r="24" customFormat="false" ht="15" hidden="false" customHeight="false" outlineLevel="0" collapsed="false">
      <c r="B24" s="15" t="n">
        <v>8</v>
      </c>
      <c r="C24" s="16" t="n">
        <f aca="true">RAND()</f>
        <v>0.101325191421587</v>
      </c>
      <c r="D24" s="16" t="n">
        <f aca="true">RAND()</f>
        <v>0.292739187842066</v>
      </c>
      <c r="E24" s="16" t="n">
        <f aca="false">IF(C24&lt;=$C$10,1,2)</f>
        <v>1</v>
      </c>
      <c r="F24" s="17" t="n">
        <f aca="false">IF(E24=1,$C$4+SQRT(D24*($C$6-$C$4)*($C$5-$C$4)),$C$6-SQRT((1-D24)*($C$6-$C$4)*($C$6-$C$5)))</f>
        <v>8.76516558710134</v>
      </c>
    </row>
    <row r="25" customFormat="false" ht="15" hidden="false" customHeight="false" outlineLevel="0" collapsed="false">
      <c r="B25" s="15" t="n">
        <v>9</v>
      </c>
      <c r="C25" s="16" t="n">
        <f aca="true">RAND()</f>
        <v>0.742628062328103</v>
      </c>
      <c r="D25" s="16" t="n">
        <f aca="true">RAND()</f>
        <v>0.105103092396606</v>
      </c>
      <c r="E25" s="16" t="n">
        <f aca="false">IF(C25&lt;=$C$10,1,2)</f>
        <v>2</v>
      </c>
      <c r="F25" s="17" t="n">
        <f aca="false">IF(E25=1,$C$4+SQRT(D25*($C$6-$C$4)*($C$5-$C$4)),$C$6-SQRT((1-D25)*($C$6-$C$4)*($C$6-$C$5)))</f>
        <v>8.66216824106811</v>
      </c>
    </row>
    <row r="26" customFormat="false" ht="15" hidden="false" customHeight="false" outlineLevel="0" collapsed="false">
      <c r="B26" s="15" t="n">
        <v>10</v>
      </c>
      <c r="C26" s="16" t="n">
        <f aca="true">RAND()</f>
        <v>0.424238255411169</v>
      </c>
      <c r="D26" s="16" t="n">
        <f aca="true">RAND()</f>
        <v>0.648350301706785</v>
      </c>
      <c r="E26" s="16" t="n">
        <f aca="false">IF(C26&lt;=$C$10,1,2)</f>
        <v>1</v>
      </c>
      <c r="F26" s="17" t="n">
        <f aca="false">IF(E26=1,$C$4+SQRT(D26*($C$6-$C$4)*($C$5-$C$4)),$C$6-SQRT((1-D26)*($C$6-$C$4)*($C$6-$C$5)))</f>
        <v>9.13872762476967</v>
      </c>
    </row>
    <row r="27" customFormat="false" ht="15" hidden="false" customHeight="false" outlineLevel="0" collapsed="false">
      <c r="B27" s="15" t="n">
        <v>11</v>
      </c>
      <c r="C27" s="16" t="n">
        <f aca="true">RAND()</f>
        <v>0.755280701123661</v>
      </c>
      <c r="D27" s="16" t="n">
        <f aca="true">RAND()</f>
        <v>0.93851764632088</v>
      </c>
      <c r="E27" s="16" t="n">
        <f aca="false">IF(C27&lt;=$C$10,1,2)</f>
        <v>2</v>
      </c>
      <c r="F27" s="17" t="n">
        <f aca="false">IF(E27=1,$C$4+SQRT(D27*($C$6-$C$4)*($C$5-$C$4)),$C$6-SQRT((1-D27)*($C$6-$C$4)*($C$6-$C$5)))</f>
        <v>9.64933676075437</v>
      </c>
    </row>
    <row r="28" customFormat="false" ht="15" hidden="false" customHeight="false" outlineLevel="0" collapsed="false">
      <c r="B28" s="15" t="n">
        <v>12</v>
      </c>
      <c r="C28" s="16" t="n">
        <f aca="true">RAND()</f>
        <v>0.145022511346768</v>
      </c>
      <c r="D28" s="16" t="n">
        <f aca="true">RAND()</f>
        <v>0.901683226549497</v>
      </c>
      <c r="E28" s="16" t="n">
        <f aca="false">IF(C28&lt;=$C$10,1,2)</f>
        <v>1</v>
      </c>
      <c r="F28" s="17" t="n">
        <f aca="false">IF(E28=1,$C$4+SQRT(D28*($C$6-$C$4)*($C$5-$C$4)),$C$6-SQRT((1-D28)*($C$6-$C$4)*($C$6-$C$5)))</f>
        <v>9.34289480343733</v>
      </c>
    </row>
    <row r="29" customFormat="false" ht="15" hidden="false" customHeight="false" outlineLevel="0" collapsed="false">
      <c r="B29" s="15" t="n">
        <v>13</v>
      </c>
      <c r="C29" s="16" t="n">
        <f aca="true">RAND()</f>
        <v>0.491184061857347</v>
      </c>
      <c r="D29" s="16" t="n">
        <f aca="true">RAND()</f>
        <v>0.411907095553615</v>
      </c>
      <c r="E29" s="16" t="n">
        <f aca="false">IF(C29&lt;=$C$10,1,2)</f>
        <v>1</v>
      </c>
      <c r="F29" s="17" t="n">
        <f aca="false">IF(E29=1,$C$4+SQRT(D29*($C$6-$C$4)*($C$5-$C$4)),$C$6-SQRT((1-D29)*($C$6-$C$4)*($C$6-$C$5)))</f>
        <v>8.90764210518642</v>
      </c>
    </row>
    <row r="30" customFormat="false" ht="15" hidden="false" customHeight="false" outlineLevel="0" collapsed="false">
      <c r="B30" s="15" t="n">
        <v>14</v>
      </c>
      <c r="C30" s="16" t="n">
        <f aca="true">RAND()</f>
        <v>0.150116501177456</v>
      </c>
      <c r="D30" s="16" t="n">
        <f aca="true">RAND()</f>
        <v>0.824811860903445</v>
      </c>
      <c r="E30" s="16" t="n">
        <f aca="false">IF(C30&lt;=$C$10,1,2)</f>
        <v>1</v>
      </c>
      <c r="F30" s="17" t="n">
        <f aca="false">IF(E30=1,$C$4+SQRT(D30*($C$6-$C$4)*($C$5-$C$4)),$C$6-SQRT((1-D30)*($C$6-$C$4)*($C$6-$C$5)))</f>
        <v>9.28437678342723</v>
      </c>
    </row>
    <row r="31" customFormat="false" ht="15" hidden="false" customHeight="false" outlineLevel="0" collapsed="false">
      <c r="B31" s="15" t="n">
        <v>15</v>
      </c>
      <c r="C31" s="16" t="n">
        <f aca="true">RAND()</f>
        <v>0.0372887740548869</v>
      </c>
      <c r="D31" s="16" t="n">
        <f aca="true">RAND()</f>
        <v>0.283183941859876</v>
      </c>
      <c r="E31" s="16" t="n">
        <f aca="false">IF(C31&lt;=$C$10,1,2)</f>
        <v>1</v>
      </c>
      <c r="F31" s="17" t="n">
        <f aca="false">IF(E31=1,$C$4+SQRT(D31*($C$6-$C$4)*($C$5-$C$4)),$C$6-SQRT((1-D31)*($C$6-$C$4)*($C$6-$C$5)))</f>
        <v>8.75257417157364</v>
      </c>
    </row>
    <row r="32" customFormat="false" ht="15" hidden="false" customHeight="false" outlineLevel="0" collapsed="false">
      <c r="B32" s="15" t="n">
        <v>16</v>
      </c>
      <c r="C32" s="16" t="n">
        <f aca="true">RAND()</f>
        <v>0.628507587601807</v>
      </c>
      <c r="D32" s="16" t="n">
        <f aca="true">RAND()</f>
        <v>0.946483790465042</v>
      </c>
      <c r="E32" s="16" t="n">
        <f aca="false">IF(C32&lt;=$C$10,1,2)</f>
        <v>2</v>
      </c>
      <c r="F32" s="17" t="n">
        <f aca="false">IF(E32=1,$C$4+SQRT(D32*($C$6-$C$4)*($C$5-$C$4)),$C$6-SQRT((1-D32)*($C$6-$C$4)*($C$6-$C$5)))</f>
        <v>9.6728419050827</v>
      </c>
    </row>
    <row r="33" customFormat="false" ht="15" hidden="false" customHeight="false" outlineLevel="0" collapsed="false">
      <c r="B33" s="15" t="n">
        <v>17</v>
      </c>
      <c r="C33" s="16" t="n">
        <f aca="true">RAND()</f>
        <v>0.463012424104461</v>
      </c>
      <c r="D33" s="16" t="n">
        <f aca="true">RAND()</f>
        <v>0.973109794202336</v>
      </c>
      <c r="E33" s="16" t="n">
        <f aca="false">IF(C33&lt;=$C$10,1,2)</f>
        <v>1</v>
      </c>
      <c r="F33" s="17" t="n">
        <f aca="false">IF(E33=1,$C$4+SQRT(D33*($C$6-$C$4)*($C$5-$C$4)),$C$6-SQRT((1-D33)*($C$6-$C$4)*($C$6-$C$5)))</f>
        <v>9.3950697432045</v>
      </c>
    </row>
    <row r="34" customFormat="false" ht="15" hidden="false" customHeight="false" outlineLevel="0" collapsed="false">
      <c r="B34" s="15" t="n">
        <v>18</v>
      </c>
      <c r="C34" s="16" t="n">
        <f aca="true">RAND()</f>
        <v>0.440735908645121</v>
      </c>
      <c r="D34" s="16" t="n">
        <f aca="true">RAND()</f>
        <v>0.575797825046153</v>
      </c>
      <c r="E34" s="16" t="n">
        <f aca="false">IF(C34&lt;=$C$10,1,2)</f>
        <v>1</v>
      </c>
      <c r="F34" s="17" t="n">
        <f aca="false">IF(E34=1,$C$4+SQRT(D34*($C$6-$C$4)*($C$5-$C$4)),$C$6-SQRT((1-D34)*($C$6-$C$4)*($C$6-$C$5)))</f>
        <v>9.07312424727629</v>
      </c>
    </row>
    <row r="35" customFormat="false" ht="15" hidden="false" customHeight="false" outlineLevel="0" collapsed="false">
      <c r="B35" s="15" t="n">
        <v>19</v>
      </c>
      <c r="C35" s="16" t="n">
        <f aca="true">RAND()</f>
        <v>0.0513442019524416</v>
      </c>
      <c r="D35" s="16" t="n">
        <f aca="true">RAND()</f>
        <v>0.722494136354777</v>
      </c>
      <c r="E35" s="16" t="n">
        <f aca="false">IF(C35&lt;=$C$10,1,2)</f>
        <v>1</v>
      </c>
      <c r="F35" s="17" t="n">
        <f aca="false">IF(E35=1,$C$4+SQRT(D35*($C$6-$C$4)*($C$5-$C$4)),$C$6-SQRT((1-D35)*($C$6-$C$4)*($C$6-$C$5)))</f>
        <v>9.20207665009747</v>
      </c>
    </row>
    <row r="36" customFormat="false" ht="15" hidden="false" customHeight="false" outlineLevel="0" collapsed="false">
      <c r="B36" s="15" t="n">
        <v>20</v>
      </c>
      <c r="C36" s="16" t="n">
        <f aca="true">RAND()</f>
        <v>0.626780134066109</v>
      </c>
      <c r="D36" s="16" t="n">
        <f aca="true">RAND()</f>
        <v>0.13804420177544</v>
      </c>
      <c r="E36" s="16" t="n">
        <f aca="false">IF(C36&lt;=$C$10,1,2)</f>
        <v>2</v>
      </c>
      <c r="F36" s="17" t="n">
        <f aca="false">IF(E36=1,$C$4+SQRT(D36*($C$6-$C$4)*($C$5-$C$4)),$C$6-SQRT((1-D36)*($C$6-$C$4)*($C$6-$C$5)))</f>
        <v>8.68702185987385</v>
      </c>
    </row>
    <row r="37" customFormat="false" ht="15" hidden="false" customHeight="false" outlineLevel="0" collapsed="false">
      <c r="B37" s="15" t="n">
        <v>21</v>
      </c>
      <c r="C37" s="16" t="n">
        <f aca="true">RAND()</f>
        <v>0.728650526253977</v>
      </c>
      <c r="D37" s="16" t="n">
        <f aca="true">RAND()</f>
        <v>0.00894579636066827</v>
      </c>
      <c r="E37" s="16" t="n">
        <f aca="false">IF(C37&lt;=$C$10,1,2)</f>
        <v>2</v>
      </c>
      <c r="F37" s="17" t="n">
        <f aca="false">IF(E37=1,$C$4+SQRT(D37*($C$6-$C$4)*($C$5-$C$4)),$C$6-SQRT((1-D37)*($C$6-$C$4)*($C$6-$C$5)))</f>
        <v>8.59212628148734</v>
      </c>
    </row>
    <row r="38" customFormat="false" ht="15" hidden="false" customHeight="false" outlineLevel="0" collapsed="false">
      <c r="B38" s="15" t="n">
        <v>22</v>
      </c>
      <c r="C38" s="16" t="n">
        <f aca="true">RAND()</f>
        <v>0.852628248461463</v>
      </c>
      <c r="D38" s="16" t="n">
        <f aca="true">RAND()</f>
        <v>0.864862089873203</v>
      </c>
      <c r="E38" s="16" t="n">
        <f aca="false">IF(C38&lt;=$C$10,1,2)</f>
        <v>2</v>
      </c>
      <c r="F38" s="17" t="n">
        <f aca="false">IF(E38=1,$C$4+SQRT(D38*($C$6-$C$4)*($C$5-$C$4)),$C$6-SQRT((1-D38)*($C$6-$C$4)*($C$6-$C$5)))</f>
        <v>9.48011941731433</v>
      </c>
    </row>
    <row r="39" customFormat="false" ht="15" hidden="false" customHeight="false" outlineLevel="0" collapsed="false">
      <c r="B39" s="15" t="n">
        <v>23</v>
      </c>
      <c r="C39" s="16" t="n">
        <f aca="true">RAND()</f>
        <v>0.922630637843461</v>
      </c>
      <c r="D39" s="16" t="n">
        <f aca="true">RAND()</f>
        <v>0.131223054255533</v>
      </c>
      <c r="E39" s="16" t="n">
        <f aca="false">IF(C39&lt;=$C$10,1,2)</f>
        <v>2</v>
      </c>
      <c r="F39" s="17" t="n">
        <f aca="false">IF(E39=1,$C$4+SQRT(D39*($C$6-$C$4)*($C$5-$C$4)),$C$6-SQRT((1-D39)*($C$6-$C$4)*($C$6-$C$5)))</f>
        <v>8.68183692530517</v>
      </c>
    </row>
    <row r="40" customFormat="false" ht="15" hidden="false" customHeight="false" outlineLevel="0" collapsed="false">
      <c r="B40" s="15" t="n">
        <v>24</v>
      </c>
      <c r="C40" s="16" t="n">
        <f aca="true">RAND()</f>
        <v>0.151137553741644</v>
      </c>
      <c r="D40" s="16" t="n">
        <f aca="true">RAND()</f>
        <v>0.525701500507521</v>
      </c>
      <c r="E40" s="16" t="n">
        <f aca="false">IF(C40&lt;=$C$10,1,2)</f>
        <v>1</v>
      </c>
      <c r="F40" s="17" t="n">
        <f aca="false">IF(E40=1,$C$4+SQRT(D40*($C$6-$C$4)*($C$5-$C$4)),$C$6-SQRT((1-D40)*($C$6-$C$4)*($C$6-$C$5)))</f>
        <v>9.02537944245779</v>
      </c>
    </row>
    <row r="41" customFormat="false" ht="15" hidden="false" customHeight="false" outlineLevel="0" collapsed="false">
      <c r="B41" s="15" t="n">
        <v>25</v>
      </c>
      <c r="C41" s="16" t="n">
        <f aca="true">RAND()</f>
        <v>0.396103951564145</v>
      </c>
      <c r="D41" s="16" t="n">
        <f aca="true">RAND()</f>
        <v>0.528400973842088</v>
      </c>
      <c r="E41" s="16" t="n">
        <f aca="false">IF(C41&lt;=$C$10,1,2)</f>
        <v>1</v>
      </c>
      <c r="F41" s="17" t="n">
        <f aca="false">IF(E41=1,$C$4+SQRT(D41*($C$6-$C$4)*($C$5-$C$4)),$C$6-SQRT((1-D41)*($C$6-$C$4)*($C$6-$C$5)))</f>
        <v>9.02800872938131</v>
      </c>
    </row>
    <row r="42" customFormat="false" ht="15" hidden="false" customHeight="false" outlineLevel="0" collapsed="false">
      <c r="B42" s="15" t="n">
        <v>26</v>
      </c>
      <c r="C42" s="16" t="n">
        <f aca="true">RAND()</f>
        <v>0.646258170937778</v>
      </c>
      <c r="D42" s="16" t="n">
        <f aca="true">RAND()</f>
        <v>0.920352325558828</v>
      </c>
      <c r="E42" s="16" t="n">
        <f aca="false">IF(C42&lt;=$C$10,1,2)</f>
        <v>2</v>
      </c>
      <c r="F42" s="17" t="n">
        <f aca="false">IF(E42=1,$C$4+SQRT(D42*($C$6-$C$4)*($C$5-$C$4)),$C$6-SQRT((1-D42)*($C$6-$C$4)*($C$6-$C$5)))</f>
        <v>9.60088178582988</v>
      </c>
    </row>
    <row r="43" customFormat="false" ht="15" hidden="false" customHeight="false" outlineLevel="0" collapsed="false">
      <c r="B43" s="15" t="n">
        <v>27</v>
      </c>
      <c r="C43" s="16" t="n">
        <f aca="true">RAND()</f>
        <v>0.21879058378305</v>
      </c>
      <c r="D43" s="16" t="n">
        <f aca="true">RAND()</f>
        <v>0.666165415531213</v>
      </c>
      <c r="E43" s="16" t="n">
        <f aca="false">IF(C43&lt;=$C$10,1,2)</f>
        <v>1</v>
      </c>
      <c r="F43" s="17" t="n">
        <f aca="false">IF(E43=1,$C$4+SQRT(D43*($C$6-$C$4)*($C$5-$C$4)),$C$6-SQRT((1-D43)*($C$6-$C$4)*($C$6-$C$5)))</f>
        <v>9.15426636053488</v>
      </c>
    </row>
    <row r="44" customFormat="false" ht="15" hidden="false" customHeight="false" outlineLevel="0" collapsed="false">
      <c r="B44" s="15" t="n">
        <v>28</v>
      </c>
      <c r="C44" s="16" t="n">
        <f aca="true">RAND()</f>
        <v>0.955412612408843</v>
      </c>
      <c r="D44" s="16" t="n">
        <f aca="true">RAND()</f>
        <v>0.571986468045485</v>
      </c>
      <c r="E44" s="16" t="n">
        <f aca="false">IF(C44&lt;=$C$10,1,2)</f>
        <v>2</v>
      </c>
      <c r="F44" s="17" t="n">
        <f aca="false">IF(E44=1,$C$4+SQRT(D44*($C$6-$C$4)*($C$5-$C$4)),$C$6-SQRT((1-D44)*($C$6-$C$4)*($C$6-$C$5)))</f>
        <v>9.07478269368271</v>
      </c>
    </row>
    <row r="45" customFormat="false" ht="15" hidden="false" customHeight="false" outlineLevel="0" collapsed="false">
      <c r="B45" s="15" t="n">
        <v>29</v>
      </c>
      <c r="C45" s="16" t="n">
        <f aca="true">RAND()</f>
        <v>0.28742626118404</v>
      </c>
      <c r="D45" s="16" t="n">
        <f aca="true">RAND()</f>
        <v>0.308425153789412</v>
      </c>
      <c r="E45" s="16" t="n">
        <f aca="false">IF(C45&lt;=$C$10,1,2)</f>
        <v>1</v>
      </c>
      <c r="F45" s="17" t="n">
        <f aca="false">IF(E45=1,$C$4+SQRT(D45*($C$6-$C$4)*($C$5-$C$4)),$C$6-SQRT((1-D45)*($C$6-$C$4)*($C$6-$C$5)))</f>
        <v>8.78539818409443</v>
      </c>
    </row>
    <row r="46" customFormat="false" ht="15" hidden="false" customHeight="false" outlineLevel="0" collapsed="false">
      <c r="B46" s="18" t="n">
        <v>30</v>
      </c>
      <c r="C46" s="19" t="n">
        <f aca="true">RAND()</f>
        <v>0.880115891825894</v>
      </c>
      <c r="D46" s="19" t="n">
        <f aca="true">RAND()</f>
        <v>0.810127671149114</v>
      </c>
      <c r="E46" s="19" t="n">
        <f aca="false">IF(C46&lt;=$C$10,1,2)</f>
        <v>2</v>
      </c>
      <c r="F46" s="20" t="n">
        <f aca="false">IF(E46=1,$C$4+SQRT(D46*($C$6-$C$4)*($C$5-$C$4)),$C$6-SQRT((1-D46)*($C$6-$C$4)*($C$6-$C$5)))</f>
        <v>9.38376574445932</v>
      </c>
    </row>
    <row r="47" customFormat="false" ht="15" hidden="false" customHeight="false" outlineLevel="0" collapsed="false">
      <c r="B47" s="0" t="n">
        <v>31</v>
      </c>
      <c r="C47" s="0" t="n">
        <f aca="true">RAND()</f>
        <v>0.57263594501104</v>
      </c>
      <c r="D47" s="0" t="n">
        <f aca="true">RAND()</f>
        <v>0.628846765467068</v>
      </c>
      <c r="E47" s="0" t="n">
        <f aca="false">IF(C47&lt;=$C$10,1,2)</f>
        <v>2</v>
      </c>
      <c r="F47" s="0" t="n">
        <f aca="false">IF(E47=1,$C$4+SQRT(D47*($C$6-$C$4)*($C$5-$C$4)),$C$6-SQRT((1-D47)*($C$6-$C$4)*($C$6-$C$5)))</f>
        <v>9.13842790837571</v>
      </c>
    </row>
    <row r="48" customFormat="false" ht="15" hidden="false" customHeight="false" outlineLevel="0" collapsed="false">
      <c r="B48" s="3" t="n">
        <v>32</v>
      </c>
      <c r="C48" s="21" t="n">
        <f aca="true">RAND()</f>
        <v>0.311122125271261</v>
      </c>
      <c r="D48" s="22" t="n">
        <f aca="true">RAND()</f>
        <v>0.731391792530345</v>
      </c>
      <c r="E48" s="22" t="n">
        <f aca="false">IF(C48&lt;=$C$10,1,2)</f>
        <v>1</v>
      </c>
      <c r="F48" s="22" t="n">
        <f aca="false">IF(E48=1,$C$4+SQRT(D48*($C$6-$C$4)*($C$5-$C$4)),$C$6-SQRT((1-D48)*($C$6-$C$4)*($C$6-$C$5)))</f>
        <v>9.20945590455406</v>
      </c>
    </row>
    <row r="49" customFormat="false" ht="15" hidden="false" customHeight="false" outlineLevel="0" collapsed="false">
      <c r="B49" s="3" t="n">
        <v>33</v>
      </c>
      <c r="C49" s="21" t="n">
        <f aca="true">RAND()</f>
        <v>0.315659568588617</v>
      </c>
      <c r="D49" s="22" t="n">
        <f aca="true">RAND()</f>
        <v>0.937915174507913</v>
      </c>
      <c r="E49" s="22" t="n">
        <f aca="false">IF(C49&lt;=$C$10,1,2)</f>
        <v>1</v>
      </c>
      <c r="F49" s="22" t="n">
        <f aca="false">IF(E49=1,$C$4+SQRT(D49*($C$6-$C$4)*($C$5-$C$4)),$C$6-SQRT((1-D49)*($C$6-$C$4)*($C$6-$C$5)))</f>
        <v>9.36960956079308</v>
      </c>
    </row>
    <row r="50" customFormat="false" ht="15" hidden="false" customHeight="false" outlineLevel="0" collapsed="false">
      <c r="B50" s="3" t="n">
        <v>34</v>
      </c>
      <c r="C50" s="21" t="n">
        <f aca="true">RAND()</f>
        <v>0.80110758065146</v>
      </c>
      <c r="D50" s="22" t="n">
        <f aca="true">RAND()</f>
        <v>0.853774831462952</v>
      </c>
      <c r="E50" s="22" t="n">
        <f aca="false">IF(C50&lt;=$C$10,1,2)</f>
        <v>2</v>
      </c>
      <c r="F50" s="22" t="n">
        <f aca="false">IF(E50=1,$C$4+SQRT(D50*($C$6-$C$4)*($C$5-$C$4)),$C$6-SQRT((1-D50)*($C$6-$C$4)*($C$6-$C$5)))</f>
        <v>9.45921322402069</v>
      </c>
    </row>
    <row r="51" customFormat="false" ht="15" hidden="false" customHeight="false" outlineLevel="0" collapsed="false">
      <c r="B51" s="0" t="n">
        <v>35</v>
      </c>
      <c r="C51" s="0" t="n">
        <f aca="true">RAND()</f>
        <v>0.227907490521546</v>
      </c>
      <c r="D51" s="0" t="n">
        <f aca="true">RAND()</f>
        <v>0.478908085845611</v>
      </c>
      <c r="E51" s="0" t="n">
        <f aca="false">IF(C51&lt;=$C$10,1,2)</f>
        <v>1</v>
      </c>
      <c r="F51" s="0" t="n">
        <f aca="false">IF(E51=1,$C$4+SQRT(D51*($C$6-$C$4)*($C$5-$C$4)),$C$6-SQRT((1-D51)*($C$6-$C$4)*($C$6-$C$5)))</f>
        <v>8.97868083239186</v>
      </c>
    </row>
    <row r="52" customFormat="false" ht="15" hidden="false" customHeight="false" outlineLevel="0" collapsed="false">
      <c r="B52" s="0" t="n">
        <v>36</v>
      </c>
      <c r="C52" s="0" t="n">
        <f aca="true">RAND()</f>
        <v>0.267262821644116</v>
      </c>
      <c r="D52" s="0" t="n">
        <f aca="true">RAND()</f>
        <v>0.841688347781993</v>
      </c>
      <c r="E52" s="0" t="n">
        <f aca="false">IF(C52&lt;=$C$10,1,2)</f>
        <v>1</v>
      </c>
      <c r="F52" s="0" t="n">
        <f aca="false">IF(E52=1,$C$4+SQRT(D52*($C$6-$C$4)*($C$5-$C$4)),$C$6-SQRT((1-D52)*($C$6-$C$4)*($C$6-$C$5)))</f>
        <v>9.29745007440132</v>
      </c>
    </row>
    <row r="53" customFormat="false" ht="15" hidden="false" customHeight="false" outlineLevel="0" collapsed="false">
      <c r="B53" s="0" t="n">
        <v>37</v>
      </c>
      <c r="C53" s="0" t="n">
        <f aca="true">RAND()</f>
        <v>0.0755994676740129</v>
      </c>
      <c r="D53" s="0" t="n">
        <f aca="true">RAND()</f>
        <v>0.0981408012355552</v>
      </c>
      <c r="E53" s="0" t="n">
        <f aca="false">IF(C53&lt;=$C$10,1,2)</f>
        <v>1</v>
      </c>
      <c r="F53" s="0" t="n">
        <f aca="false">IF(E53=1,$C$4+SQRT(D53*($C$6-$C$4)*($C$5-$C$4)),$C$6-SQRT((1-D53)*($C$6-$C$4)*($C$6-$C$5)))</f>
        <v>8.44303679584331</v>
      </c>
    </row>
    <row r="54" customFormat="false" ht="15" hidden="false" customHeight="false" outlineLevel="0" collapsed="false">
      <c r="B54" s="0" t="n">
        <v>38</v>
      </c>
      <c r="C54" s="0" t="n">
        <f aca="true">RAND()</f>
        <v>0.501091292777298</v>
      </c>
      <c r="D54" s="0" t="n">
        <f aca="true">RAND()</f>
        <v>0.33376190605218</v>
      </c>
      <c r="E54" s="0" t="n">
        <f aca="false">IF(C54&lt;=$C$10,1,2)</f>
        <v>2</v>
      </c>
      <c r="F54" s="0" t="n">
        <f aca="false">IF(E54=1,$C$4+SQRT(D54*($C$6-$C$4)*($C$5-$C$4)),$C$6-SQRT((1-D54)*($C$6-$C$4)*($C$6-$C$5)))</f>
        <v>8.84567067615189</v>
      </c>
    </row>
    <row r="55" customFormat="false" ht="15" hidden="false" customHeight="false" outlineLevel="0" collapsed="false">
      <c r="B55" s="0" t="n">
        <v>39</v>
      </c>
      <c r="C55" s="0" t="n">
        <f aca="true">RAND()</f>
        <v>0.328553446869697</v>
      </c>
      <c r="D55" s="0" t="n">
        <f aca="true">RAND()</f>
        <v>0.97949887806929</v>
      </c>
      <c r="E55" s="0" t="n">
        <f aca="false">IF(C55&lt;=$C$10,1,2)</f>
        <v>1</v>
      </c>
      <c r="F55" s="0" t="n">
        <f aca="false">IF(E55=1,$C$4+SQRT(D55*($C$6-$C$4)*($C$5-$C$4)),$C$6-SQRT((1-D55)*($C$6-$C$4)*($C$6-$C$5)))</f>
        <v>9.39964200999348</v>
      </c>
    </row>
    <row r="56" customFormat="false" ht="15" hidden="false" customHeight="false" outlineLevel="0" collapsed="false">
      <c r="B56" s="0" t="n">
        <v>40</v>
      </c>
      <c r="C56" s="0" t="n">
        <f aca="true">RAND()</f>
        <v>0.484104967406151</v>
      </c>
      <c r="D56" s="0" t="n">
        <f aca="true">RAND()</f>
        <v>0.898305931959719</v>
      </c>
      <c r="E56" s="0" t="n">
        <f aca="false">IF(C56&lt;=$C$10,1,2)</f>
        <v>1</v>
      </c>
      <c r="F56" s="0" t="n">
        <f aca="false">IF(E56=1,$C$4+SQRT(D56*($C$6-$C$4)*($C$5-$C$4)),$C$6-SQRT((1-D56)*($C$6-$C$4)*($C$6-$C$5)))</f>
        <v>9.34037750798775</v>
      </c>
    </row>
    <row r="57" customFormat="false" ht="15" hidden="false" customHeight="false" outlineLevel="0" collapsed="false">
      <c r="B57" s="0" t="n">
        <v>41</v>
      </c>
      <c r="C57" s="0" t="n">
        <f aca="true">RAND()</f>
        <v>0.00203541851748479</v>
      </c>
      <c r="D57" s="0" t="n">
        <f aca="true">RAND()</f>
        <v>0.168156228181604</v>
      </c>
      <c r="E57" s="0" t="n">
        <f aca="false">IF(C57&lt;=$C$10,1,2)</f>
        <v>1</v>
      </c>
      <c r="F57" s="0" t="n">
        <f aca="false">IF(E57=1,$C$4+SQRT(D57*($C$6-$C$4)*($C$5-$C$4)),$C$6-SQRT((1-D57)*($C$6-$C$4)*($C$6-$C$5)))</f>
        <v>8.57992452643703</v>
      </c>
    </row>
    <row r="58" customFormat="false" ht="15" hidden="false" customHeight="false" outlineLevel="0" collapsed="false">
      <c r="B58" s="0" t="n">
        <v>42</v>
      </c>
      <c r="C58" s="0" t="n">
        <f aca="true">RAND()</f>
        <v>0.538802924428704</v>
      </c>
      <c r="D58" s="0" t="n">
        <f aca="true">RAND()</f>
        <v>0.175254271412522</v>
      </c>
      <c r="E58" s="0" t="n">
        <f aca="false">IF(C58&lt;=$C$10,1,2)</f>
        <v>2</v>
      </c>
      <c r="F58" s="0" t="n">
        <f aca="false">IF(E58=1,$C$4+SQRT(D58*($C$6-$C$4)*($C$5-$C$4)),$C$6-SQRT((1-D58)*($C$6-$C$4)*($C$6-$C$5)))</f>
        <v>8.71567470741445</v>
      </c>
    </row>
    <row r="59" customFormat="false" ht="15" hidden="false" customHeight="false" outlineLevel="0" collapsed="false">
      <c r="B59" s="0" t="n">
        <v>43</v>
      </c>
      <c r="C59" s="0" t="n">
        <f aca="true">RAND()</f>
        <v>0.441865896446734</v>
      </c>
      <c r="D59" s="0" t="n">
        <f aca="true">RAND()</f>
        <v>0.442000726445528</v>
      </c>
      <c r="E59" s="0" t="n">
        <f aca="false">IF(C59&lt;=$C$10,1,2)</f>
        <v>1</v>
      </c>
      <c r="F59" s="0" t="n">
        <f aca="false">IF(E59=1,$C$4+SQRT(D59*($C$6-$C$4)*($C$5-$C$4)),$C$6-SQRT((1-D59)*($C$6-$C$4)*($C$6-$C$5)))</f>
        <v>8.94021351452266</v>
      </c>
    </row>
    <row r="60" customFormat="false" ht="15" hidden="false" customHeight="false" outlineLevel="0" collapsed="false">
      <c r="B60" s="0" t="n">
        <v>44</v>
      </c>
      <c r="C60" s="0" t="n">
        <f aca="true">RAND()</f>
        <v>0.159101121946922</v>
      </c>
      <c r="D60" s="0" t="n">
        <f aca="true">RAND()</f>
        <v>0.574452154204977</v>
      </c>
      <c r="E60" s="0" t="n">
        <f aca="false">IF(C60&lt;=$C$10,1,2)</f>
        <v>1</v>
      </c>
      <c r="F60" s="0" t="n">
        <f aca="false">IF(E60=1,$C$4+SQRT(D60*($C$6-$C$4)*($C$5-$C$4)),$C$6-SQRT((1-D60)*($C$6-$C$4)*($C$6-$C$5)))</f>
        <v>9.07186953889452</v>
      </c>
    </row>
    <row r="61" customFormat="false" ht="15" hidden="false" customHeight="false" outlineLevel="0" collapsed="false">
      <c r="B61" s="0" t="n">
        <v>45</v>
      </c>
      <c r="C61" s="0" t="n">
        <f aca="true">RAND()</f>
        <v>0.755906789702319</v>
      </c>
      <c r="D61" s="0" t="n">
        <f aca="true">RAND()</f>
        <v>0.0726607031152284</v>
      </c>
      <c r="E61" s="0" t="n">
        <f aca="false">IF(C61&lt;=$C$10,1,2)</f>
        <v>2</v>
      </c>
      <c r="F61" s="0" t="n">
        <f aca="false">IF(E61=1,$C$4+SQRT(D61*($C$6-$C$4)*($C$5-$C$4)),$C$6-SQRT((1-D61)*($C$6-$C$4)*($C$6-$C$5)))</f>
        <v>8.63813414986294</v>
      </c>
    </row>
    <row r="62" customFormat="false" ht="15" hidden="false" customHeight="false" outlineLevel="0" collapsed="false">
      <c r="B62" s="0" t="n">
        <v>46</v>
      </c>
      <c r="C62" s="0" t="n">
        <f aca="true">RAND()</f>
        <v>0.0646730659123605</v>
      </c>
      <c r="D62" s="0" t="n">
        <f aca="true">RAND()</f>
        <v>0.356097715026766</v>
      </c>
      <c r="E62" s="0" t="n">
        <f aca="false">IF(C62&lt;=$C$10,1,2)</f>
        <v>1</v>
      </c>
      <c r="F62" s="0" t="n">
        <f aca="false">IF(E62=1,$C$4+SQRT(D62*($C$6-$C$4)*($C$5-$C$4)),$C$6-SQRT((1-D62)*($C$6-$C$4)*($C$6-$C$5)))</f>
        <v>8.84391671985661</v>
      </c>
    </row>
    <row r="63" customFormat="false" ht="15" hidden="false" customHeight="false" outlineLevel="0" collapsed="false">
      <c r="B63" s="0" t="n">
        <v>47</v>
      </c>
      <c r="C63" s="0" t="n">
        <f aca="true">RAND()</f>
        <v>0.762963313348512</v>
      </c>
      <c r="D63" s="0" t="n">
        <f aca="true">RAND()</f>
        <v>0.595110456051933</v>
      </c>
      <c r="E63" s="0" t="n">
        <f aca="false">IF(C63&lt;=$C$10,1,2)</f>
        <v>2</v>
      </c>
      <c r="F63" s="0" t="n">
        <f aca="false">IF(E63=1,$C$4+SQRT(D63*($C$6-$C$4)*($C$5-$C$4)),$C$6-SQRT((1-D63)*($C$6-$C$4)*($C$6-$C$5)))</f>
        <v>9.10012273731573</v>
      </c>
    </row>
    <row r="64" customFormat="false" ht="15" hidden="false" customHeight="false" outlineLevel="0" collapsed="false">
      <c r="B64" s="0" t="n">
        <v>48</v>
      </c>
      <c r="C64" s="0" t="n">
        <f aca="true">RAND()</f>
        <v>0.799499900293078</v>
      </c>
      <c r="D64" s="0" t="n">
        <f aca="true">RAND()</f>
        <v>0.360843333577465</v>
      </c>
      <c r="E64" s="0" t="n">
        <f aca="false">IF(C64&lt;=$C$10,1,2)</f>
        <v>2</v>
      </c>
      <c r="F64" s="0" t="n">
        <f aca="false">IF(E64=1,$C$4+SQRT(D64*($C$6-$C$4)*($C$5-$C$4)),$C$6-SQRT((1-D64)*($C$6-$C$4)*($C$6-$C$5)))</f>
        <v>8.86937480443559</v>
      </c>
    </row>
    <row r="65" customFormat="false" ht="15" hidden="false" customHeight="false" outlineLevel="0" collapsed="false">
      <c r="B65" s="0" t="n">
        <v>49</v>
      </c>
      <c r="C65" s="0" t="n">
        <f aca="true">RAND()</f>
        <v>0.298290625138073</v>
      </c>
      <c r="D65" s="0" t="n">
        <f aca="true">RAND()</f>
        <v>0.791098100901417</v>
      </c>
      <c r="E65" s="0" t="n">
        <f aca="false">IF(C65&lt;=$C$10,1,2)</f>
        <v>1</v>
      </c>
      <c r="F65" s="0" t="n">
        <f aca="false">IF(E65=1,$C$4+SQRT(D65*($C$6-$C$4)*($C$5-$C$4)),$C$6-SQRT((1-D65)*($C$6-$C$4)*($C$6-$C$5)))</f>
        <v>9.25785380780233</v>
      </c>
    </row>
    <row r="66" customFormat="false" ht="15" hidden="false" customHeight="false" outlineLevel="0" collapsed="false">
      <c r="B66" s="0" t="n">
        <v>50</v>
      </c>
      <c r="C66" s="0" t="n">
        <f aca="true">RAND()</f>
        <v>0.41029182395666</v>
      </c>
      <c r="D66" s="0" t="n">
        <f aca="true">RAND()</f>
        <v>0.689656464859008</v>
      </c>
      <c r="E66" s="0" t="n">
        <f aca="false">IF(C66&lt;=$C$10,1,2)</f>
        <v>1</v>
      </c>
      <c r="F66" s="0" t="n">
        <f aca="false">IF(E66=1,$C$4+SQRT(D66*($C$6-$C$4)*($C$5-$C$4)),$C$6-SQRT((1-D66)*($C$6-$C$4)*($C$6-$C$5)))</f>
        <v>9.17444153950634</v>
      </c>
    </row>
    <row r="67" customFormat="false" ht="15" hidden="false" customHeight="false" outlineLevel="0" collapsed="false">
      <c r="B67" s="0" t="n">
        <v>51</v>
      </c>
      <c r="C67" s="0" t="n">
        <f aca="true">RAND()</f>
        <v>0.616639193457666</v>
      </c>
      <c r="D67" s="0" t="n">
        <f aca="true">RAND()</f>
        <v>0.984729182377222</v>
      </c>
      <c r="E67" s="0" t="n">
        <f aca="false">IF(C67&lt;=$C$10,1,2)</f>
        <v>2</v>
      </c>
      <c r="F67" s="0" t="n">
        <f aca="false">IF(E67=1,$C$4+SQRT(D67*($C$6-$C$4)*($C$5-$C$4)),$C$6-SQRT((1-D67)*($C$6-$C$4)*($C$6-$C$5)))</f>
        <v>9.82523834732541</v>
      </c>
    </row>
    <row r="68" customFormat="false" ht="15" hidden="false" customHeight="false" outlineLevel="0" collapsed="false">
      <c r="B68" s="0" t="n">
        <v>52</v>
      </c>
      <c r="C68" s="0" t="n">
        <f aca="true">RAND()</f>
        <v>0.796184265627422</v>
      </c>
      <c r="D68" s="0" t="n">
        <f aca="true">RAND()</f>
        <v>0.634811270238016</v>
      </c>
      <c r="E68" s="0" t="n">
        <f aca="false">IF(C68&lt;=$C$10,1,2)</f>
        <v>2</v>
      </c>
      <c r="F68" s="0" t="n">
        <f aca="false">IF(E68=1,$C$4+SQRT(D68*($C$6-$C$4)*($C$5-$C$4)),$C$6-SQRT((1-D68)*($C$6-$C$4)*($C$6-$C$5)))</f>
        <v>9.14537876253631</v>
      </c>
    </row>
    <row r="69" customFormat="false" ht="15" hidden="false" customHeight="false" outlineLevel="0" collapsed="false">
      <c r="B69" s="0" t="n">
        <v>53</v>
      </c>
      <c r="C69" s="0" t="n">
        <f aca="true">RAND()</f>
        <v>0.00138796796133028</v>
      </c>
      <c r="D69" s="0" t="n">
        <f aca="true">RAND()</f>
        <v>0.286219230800015</v>
      </c>
      <c r="E69" s="0" t="n">
        <f aca="false">IF(C69&lt;=$C$10,1,2)</f>
        <v>1</v>
      </c>
      <c r="F69" s="0" t="n">
        <f aca="false">IF(E69=1,$C$4+SQRT(D69*($C$6-$C$4)*($C$5-$C$4)),$C$6-SQRT((1-D69)*($C$6-$C$4)*($C$6-$C$5)))</f>
        <v>8.75659663070888</v>
      </c>
    </row>
    <row r="70" customFormat="false" ht="15" hidden="false" customHeight="false" outlineLevel="0" collapsed="false">
      <c r="B70" s="0" t="n">
        <v>54</v>
      </c>
      <c r="C70" s="0" t="n">
        <f aca="true">RAND()</f>
        <v>0.724558489930641</v>
      </c>
      <c r="D70" s="0" t="n">
        <f aca="true">RAND()</f>
        <v>0.0803225773455631</v>
      </c>
      <c r="E70" s="0" t="n">
        <f aca="false">IF(C70&lt;=$C$10,1,2)</f>
        <v>2</v>
      </c>
      <c r="F70" s="0" t="n">
        <f aca="false">IF(E70=1,$C$4+SQRT(D70*($C$6-$C$4)*($C$5-$C$4)),$C$6-SQRT((1-D70)*($C$6-$C$4)*($C$6-$C$5)))</f>
        <v>8.64377183139824</v>
      </c>
    </row>
    <row r="71" customFormat="false" ht="15" hidden="false" customHeight="false" outlineLevel="0" collapsed="false">
      <c r="B71" s="0" t="n">
        <v>55</v>
      </c>
      <c r="C71" s="0" t="n">
        <f aca="true">RAND()</f>
        <v>0.156310174220324</v>
      </c>
      <c r="D71" s="0" t="n">
        <f aca="true">RAND()</f>
        <v>0.994557641143904</v>
      </c>
      <c r="E71" s="0" t="n">
        <f aca="false">IF(C71&lt;=$C$10,1,2)</f>
        <v>1</v>
      </c>
      <c r="F71" s="0" t="n">
        <f aca="false">IF(E71=1,$C$4+SQRT(D71*($C$6-$C$4)*($C$5-$C$4)),$C$6-SQRT((1-D71)*($C$6-$C$4)*($C$6-$C$5)))</f>
        <v>9.41035998322691</v>
      </c>
    </row>
    <row r="72" customFormat="false" ht="15" hidden="false" customHeight="false" outlineLevel="0" collapsed="false">
      <c r="B72" s="0" t="n">
        <v>56</v>
      </c>
      <c r="C72" s="0" t="n">
        <f aca="true">RAND()</f>
        <v>0.499985886102435</v>
      </c>
      <c r="D72" s="0" t="n">
        <f aca="true">RAND()</f>
        <v>0.421498172742088</v>
      </c>
      <c r="E72" s="0" t="n">
        <f aca="false">IF(C72&lt;=$C$10,1,2)</f>
        <v>1</v>
      </c>
      <c r="F72" s="0" t="n">
        <f aca="false">IF(E72=1,$C$4+SQRT(D72*($C$6-$C$4)*($C$5-$C$4)),$C$6-SQRT((1-D72)*($C$6-$C$4)*($C$6-$C$5)))</f>
        <v>8.91814832433773</v>
      </c>
    </row>
    <row r="73" customFormat="false" ht="15" hidden="false" customHeight="false" outlineLevel="0" collapsed="false">
      <c r="B73" s="0" t="n">
        <v>57</v>
      </c>
      <c r="C73" s="0" t="n">
        <f aca="true">RAND()</f>
        <v>0.573737785882233</v>
      </c>
      <c r="D73" s="0" t="n">
        <f aca="true">RAND()</f>
        <v>0.105274567618088</v>
      </c>
      <c r="E73" s="0" t="n">
        <f aca="false">IF(C73&lt;=$C$10,1,2)</f>
        <v>2</v>
      </c>
      <c r="F73" s="0" t="n">
        <f aca="false">IF(E73=1,$C$4+SQRT(D73*($C$6-$C$4)*($C$5-$C$4)),$C$6-SQRT((1-D73)*($C$6-$C$4)*($C$6-$C$5)))</f>
        <v>8.66229642118898</v>
      </c>
    </row>
    <row r="74" customFormat="false" ht="15" hidden="false" customHeight="false" outlineLevel="0" collapsed="false">
      <c r="B74" s="0" t="n">
        <v>58</v>
      </c>
      <c r="C74" s="0" t="n">
        <f aca="true">RAND()</f>
        <v>0.236049387571503</v>
      </c>
      <c r="D74" s="0" t="n">
        <f aca="true">RAND()</f>
        <v>0.796170577317421</v>
      </c>
      <c r="E74" s="0" t="n">
        <f aca="false">IF(C74&lt;=$C$10,1,2)</f>
        <v>1</v>
      </c>
      <c r="F74" s="0" t="n">
        <f aca="false">IF(E74=1,$C$4+SQRT(D74*($C$6-$C$4)*($C$5-$C$4)),$C$6-SQRT((1-D74)*($C$6-$C$4)*($C$6-$C$5)))</f>
        <v>9.26188000801774</v>
      </c>
    </row>
    <row r="75" customFormat="false" ht="15" hidden="false" customHeight="false" outlineLevel="0" collapsed="false">
      <c r="B75" s="0" t="n">
        <v>59</v>
      </c>
      <c r="C75" s="0" t="n">
        <f aca="true">RAND()</f>
        <v>0.273174137270648</v>
      </c>
      <c r="D75" s="0" t="n">
        <f aca="true">RAND()</f>
        <v>0.161347012083488</v>
      </c>
      <c r="E75" s="0" t="n">
        <f aca="false">IF(C75&lt;=$C$10,1,2)</f>
        <v>1</v>
      </c>
      <c r="F75" s="0" t="n">
        <f aca="false">IF(E75=1,$C$4+SQRT(D75*($C$6-$C$4)*($C$5-$C$4)),$C$6-SQRT((1-D75)*($C$6-$C$4)*($C$6-$C$5)))</f>
        <v>8.56806163764769</v>
      </c>
    </row>
    <row r="76" customFormat="false" ht="15" hidden="false" customHeight="false" outlineLevel="0" collapsed="false">
      <c r="B76" s="0" t="n">
        <v>60</v>
      </c>
      <c r="C76" s="0" t="n">
        <f aca="true">RAND()</f>
        <v>0.97053550278657</v>
      </c>
      <c r="D76" s="0" t="n">
        <f aca="true">RAND()</f>
        <v>0.245767038839731</v>
      </c>
      <c r="E76" s="0" t="n">
        <f aca="false">IF(C76&lt;=$C$10,1,2)</f>
        <v>2</v>
      </c>
      <c r="F76" s="0" t="n">
        <f aca="false">IF(E76=1,$C$4+SQRT(D76*($C$6-$C$4)*($C$5-$C$4)),$C$6-SQRT((1-D76)*($C$6-$C$4)*($C$6-$C$5)))</f>
        <v>8.7718037932315</v>
      </c>
    </row>
    <row r="77" customFormat="false" ht="15" hidden="false" customHeight="false" outlineLevel="0" collapsed="false">
      <c r="B77" s="0" t="n">
        <v>61</v>
      </c>
      <c r="C77" s="0" t="n">
        <f aca="true">RAND()</f>
        <v>0.629391397929583</v>
      </c>
      <c r="D77" s="0" t="n">
        <f aca="true">RAND()</f>
        <v>0.519254202078514</v>
      </c>
      <c r="E77" s="0" t="n">
        <f aca="false">IF(C77&lt;=$C$10,1,2)</f>
        <v>2</v>
      </c>
      <c r="F77" s="0" t="n">
        <f aca="false">IF(E77=1,$C$4+SQRT(D77*($C$6-$C$4)*($C$5-$C$4)),$C$6-SQRT((1-D77)*($C$6-$C$4)*($C$6-$C$5)))</f>
        <v>9.01944322150986</v>
      </c>
    </row>
    <row r="78" customFormat="false" ht="15" hidden="false" customHeight="false" outlineLevel="0" collapsed="false">
      <c r="B78" s="0" t="n">
        <v>62</v>
      </c>
      <c r="C78" s="0" t="n">
        <f aca="true">RAND()</f>
        <v>0.548332792285595</v>
      </c>
      <c r="D78" s="0" t="n">
        <f aca="true">RAND()</f>
        <v>0.760854245691527</v>
      </c>
      <c r="E78" s="0" t="n">
        <f aca="false">IF(C78&lt;=$C$10,1,2)</f>
        <v>2</v>
      </c>
      <c r="F78" s="0" t="n">
        <f aca="false">IF(E78=1,$C$4+SQRT(D78*($C$6-$C$4)*($C$5-$C$4)),$C$6-SQRT((1-D78)*($C$6-$C$4)*($C$6-$C$5)))</f>
        <v>9.30841377354885</v>
      </c>
    </row>
    <row r="79" customFormat="false" ht="15" hidden="false" customHeight="false" outlineLevel="0" collapsed="false">
      <c r="B79" s="0" t="n">
        <v>63</v>
      </c>
      <c r="C79" s="0" t="n">
        <f aca="true">RAND()</f>
        <v>0.0898729463969916</v>
      </c>
      <c r="D79" s="0" t="n">
        <f aca="true">RAND()</f>
        <v>0.539094852579524</v>
      </c>
      <c r="E79" s="0" t="n">
        <f aca="false">IF(C79&lt;=$C$10,1,2)</f>
        <v>1</v>
      </c>
      <c r="F79" s="0" t="n">
        <f aca="false">IF(E79=1,$C$4+SQRT(D79*($C$6-$C$4)*($C$5-$C$4)),$C$6-SQRT((1-D79)*($C$6-$C$4)*($C$6-$C$5)))</f>
        <v>9.03835914074035</v>
      </c>
    </row>
    <row r="80" customFormat="false" ht="15" hidden="false" customHeight="false" outlineLevel="0" collapsed="false">
      <c r="B80" s="0" t="n">
        <v>64</v>
      </c>
      <c r="C80" s="0" t="n">
        <f aca="true">RAND()</f>
        <v>0.706421173336605</v>
      </c>
      <c r="D80" s="0" t="n">
        <f aca="true">RAND()</f>
        <v>0.347056503219311</v>
      </c>
      <c r="E80" s="0" t="n">
        <f aca="false">IF(C80&lt;=$C$10,1,2)</f>
        <v>2</v>
      </c>
      <c r="F80" s="0" t="n">
        <f aca="false">IF(E80=1,$C$4+SQRT(D80*($C$6-$C$4)*($C$5-$C$4)),$C$6-SQRT((1-D80)*($C$6-$C$4)*($C$6-$C$5)))</f>
        <v>8.85724587353124</v>
      </c>
    </row>
    <row r="81" customFormat="false" ht="15" hidden="false" customHeight="false" outlineLevel="0" collapsed="false">
      <c r="B81" s="0" t="n">
        <v>65</v>
      </c>
      <c r="C81" s="0" t="n">
        <f aca="true">RAND()</f>
        <v>0.885979794309963</v>
      </c>
      <c r="D81" s="0" t="n">
        <f aca="true">RAND()</f>
        <v>0.734095367447243</v>
      </c>
      <c r="E81" s="0" t="n">
        <f aca="false">IF(C81&lt;=$C$10,1,2)</f>
        <v>2</v>
      </c>
      <c r="F81" s="0" t="n">
        <f aca="false">IF(E81=1,$C$4+SQRT(D81*($C$6-$C$4)*($C$5-$C$4)),$C$6-SQRT((1-D81)*($C$6-$C$4)*($C$6-$C$5)))</f>
        <v>9.27074746136506</v>
      </c>
    </row>
    <row r="82" customFormat="false" ht="15" hidden="false" customHeight="false" outlineLevel="0" collapsed="false">
      <c r="B82" s="0" t="n">
        <v>66</v>
      </c>
      <c r="C82" s="0" t="n">
        <f aca="true">RAND()</f>
        <v>0.89466343769893</v>
      </c>
      <c r="D82" s="0" t="n">
        <f aca="true">RAND()</f>
        <v>0.774755383078127</v>
      </c>
      <c r="E82" s="0" t="n">
        <f aca="false">IF(C82&lt;=$C$10,1,2)</f>
        <v>2</v>
      </c>
      <c r="F82" s="0" t="n">
        <f aca="false">IF(E82=1,$C$4+SQRT(D82*($C$6-$C$4)*($C$5-$C$4)),$C$6-SQRT((1-D82)*($C$6-$C$4)*($C$6-$C$5)))</f>
        <v>9.32881505243059</v>
      </c>
    </row>
    <row r="83" customFormat="false" ht="15" hidden="false" customHeight="false" outlineLevel="0" collapsed="false">
      <c r="B83" s="0" t="n">
        <v>67</v>
      </c>
      <c r="C83" s="0" t="n">
        <f aca="true">RAND()</f>
        <v>0.501619847324662</v>
      </c>
      <c r="D83" s="0" t="n">
        <f aca="true">RAND()</f>
        <v>0.859628503496596</v>
      </c>
      <c r="E83" s="0" t="n">
        <f aca="false">IF(C83&lt;=$C$10,1,2)</f>
        <v>2</v>
      </c>
      <c r="F83" s="0" t="n">
        <f aca="false">IF(E83=1,$C$4+SQRT(D83*($C$6-$C$4)*($C$5-$C$4)),$C$6-SQRT((1-D83)*($C$6-$C$4)*($C$6-$C$5)))</f>
        <v>9.4701481405083</v>
      </c>
    </row>
    <row r="84" customFormat="false" ht="15" hidden="false" customHeight="false" outlineLevel="0" collapsed="false">
      <c r="B84" s="0" t="n">
        <v>68</v>
      </c>
      <c r="C84" s="0" t="n">
        <f aca="true">RAND()</f>
        <v>0.789388681319937</v>
      </c>
      <c r="D84" s="0" t="n">
        <f aca="true">RAND()</f>
        <v>0.825794736825779</v>
      </c>
      <c r="E84" s="0" t="n">
        <f aca="false">IF(C84&lt;=$C$10,1,2)</f>
        <v>2</v>
      </c>
      <c r="F84" s="0" t="n">
        <f aca="false">IF(E84=1,$C$4+SQRT(D84*($C$6-$C$4)*($C$5-$C$4)),$C$6-SQRT((1-D84)*($C$6-$C$4)*($C$6-$C$5)))</f>
        <v>9.40973690073964</v>
      </c>
    </row>
    <row r="85" customFormat="false" ht="15" hidden="false" customHeight="false" outlineLevel="0" collapsed="false">
      <c r="B85" s="0" t="n">
        <v>69</v>
      </c>
      <c r="C85" s="0" t="n">
        <f aca="true">RAND()</f>
        <v>0.491580946187597</v>
      </c>
      <c r="D85" s="0" t="n">
        <f aca="true">RAND()</f>
        <v>0.0601486178057884</v>
      </c>
      <c r="E85" s="0" t="n">
        <f aca="false">IF(C85&lt;=$C$10,1,2)</f>
        <v>1</v>
      </c>
      <c r="F85" s="0" t="n">
        <f aca="false">IF(E85=1,$C$4+SQRT(D85*($C$6-$C$4)*($C$5-$C$4)),$C$6-SQRT((1-D85)*($C$6-$C$4)*($C$6-$C$5)))</f>
        <v>8.34683891882483</v>
      </c>
    </row>
    <row r="86" customFormat="false" ht="15" hidden="false" customHeight="false" outlineLevel="0" collapsed="false">
      <c r="B86" s="0" t="n">
        <v>70</v>
      </c>
      <c r="C86" s="0" t="n">
        <f aca="true">RAND()</f>
        <v>0.22429294698767</v>
      </c>
      <c r="D86" s="0" t="n">
        <f aca="true">RAND()</f>
        <v>0.855037749376448</v>
      </c>
      <c r="E86" s="0" t="n">
        <f aca="false">IF(C86&lt;=$C$10,1,2)</f>
        <v>1</v>
      </c>
      <c r="F86" s="0" t="n">
        <f aca="false">IF(E86=1,$C$4+SQRT(D86*($C$6-$C$4)*($C$5-$C$4)),$C$6-SQRT((1-D86)*($C$6-$C$4)*($C$6-$C$5)))</f>
        <v>9.30769855041324</v>
      </c>
    </row>
    <row r="87" customFormat="false" ht="15" hidden="false" customHeight="false" outlineLevel="0" collapsed="false">
      <c r="B87" s="0" t="n">
        <v>71</v>
      </c>
      <c r="C87" s="0" t="n">
        <f aca="true">RAND()</f>
        <v>0.61845927413591</v>
      </c>
      <c r="D87" s="0" t="n">
        <f aca="true">RAND()</f>
        <v>0.313762139783722</v>
      </c>
      <c r="E87" s="0" t="n">
        <f aca="false">IF(C87&lt;=$C$10,1,2)</f>
        <v>2</v>
      </c>
      <c r="F87" s="0" t="n">
        <f aca="false">IF(E87=1,$C$4+SQRT(D87*($C$6-$C$4)*($C$5-$C$4)),$C$6-SQRT((1-D87)*($C$6-$C$4)*($C$6-$C$5)))</f>
        <v>8.8284729109267</v>
      </c>
    </row>
    <row r="88" customFormat="false" ht="15" hidden="false" customHeight="false" outlineLevel="0" collapsed="false">
      <c r="B88" s="0" t="n">
        <v>72</v>
      </c>
      <c r="C88" s="0" t="n">
        <f aca="true">RAND()</f>
        <v>0.989558002030112</v>
      </c>
      <c r="D88" s="0" t="n">
        <f aca="true">RAND()</f>
        <v>0.375005903504366</v>
      </c>
      <c r="E88" s="0" t="n">
        <f aca="false">IF(C88&lt;=$C$10,1,2)</f>
        <v>2</v>
      </c>
      <c r="F88" s="0" t="n">
        <f aca="false">IF(E88=1,$C$4+SQRT(D88*($C$6-$C$4)*($C$5-$C$4)),$C$6-SQRT((1-D88)*($C$6-$C$4)*($C$6-$C$5)))</f>
        <v>8.8819712915174</v>
      </c>
    </row>
    <row r="89" customFormat="false" ht="15" hidden="false" customHeight="false" outlineLevel="0" collapsed="false">
      <c r="B89" s="0" t="n">
        <v>73</v>
      </c>
      <c r="C89" s="0" t="n">
        <f aca="true">RAND()</f>
        <v>0.361646699518091</v>
      </c>
      <c r="D89" s="0" t="n">
        <f aca="true">RAND()</f>
        <v>0.364240226423588</v>
      </c>
      <c r="E89" s="0" t="n">
        <f aca="false">IF(C89&lt;=$C$10,1,2)</f>
        <v>1</v>
      </c>
      <c r="F89" s="0" t="n">
        <f aca="false">IF(E89=1,$C$4+SQRT(D89*($C$6-$C$4)*($C$5-$C$4)),$C$6-SQRT((1-D89)*($C$6-$C$4)*($C$6-$C$5)))</f>
        <v>8.85351066358141</v>
      </c>
    </row>
    <row r="90" customFormat="false" ht="15" hidden="false" customHeight="false" outlineLevel="0" collapsed="false">
      <c r="B90" s="0" t="n">
        <v>74</v>
      </c>
      <c r="C90" s="0" t="n">
        <f aca="true">RAND()</f>
        <v>0.0260813231983696</v>
      </c>
      <c r="D90" s="0" t="n">
        <f aca="true">RAND()</f>
        <v>0.638000354268571</v>
      </c>
      <c r="E90" s="0" t="n">
        <f aca="false">IF(C90&lt;=$C$10,1,2)</f>
        <v>1</v>
      </c>
      <c r="F90" s="0" t="n">
        <f aca="false">IF(E90=1,$C$4+SQRT(D90*($C$6-$C$4)*($C$5-$C$4)),$C$6-SQRT((1-D90)*($C$6-$C$4)*($C$6-$C$5)))</f>
        <v>9.12960201333795</v>
      </c>
    </row>
    <row r="91" customFormat="false" ht="15" hidden="false" customHeight="false" outlineLevel="0" collapsed="false">
      <c r="B91" s="0" t="n">
        <v>75</v>
      </c>
      <c r="C91" s="0" t="n">
        <f aca="true">RAND()</f>
        <v>0.193136636154731</v>
      </c>
      <c r="D91" s="0" t="n">
        <f aca="true">RAND()</f>
        <v>0.074067249346726</v>
      </c>
      <c r="E91" s="0" t="n">
        <f aca="false">IF(C91&lt;=$C$10,1,2)</f>
        <v>1</v>
      </c>
      <c r="F91" s="0" t="n">
        <f aca="false">IF(E91=1,$C$4+SQRT(D91*($C$6-$C$4)*($C$5-$C$4)),$C$6-SQRT((1-D91)*($C$6-$C$4)*($C$6-$C$5)))</f>
        <v>8.38488244788955</v>
      </c>
    </row>
    <row r="92" customFormat="false" ht="15" hidden="false" customHeight="false" outlineLevel="0" collapsed="false">
      <c r="B92" s="0" t="n">
        <v>76</v>
      </c>
      <c r="C92" s="0" t="n">
        <f aca="true">RAND()</f>
        <v>0.562200107405556</v>
      </c>
      <c r="D92" s="0" t="n">
        <f aca="true">RAND()</f>
        <v>0.986332124263573</v>
      </c>
      <c r="E92" s="0" t="n">
        <f aca="false">IF(C92&lt;=$C$10,1,2)</f>
        <v>2</v>
      </c>
      <c r="F92" s="0" t="n">
        <f aca="false">IF(E92=1,$C$4+SQRT(D92*($C$6-$C$4)*($C$5-$C$4)),$C$6-SQRT((1-D92)*($C$6-$C$4)*($C$6-$C$5)))</f>
        <v>9.83466473010016</v>
      </c>
    </row>
    <row r="93" customFormat="false" ht="15" hidden="false" customHeight="false" outlineLevel="0" collapsed="false">
      <c r="B93" s="0" t="n">
        <v>77</v>
      </c>
      <c r="C93" s="0" t="n">
        <f aca="true">RAND()</f>
        <v>0.375082161952449</v>
      </c>
      <c r="D93" s="0" t="n">
        <f aca="true">RAND()</f>
        <v>0.874901129791514</v>
      </c>
      <c r="E93" s="0" t="n">
        <f aca="false">IF(C93&lt;=$C$10,1,2)</f>
        <v>1</v>
      </c>
      <c r="F93" s="0" t="n">
        <f aca="false">IF(E93=1,$C$4+SQRT(D93*($C$6-$C$4)*($C$5-$C$4)),$C$6-SQRT((1-D93)*($C$6-$C$4)*($C$6-$C$5)))</f>
        <v>9.32280091456841</v>
      </c>
    </row>
    <row r="94" customFormat="false" ht="15" hidden="false" customHeight="false" outlineLevel="0" collapsed="false">
      <c r="B94" s="0" t="n">
        <v>78</v>
      </c>
      <c r="C94" s="0" t="n">
        <f aca="true">RAND()</f>
        <v>0.381916739812447</v>
      </c>
      <c r="D94" s="0" t="n">
        <f aca="true">RAND()</f>
        <v>0.952600821373351</v>
      </c>
      <c r="E94" s="0" t="n">
        <f aca="false">IF(C94&lt;=$C$10,1,2)</f>
        <v>1</v>
      </c>
      <c r="F94" s="0" t="n">
        <f aca="false">IF(E94=1,$C$4+SQRT(D94*($C$6-$C$4)*($C$5-$C$4)),$C$6-SQRT((1-D94)*($C$6-$C$4)*($C$6-$C$5)))</f>
        <v>9.38029041971127</v>
      </c>
    </row>
    <row r="95" customFormat="false" ht="15" hidden="false" customHeight="false" outlineLevel="0" collapsed="false">
      <c r="B95" s="0" t="n">
        <v>79</v>
      </c>
      <c r="C95" s="0" t="n">
        <f aca="true">RAND()</f>
        <v>0.0699846916499947</v>
      </c>
      <c r="D95" s="0" t="n">
        <f aca="true">RAND()</f>
        <v>0.991463105386393</v>
      </c>
      <c r="E95" s="0" t="n">
        <f aca="false">IF(C95&lt;=$C$10,1,2)</f>
        <v>1</v>
      </c>
      <c r="F95" s="0" t="n">
        <f aca="false">IF(E95=1,$C$4+SQRT(D95*($C$6-$C$4)*($C$5-$C$4)),$C$6-SQRT((1-D95)*($C$6-$C$4)*($C$6-$C$5)))</f>
        <v>9.40816412778226</v>
      </c>
    </row>
    <row r="96" customFormat="false" ht="15" hidden="false" customHeight="false" outlineLevel="0" collapsed="false">
      <c r="B96" s="0" t="n">
        <v>80</v>
      </c>
      <c r="C96" s="0" t="n">
        <f aca="true">RAND()</f>
        <v>0.510116661740851</v>
      </c>
      <c r="D96" s="0" t="n">
        <f aca="true">RAND()</f>
        <v>0.204456259076133</v>
      </c>
      <c r="E96" s="0" t="n">
        <f aca="false">IF(C96&lt;=$C$10,1,2)</f>
        <v>2</v>
      </c>
      <c r="F96" s="0" t="n">
        <f aca="false">IF(E96=1,$C$4+SQRT(D96*($C$6-$C$4)*($C$5-$C$4)),$C$6-SQRT((1-D96)*($C$6-$C$4)*($C$6-$C$5)))</f>
        <v>8.73861683781345</v>
      </c>
    </row>
    <row r="97" customFormat="false" ht="15" hidden="false" customHeight="false" outlineLevel="0" collapsed="false">
      <c r="B97" s="0" t="n">
        <v>81</v>
      </c>
      <c r="C97" s="0" t="n">
        <f aca="true">RAND()</f>
        <v>0.473959712608832</v>
      </c>
      <c r="D97" s="0" t="n">
        <f aca="true">RAND()</f>
        <v>0.380043909433194</v>
      </c>
      <c r="E97" s="0" t="n">
        <f aca="false">IF(C97&lt;=$C$10,1,2)</f>
        <v>1</v>
      </c>
      <c r="F97" s="0" t="n">
        <f aca="false">IF(E97=1,$C$4+SQRT(D97*($C$6-$C$4)*($C$5-$C$4)),$C$6-SQRT((1-D97)*($C$6-$C$4)*($C$6-$C$5)))</f>
        <v>8.87183015482741</v>
      </c>
    </row>
    <row r="98" customFormat="false" ht="15" hidden="false" customHeight="false" outlineLevel="0" collapsed="false">
      <c r="B98" s="0" t="n">
        <v>82</v>
      </c>
      <c r="C98" s="0" t="n">
        <f aca="true">RAND()</f>
        <v>0.961760664577457</v>
      </c>
      <c r="D98" s="0" t="n">
        <f aca="true">RAND()</f>
        <v>0.824590724355247</v>
      </c>
      <c r="E98" s="0" t="n">
        <f aca="false">IF(C98&lt;=$C$10,1,2)</f>
        <v>2</v>
      </c>
      <c r="F98" s="0" t="n">
        <f aca="false">IF(E98=1,$C$4+SQRT(D98*($C$6-$C$4)*($C$5-$C$4)),$C$6-SQRT((1-D98)*($C$6-$C$4)*($C$6-$C$5)))</f>
        <v>9.40770062359521</v>
      </c>
    </row>
    <row r="99" customFormat="false" ht="15" hidden="false" customHeight="false" outlineLevel="0" collapsed="false">
      <c r="B99" s="0" t="n">
        <v>83</v>
      </c>
      <c r="C99" s="0" t="n">
        <f aca="true">RAND()</f>
        <v>0.0100219357903126</v>
      </c>
      <c r="D99" s="0" t="n">
        <f aca="true">RAND()</f>
        <v>0.150403667458387</v>
      </c>
      <c r="E99" s="0" t="n">
        <f aca="false">IF(C99&lt;=$C$10,1,2)</f>
        <v>1</v>
      </c>
      <c r="F99" s="0" t="n">
        <f aca="false">IF(E99=1,$C$4+SQRT(D99*($C$6-$C$4)*($C$5-$C$4)),$C$6-SQRT((1-D99)*($C$6-$C$4)*($C$6-$C$5)))</f>
        <v>8.54845905491365</v>
      </c>
    </row>
    <row r="100" customFormat="false" ht="15" hidden="false" customHeight="false" outlineLevel="0" collapsed="false">
      <c r="B100" s="0" t="n">
        <v>84</v>
      </c>
      <c r="C100" s="0" t="n">
        <f aca="true">RAND()</f>
        <v>0.0411511688256387</v>
      </c>
      <c r="D100" s="0" t="n">
        <f aca="true">RAND()</f>
        <v>0.216416026962799</v>
      </c>
      <c r="E100" s="0" t="n">
        <f aca="false">IF(C100&lt;=$C$10,1,2)</f>
        <v>1</v>
      </c>
      <c r="F100" s="0" t="n">
        <f aca="false">IF(E100=1,$C$4+SQRT(D100*($C$6-$C$4)*($C$5-$C$4)),$C$6-SQRT((1-D100)*($C$6-$C$4)*($C$6-$C$5)))</f>
        <v>8.65789972938556</v>
      </c>
    </row>
    <row r="101" customFormat="false" ht="15" hidden="false" customHeight="false" outlineLevel="0" collapsed="false">
      <c r="B101" s="0" t="n">
        <v>85</v>
      </c>
      <c r="C101" s="0" t="n">
        <f aca="true">RAND()</f>
        <v>0.777349106038578</v>
      </c>
      <c r="D101" s="0" t="n">
        <f aca="true">RAND()</f>
        <v>0.0768557791562109</v>
      </c>
      <c r="E101" s="0" t="n">
        <f aca="false">IF(C101&lt;=$C$10,1,2)</f>
        <v>2</v>
      </c>
      <c r="F101" s="0" t="n">
        <f aca="false">IF(E101=1,$C$4+SQRT(D101*($C$6-$C$4)*($C$5-$C$4)),$C$6-SQRT((1-D101)*($C$6-$C$4)*($C$6-$C$5)))</f>
        <v>8.64121803011389</v>
      </c>
    </row>
    <row r="102" customFormat="false" ht="15" hidden="false" customHeight="false" outlineLevel="0" collapsed="false">
      <c r="B102" s="0" t="n">
        <v>86</v>
      </c>
      <c r="C102" s="0" t="n">
        <f aca="true">RAND()</f>
        <v>0.0682506162235953</v>
      </c>
      <c r="D102" s="0" t="n">
        <f aca="true">RAND()</f>
        <v>0.122905138311541</v>
      </c>
      <c r="E102" s="0" t="n">
        <f aca="false">IF(C102&lt;=$C$10,1,2)</f>
        <v>1</v>
      </c>
      <c r="F102" s="0" t="n">
        <f aca="false">IF(E102=1,$C$4+SQRT(D102*($C$6-$C$4)*($C$5-$C$4)),$C$6-SQRT((1-D102)*($C$6-$C$4)*($C$6-$C$5)))</f>
        <v>8.49579257419114</v>
      </c>
    </row>
    <row r="103" customFormat="false" ht="15" hidden="false" customHeight="false" outlineLevel="0" collapsed="false">
      <c r="B103" s="0" t="n">
        <v>87</v>
      </c>
      <c r="C103" s="0" t="n">
        <f aca="true">RAND()</f>
        <v>0.740622718704697</v>
      </c>
      <c r="D103" s="0" t="n">
        <f aca="true">RAND()</f>
        <v>0.704054660720409</v>
      </c>
      <c r="E103" s="0" t="n">
        <f aca="false">IF(C103&lt;=$C$10,1,2)</f>
        <v>2</v>
      </c>
      <c r="F103" s="0" t="n">
        <f aca="false">IF(E103=1,$C$4+SQRT(D103*($C$6-$C$4)*($C$5-$C$4)),$C$6-SQRT((1-D103)*($C$6-$C$4)*($C$6-$C$5)))</f>
        <v>9.2306556827017</v>
      </c>
    </row>
    <row r="104" customFormat="false" ht="15" hidden="false" customHeight="false" outlineLevel="0" collapsed="false">
      <c r="B104" s="0" t="n">
        <v>88</v>
      </c>
      <c r="C104" s="0" t="n">
        <f aca="true">RAND()</f>
        <v>0.940660492410153</v>
      </c>
      <c r="D104" s="0" t="n">
        <f aca="true">RAND()</f>
        <v>0.808765005219754</v>
      </c>
      <c r="E104" s="0" t="n">
        <f aca="false">IF(C104&lt;=$C$10,1,2)</f>
        <v>2</v>
      </c>
      <c r="F104" s="0" t="n">
        <f aca="false">IF(E104=1,$C$4+SQRT(D104*($C$6-$C$4)*($C$5-$C$4)),$C$6-SQRT((1-D104)*($C$6-$C$4)*($C$6-$C$5)))</f>
        <v>9.38155841863561</v>
      </c>
    </row>
    <row r="105" customFormat="false" ht="15" hidden="false" customHeight="false" outlineLevel="0" collapsed="false">
      <c r="B105" s="0" t="n">
        <v>89</v>
      </c>
      <c r="C105" s="0" t="n">
        <f aca="true">RAND()</f>
        <v>0.778303883244863</v>
      </c>
      <c r="D105" s="0" t="n">
        <f aca="true">RAND()</f>
        <v>0.0745059476665855</v>
      </c>
      <c r="E105" s="0" t="n">
        <f aca="false">IF(C105&lt;=$C$10,1,2)</f>
        <v>2</v>
      </c>
      <c r="F105" s="0" t="n">
        <f aca="false">IF(E105=1,$C$4+SQRT(D105*($C$6-$C$4)*($C$5-$C$4)),$C$6-SQRT((1-D105)*($C$6-$C$4)*($C$6-$C$5)))</f>
        <v>8.63948976311575</v>
      </c>
    </row>
    <row r="106" customFormat="false" ht="15" hidden="false" customHeight="false" outlineLevel="0" collapsed="false">
      <c r="B106" s="0" t="n">
        <v>90</v>
      </c>
      <c r="C106" s="0" t="n">
        <f aca="true">RAND()</f>
        <v>0.342807667207918</v>
      </c>
      <c r="D106" s="0" t="n">
        <f aca="true">RAND()</f>
        <v>0.521364172339445</v>
      </c>
      <c r="E106" s="0" t="n">
        <f aca="false">IF(C106&lt;=$C$10,1,2)</f>
        <v>1</v>
      </c>
      <c r="F106" s="0" t="n">
        <f aca="false">IF(E106=1,$C$4+SQRT(D106*($C$6-$C$4)*($C$5-$C$4)),$C$6-SQRT((1-D106)*($C$6-$C$4)*($C$6-$C$5)))</f>
        <v>9.02114070758093</v>
      </c>
    </row>
    <row r="107" customFormat="false" ht="15" hidden="false" customHeight="false" outlineLevel="0" collapsed="false">
      <c r="B107" s="0" t="n">
        <v>91</v>
      </c>
      <c r="C107" s="0" t="n">
        <f aca="true">RAND()</f>
        <v>0.42202065533543</v>
      </c>
      <c r="D107" s="0" t="n">
        <f aca="true">RAND()</f>
        <v>0.467930309447698</v>
      </c>
      <c r="E107" s="0" t="n">
        <f aca="false">IF(C107&lt;=$C$10,1,2)</f>
        <v>1</v>
      </c>
      <c r="F107" s="0" t="n">
        <f aca="false">IF(E107=1,$C$4+SQRT(D107*($C$6-$C$4)*($C$5-$C$4)),$C$6-SQRT((1-D107)*($C$6-$C$4)*($C$6-$C$5)))</f>
        <v>8.96739889337098</v>
      </c>
    </row>
    <row r="108" customFormat="false" ht="15" hidden="false" customHeight="false" outlineLevel="0" collapsed="false">
      <c r="B108" s="0" t="n">
        <v>92</v>
      </c>
      <c r="C108" s="0" t="n">
        <f aca="true">RAND()</f>
        <v>0.759197069379192</v>
      </c>
      <c r="D108" s="0" t="n">
        <f aca="true">RAND()</f>
        <v>0.571173033818045</v>
      </c>
      <c r="E108" s="0" t="n">
        <f aca="false">IF(C108&lt;=$C$10,1,2)</f>
        <v>2</v>
      </c>
      <c r="F108" s="0" t="n">
        <f aca="false">IF(E108=1,$C$4+SQRT(D108*($C$6-$C$4)*($C$5-$C$4)),$C$6-SQRT((1-D108)*($C$6-$C$4)*($C$6-$C$5)))</f>
        <v>9.07390392919314</v>
      </c>
    </row>
    <row r="109" customFormat="false" ht="15" hidden="false" customHeight="false" outlineLevel="0" collapsed="false">
      <c r="B109" s="0" t="n">
        <v>93</v>
      </c>
      <c r="C109" s="0" t="n">
        <f aca="true">RAND()</f>
        <v>0.103316772367734</v>
      </c>
      <c r="D109" s="0" t="n">
        <f aca="true">RAND()</f>
        <v>0.563328146102438</v>
      </c>
      <c r="E109" s="0" t="n">
        <f aca="false">IF(C109&lt;=$C$10,1,2)</f>
        <v>1</v>
      </c>
      <c r="F109" s="0" t="n">
        <f aca="false">IF(E109=1,$C$4+SQRT(D109*($C$6-$C$4)*($C$5-$C$4)),$C$6-SQRT((1-D109)*($C$6-$C$4)*($C$6-$C$5)))</f>
        <v>9.06144066824523</v>
      </c>
    </row>
    <row r="110" customFormat="false" ht="15" hidden="false" customHeight="false" outlineLevel="0" collapsed="false">
      <c r="B110" s="0" t="n">
        <v>94</v>
      </c>
      <c r="C110" s="0" t="n">
        <f aca="true">RAND()</f>
        <v>0.0393797098852797</v>
      </c>
      <c r="D110" s="0" t="n">
        <f aca="true">RAND()</f>
        <v>0.158609621077499</v>
      </c>
      <c r="E110" s="0" t="n">
        <f aca="false">IF(C110&lt;=$C$10,1,2)</f>
        <v>1</v>
      </c>
      <c r="F110" s="0" t="n">
        <f aca="false">IF(E110=1,$C$4+SQRT(D110*($C$6-$C$4)*($C$5-$C$4)),$C$6-SQRT((1-D110)*($C$6-$C$4)*($C$6-$C$5)))</f>
        <v>8.56322219607806</v>
      </c>
    </row>
    <row r="111" customFormat="false" ht="15" hidden="false" customHeight="false" outlineLevel="0" collapsed="false">
      <c r="B111" s="0" t="n">
        <v>95</v>
      </c>
      <c r="C111" s="0" t="n">
        <f aca="true">RAND()</f>
        <v>0.0260739908723443</v>
      </c>
      <c r="D111" s="0" t="n">
        <f aca="true">RAND()</f>
        <v>0.0575391354189829</v>
      </c>
      <c r="E111" s="0" t="n">
        <f aca="false">IF(C111&lt;=$C$10,1,2)</f>
        <v>1</v>
      </c>
      <c r="F111" s="0" t="n">
        <f aca="false">IF(E111=1,$C$4+SQRT(D111*($C$6-$C$4)*($C$5-$C$4)),$C$6-SQRT((1-D111)*($C$6-$C$4)*($C$6-$C$5)))</f>
        <v>8.33923188358108</v>
      </c>
    </row>
    <row r="112" customFormat="false" ht="15" hidden="false" customHeight="false" outlineLevel="0" collapsed="false">
      <c r="B112" s="0" t="n">
        <v>96</v>
      </c>
      <c r="C112" s="0" t="n">
        <f aca="true">RAND()</f>
        <v>0.579698529881172</v>
      </c>
      <c r="D112" s="0" t="n">
        <f aca="true">RAND()</f>
        <v>0.900726990563724</v>
      </c>
      <c r="E112" s="0" t="n">
        <f aca="false">IF(C112&lt;=$C$10,1,2)</f>
        <v>2</v>
      </c>
      <c r="F112" s="0" t="n">
        <f aca="false">IF(E112=1,$C$4+SQRT(D112*($C$6-$C$4)*($C$5-$C$4)),$C$6-SQRT((1-D112)*($C$6-$C$4)*($C$6-$C$5)))</f>
        <v>9.55441497009824</v>
      </c>
    </row>
    <row r="113" customFormat="false" ht="15" hidden="false" customHeight="false" outlineLevel="0" collapsed="false">
      <c r="B113" s="0" t="n">
        <v>97</v>
      </c>
      <c r="C113" s="0" t="n">
        <f aca="true">RAND()</f>
        <v>0.379905692176008</v>
      </c>
      <c r="D113" s="0" t="n">
        <f aca="true">RAND()</f>
        <v>0.412870053540019</v>
      </c>
      <c r="E113" s="0" t="n">
        <f aca="false">IF(C113&lt;=$C$10,1,2)</f>
        <v>1</v>
      </c>
      <c r="F113" s="0" t="n">
        <f aca="false">IF(E113=1,$C$4+SQRT(D113*($C$6-$C$4)*($C$5-$C$4)),$C$6-SQRT((1-D113)*($C$6-$C$4)*($C$6-$C$5)))</f>
        <v>8.90870243043586</v>
      </c>
    </row>
    <row r="114" customFormat="false" ht="15" hidden="false" customHeight="false" outlineLevel="0" collapsed="false">
      <c r="B114" s="0" t="n">
        <v>98</v>
      </c>
      <c r="C114" s="0" t="n">
        <f aca="true">RAND()</f>
        <v>0.505214259883112</v>
      </c>
      <c r="D114" s="0" t="n">
        <f aca="true">RAND()</f>
        <v>0.18168035862623</v>
      </c>
      <c r="E114" s="0" t="n">
        <f aca="false">IF(C114&lt;=$C$10,1,2)</f>
        <v>2</v>
      </c>
      <c r="F114" s="0" t="n">
        <f aca="false">IF(E114=1,$C$4+SQRT(D114*($C$6-$C$4)*($C$5-$C$4)),$C$6-SQRT((1-D114)*($C$6-$C$4)*($C$6-$C$5)))</f>
        <v>8.72068796505796</v>
      </c>
    </row>
    <row r="115" customFormat="false" ht="15" hidden="false" customHeight="false" outlineLevel="0" collapsed="false">
      <c r="B115" s="0" t="n">
        <v>99</v>
      </c>
      <c r="C115" s="0" t="n">
        <f aca="true">RAND()</f>
        <v>0.822755610840783</v>
      </c>
      <c r="D115" s="0" t="n">
        <f aca="true">RAND()</f>
        <v>0.570710346688564</v>
      </c>
      <c r="E115" s="0" t="n">
        <f aca="false">IF(C115&lt;=$C$10,1,2)</f>
        <v>2</v>
      </c>
      <c r="F115" s="0" t="n">
        <f aca="false">IF(E115=1,$C$4+SQRT(D115*($C$6-$C$4)*($C$5-$C$4)),$C$6-SQRT((1-D115)*($C$6-$C$4)*($C$6-$C$5)))</f>
        <v>9.07340445359215</v>
      </c>
    </row>
    <row r="116" customFormat="false" ht="15" hidden="false" customHeight="false" outlineLevel="0" collapsed="false">
      <c r="B116" s="0" t="n">
        <v>100</v>
      </c>
      <c r="C116" s="0" t="n">
        <f aca="true">RAND()</f>
        <v>0.219784528991482</v>
      </c>
      <c r="D116" s="0" t="n">
        <f aca="true">RAND()</f>
        <v>0.659105823754199</v>
      </c>
      <c r="E116" s="0" t="n">
        <f aca="false">IF(C116&lt;=$C$10,1,2)</f>
        <v>1</v>
      </c>
      <c r="F116" s="0" t="n">
        <f aca="false">IF(E116=1,$C$4+SQRT(D116*($C$6-$C$4)*($C$5-$C$4)),$C$6-SQRT((1-D116)*($C$6-$C$4)*($C$6-$C$5)))</f>
        <v>9.14813398499844</v>
      </c>
    </row>
    <row r="117" customFormat="false" ht="15" hidden="false" customHeight="false" outlineLevel="0" collapsed="false">
      <c r="B117" s="0" t="n">
        <v>101</v>
      </c>
      <c r="C117" s="0" t="n">
        <f aca="true">RAND()</f>
        <v>0.461980210041318</v>
      </c>
      <c r="D117" s="0" t="n">
        <f aca="true">RAND()</f>
        <v>0.748075315836066</v>
      </c>
      <c r="E117" s="0" t="n">
        <f aca="false">IF(C117&lt;=$C$10,1,2)</f>
        <v>1</v>
      </c>
      <c r="F117" s="0" t="n">
        <f aca="false">IF(E117=1,$C$4+SQRT(D117*($C$6-$C$4)*($C$5-$C$4)),$C$6-SQRT((1-D117)*($C$6-$C$4)*($C$6-$C$5)))</f>
        <v>9.22317236384417</v>
      </c>
    </row>
    <row r="118" customFormat="false" ht="15" hidden="false" customHeight="false" outlineLevel="0" collapsed="false">
      <c r="B118" s="0" t="n">
        <v>102</v>
      </c>
      <c r="C118" s="0" t="n">
        <f aca="true">RAND()</f>
        <v>0.203817260324536</v>
      </c>
      <c r="D118" s="0" t="n">
        <f aca="true">RAND()</f>
        <v>0.191908988801273</v>
      </c>
      <c r="E118" s="0" t="n">
        <f aca="false">IF(C118&lt;=$C$10,1,2)</f>
        <v>1</v>
      </c>
      <c r="F118" s="0" t="n">
        <f aca="false">IF(E118=1,$C$4+SQRT(D118*($C$6-$C$4)*($C$5-$C$4)),$C$6-SQRT((1-D118)*($C$6-$C$4)*($C$6-$C$5)))</f>
        <v>8.6195304492941</v>
      </c>
    </row>
    <row r="119" customFormat="false" ht="15" hidden="false" customHeight="false" outlineLevel="0" collapsed="false">
      <c r="B119" s="0" t="n">
        <v>103</v>
      </c>
      <c r="C119" s="0" t="n">
        <f aca="true">RAND()</f>
        <v>0.232964199431717</v>
      </c>
      <c r="D119" s="0" t="n">
        <f aca="true">RAND()</f>
        <v>0.0880610840299814</v>
      </c>
      <c r="E119" s="0" t="n">
        <f aca="false">IF(C119&lt;=$C$10,1,2)</f>
        <v>1</v>
      </c>
      <c r="F119" s="0" t="n">
        <f aca="false">IF(E119=1,$C$4+SQRT(D119*($C$6-$C$4)*($C$5-$C$4)),$C$6-SQRT((1-D119)*($C$6-$C$4)*($C$6-$C$5)))</f>
        <v>8.41966911735314</v>
      </c>
    </row>
    <row r="120" customFormat="false" ht="15" hidden="false" customHeight="false" outlineLevel="0" collapsed="false">
      <c r="B120" s="0" t="n">
        <v>104</v>
      </c>
      <c r="C120" s="0" t="n">
        <f aca="true">RAND()</f>
        <v>0.882742476287391</v>
      </c>
      <c r="D120" s="0" t="n">
        <f aca="true">RAND()</f>
        <v>0.864872645771699</v>
      </c>
      <c r="E120" s="0" t="n">
        <f aca="false">IF(C120&lt;=$C$10,1,2)</f>
        <v>2</v>
      </c>
      <c r="F120" s="0" t="n">
        <f aca="false">IF(E120=1,$C$4+SQRT(D120*($C$6-$C$4)*($C$5-$C$4)),$C$6-SQRT((1-D120)*($C$6-$C$4)*($C$6-$C$5)))</f>
        <v>9.48013972217854</v>
      </c>
    </row>
    <row r="121" customFormat="false" ht="15" hidden="false" customHeight="false" outlineLevel="0" collapsed="false">
      <c r="B121" s="0" t="n">
        <v>105</v>
      </c>
      <c r="C121" s="0" t="n">
        <f aca="true">RAND()</f>
        <v>0.0730021366287088</v>
      </c>
      <c r="D121" s="0" t="n">
        <f aca="true">RAND()</f>
        <v>0.68958840833765</v>
      </c>
      <c r="E121" s="0" t="n">
        <f aca="false">IF(C121&lt;=$C$10,1,2)</f>
        <v>1</v>
      </c>
      <c r="F121" s="0" t="n">
        <f aca="false">IF(E121=1,$C$4+SQRT(D121*($C$6-$C$4)*($C$5-$C$4)),$C$6-SQRT((1-D121)*($C$6-$C$4)*($C$6-$C$5)))</f>
        <v>9.17438359009112</v>
      </c>
    </row>
    <row r="122" customFormat="false" ht="15" hidden="false" customHeight="false" outlineLevel="0" collapsed="false">
      <c r="B122" s="0" t="n">
        <v>106</v>
      </c>
      <c r="C122" s="0" t="n">
        <f aca="true">RAND()</f>
        <v>0.841907817616651</v>
      </c>
      <c r="D122" s="0" t="n">
        <f aca="true">RAND()</f>
        <v>0.570556586391638</v>
      </c>
      <c r="E122" s="0" t="n">
        <f aca="false">IF(C122&lt;=$C$10,1,2)</f>
        <v>2</v>
      </c>
      <c r="F122" s="0" t="n">
        <f aca="false">IF(E122=1,$C$4+SQRT(D122*($C$6-$C$4)*($C$5-$C$4)),$C$6-SQRT((1-D122)*($C$6-$C$4)*($C$6-$C$5)))</f>
        <v>9.07323852733472</v>
      </c>
    </row>
    <row r="123" customFormat="false" ht="15" hidden="false" customHeight="false" outlineLevel="0" collapsed="false">
      <c r="B123" s="0" t="n">
        <v>107</v>
      </c>
      <c r="C123" s="0" t="n">
        <f aca="true">RAND()</f>
        <v>0.842717372754906</v>
      </c>
      <c r="D123" s="0" t="n">
        <f aca="true">RAND()</f>
        <v>0.167278811896597</v>
      </c>
      <c r="E123" s="0" t="n">
        <f aca="false">IF(C123&lt;=$C$10,1,2)</f>
        <v>2</v>
      </c>
      <c r="F123" s="0" t="n">
        <f aca="false">IF(E123=1,$C$4+SQRT(D123*($C$6-$C$4)*($C$5-$C$4)),$C$6-SQRT((1-D123)*($C$6-$C$4)*($C$6-$C$5)))</f>
        <v>8.70947980402986</v>
      </c>
    </row>
    <row r="124" customFormat="false" ht="15" hidden="false" customHeight="false" outlineLevel="0" collapsed="false">
      <c r="B124" s="0" t="n">
        <v>108</v>
      </c>
      <c r="C124" s="0" t="n">
        <f aca="true">RAND()</f>
        <v>0.150601980208797</v>
      </c>
      <c r="D124" s="0" t="n">
        <f aca="true">RAND()</f>
        <v>0.65195554941712</v>
      </c>
      <c r="E124" s="0" t="n">
        <f aca="false">IF(C124&lt;=$C$10,1,2)</f>
        <v>1</v>
      </c>
      <c r="F124" s="0" t="n">
        <f aca="false">IF(E124=1,$C$4+SQRT(D124*($C$6-$C$4)*($C$5-$C$4)),$C$6-SQRT((1-D124)*($C$6-$C$4)*($C$6-$C$5)))</f>
        <v>9.14188926732597</v>
      </c>
    </row>
    <row r="125" customFormat="false" ht="15" hidden="false" customHeight="false" outlineLevel="0" collapsed="false">
      <c r="B125" s="0" t="n">
        <v>109</v>
      </c>
      <c r="C125" s="0" t="n">
        <f aca="true">RAND()</f>
        <v>0.0714008151361549</v>
      </c>
      <c r="D125" s="0" t="n">
        <f aca="true">RAND()</f>
        <v>0.219505475338907</v>
      </c>
      <c r="E125" s="0" t="n">
        <f aca="false">IF(C125&lt;=$C$10,1,2)</f>
        <v>1</v>
      </c>
      <c r="F125" s="0" t="n">
        <f aca="false">IF(E125=1,$C$4+SQRT(D125*($C$6-$C$4)*($C$5-$C$4)),$C$6-SQRT((1-D125)*($C$6-$C$4)*($C$6-$C$5)))</f>
        <v>8.66257901466755</v>
      </c>
    </row>
    <row r="126" customFormat="false" ht="15" hidden="false" customHeight="false" outlineLevel="0" collapsed="false">
      <c r="B126" s="0" t="n">
        <v>110</v>
      </c>
      <c r="C126" s="0" t="n">
        <f aca="true">RAND()</f>
        <v>0.79199296252247</v>
      </c>
      <c r="D126" s="0" t="n">
        <f aca="true">RAND()</f>
        <v>0.177505021351547</v>
      </c>
      <c r="E126" s="0" t="n">
        <f aca="false">IF(C126&lt;=$C$10,1,2)</f>
        <v>2</v>
      </c>
      <c r="F126" s="0" t="n">
        <f aca="false">IF(E126=1,$C$4+SQRT(D126*($C$6-$C$4)*($C$5-$C$4)),$C$6-SQRT((1-D126)*($C$6-$C$4)*($C$6-$C$5)))</f>
        <v>8.71742838122119</v>
      </c>
    </row>
    <row r="127" customFormat="false" ht="15" hidden="false" customHeight="false" outlineLevel="0" collapsed="false">
      <c r="B127" s="0" t="n">
        <v>111</v>
      </c>
      <c r="C127" s="0" t="n">
        <f aca="true">RAND()</f>
        <v>0.23923443182588</v>
      </c>
      <c r="D127" s="0" t="n">
        <f aca="true">RAND()</f>
        <v>0.673962443532643</v>
      </c>
      <c r="E127" s="0" t="n">
        <f aca="false">IF(C127&lt;=$C$10,1,2)</f>
        <v>1</v>
      </c>
      <c r="F127" s="0" t="n">
        <f aca="false">IF(E127=1,$C$4+SQRT(D127*($C$6-$C$4)*($C$5-$C$4)),$C$6-SQRT((1-D127)*($C$6-$C$4)*($C$6-$C$5)))</f>
        <v>9.16100167401485</v>
      </c>
    </row>
    <row r="128" customFormat="false" ht="15" hidden="false" customHeight="false" outlineLevel="0" collapsed="false">
      <c r="B128" s="0" t="n">
        <v>112</v>
      </c>
      <c r="C128" s="0" t="n">
        <f aca="true">RAND()</f>
        <v>0.144235321457236</v>
      </c>
      <c r="D128" s="0" t="n">
        <f aca="true">RAND()</f>
        <v>0.517148366081161</v>
      </c>
      <c r="E128" s="0" t="n">
        <f aca="false">IF(C128&lt;=$C$10,1,2)</f>
        <v>1</v>
      </c>
      <c r="F128" s="0" t="n">
        <f aca="false">IF(E128=1,$C$4+SQRT(D128*($C$6-$C$4)*($C$5-$C$4)),$C$6-SQRT((1-D128)*($C$6-$C$4)*($C$6-$C$5)))</f>
        <v>9.0170038014493</v>
      </c>
    </row>
    <row r="129" customFormat="false" ht="15" hidden="false" customHeight="false" outlineLevel="0" collapsed="false">
      <c r="B129" s="0" t="n">
        <v>113</v>
      </c>
      <c r="C129" s="0" t="n">
        <f aca="true">RAND()</f>
        <v>0.456768825561532</v>
      </c>
      <c r="D129" s="0" t="n">
        <f aca="true">RAND()</f>
        <v>0.541805896850563</v>
      </c>
      <c r="E129" s="0" t="n">
        <f aca="false">IF(C129&lt;=$C$10,1,2)</f>
        <v>1</v>
      </c>
      <c r="F129" s="0" t="n">
        <f aca="false">IF(E129=1,$C$4+SQRT(D129*($C$6-$C$4)*($C$5-$C$4)),$C$6-SQRT((1-D129)*($C$6-$C$4)*($C$6-$C$5)))</f>
        <v>9.04096675917203</v>
      </c>
    </row>
    <row r="130" customFormat="false" ht="15" hidden="false" customHeight="false" outlineLevel="0" collapsed="false">
      <c r="B130" s="0" t="n">
        <v>114</v>
      </c>
      <c r="C130" s="0" t="n">
        <f aca="true">RAND()</f>
        <v>0.71967235904488</v>
      </c>
      <c r="D130" s="0" t="n">
        <f aca="true">RAND()</f>
        <v>0.896418423933577</v>
      </c>
      <c r="E130" s="0" t="n">
        <f aca="false">IF(C130&lt;=$C$10,1,2)</f>
        <v>2</v>
      </c>
      <c r="F130" s="0" t="n">
        <f aca="false">IF(E130=1,$C$4+SQRT(D130*($C$6-$C$4)*($C$5-$C$4)),$C$6-SQRT((1-D130)*($C$6-$C$4)*($C$6-$C$5)))</f>
        <v>9.54484820978838</v>
      </c>
    </row>
    <row r="131" customFormat="false" ht="15" hidden="false" customHeight="false" outlineLevel="0" collapsed="false">
      <c r="B131" s="0" t="n">
        <v>115</v>
      </c>
      <c r="C131" s="0" t="n">
        <f aca="true">RAND()</f>
        <v>0.428091513190199</v>
      </c>
      <c r="D131" s="0" t="n">
        <f aca="true">RAND()</f>
        <v>0.525588356541466</v>
      </c>
      <c r="E131" s="0" t="n">
        <f aca="false">IF(C131&lt;=$C$10,1,2)</f>
        <v>1</v>
      </c>
      <c r="F131" s="0" t="n">
        <f aca="false">IF(E131=1,$C$4+SQRT(D131*($C$6-$C$4)*($C$5-$C$4)),$C$6-SQRT((1-D131)*($C$6-$C$4)*($C$6-$C$5)))</f>
        <v>9.02526909301067</v>
      </c>
    </row>
    <row r="132" customFormat="false" ht="15" hidden="false" customHeight="false" outlineLevel="0" collapsed="false">
      <c r="B132" s="0" t="n">
        <v>116</v>
      </c>
      <c r="C132" s="0" t="n">
        <f aca="true">RAND()</f>
        <v>0.414830766977267</v>
      </c>
      <c r="D132" s="0" t="n">
        <f aca="true">RAND()</f>
        <v>0.572098505422012</v>
      </c>
      <c r="E132" s="0" t="n">
        <f aca="false">IF(C132&lt;=$C$10,1,2)</f>
        <v>1</v>
      </c>
      <c r="F132" s="0" t="n">
        <f aca="false">IF(E132=1,$C$4+SQRT(D132*($C$6-$C$4)*($C$5-$C$4)),$C$6-SQRT((1-D132)*($C$6-$C$4)*($C$6-$C$5)))</f>
        <v>9.06967144995275</v>
      </c>
    </row>
    <row r="133" customFormat="false" ht="15" hidden="false" customHeight="false" outlineLevel="0" collapsed="false">
      <c r="B133" s="0" t="n">
        <v>117</v>
      </c>
      <c r="C133" s="0" t="n">
        <f aca="true">RAND()</f>
        <v>0.982002990971982</v>
      </c>
      <c r="D133" s="0" t="n">
        <f aca="true">RAND()</f>
        <v>0.281197748815883</v>
      </c>
      <c r="E133" s="0" t="n">
        <f aca="false">IF(C133&lt;=$C$10,1,2)</f>
        <v>2</v>
      </c>
      <c r="F133" s="0" t="n">
        <f aca="false">IF(E133=1,$C$4+SQRT(D133*($C$6-$C$4)*($C$5-$C$4)),$C$6-SQRT((1-D133)*($C$6-$C$4)*($C$6-$C$5)))</f>
        <v>8.80099853946368</v>
      </c>
    </row>
    <row r="134" customFormat="false" ht="15" hidden="false" customHeight="false" outlineLevel="0" collapsed="false">
      <c r="B134" s="0" t="n">
        <v>118</v>
      </c>
      <c r="C134" s="0" t="n">
        <f aca="true">RAND()</f>
        <v>0.598606872433277</v>
      </c>
      <c r="D134" s="0" t="n">
        <f aca="true">RAND()</f>
        <v>0.334692682450342</v>
      </c>
      <c r="E134" s="0" t="n">
        <f aca="false">IF(C134&lt;=$C$10,1,2)</f>
        <v>2</v>
      </c>
      <c r="F134" s="0" t="n">
        <f aca="false">IF(E134=1,$C$4+SQRT(D134*($C$6-$C$4)*($C$5-$C$4)),$C$6-SQRT((1-D134)*($C$6-$C$4)*($C$6-$C$5)))</f>
        <v>8.84647729320168</v>
      </c>
    </row>
    <row r="135" customFormat="false" ht="15" hidden="false" customHeight="false" outlineLevel="0" collapsed="false">
      <c r="B135" s="0" t="n">
        <v>119</v>
      </c>
      <c r="C135" s="0" t="n">
        <f aca="true">RAND()</f>
        <v>0.700583411595659</v>
      </c>
      <c r="D135" s="0" t="n">
        <f aca="true">RAND()</f>
        <v>0.0965648893294596</v>
      </c>
      <c r="E135" s="0" t="n">
        <f aca="false">IF(C135&lt;=$C$10,1,2)</f>
        <v>2</v>
      </c>
      <c r="F135" s="0" t="n">
        <f aca="false">IF(E135=1,$C$4+SQRT(D135*($C$6-$C$4)*($C$5-$C$4)),$C$6-SQRT((1-D135)*($C$6-$C$4)*($C$6-$C$5)))</f>
        <v>8.65580127163389</v>
      </c>
    </row>
    <row r="136" customFormat="false" ht="15" hidden="false" customHeight="false" outlineLevel="0" collapsed="false">
      <c r="B136" s="0" t="n">
        <v>120</v>
      </c>
      <c r="C136" s="0" t="n">
        <f aca="true">RAND()</f>
        <v>0.898107111775058</v>
      </c>
      <c r="D136" s="0" t="n">
        <f aca="true">RAND()</f>
        <v>0.564876679484947</v>
      </c>
      <c r="E136" s="0" t="n">
        <f aca="false">IF(C136&lt;=$C$10,1,2)</f>
        <v>2</v>
      </c>
      <c r="F136" s="0" t="n">
        <f aca="false">IF(E136=1,$C$4+SQRT(D136*($C$6-$C$4)*($C$5-$C$4)),$C$6-SQRT((1-D136)*($C$6-$C$4)*($C$6-$C$5)))</f>
        <v>9.06712989059028</v>
      </c>
    </row>
    <row r="137" customFormat="false" ht="15" hidden="false" customHeight="false" outlineLevel="0" collapsed="false">
      <c r="B137" s="0" t="n">
        <v>121</v>
      </c>
      <c r="C137" s="0" t="n">
        <f aca="true">RAND()</f>
        <v>0.848113080863506</v>
      </c>
      <c r="D137" s="0" t="n">
        <f aca="true">RAND()</f>
        <v>0.124974861866278</v>
      </c>
      <c r="E137" s="0" t="n">
        <f aca="false">IF(C137&lt;=$C$10,1,2)</f>
        <v>2</v>
      </c>
      <c r="F137" s="0" t="n">
        <f aca="false">IF(E137=1,$C$4+SQRT(D137*($C$6-$C$4)*($C$5-$C$4)),$C$6-SQRT((1-D137)*($C$6-$C$4)*($C$6-$C$5)))</f>
        <v>8.67710534196126</v>
      </c>
    </row>
    <row r="138" customFormat="false" ht="15" hidden="false" customHeight="false" outlineLevel="0" collapsed="false">
      <c r="B138" s="0" t="n">
        <v>122</v>
      </c>
      <c r="C138" s="0" t="n">
        <f aca="true">RAND()</f>
        <v>0.0643735345847688</v>
      </c>
      <c r="D138" s="0" t="n">
        <f aca="true">RAND()</f>
        <v>0.862461697795758</v>
      </c>
      <c r="E138" s="0" t="n">
        <f aca="false">IF(C138&lt;=$C$10,1,2)</f>
        <v>1</v>
      </c>
      <c r="F138" s="0" t="n">
        <f aca="false">IF(E138=1,$C$4+SQRT(D138*($C$6-$C$4)*($C$5-$C$4)),$C$6-SQRT((1-D138)*($C$6-$C$4)*($C$6-$C$5)))</f>
        <v>9.31336339053269</v>
      </c>
    </row>
    <row r="139" customFormat="false" ht="15" hidden="false" customHeight="false" outlineLevel="0" collapsed="false">
      <c r="B139" s="0" t="n">
        <v>123</v>
      </c>
      <c r="C139" s="0" t="n">
        <f aca="true">RAND()</f>
        <v>0.605134345805419</v>
      </c>
      <c r="D139" s="0" t="n">
        <f aca="true">RAND()</f>
        <v>0.511523339742666</v>
      </c>
      <c r="E139" s="0" t="n">
        <f aca="false">IF(C139&lt;=$C$10,1,2)</f>
        <v>2</v>
      </c>
      <c r="F139" s="0" t="n">
        <f aca="false">IF(E139=1,$C$4+SQRT(D139*($C$6-$C$4)*($C$5-$C$4)),$C$6-SQRT((1-D139)*($C$6-$C$4)*($C$6-$C$5)))</f>
        <v>9.01159050970022</v>
      </c>
    </row>
    <row r="140" customFormat="false" ht="15" hidden="false" customHeight="false" outlineLevel="0" collapsed="false">
      <c r="B140" s="0" t="n">
        <v>124</v>
      </c>
      <c r="C140" s="0" t="n">
        <f aca="true">RAND()</f>
        <v>0.532080686393571</v>
      </c>
      <c r="D140" s="0" t="n">
        <f aca="true">RAND()</f>
        <v>0.272593678382287</v>
      </c>
      <c r="E140" s="0" t="n">
        <f aca="false">IF(C140&lt;=$C$10,1,2)</f>
        <v>2</v>
      </c>
      <c r="F140" s="0" t="n">
        <f aca="false">IF(E140=1,$C$4+SQRT(D140*($C$6-$C$4)*($C$5-$C$4)),$C$6-SQRT((1-D140)*($C$6-$C$4)*($C$6-$C$5)))</f>
        <v>8.79384385619629</v>
      </c>
    </row>
    <row r="141" customFormat="false" ht="15" hidden="false" customHeight="false" outlineLevel="0" collapsed="false">
      <c r="B141" s="0" t="n">
        <v>125</v>
      </c>
      <c r="C141" s="0" t="n">
        <f aca="true">RAND()</f>
        <v>0.466381203467998</v>
      </c>
      <c r="D141" s="0" t="n">
        <f aca="true">RAND()</f>
        <v>0.387664470545759</v>
      </c>
      <c r="E141" s="0" t="n">
        <f aca="false">IF(C141&lt;=$C$10,1,2)</f>
        <v>1</v>
      </c>
      <c r="F141" s="0" t="n">
        <f aca="false">IF(E141=1,$C$4+SQRT(D141*($C$6-$C$4)*($C$5-$C$4)),$C$6-SQRT((1-D141)*($C$6-$C$4)*($C$6-$C$5)))</f>
        <v>8.88052764924874</v>
      </c>
    </row>
    <row r="142" customFormat="false" ht="15" hidden="false" customHeight="false" outlineLevel="0" collapsed="false">
      <c r="B142" s="0" t="n">
        <v>126</v>
      </c>
      <c r="C142" s="0" t="n">
        <f aca="true">RAND()</f>
        <v>0.383504581559133</v>
      </c>
      <c r="D142" s="0" t="n">
        <f aca="true">RAND()</f>
        <v>0.739506786454006</v>
      </c>
      <c r="E142" s="0" t="n">
        <f aca="false">IF(C142&lt;=$C$10,1,2)</f>
        <v>1</v>
      </c>
      <c r="F142" s="0" t="n">
        <f aca="false">IF(E142=1,$C$4+SQRT(D142*($C$6-$C$4)*($C$5-$C$4)),$C$6-SQRT((1-D142)*($C$6-$C$4)*($C$6-$C$5)))</f>
        <v>9.21614701944626</v>
      </c>
    </row>
    <row r="143" customFormat="false" ht="15" hidden="false" customHeight="false" outlineLevel="0" collapsed="false">
      <c r="B143" s="0" t="n">
        <v>127</v>
      </c>
      <c r="C143" s="0" t="n">
        <f aca="true">RAND()</f>
        <v>0.0666200744609642</v>
      </c>
      <c r="D143" s="0" t="n">
        <f aca="true">RAND()</f>
        <v>0.767682061480547</v>
      </c>
      <c r="E143" s="0" t="n">
        <f aca="false">IF(C143&lt;=$C$10,1,2)</f>
        <v>1</v>
      </c>
      <c r="F143" s="0" t="n">
        <f aca="false">IF(E143=1,$C$4+SQRT(D143*($C$6-$C$4)*($C$5-$C$4)),$C$6-SQRT((1-D143)*($C$6-$C$4)*($C$6-$C$5)))</f>
        <v>9.23909810869079</v>
      </c>
    </row>
    <row r="144" customFormat="false" ht="15" hidden="false" customHeight="false" outlineLevel="0" collapsed="false">
      <c r="B144" s="0" t="n">
        <v>128</v>
      </c>
      <c r="C144" s="0" t="n">
        <f aca="true">RAND()</f>
        <v>0.00059594343731846</v>
      </c>
      <c r="D144" s="0" t="n">
        <f aca="true">RAND()</f>
        <v>0.255958362437201</v>
      </c>
      <c r="E144" s="0" t="n">
        <f aca="false">IF(C144&lt;=$C$10,1,2)</f>
        <v>1</v>
      </c>
      <c r="F144" s="0" t="n">
        <f aca="false">IF(E144=1,$C$4+SQRT(D144*($C$6-$C$4)*($C$5-$C$4)),$C$6-SQRT((1-D144)*($C$6-$C$4)*($C$6-$C$5)))</f>
        <v>8.7154835601706</v>
      </c>
    </row>
    <row r="145" customFormat="false" ht="15" hidden="false" customHeight="false" outlineLevel="0" collapsed="false">
      <c r="B145" s="0" t="n">
        <v>129</v>
      </c>
      <c r="C145" s="0" t="n">
        <f aca="true">RAND()</f>
        <v>0.499107158645537</v>
      </c>
      <c r="D145" s="0" t="n">
        <f aca="true">RAND()</f>
        <v>0.612961705110449</v>
      </c>
      <c r="E145" s="0" t="n">
        <f aca="false">IF(C145&lt;=$C$10,1,2)</f>
        <v>1</v>
      </c>
      <c r="F145" s="0" t="n">
        <f aca="false">IF(E145=1,$C$4+SQRT(D145*($C$6-$C$4)*($C$5-$C$4)),$C$6-SQRT((1-D145)*($C$6-$C$4)*($C$6-$C$5)))</f>
        <v>9.10721425669149</v>
      </c>
    </row>
    <row r="146" customFormat="false" ht="15" hidden="false" customHeight="false" outlineLevel="0" collapsed="false">
      <c r="B146" s="0" t="n">
        <v>130</v>
      </c>
      <c r="C146" s="0" t="n">
        <f aca="true">RAND()</f>
        <v>0.69194728143242</v>
      </c>
      <c r="D146" s="0" t="n">
        <f aca="true">RAND()</f>
        <v>0.792295373220238</v>
      </c>
      <c r="E146" s="0" t="n">
        <f aca="false">IF(C146&lt;=$C$10,1,2)</f>
        <v>2</v>
      </c>
      <c r="F146" s="0" t="n">
        <f aca="false">IF(E146=1,$C$4+SQRT(D146*($C$6-$C$4)*($C$5-$C$4)),$C$6-SQRT((1-D146)*($C$6-$C$4)*($C$6-$C$5)))</f>
        <v>9.35547749957079</v>
      </c>
    </row>
    <row r="147" customFormat="false" ht="15" hidden="false" customHeight="false" outlineLevel="0" collapsed="false">
      <c r="B147" s="0" t="n">
        <v>131</v>
      </c>
      <c r="C147" s="0" t="n">
        <f aca="true">RAND()</f>
        <v>0.942312911844512</v>
      </c>
      <c r="D147" s="0" t="n">
        <f aca="true">RAND()</f>
        <v>0.26515198344276</v>
      </c>
      <c r="E147" s="0" t="n">
        <f aca="false">IF(C147&lt;=$C$10,1,2)</f>
        <v>2</v>
      </c>
      <c r="F147" s="0" t="n">
        <f aca="false">IF(E147=1,$C$4+SQRT(D147*($C$6-$C$4)*($C$5-$C$4)),$C$6-SQRT((1-D147)*($C$6-$C$4)*($C$6-$C$5)))</f>
        <v>8.78768979501347</v>
      </c>
    </row>
    <row r="148" customFormat="false" ht="15" hidden="false" customHeight="false" outlineLevel="0" collapsed="false">
      <c r="B148" s="0" t="n">
        <v>132</v>
      </c>
      <c r="C148" s="0" t="n">
        <f aca="true">RAND()</f>
        <v>0.873299675952172</v>
      </c>
      <c r="D148" s="0" t="n">
        <f aca="true">RAND()</f>
        <v>0.115933062852531</v>
      </c>
      <c r="E148" s="0" t="n">
        <f aca="false">IF(C148&lt;=$C$10,1,2)</f>
        <v>2</v>
      </c>
      <c r="F148" s="0" t="n">
        <f aca="false">IF(E148=1,$C$4+SQRT(D148*($C$6-$C$4)*($C$5-$C$4)),$C$6-SQRT((1-D148)*($C$6-$C$4)*($C$6-$C$5)))</f>
        <v>8.67028804837478</v>
      </c>
    </row>
    <row r="149" customFormat="false" ht="15" hidden="false" customHeight="false" outlineLevel="0" collapsed="false">
      <c r="B149" s="0" t="n">
        <v>133</v>
      </c>
      <c r="C149" s="0" t="n">
        <f aca="true">RAND()</f>
        <v>0.0944109981382946</v>
      </c>
      <c r="D149" s="0" t="n">
        <f aca="true">RAND()</f>
        <v>0.333715319198214</v>
      </c>
      <c r="E149" s="0" t="n">
        <f aca="false">IF(C149&lt;=$C$10,1,2)</f>
        <v>1</v>
      </c>
      <c r="F149" s="0" t="n">
        <f aca="false">IF(E149=1,$C$4+SQRT(D149*($C$6-$C$4)*($C$5-$C$4)),$C$6-SQRT((1-D149)*($C$6-$C$4)*($C$6-$C$5)))</f>
        <v>8.81696428220359</v>
      </c>
    </row>
    <row r="150" customFormat="false" ht="15" hidden="false" customHeight="false" outlineLevel="0" collapsed="false">
      <c r="B150" s="0" t="n">
        <v>134</v>
      </c>
      <c r="C150" s="0" t="n">
        <f aca="true">RAND()</f>
        <v>0.991852693082328</v>
      </c>
      <c r="D150" s="0" t="n">
        <f aca="true">RAND()</f>
        <v>0.733991284945191</v>
      </c>
      <c r="E150" s="0" t="n">
        <f aca="false">IF(C150&lt;=$C$10,1,2)</f>
        <v>2</v>
      </c>
      <c r="F150" s="0" t="n">
        <f aca="false">IF(E150=1,$C$4+SQRT(D150*($C$6-$C$4)*($C$5-$C$4)),$C$6-SQRT((1-D150)*($C$6-$C$4)*($C$6-$C$5)))</f>
        <v>9.27060475042017</v>
      </c>
    </row>
    <row r="151" customFormat="false" ht="15" hidden="false" customHeight="false" outlineLevel="0" collapsed="false">
      <c r="B151" s="0" t="n">
        <v>135</v>
      </c>
      <c r="C151" s="0" t="n">
        <f aca="true">RAND()</f>
        <v>0.235970574173329</v>
      </c>
      <c r="D151" s="0" t="n">
        <f aca="true">RAND()</f>
        <v>0.817666460066351</v>
      </c>
      <c r="E151" s="0" t="n">
        <f aca="false">IF(C151&lt;=$C$10,1,2)</f>
        <v>1</v>
      </c>
      <c r="F151" s="0" t="n">
        <f aca="false">IF(E151=1,$C$4+SQRT(D151*($C$6-$C$4)*($C$5-$C$4)),$C$6-SQRT((1-D151)*($C$6-$C$4)*($C$6-$C$5)))</f>
        <v>9.27880136070177</v>
      </c>
    </row>
    <row r="152" customFormat="false" ht="15" hidden="false" customHeight="false" outlineLevel="0" collapsed="false">
      <c r="B152" s="0" t="n">
        <v>136</v>
      </c>
      <c r="C152" s="0" t="n">
        <f aca="true">RAND()</f>
        <v>0.298014196449022</v>
      </c>
      <c r="D152" s="0" t="n">
        <f aca="true">RAND()</f>
        <v>0.324406578097246</v>
      </c>
      <c r="E152" s="0" t="n">
        <f aca="false">IF(C152&lt;=$C$10,1,2)</f>
        <v>1</v>
      </c>
      <c r="F152" s="0" t="n">
        <f aca="false">IF(E152=1,$C$4+SQRT(D152*($C$6-$C$4)*($C$5-$C$4)),$C$6-SQRT((1-D152)*($C$6-$C$4)*($C$6-$C$5)))</f>
        <v>8.8054893892501</v>
      </c>
    </row>
    <row r="153" customFormat="false" ht="15" hidden="false" customHeight="false" outlineLevel="0" collapsed="false">
      <c r="B153" s="0" t="n">
        <v>137</v>
      </c>
      <c r="C153" s="0" t="n">
        <f aca="true">RAND()</f>
        <v>0.559753650678615</v>
      </c>
      <c r="D153" s="0" t="n">
        <f aca="true">RAND()</f>
        <v>0.778363311213239</v>
      </c>
      <c r="E153" s="0" t="n">
        <f aca="false">IF(C153&lt;=$C$10,1,2)</f>
        <v>2</v>
      </c>
      <c r="F153" s="0" t="n">
        <f aca="false">IF(E153=1,$C$4+SQRT(D153*($C$6-$C$4)*($C$5-$C$4)),$C$6-SQRT((1-D153)*($C$6-$C$4)*($C$6-$C$5)))</f>
        <v>9.33421221280837</v>
      </c>
    </row>
    <row r="154" customFormat="false" ht="15" hidden="false" customHeight="false" outlineLevel="0" collapsed="false">
      <c r="B154" s="0" t="n">
        <v>138</v>
      </c>
      <c r="C154" s="0" t="n">
        <f aca="true">RAND()</f>
        <v>0.495594284095503</v>
      </c>
      <c r="D154" s="0" t="n">
        <f aca="true">RAND()</f>
        <v>0.375853727581582</v>
      </c>
      <c r="E154" s="0" t="n">
        <f aca="false">IF(C154&lt;=$C$10,1,2)</f>
        <v>1</v>
      </c>
      <c r="F154" s="0" t="n">
        <f aca="false">IF(E154=1,$C$4+SQRT(D154*($C$6-$C$4)*($C$5-$C$4)),$C$6-SQRT((1-D154)*($C$6-$C$4)*($C$6-$C$5)))</f>
        <v>8.86701064305069</v>
      </c>
    </row>
    <row r="155" customFormat="false" ht="15" hidden="false" customHeight="false" outlineLevel="0" collapsed="false">
      <c r="B155" s="0" t="n">
        <v>139</v>
      </c>
      <c r="C155" s="0" t="n">
        <f aca="true">RAND()</f>
        <v>0.140760143621512</v>
      </c>
      <c r="D155" s="0" t="n">
        <f aca="true">RAND()</f>
        <v>0.231742259389508</v>
      </c>
      <c r="E155" s="0" t="n">
        <f aca="false">IF(C155&lt;=$C$10,1,2)</f>
        <v>1</v>
      </c>
      <c r="F155" s="0" t="n">
        <f aca="false">IF(E155=1,$C$4+SQRT(D155*($C$6-$C$4)*($C$5-$C$4)),$C$6-SQRT((1-D155)*($C$6-$C$4)*($C$6-$C$5)))</f>
        <v>8.68079697324461</v>
      </c>
    </row>
    <row r="156" customFormat="false" ht="15" hidden="false" customHeight="false" outlineLevel="0" collapsed="false">
      <c r="B156" s="0" t="n">
        <v>140</v>
      </c>
      <c r="C156" s="0" t="n">
        <f aca="true">RAND()</f>
        <v>0.922306650086857</v>
      </c>
      <c r="D156" s="0" t="n">
        <f aca="true">RAND()</f>
        <v>0.277697278733191</v>
      </c>
      <c r="E156" s="0" t="n">
        <f aca="false">IF(C156&lt;=$C$10,1,2)</f>
        <v>2</v>
      </c>
      <c r="F156" s="0" t="n">
        <f aca="false">IF(E156=1,$C$4+SQRT(D156*($C$6-$C$4)*($C$5-$C$4)),$C$6-SQRT((1-D156)*($C$6-$C$4)*($C$6-$C$5)))</f>
        <v>8.79808259745787</v>
      </c>
    </row>
    <row r="157" customFormat="false" ht="15" hidden="false" customHeight="false" outlineLevel="0" collapsed="false">
      <c r="B157" s="0" t="n">
        <v>141</v>
      </c>
      <c r="C157" s="0" t="n">
        <f aca="true">RAND()</f>
        <v>0.356091889827624</v>
      </c>
      <c r="D157" s="0" t="n">
        <f aca="true">RAND()</f>
        <v>0.733438750019795</v>
      </c>
      <c r="E157" s="0" t="n">
        <f aca="false">IF(C157&lt;=$C$10,1,2)</f>
        <v>1</v>
      </c>
      <c r="F157" s="0" t="n">
        <f aca="false">IF(E157=1,$C$4+SQRT(D157*($C$6-$C$4)*($C$5-$C$4)),$C$6-SQRT((1-D157)*($C$6-$C$4)*($C$6-$C$5)))</f>
        <v>9.21114718347507</v>
      </c>
    </row>
    <row r="158" customFormat="false" ht="15" hidden="false" customHeight="false" outlineLevel="0" collapsed="false">
      <c r="B158" s="0" t="n">
        <v>142</v>
      </c>
      <c r="C158" s="0" t="n">
        <f aca="true">RAND()</f>
        <v>0.640005501156804</v>
      </c>
      <c r="D158" s="0" t="n">
        <f aca="true">RAND()</f>
        <v>0.694860047890578</v>
      </c>
      <c r="E158" s="0" t="n">
        <f aca="false">IF(C158&lt;=$C$10,1,2)</f>
        <v>2</v>
      </c>
      <c r="F158" s="0" t="n">
        <f aca="false">IF(E158=1,$C$4+SQRT(D158*($C$6-$C$4)*($C$5-$C$4)),$C$6-SQRT((1-D158)*($C$6-$C$4)*($C$6-$C$5)))</f>
        <v>9.21879586264611</v>
      </c>
    </row>
    <row r="159" customFormat="false" ht="15" hidden="false" customHeight="false" outlineLevel="0" collapsed="false">
      <c r="B159" s="0" t="n">
        <v>143</v>
      </c>
      <c r="C159" s="0" t="n">
        <f aca="true">RAND()</f>
        <v>0.0951224753129479</v>
      </c>
      <c r="D159" s="0" t="n">
        <f aca="true">RAND()</f>
        <v>0.661697348186014</v>
      </c>
      <c r="E159" s="0" t="n">
        <f aca="false">IF(C159&lt;=$C$10,1,2)</f>
        <v>1</v>
      </c>
      <c r="F159" s="0" t="n">
        <f aca="false">IF(E159=1,$C$4+SQRT(D159*($C$6-$C$4)*($C$5-$C$4)),$C$6-SQRT((1-D159)*($C$6-$C$4)*($C$6-$C$5)))</f>
        <v>9.15038893265366</v>
      </c>
    </row>
    <row r="160" customFormat="false" ht="15" hidden="false" customHeight="false" outlineLevel="0" collapsed="false">
      <c r="B160" s="0" t="n">
        <v>144</v>
      </c>
      <c r="C160" s="0" t="n">
        <f aca="true">RAND()</f>
        <v>0.770493589501541</v>
      </c>
      <c r="D160" s="0" t="n">
        <f aca="true">RAND()</f>
        <v>0.230858312666802</v>
      </c>
      <c r="E160" s="0" t="n">
        <f aca="false">IF(C160&lt;=$C$10,1,2)</f>
        <v>2</v>
      </c>
      <c r="F160" s="0" t="n">
        <f aca="false">IF(E160=1,$C$4+SQRT(D160*($C$6-$C$4)*($C$5-$C$4)),$C$6-SQRT((1-D160)*($C$6-$C$4)*($C$6-$C$5)))</f>
        <v>8.75972447630924</v>
      </c>
    </row>
    <row r="161" customFormat="false" ht="15" hidden="false" customHeight="false" outlineLevel="0" collapsed="false">
      <c r="B161" s="0" t="n">
        <v>145</v>
      </c>
      <c r="C161" s="0" t="n">
        <f aca="true">RAND()</f>
        <v>0.262924547876919</v>
      </c>
      <c r="D161" s="0" t="n">
        <f aca="true">RAND()</f>
        <v>0.773351033818872</v>
      </c>
      <c r="E161" s="0" t="n">
        <f aca="false">IF(C161&lt;=$C$10,1,2)</f>
        <v>1</v>
      </c>
      <c r="F161" s="0" t="n">
        <f aca="false">IF(E161=1,$C$4+SQRT(D161*($C$6-$C$4)*($C$5-$C$4)),$C$6-SQRT((1-D161)*($C$6-$C$4)*($C$6-$C$5)))</f>
        <v>9.24366477301472</v>
      </c>
    </row>
    <row r="162" customFormat="false" ht="15" hidden="false" customHeight="false" outlineLevel="0" collapsed="false">
      <c r="B162" s="0" t="n">
        <v>146</v>
      </c>
      <c r="C162" s="0" t="n">
        <f aca="true">RAND()</f>
        <v>0.0639407333682387</v>
      </c>
      <c r="D162" s="0" t="n">
        <f aca="true">RAND()</f>
        <v>0.0117245248442429</v>
      </c>
      <c r="E162" s="0" t="n">
        <f aca="false">IF(C162&lt;=$C$10,1,2)</f>
        <v>1</v>
      </c>
      <c r="F162" s="0" t="n">
        <f aca="false">IF(E162=1,$C$4+SQRT(D162*($C$6-$C$4)*($C$5-$C$4)),$C$6-SQRT((1-D162)*($C$6-$C$4)*($C$6-$C$5)))</f>
        <v>8.15313082540262</v>
      </c>
    </row>
    <row r="163" customFormat="false" ht="15" hidden="false" customHeight="false" outlineLevel="0" collapsed="false">
      <c r="B163" s="0" t="n">
        <v>147</v>
      </c>
      <c r="C163" s="0" t="n">
        <f aca="true">RAND()</f>
        <v>0.474204006402104</v>
      </c>
      <c r="D163" s="0" t="n">
        <f aca="true">RAND()</f>
        <v>0.703588520698012</v>
      </c>
      <c r="E163" s="0" t="n">
        <f aca="false">IF(C163&lt;=$C$10,1,2)</f>
        <v>1</v>
      </c>
      <c r="F163" s="0" t="n">
        <f aca="false">IF(E163=1,$C$4+SQRT(D163*($C$6-$C$4)*($C$5-$C$4)),$C$6-SQRT((1-D163)*($C$6-$C$4)*($C$6-$C$5)))</f>
        <v>9.18624493313819</v>
      </c>
    </row>
    <row r="164" customFormat="false" ht="15" hidden="false" customHeight="false" outlineLevel="0" collapsed="false">
      <c r="B164" s="0" t="n">
        <v>148</v>
      </c>
      <c r="C164" s="0" t="n">
        <f aca="true">RAND()</f>
        <v>0.831058607502703</v>
      </c>
      <c r="D164" s="0" t="n">
        <f aca="true">RAND()</f>
        <v>0.107253811959882</v>
      </c>
      <c r="E164" s="0" t="n">
        <f aca="false">IF(C164&lt;=$C$10,1,2)</f>
        <v>2</v>
      </c>
      <c r="F164" s="0" t="n">
        <f aca="false">IF(E164=1,$C$4+SQRT(D164*($C$6-$C$4)*($C$5-$C$4)),$C$6-SQRT((1-D164)*($C$6-$C$4)*($C$6-$C$5)))</f>
        <v>8.66377682399974</v>
      </c>
    </row>
    <row r="165" customFormat="false" ht="15" hidden="false" customHeight="false" outlineLevel="0" collapsed="false">
      <c r="B165" s="0" t="n">
        <v>149</v>
      </c>
      <c r="C165" s="0" t="n">
        <f aca="true">RAND()</f>
        <v>0.498270479296893</v>
      </c>
      <c r="D165" s="0" t="n">
        <f aca="true">RAND()</f>
        <v>0.467759546670253</v>
      </c>
      <c r="E165" s="0" t="n">
        <f aca="false">IF(C165&lt;=$C$10,1,2)</f>
        <v>1</v>
      </c>
      <c r="F165" s="0" t="n">
        <f aca="false">IF(E165=1,$C$4+SQRT(D165*($C$6-$C$4)*($C$5-$C$4)),$C$6-SQRT((1-D165)*($C$6-$C$4)*($C$6-$C$5)))</f>
        <v>8.96722235982245</v>
      </c>
    </row>
    <row r="166" customFormat="false" ht="15" hidden="false" customHeight="false" outlineLevel="0" collapsed="false">
      <c r="B166" s="0" t="n">
        <v>150</v>
      </c>
      <c r="C166" s="0" t="n">
        <f aca="true">RAND()</f>
        <v>0.83504792566602</v>
      </c>
      <c r="D166" s="0" t="n">
        <f aca="true">RAND()</f>
        <v>0.724217424027655</v>
      </c>
      <c r="E166" s="0" t="n">
        <f aca="false">IF(C166&lt;=$C$10,1,2)</f>
        <v>2</v>
      </c>
      <c r="F166" s="0" t="n">
        <f aca="false">IF(E166=1,$C$4+SQRT(D166*($C$6-$C$4)*($C$5-$C$4)),$C$6-SQRT((1-D166)*($C$6-$C$4)*($C$6-$C$5)))</f>
        <v>9.25732567572004</v>
      </c>
    </row>
    <row r="167" customFormat="false" ht="15" hidden="false" customHeight="false" outlineLevel="0" collapsed="false">
      <c r="B167" s="0" t="n">
        <v>151</v>
      </c>
      <c r="C167" s="0" t="n">
        <f aca="true">RAND()</f>
        <v>0.278704798276174</v>
      </c>
      <c r="D167" s="0" t="n">
        <f aca="true">RAND()</f>
        <v>0.435240756444797</v>
      </c>
      <c r="E167" s="0" t="n">
        <f aca="false">IF(C167&lt;=$C$10,1,2)</f>
        <v>1</v>
      </c>
      <c r="F167" s="0" t="n">
        <f aca="false">IF(E167=1,$C$4+SQRT(D167*($C$6-$C$4)*($C$5-$C$4)),$C$6-SQRT((1-D167)*($C$6-$C$4)*($C$6-$C$5)))</f>
        <v>8.93299598760637</v>
      </c>
    </row>
    <row r="168" customFormat="false" ht="15" hidden="false" customHeight="false" outlineLevel="0" collapsed="false">
      <c r="B168" s="0" t="n">
        <v>152</v>
      </c>
      <c r="C168" s="0" t="n">
        <f aca="true">RAND()</f>
        <v>0.86131997087792</v>
      </c>
      <c r="D168" s="0" t="n">
        <f aca="true">RAND()</f>
        <v>0.975445743875443</v>
      </c>
      <c r="E168" s="0" t="n">
        <f aca="false">IF(C168&lt;=$C$10,1,2)</f>
        <v>2</v>
      </c>
      <c r="F168" s="0" t="n">
        <f aca="false">IF(E168=1,$C$4+SQRT(D168*($C$6-$C$4)*($C$5-$C$4)),$C$6-SQRT((1-D168)*($C$6-$C$4)*($C$6-$C$5)))</f>
        <v>9.77839559514957</v>
      </c>
    </row>
    <row r="169" customFormat="false" ht="15" hidden="false" customHeight="false" outlineLevel="0" collapsed="false">
      <c r="B169" s="0" t="n">
        <v>153</v>
      </c>
      <c r="C169" s="0" t="n">
        <f aca="true">RAND()</f>
        <v>0.807163851311813</v>
      </c>
      <c r="D169" s="0" t="n">
        <f aca="true">RAND()</f>
        <v>0.483797961464615</v>
      </c>
      <c r="E169" s="0" t="n">
        <f aca="false">IF(C169&lt;=$C$10,1,2)</f>
        <v>2</v>
      </c>
      <c r="F169" s="0" t="n">
        <f aca="false">IF(E169=1,$C$4+SQRT(D169*($C$6-$C$4)*($C$5-$C$4)),$C$6-SQRT((1-D169)*($C$6-$C$4)*($C$6-$C$5)))</f>
        <v>8.98392713003901</v>
      </c>
    </row>
    <row r="170" customFormat="false" ht="15" hidden="false" customHeight="false" outlineLevel="0" collapsed="false">
      <c r="B170" s="0" t="n">
        <v>154</v>
      </c>
      <c r="C170" s="0" t="n">
        <f aca="true">RAND()</f>
        <v>0.904687930942222</v>
      </c>
      <c r="D170" s="0" t="n">
        <f aca="true">RAND()</f>
        <v>0.848558083563827</v>
      </c>
      <c r="E170" s="0" t="n">
        <f aca="false">IF(C170&lt;=$C$10,1,2)</f>
        <v>2</v>
      </c>
      <c r="F170" s="0" t="n">
        <f aca="false">IF(E170=1,$C$4+SQRT(D170*($C$6-$C$4)*($C$5-$C$4)),$C$6-SQRT((1-D170)*($C$6-$C$4)*($C$6-$C$5)))</f>
        <v>9.44965117164443</v>
      </c>
    </row>
    <row r="171" customFormat="false" ht="15" hidden="false" customHeight="false" outlineLevel="0" collapsed="false">
      <c r="B171" s="0" t="n">
        <v>155</v>
      </c>
      <c r="C171" s="0" t="n">
        <f aca="true">RAND()</f>
        <v>0.610614638520064</v>
      </c>
      <c r="D171" s="0" t="n">
        <f aca="true">RAND()</f>
        <v>0.00309093276680274</v>
      </c>
      <c r="E171" s="0" t="n">
        <f aca="false">IF(C171&lt;=$C$10,1,2)</f>
        <v>2</v>
      </c>
      <c r="F171" s="0" t="n">
        <f aca="false">IF(E171=1,$C$4+SQRT(D171*($C$6-$C$4)*($C$5-$C$4)),$C$6-SQRT((1-D171)*($C$6-$C$4)*($C$6-$C$5)))</f>
        <v>8.58797374866244</v>
      </c>
    </row>
    <row r="172" customFormat="false" ht="15" hidden="false" customHeight="false" outlineLevel="0" collapsed="false">
      <c r="B172" s="0" t="n">
        <v>156</v>
      </c>
      <c r="C172" s="0" t="n">
        <f aca="true">RAND()</f>
        <v>0.228655834910944</v>
      </c>
      <c r="D172" s="0" t="n">
        <f aca="true">RAND()</f>
        <v>0.783389258372677</v>
      </c>
      <c r="E172" s="0" t="n">
        <f aca="false">IF(C172&lt;=$C$10,1,2)</f>
        <v>1</v>
      </c>
      <c r="F172" s="0" t="n">
        <f aca="false">IF(E172=1,$C$4+SQRT(D172*($C$6-$C$4)*($C$5-$C$4)),$C$6-SQRT((1-D172)*($C$6-$C$4)*($C$6-$C$5)))</f>
        <v>9.25171023673427</v>
      </c>
    </row>
    <row r="173" customFormat="false" ht="15" hidden="false" customHeight="false" outlineLevel="0" collapsed="false">
      <c r="B173" s="0" t="n">
        <v>157</v>
      </c>
      <c r="C173" s="0" t="n">
        <f aca="true">RAND()</f>
        <v>0.10872058509213</v>
      </c>
      <c r="D173" s="0" t="n">
        <f aca="true">RAND()</f>
        <v>0.565497894541244</v>
      </c>
      <c r="E173" s="0" t="n">
        <f aca="false">IF(C173&lt;=$C$10,1,2)</f>
        <v>1</v>
      </c>
      <c r="F173" s="0" t="n">
        <f aca="false">IF(E173=1,$C$4+SQRT(D173*($C$6-$C$4)*($C$5-$C$4)),$C$6-SQRT((1-D173)*($C$6-$C$4)*($C$6-$C$5)))</f>
        <v>9.06348285791661</v>
      </c>
    </row>
    <row r="174" customFormat="false" ht="15" hidden="false" customHeight="false" outlineLevel="0" collapsed="false">
      <c r="B174" s="0" t="n">
        <v>158</v>
      </c>
      <c r="C174" s="0" t="n">
        <f aca="true">RAND()</f>
        <v>0.467458071011191</v>
      </c>
      <c r="D174" s="0" t="n">
        <f aca="true">RAND()</f>
        <v>0.280359943735495</v>
      </c>
      <c r="E174" s="0" t="n">
        <f aca="false">IF(C174&lt;=$C$10,1,2)</f>
        <v>1</v>
      </c>
      <c r="F174" s="0" t="n">
        <f aca="false">IF(E174=1,$C$4+SQRT(D174*($C$6-$C$4)*($C$5-$C$4)),$C$6-SQRT((1-D174)*($C$6-$C$4)*($C$6-$C$5)))</f>
        <v>8.74881231792151</v>
      </c>
    </row>
    <row r="175" customFormat="false" ht="15" hidden="false" customHeight="false" outlineLevel="0" collapsed="false">
      <c r="B175" s="0" t="n">
        <v>159</v>
      </c>
      <c r="C175" s="0" t="n">
        <f aca="true">RAND()</f>
        <v>0.468238104219667</v>
      </c>
      <c r="D175" s="0" t="n">
        <f aca="true">RAND()</f>
        <v>0.534940069173377</v>
      </c>
      <c r="E175" s="0" t="n">
        <f aca="false">IF(C175&lt;=$C$10,1,2)</f>
        <v>1</v>
      </c>
      <c r="F175" s="0" t="n">
        <f aca="false">IF(E175=1,$C$4+SQRT(D175*($C$6-$C$4)*($C$5-$C$4)),$C$6-SQRT((1-D175)*($C$6-$C$4)*($C$6-$C$5)))</f>
        <v>9.03435010433932</v>
      </c>
    </row>
    <row r="176" customFormat="false" ht="15" hidden="false" customHeight="false" outlineLevel="0" collapsed="false">
      <c r="B176" s="0" t="n">
        <v>160</v>
      </c>
      <c r="C176" s="0" t="n">
        <f aca="true">RAND()</f>
        <v>0.0480106821989068</v>
      </c>
      <c r="D176" s="0" t="n">
        <f aca="true">RAND()</f>
        <v>0.261003346374145</v>
      </c>
      <c r="E176" s="0" t="n">
        <f aca="false">IF(C176&lt;=$C$10,1,2)</f>
        <v>1</v>
      </c>
      <c r="F176" s="0" t="n">
        <f aca="false">IF(E176=1,$C$4+SQRT(D176*($C$6-$C$4)*($C$5-$C$4)),$C$6-SQRT((1-D176)*($C$6-$C$4)*($C$6-$C$5)))</f>
        <v>8.72250030640014</v>
      </c>
    </row>
    <row r="177" customFormat="false" ht="15" hidden="false" customHeight="false" outlineLevel="0" collapsed="false">
      <c r="B177" s="0" t="n">
        <v>161</v>
      </c>
      <c r="C177" s="0" t="n">
        <f aca="true">RAND()</f>
        <v>0.741312693173484</v>
      </c>
      <c r="D177" s="0" t="n">
        <f aca="true">RAND()</f>
        <v>0.91570739816369</v>
      </c>
      <c r="E177" s="0" t="n">
        <f aca="false">IF(C177&lt;=$C$10,1,2)</f>
        <v>2</v>
      </c>
      <c r="F177" s="0" t="n">
        <f aca="false">IF(E177=1,$C$4+SQRT(D177*($C$6-$C$4)*($C$5-$C$4)),$C$6-SQRT((1-D177)*($C$6-$C$4)*($C$6-$C$5)))</f>
        <v>9.5894087145681</v>
      </c>
    </row>
    <row r="178" customFormat="false" ht="15" hidden="false" customHeight="false" outlineLevel="0" collapsed="false">
      <c r="B178" s="0" t="n">
        <v>162</v>
      </c>
      <c r="C178" s="0" t="n">
        <f aca="true">RAND()</f>
        <v>0.487138301450141</v>
      </c>
      <c r="D178" s="0" t="n">
        <f aca="true">RAND()</f>
        <v>0.981331616287463</v>
      </c>
      <c r="E178" s="0" t="n">
        <f aca="false">IF(C178&lt;=$C$10,1,2)</f>
        <v>1</v>
      </c>
      <c r="F178" s="0" t="n">
        <f aca="false">IF(E178=1,$C$4+SQRT(D178*($C$6-$C$4)*($C$5-$C$4)),$C$6-SQRT((1-D178)*($C$6-$C$4)*($C$6-$C$5)))</f>
        <v>9.40095083160507</v>
      </c>
    </row>
    <row r="179" customFormat="false" ht="15" hidden="false" customHeight="false" outlineLevel="0" collapsed="false">
      <c r="B179" s="0" t="n">
        <v>163</v>
      </c>
      <c r="C179" s="0" t="n">
        <f aca="true">RAND()</f>
        <v>0.612680700140836</v>
      </c>
      <c r="D179" s="0" t="n">
        <f aca="true">RAND()</f>
        <v>0.405002154201172</v>
      </c>
      <c r="E179" s="0" t="n">
        <f aca="false">IF(C179&lt;=$C$10,1,2)</f>
        <v>2</v>
      </c>
      <c r="F179" s="0" t="n">
        <f aca="false">IF(E179=1,$C$4+SQRT(D179*($C$6-$C$4)*($C$5-$C$4)),$C$6-SQRT((1-D179)*($C$6-$C$4)*($C$6-$C$5)))</f>
        <v>8.90913076329119</v>
      </c>
    </row>
    <row r="180" customFormat="false" ht="15" hidden="false" customHeight="false" outlineLevel="0" collapsed="false">
      <c r="B180" s="0" t="n">
        <v>164</v>
      </c>
      <c r="C180" s="0" t="n">
        <f aca="true">RAND()</f>
        <v>0.725049497590409</v>
      </c>
      <c r="D180" s="0" t="n">
        <f aca="true">RAND()</f>
        <v>0.121621458658361</v>
      </c>
      <c r="E180" s="0" t="n">
        <f aca="false">IF(C180&lt;=$C$10,1,2)</f>
        <v>2</v>
      </c>
      <c r="F180" s="0" t="n">
        <f aca="false">IF(E180=1,$C$4+SQRT(D180*($C$6-$C$4)*($C$5-$C$4)),$C$6-SQRT((1-D180)*($C$6-$C$4)*($C$6-$C$5)))</f>
        <v>8.67457286783344</v>
      </c>
    </row>
    <row r="181" customFormat="false" ht="15" hidden="false" customHeight="false" outlineLevel="0" collapsed="false">
      <c r="B181" s="0" t="n">
        <v>165</v>
      </c>
      <c r="C181" s="0" t="n">
        <f aca="true">RAND()</f>
        <v>0.0810044992157106</v>
      </c>
      <c r="D181" s="0" t="n">
        <f aca="true">RAND()</f>
        <v>0.546251936166142</v>
      </c>
      <c r="E181" s="0" t="n">
        <f aca="false">IF(C181&lt;=$C$10,1,2)</f>
        <v>1</v>
      </c>
      <c r="F181" s="0" t="n">
        <f aca="false">IF(E181=1,$C$4+SQRT(D181*($C$6-$C$4)*($C$5-$C$4)),$C$6-SQRT((1-D181)*($C$6-$C$4)*($C$6-$C$5)))</f>
        <v>9.04522910040445</v>
      </c>
    </row>
    <row r="182" customFormat="false" ht="15" hidden="false" customHeight="false" outlineLevel="0" collapsed="false">
      <c r="B182" s="0" t="n">
        <v>166</v>
      </c>
      <c r="C182" s="0" t="n">
        <f aca="true">RAND()</f>
        <v>0.347182540138635</v>
      </c>
      <c r="D182" s="0" t="n">
        <f aca="true">RAND()</f>
        <v>0.350348079522343</v>
      </c>
      <c r="E182" s="0" t="n">
        <f aca="false">IF(C182&lt;=$C$10,1,2)</f>
        <v>1</v>
      </c>
      <c r="F182" s="0" t="n">
        <f aca="false">IF(E182=1,$C$4+SQRT(D182*($C$6-$C$4)*($C$5-$C$4)),$C$6-SQRT((1-D182)*($C$6-$C$4)*($C$6-$C$5)))</f>
        <v>8.83707595775096</v>
      </c>
    </row>
    <row r="183" customFormat="false" ht="15" hidden="false" customHeight="false" outlineLevel="0" collapsed="false">
      <c r="B183" s="0" t="n">
        <v>167</v>
      </c>
      <c r="C183" s="0" t="n">
        <f aca="true">RAND()</f>
        <v>0.685097565518978</v>
      </c>
      <c r="D183" s="0" t="n">
        <f aca="true">RAND()</f>
        <v>0.33902608205955</v>
      </c>
      <c r="E183" s="0" t="n">
        <f aca="false">IF(C183&lt;=$C$10,1,2)</f>
        <v>2</v>
      </c>
      <c r="F183" s="0" t="n">
        <f aca="false">IF(E183=1,$C$4+SQRT(D183*($C$6-$C$4)*($C$5-$C$4)),$C$6-SQRT((1-D183)*($C$6-$C$4)*($C$6-$C$5)))</f>
        <v>8.85024009641974</v>
      </c>
    </row>
    <row r="184" customFormat="false" ht="15" hidden="false" customHeight="false" outlineLevel="0" collapsed="false">
      <c r="B184" s="0" t="n">
        <v>168</v>
      </c>
      <c r="C184" s="0" t="n">
        <f aca="true">RAND()</f>
        <v>0.895515822458482</v>
      </c>
      <c r="D184" s="0" t="n">
        <f aca="true">RAND()</f>
        <v>0.48799180976193</v>
      </c>
      <c r="E184" s="0" t="n">
        <f aca="false">IF(C184&lt;=$C$10,1,2)</f>
        <v>2</v>
      </c>
      <c r="F184" s="0" t="n">
        <f aca="false">IF(E184=1,$C$4+SQRT(D184*($C$6-$C$4)*($C$5-$C$4)),$C$6-SQRT((1-D184)*($C$6-$C$4)*($C$6-$C$5)))</f>
        <v>8.98806305508884</v>
      </c>
    </row>
    <row r="185" customFormat="false" ht="15" hidden="false" customHeight="false" outlineLevel="0" collapsed="false">
      <c r="B185" s="0" t="n">
        <v>169</v>
      </c>
      <c r="C185" s="0" t="n">
        <f aca="true">RAND()</f>
        <v>0.968506859225866</v>
      </c>
      <c r="D185" s="0" t="n">
        <f aca="true">RAND()</f>
        <v>0.722651769750466</v>
      </c>
      <c r="E185" s="0" t="n">
        <f aca="false">IF(C185&lt;=$C$10,1,2)</f>
        <v>2</v>
      </c>
      <c r="F185" s="0" t="n">
        <f aca="false">IF(E185=1,$C$4+SQRT(D185*($C$6-$C$4)*($C$5-$C$4)),$C$6-SQRT((1-D185)*($C$6-$C$4)*($C$6-$C$5)))</f>
        <v>9.25522052894896</v>
      </c>
    </row>
    <row r="186" customFormat="false" ht="15" hidden="false" customHeight="false" outlineLevel="0" collapsed="false">
      <c r="B186" s="0" t="n">
        <v>170</v>
      </c>
      <c r="C186" s="0" t="n">
        <f aca="true">RAND()</f>
        <v>0.511456374779015</v>
      </c>
      <c r="D186" s="0" t="n">
        <f aca="true">RAND()</f>
        <v>0.614322253616499</v>
      </c>
      <c r="E186" s="0" t="n">
        <f aca="false">IF(C186&lt;=$C$10,1,2)</f>
        <v>2</v>
      </c>
      <c r="F186" s="0" t="n">
        <f aca="false">IF(E186=1,$C$4+SQRT(D186*($C$6-$C$4)*($C$5-$C$4)),$C$6-SQRT((1-D186)*($C$6-$C$4)*($C$6-$C$5)))</f>
        <v>9.12173153718979</v>
      </c>
    </row>
    <row r="187" customFormat="false" ht="15" hidden="false" customHeight="false" outlineLevel="0" collapsed="false">
      <c r="B187" s="0" t="n">
        <v>171</v>
      </c>
      <c r="C187" s="0" t="n">
        <f aca="true">RAND()</f>
        <v>0.526088914182909</v>
      </c>
      <c r="D187" s="0" t="n">
        <f aca="true">RAND()</f>
        <v>0.848642313667427</v>
      </c>
      <c r="E187" s="0" t="n">
        <f aca="false">IF(C187&lt;=$C$10,1,2)</f>
        <v>2</v>
      </c>
      <c r="F187" s="0" t="n">
        <f aca="false">IF(E187=1,$C$4+SQRT(D187*($C$6-$C$4)*($C$5-$C$4)),$C$6-SQRT((1-D187)*($C$6-$C$4)*($C$6-$C$5)))</f>
        <v>9.44980424150567</v>
      </c>
    </row>
    <row r="188" customFormat="false" ht="15" hidden="false" customHeight="false" outlineLevel="0" collapsed="false">
      <c r="B188" s="0" t="n">
        <v>172</v>
      </c>
      <c r="C188" s="0" t="n">
        <f aca="true">RAND()</f>
        <v>0.98739092018647</v>
      </c>
      <c r="D188" s="0" t="n">
        <f aca="true">RAND()</f>
        <v>0.814440360312237</v>
      </c>
      <c r="E188" s="0" t="n">
        <f aca="false">IF(C188&lt;=$C$10,1,2)</f>
        <v>2</v>
      </c>
      <c r="F188" s="0" t="n">
        <f aca="false">IF(E188=1,$C$4+SQRT(D188*($C$6-$C$4)*($C$5-$C$4)),$C$6-SQRT((1-D188)*($C$6-$C$4)*($C$6-$C$5)))</f>
        <v>9.39080439974051</v>
      </c>
    </row>
    <row r="189" customFormat="false" ht="15" hidden="false" customHeight="false" outlineLevel="0" collapsed="false">
      <c r="B189" s="0" t="n">
        <v>173</v>
      </c>
      <c r="C189" s="0" t="n">
        <f aca="true">RAND()</f>
        <v>0.555564591119108</v>
      </c>
      <c r="D189" s="0" t="n">
        <f aca="true">RAND()</f>
        <v>0.612789566768859</v>
      </c>
      <c r="E189" s="0" t="n">
        <f aca="false">IF(C189&lt;=$C$10,1,2)</f>
        <v>2</v>
      </c>
      <c r="F189" s="0" t="n">
        <f aca="false">IF(E189=1,$C$4+SQRT(D189*($C$6-$C$4)*($C$5-$C$4)),$C$6-SQRT((1-D189)*($C$6-$C$4)*($C$6-$C$5)))</f>
        <v>9.11998814413539</v>
      </c>
    </row>
    <row r="190" customFormat="false" ht="15" hidden="false" customHeight="false" outlineLevel="0" collapsed="false">
      <c r="B190" s="0" t="n">
        <v>174</v>
      </c>
      <c r="C190" s="0" t="n">
        <f aca="true">RAND()</f>
        <v>0.54151680428431</v>
      </c>
      <c r="D190" s="0" t="n">
        <f aca="true">RAND()</f>
        <v>0.799490434310096</v>
      </c>
      <c r="E190" s="0" t="n">
        <f aca="false">IF(C190&lt;=$C$10,1,2)</f>
        <v>2</v>
      </c>
      <c r="F190" s="0" t="n">
        <f aca="false">IF(E190=1,$C$4+SQRT(D190*($C$6-$C$4)*($C$5-$C$4)),$C$6-SQRT((1-D190)*($C$6-$C$4)*($C$6-$C$5)))</f>
        <v>9.3667392864074</v>
      </c>
    </row>
    <row r="191" customFormat="false" ht="15" hidden="false" customHeight="false" outlineLevel="0" collapsed="false">
      <c r="B191" s="0" t="n">
        <v>175</v>
      </c>
      <c r="C191" s="0" t="n">
        <f aca="true">RAND()</f>
        <v>0.404546406535781</v>
      </c>
      <c r="D191" s="0" t="n">
        <f aca="true">RAND()</f>
        <v>0.481034801553939</v>
      </c>
      <c r="E191" s="0" t="n">
        <f aca="false">IF(C191&lt;=$C$10,1,2)</f>
        <v>1</v>
      </c>
      <c r="F191" s="0" t="n">
        <f aca="false">IF(E191=1,$C$4+SQRT(D191*($C$6-$C$4)*($C$5-$C$4)),$C$6-SQRT((1-D191)*($C$6-$C$4)*($C$6-$C$5)))</f>
        <v>8.98085146842317</v>
      </c>
    </row>
    <row r="192" customFormat="false" ht="15" hidden="false" customHeight="false" outlineLevel="0" collapsed="false">
      <c r="B192" s="0" t="n">
        <v>176</v>
      </c>
      <c r="C192" s="0" t="n">
        <f aca="true">RAND()</f>
        <v>0.564487548151586</v>
      </c>
      <c r="D192" s="0" t="n">
        <f aca="true">RAND()</f>
        <v>0.335312321822269</v>
      </c>
      <c r="E192" s="0" t="n">
        <f aca="false">IF(C192&lt;=$C$10,1,2)</f>
        <v>2</v>
      </c>
      <c r="F192" s="0" t="n">
        <f aca="false">IF(E192=1,$C$4+SQRT(D192*($C$6-$C$4)*($C$5-$C$4)),$C$6-SQRT((1-D192)*($C$6-$C$4)*($C$6-$C$5)))</f>
        <v>8.84701458970399</v>
      </c>
    </row>
    <row r="193" customFormat="false" ht="15" hidden="false" customHeight="false" outlineLevel="0" collapsed="false">
      <c r="B193" s="0" t="n">
        <v>177</v>
      </c>
      <c r="C193" s="0" t="n">
        <f aca="true">RAND()</f>
        <v>0.206230430292887</v>
      </c>
      <c r="D193" s="0" t="n">
        <f aca="true">RAND()</f>
        <v>0.335350718543824</v>
      </c>
      <c r="E193" s="0" t="n">
        <f aca="false">IF(C193&lt;=$C$10,1,2)</f>
        <v>1</v>
      </c>
      <c r="F193" s="0" t="n">
        <f aca="false">IF(E193=1,$C$4+SQRT(D193*($C$6-$C$4)*($C$5-$C$4)),$C$6-SQRT((1-D193)*($C$6-$C$4)*($C$6-$C$5)))</f>
        <v>8.81896363599836</v>
      </c>
    </row>
    <row r="194" customFormat="false" ht="15" hidden="false" customHeight="false" outlineLevel="0" collapsed="false">
      <c r="B194" s="0" t="n">
        <v>178</v>
      </c>
      <c r="C194" s="0" t="n">
        <f aca="true">RAND()</f>
        <v>0.331801060315488</v>
      </c>
      <c r="D194" s="0" t="n">
        <f aca="true">RAND()</f>
        <v>0.725764914337348</v>
      </c>
      <c r="E194" s="0" t="n">
        <f aca="false">IF(C194&lt;=$C$10,1,2)</f>
        <v>1</v>
      </c>
      <c r="F194" s="0" t="n">
        <f aca="false">IF(E194=1,$C$4+SQRT(D194*($C$6-$C$4)*($C$5-$C$4)),$C$6-SQRT((1-D194)*($C$6-$C$4)*($C$6-$C$5)))</f>
        <v>9.2047945171998</v>
      </c>
    </row>
    <row r="195" customFormat="false" ht="15" hidden="false" customHeight="false" outlineLevel="0" collapsed="false">
      <c r="B195" s="0" t="n">
        <v>179</v>
      </c>
      <c r="C195" s="0" t="n">
        <f aca="true">RAND()</f>
        <v>0.0120672819254824</v>
      </c>
      <c r="D195" s="0" t="n">
        <f aca="true">RAND()</f>
        <v>0.921229634231139</v>
      </c>
      <c r="E195" s="0" t="n">
        <f aca="false">IF(C195&lt;=$C$10,1,2)</f>
        <v>1</v>
      </c>
      <c r="F195" s="0" t="n">
        <f aca="false">IF(E195=1,$C$4+SQRT(D195*($C$6-$C$4)*($C$5-$C$4)),$C$6-SQRT((1-D195)*($C$6-$C$4)*($C$6-$C$5)))</f>
        <v>9.35737219231215</v>
      </c>
    </row>
    <row r="196" customFormat="false" ht="15" hidden="false" customHeight="false" outlineLevel="0" collapsed="false">
      <c r="B196" s="0" t="n">
        <v>180</v>
      </c>
      <c r="C196" s="0" t="n">
        <f aca="true">RAND()</f>
        <v>0.331879811802032</v>
      </c>
      <c r="D196" s="0" t="n">
        <f aca="true">RAND()</f>
        <v>0.810573607219415</v>
      </c>
      <c r="E196" s="0" t="n">
        <f aca="false">IF(C196&lt;=$C$10,1,2)</f>
        <v>1</v>
      </c>
      <c r="F196" s="0" t="n">
        <f aca="false">IF(E196=1,$C$4+SQRT(D196*($C$6-$C$4)*($C$5-$C$4)),$C$6-SQRT((1-D196)*($C$6-$C$4)*($C$6-$C$5)))</f>
        <v>9.27324279477201</v>
      </c>
    </row>
    <row r="197" customFormat="false" ht="15" hidden="false" customHeight="false" outlineLevel="0" collapsed="false">
      <c r="B197" s="0" t="n">
        <v>181</v>
      </c>
      <c r="C197" s="0" t="n">
        <f aca="true">RAND()</f>
        <v>0.442200864665346</v>
      </c>
      <c r="D197" s="0" t="n">
        <f aca="true">RAND()</f>
        <v>0.520251782555567</v>
      </c>
      <c r="E197" s="0" t="n">
        <f aca="false">IF(C197&lt;=$C$10,1,2)</f>
        <v>1</v>
      </c>
      <c r="F197" s="0" t="n">
        <f aca="false">IF(E197=1,$C$4+SQRT(D197*($C$6-$C$4)*($C$5-$C$4)),$C$6-SQRT((1-D197)*($C$6-$C$4)*($C$6-$C$5)))</f>
        <v>9.02005076594802</v>
      </c>
    </row>
    <row r="198" customFormat="false" ht="15" hidden="false" customHeight="false" outlineLevel="0" collapsed="false">
      <c r="B198" s="0" t="n">
        <v>182</v>
      </c>
      <c r="C198" s="0" t="n">
        <f aca="true">RAND()</f>
        <v>0.857268817899678</v>
      </c>
      <c r="D198" s="0" t="n">
        <f aca="true">RAND()</f>
        <v>0.231803795208704</v>
      </c>
      <c r="E198" s="0" t="n">
        <f aca="false">IF(C198&lt;=$C$10,1,2)</f>
        <v>2</v>
      </c>
      <c r="F198" s="0" t="n">
        <f aca="false">IF(E198=1,$C$4+SQRT(D198*($C$6-$C$4)*($C$5-$C$4)),$C$6-SQRT((1-D198)*($C$6-$C$4)*($C$6-$C$5)))</f>
        <v>8.76048702726329</v>
      </c>
    </row>
    <row r="199" customFormat="false" ht="15" hidden="false" customHeight="false" outlineLevel="0" collapsed="false">
      <c r="B199" s="0" t="n">
        <v>183</v>
      </c>
      <c r="C199" s="0" t="n">
        <f aca="true">RAND()</f>
        <v>0.564682063129496</v>
      </c>
      <c r="D199" s="0" t="n">
        <f aca="true">RAND()</f>
        <v>0.91952487801111</v>
      </c>
      <c r="E199" s="0" t="n">
        <f aca="false">IF(C199&lt;=$C$10,1,2)</f>
        <v>2</v>
      </c>
      <c r="F199" s="0" t="n">
        <f aca="false">IF(E199=1,$C$4+SQRT(D199*($C$6-$C$4)*($C$5-$C$4)),$C$6-SQRT((1-D199)*($C$6-$C$4)*($C$6-$C$5)))</f>
        <v>9.59881395341091</v>
      </c>
    </row>
    <row r="200" customFormat="false" ht="15" hidden="false" customHeight="false" outlineLevel="0" collapsed="false">
      <c r="B200" s="0" t="n">
        <v>184</v>
      </c>
      <c r="C200" s="0" t="n">
        <f aca="true">RAND()</f>
        <v>0.0530770223839787</v>
      </c>
      <c r="D200" s="0" t="n">
        <f aca="true">RAND()</f>
        <v>0.0384256063967225</v>
      </c>
      <c r="E200" s="0" t="n">
        <f aca="false">IF(C200&lt;=$C$10,1,2)</f>
        <v>1</v>
      </c>
      <c r="F200" s="0" t="n">
        <f aca="false">IF(E200=1,$C$4+SQRT(D200*($C$6-$C$4)*($C$5-$C$4)),$C$6-SQRT((1-D200)*($C$6-$C$4)*($C$6-$C$5)))</f>
        <v>8.27722051293771</v>
      </c>
    </row>
    <row r="201" customFormat="false" ht="15" hidden="false" customHeight="false" outlineLevel="0" collapsed="false">
      <c r="B201" s="0" t="n">
        <v>185</v>
      </c>
      <c r="C201" s="0" t="n">
        <f aca="true">RAND()</f>
        <v>0.430235214805738</v>
      </c>
      <c r="D201" s="0" t="n">
        <f aca="true">RAND()</f>
        <v>0.71514532599369</v>
      </c>
      <c r="E201" s="0" t="n">
        <f aca="false">IF(C201&lt;=$C$10,1,2)</f>
        <v>1</v>
      </c>
      <c r="F201" s="0" t="n">
        <f aca="false">IF(E201=1,$C$4+SQRT(D201*($C$6-$C$4)*($C$5-$C$4)),$C$6-SQRT((1-D201)*($C$6-$C$4)*($C$6-$C$5)))</f>
        <v>9.19594759583661</v>
      </c>
    </row>
    <row r="202" customFormat="false" ht="15" hidden="false" customHeight="false" outlineLevel="0" collapsed="false">
      <c r="B202" s="0" t="n">
        <v>186</v>
      </c>
      <c r="C202" s="0" t="n">
        <f aca="true">RAND()</f>
        <v>0.756720428939529</v>
      </c>
      <c r="D202" s="0" t="n">
        <f aca="true">RAND()</f>
        <v>0.0858168542007767</v>
      </c>
      <c r="E202" s="0" t="n">
        <f aca="false">IF(C202&lt;=$C$10,1,2)</f>
        <v>2</v>
      </c>
      <c r="F202" s="0" t="n">
        <f aca="false">IF(E202=1,$C$4+SQRT(D202*($C$6-$C$4)*($C$5-$C$4)),$C$6-SQRT((1-D202)*($C$6-$C$4)*($C$6-$C$5)))</f>
        <v>8.64782904498046</v>
      </c>
    </row>
    <row r="203" customFormat="false" ht="15" hidden="false" customHeight="false" outlineLevel="0" collapsed="false">
      <c r="B203" s="0" t="n">
        <v>187</v>
      </c>
      <c r="C203" s="0" t="n">
        <f aca="true">RAND()</f>
        <v>0.934254538757353</v>
      </c>
      <c r="D203" s="0" t="n">
        <f aca="true">RAND()</f>
        <v>0.180116010732212</v>
      </c>
      <c r="E203" s="0" t="n">
        <f aca="false">IF(C203&lt;=$C$10,1,2)</f>
        <v>2</v>
      </c>
      <c r="F203" s="0" t="n">
        <f aca="false">IF(E203=1,$C$4+SQRT(D203*($C$6-$C$4)*($C$5-$C$4)),$C$6-SQRT((1-D203)*($C$6-$C$4)*($C$6-$C$5)))</f>
        <v>8.71946574488006</v>
      </c>
    </row>
    <row r="204" customFormat="false" ht="15" hidden="false" customHeight="false" outlineLevel="0" collapsed="false">
      <c r="B204" s="0" t="n">
        <v>188</v>
      </c>
      <c r="C204" s="0" t="n">
        <f aca="true">RAND()</f>
        <v>0.606974959507749</v>
      </c>
      <c r="D204" s="0" t="n">
        <f aca="true">RAND()</f>
        <v>0.494475137639005</v>
      </c>
      <c r="E204" s="0" t="n">
        <f aca="false">IF(C204&lt;=$C$10,1,2)</f>
        <v>2</v>
      </c>
      <c r="F204" s="0" t="n">
        <f aca="false">IF(E204=1,$C$4+SQRT(D204*($C$6-$C$4)*($C$5-$C$4)),$C$6-SQRT((1-D204)*($C$6-$C$4)*($C$6-$C$5)))</f>
        <v>8.99449031594818</v>
      </c>
    </row>
    <row r="205" customFormat="false" ht="15" hidden="false" customHeight="false" outlineLevel="0" collapsed="false">
      <c r="B205" s="0" t="n">
        <v>189</v>
      </c>
      <c r="C205" s="0" t="n">
        <f aca="true">RAND()</f>
        <v>0.879151682846733</v>
      </c>
      <c r="D205" s="0" t="n">
        <f aca="true">RAND()</f>
        <v>0.0897931600853141</v>
      </c>
      <c r="E205" s="0" t="n">
        <f aca="false">IF(C205&lt;=$C$10,1,2)</f>
        <v>2</v>
      </c>
      <c r="F205" s="0" t="n">
        <f aca="false">IF(E205=1,$C$4+SQRT(D205*($C$6-$C$4)*($C$5-$C$4)),$C$6-SQRT((1-D205)*($C$6-$C$4)*($C$6-$C$5)))</f>
        <v>8.65077293244266</v>
      </c>
    </row>
    <row r="206" customFormat="false" ht="15" hidden="false" customHeight="false" outlineLevel="0" collapsed="false">
      <c r="B206" s="0" t="n">
        <v>190</v>
      </c>
      <c r="C206" s="0" t="n">
        <f aca="true">RAND()</f>
        <v>0.897066094487968</v>
      </c>
      <c r="D206" s="0" t="n">
        <f aca="true">RAND()</f>
        <v>0.472772056224979</v>
      </c>
      <c r="E206" s="0" t="n">
        <f aca="false">IF(C206&lt;=$C$10,1,2)</f>
        <v>2</v>
      </c>
      <c r="F206" s="0" t="n">
        <f aca="false">IF(E206=1,$C$4+SQRT(D206*($C$6-$C$4)*($C$5-$C$4)),$C$6-SQRT((1-D206)*($C$6-$C$4)*($C$6-$C$5)))</f>
        <v>8.97313297474793</v>
      </c>
    </row>
    <row r="207" customFormat="false" ht="15" hidden="false" customHeight="false" outlineLevel="0" collapsed="false">
      <c r="B207" s="0" t="n">
        <v>191</v>
      </c>
      <c r="C207" s="0" t="n">
        <f aca="true">RAND()</f>
        <v>0.683908841252021</v>
      </c>
      <c r="D207" s="0" t="n">
        <f aca="true">RAND()</f>
        <v>0.363531901433673</v>
      </c>
      <c r="E207" s="0" t="n">
        <f aca="false">IF(C207&lt;=$C$10,1,2)</f>
        <v>2</v>
      </c>
      <c r="F207" s="0" t="n">
        <f aca="false">IF(E207=1,$C$4+SQRT(D207*($C$6-$C$4)*($C$5-$C$4)),$C$6-SQRT((1-D207)*($C$6-$C$4)*($C$6-$C$5)))</f>
        <v>8.87175525831819</v>
      </c>
    </row>
    <row r="208" customFormat="false" ht="15" hidden="false" customHeight="false" outlineLevel="0" collapsed="false">
      <c r="B208" s="0" t="n">
        <v>192</v>
      </c>
      <c r="C208" s="0" t="n">
        <f aca="true">RAND()</f>
        <v>0.0702685036437567</v>
      </c>
      <c r="D208" s="0" t="n">
        <f aca="true">RAND()</f>
        <v>0.417688595156967</v>
      </c>
      <c r="E208" s="0" t="n">
        <f aca="false">IF(C208&lt;=$C$10,1,2)</f>
        <v>1</v>
      </c>
      <c r="F208" s="0" t="n">
        <f aca="false">IF(E208=1,$C$4+SQRT(D208*($C$6-$C$4)*($C$5-$C$4)),$C$6-SQRT((1-D208)*($C$6-$C$4)*($C$6-$C$5)))</f>
        <v>8.91398971017946</v>
      </c>
    </row>
    <row r="209" customFormat="false" ht="15" hidden="false" customHeight="false" outlineLevel="0" collapsed="false">
      <c r="B209" s="0" t="n">
        <v>193</v>
      </c>
      <c r="C209" s="0" t="n">
        <f aca="true">RAND()</f>
        <v>0.950538421502948</v>
      </c>
      <c r="D209" s="0" t="n">
        <f aca="true">RAND()</f>
        <v>0.456906927033235</v>
      </c>
      <c r="E209" s="0" t="n">
        <f aca="false">IF(C209&lt;=$C$10,1,2)</f>
        <v>2</v>
      </c>
      <c r="F209" s="0" t="n">
        <f aca="false">IF(E209=1,$C$4+SQRT(D209*($C$6-$C$4)*($C$5-$C$4)),$C$6-SQRT((1-D209)*($C$6-$C$4)*($C$6-$C$5)))</f>
        <v>8.95779745445833</v>
      </c>
    </row>
    <row r="210" customFormat="false" ht="15" hidden="false" customHeight="false" outlineLevel="0" collapsed="false">
      <c r="B210" s="0" t="n">
        <v>194</v>
      </c>
      <c r="C210" s="0" t="n">
        <f aca="true">RAND()</f>
        <v>0.253837393157841</v>
      </c>
      <c r="D210" s="0" t="n">
        <f aca="true">RAND()</f>
        <v>0.566877159408967</v>
      </c>
      <c r="E210" s="0" t="n">
        <f aca="false">IF(C210&lt;=$C$10,1,2)</f>
        <v>1</v>
      </c>
      <c r="F210" s="0" t="n">
        <f aca="false">IF(E210=1,$C$4+SQRT(D210*($C$6-$C$4)*($C$5-$C$4)),$C$6-SQRT((1-D210)*($C$6-$C$4)*($C$6-$C$5)))</f>
        <v>9.06477899998917</v>
      </c>
    </row>
    <row r="211" customFormat="false" ht="15" hidden="false" customHeight="false" outlineLevel="0" collapsed="false">
      <c r="B211" s="0" t="n">
        <v>195</v>
      </c>
      <c r="C211" s="0" t="n">
        <f aca="true">RAND()</f>
        <v>0.422125289316415</v>
      </c>
      <c r="D211" s="0" t="n">
        <f aca="true">RAND()</f>
        <v>0.87964011007333</v>
      </c>
      <c r="E211" s="0" t="n">
        <f aca="false">IF(C211&lt;=$C$10,1,2)</f>
        <v>1</v>
      </c>
      <c r="F211" s="0" t="n">
        <f aca="false">IF(E211=1,$C$4+SQRT(D211*($C$6-$C$4)*($C$5-$C$4)),$C$6-SQRT((1-D211)*($C$6-$C$4)*($C$6-$C$5)))</f>
        <v>9.32637861116148</v>
      </c>
    </row>
    <row r="212" customFormat="false" ht="15" hidden="false" customHeight="false" outlineLevel="0" collapsed="false">
      <c r="B212" s="0" t="n">
        <v>196</v>
      </c>
      <c r="C212" s="0" t="n">
        <f aca="true">RAND()</f>
        <v>0.763109556483978</v>
      </c>
      <c r="D212" s="0" t="n">
        <f aca="true">RAND()</f>
        <v>0.989152543174359</v>
      </c>
      <c r="E212" s="0" t="n">
        <f aca="false">IF(C212&lt;=$C$10,1,2)</f>
        <v>2</v>
      </c>
      <c r="F212" s="0" t="n">
        <f aca="false">IF(E212=1,$C$4+SQRT(D212*($C$6-$C$4)*($C$5-$C$4)),$C$6-SQRT((1-D212)*($C$6-$C$4)*($C$6-$C$5)))</f>
        <v>9.85270806657769</v>
      </c>
    </row>
    <row r="213" customFormat="false" ht="15" hidden="false" customHeight="false" outlineLevel="0" collapsed="false">
      <c r="B213" s="0" t="n">
        <v>197</v>
      </c>
      <c r="C213" s="0" t="n">
        <f aca="true">RAND()</f>
        <v>0.664111499587246</v>
      </c>
      <c r="D213" s="0" t="n">
        <f aca="true">RAND()</f>
        <v>0.225217626482071</v>
      </c>
      <c r="E213" s="0" t="n">
        <f aca="false">IF(C213&lt;=$C$10,1,2)</f>
        <v>2</v>
      </c>
      <c r="F213" s="0" t="n">
        <f aca="false">IF(E213=1,$C$4+SQRT(D213*($C$6-$C$4)*($C$5-$C$4)),$C$6-SQRT((1-D213)*($C$6-$C$4)*($C$6-$C$5)))</f>
        <v>8.75518485427118</v>
      </c>
    </row>
    <row r="214" customFormat="false" ht="15" hidden="false" customHeight="false" outlineLevel="0" collapsed="false">
      <c r="B214" s="0" t="n">
        <v>198</v>
      </c>
      <c r="C214" s="0" t="n">
        <f aca="true">RAND()</f>
        <v>0.47720010961014</v>
      </c>
      <c r="D214" s="0" t="n">
        <f aca="true">RAND()</f>
        <v>0.962954201906747</v>
      </c>
      <c r="E214" s="0" t="n">
        <f aca="false">IF(C214&lt;=$C$10,1,2)</f>
        <v>1</v>
      </c>
      <c r="F214" s="0" t="n">
        <f aca="false">IF(E214=1,$C$4+SQRT(D214*($C$6-$C$4)*($C$5-$C$4)),$C$6-SQRT((1-D214)*($C$6-$C$4)*($C$6-$C$5)))</f>
        <v>9.38777101995015</v>
      </c>
    </row>
    <row r="215" customFormat="false" ht="15" hidden="false" customHeight="false" outlineLevel="0" collapsed="false">
      <c r="B215" s="0" t="n">
        <v>199</v>
      </c>
      <c r="C215" s="0" t="n">
        <f aca="true">RAND()</f>
        <v>0.641689234512522</v>
      </c>
      <c r="D215" s="0" t="n">
        <f aca="true">RAND()</f>
        <v>0.0142952765143873</v>
      </c>
      <c r="E215" s="0" t="n">
        <f aca="false">IF(C215&lt;=$C$10,1,2)</f>
        <v>2</v>
      </c>
      <c r="F215" s="0" t="n">
        <f aca="false">IF(E215=1,$C$4+SQRT(D215*($C$6-$C$4)*($C$5-$C$4)),$C$6-SQRT((1-D215)*($C$6-$C$4)*($C$6-$C$5)))</f>
        <v>8.59593111031858</v>
      </c>
    </row>
    <row r="216" customFormat="false" ht="15" hidden="false" customHeight="false" outlineLevel="0" collapsed="false">
      <c r="B216" s="0" t="n">
        <v>200</v>
      </c>
      <c r="C216" s="0" t="n">
        <f aca="true">RAND()</f>
        <v>0.310286152199025</v>
      </c>
      <c r="D216" s="0" t="n">
        <f aca="true">RAND()</f>
        <v>0.457068239078051</v>
      </c>
      <c r="E216" s="0" t="n">
        <f aca="false">IF(C216&lt;=$C$10,1,2)</f>
        <v>1</v>
      </c>
      <c r="F216" s="0" t="n">
        <f aca="false">IF(E216=1,$C$4+SQRT(D216*($C$6-$C$4)*($C$5-$C$4)),$C$6-SQRT((1-D216)*($C$6-$C$4)*($C$6-$C$5)))</f>
        <v>8.9561048468427</v>
      </c>
    </row>
    <row r="217" customFormat="false" ht="15" hidden="false" customHeight="false" outlineLevel="0" collapsed="false">
      <c r="B217" s="0" t="n">
        <v>201</v>
      </c>
      <c r="C217" s="0" t="n">
        <f aca="true">RAND()</f>
        <v>0.553225961206874</v>
      </c>
      <c r="D217" s="0" t="n">
        <f aca="true">RAND()</f>
        <v>0.237519222736988</v>
      </c>
      <c r="E217" s="0" t="n">
        <f aca="false">IF(C217&lt;=$C$10,1,2)</f>
        <v>2</v>
      </c>
      <c r="F217" s="0" t="n">
        <f aca="false">IF(E217=1,$C$4+SQRT(D217*($C$6-$C$4)*($C$5-$C$4)),$C$6-SQRT((1-D217)*($C$6-$C$4)*($C$6-$C$5)))</f>
        <v>8.76510666269268</v>
      </c>
    </row>
    <row r="218" customFormat="false" ht="15" hidden="false" customHeight="false" outlineLevel="0" collapsed="false">
      <c r="B218" s="0" t="n">
        <v>202</v>
      </c>
      <c r="C218" s="0" t="n">
        <f aca="true">RAND()</f>
        <v>0.292321303103971</v>
      </c>
      <c r="D218" s="0" t="n">
        <f aca="true">RAND()</f>
        <v>0.508910398361776</v>
      </c>
      <c r="E218" s="0" t="n">
        <f aca="false">IF(C218&lt;=$C$10,1,2)</f>
        <v>1</v>
      </c>
      <c r="F218" s="0" t="n">
        <f aca="false">IF(E218=1,$C$4+SQRT(D218*($C$6-$C$4)*($C$5-$C$4)),$C$6-SQRT((1-D218)*($C$6-$C$4)*($C$6-$C$5)))</f>
        <v>9.00887105059247</v>
      </c>
    </row>
    <row r="219" customFormat="false" ht="15" hidden="false" customHeight="false" outlineLevel="0" collapsed="false">
      <c r="B219" s="0" t="n">
        <v>203</v>
      </c>
      <c r="C219" s="0" t="n">
        <f aca="true">RAND()</f>
        <v>0.751787355713242</v>
      </c>
      <c r="D219" s="0" t="n">
        <f aca="true">RAND()</f>
        <v>0.125994057094498</v>
      </c>
      <c r="E219" s="0" t="n">
        <f aca="false">IF(C219&lt;=$C$10,1,2)</f>
        <v>2</v>
      </c>
      <c r="F219" s="0" t="n">
        <f aca="false">IF(E219=1,$C$4+SQRT(D219*($C$6-$C$4)*($C$5-$C$4)),$C$6-SQRT((1-D219)*($C$6-$C$4)*($C$6-$C$5)))</f>
        <v>8.67787599454098</v>
      </c>
    </row>
    <row r="220" customFormat="false" ht="15" hidden="false" customHeight="false" outlineLevel="0" collapsed="false">
      <c r="B220" s="0" t="n">
        <v>204</v>
      </c>
      <c r="C220" s="0" t="n">
        <f aca="true">RAND()</f>
        <v>0.00139427281619276</v>
      </c>
      <c r="D220" s="0" t="n">
        <f aca="true">RAND()</f>
        <v>0.389335773143074</v>
      </c>
      <c r="E220" s="0" t="n">
        <f aca="false">IF(C220&lt;=$C$10,1,2)</f>
        <v>1</v>
      </c>
      <c r="F220" s="0" t="n">
        <f aca="false">IF(E220=1,$C$4+SQRT(D220*($C$6-$C$4)*($C$5-$C$4)),$C$6-SQRT((1-D220)*($C$6-$C$4)*($C$6-$C$5)))</f>
        <v>8.88242367731501</v>
      </c>
    </row>
    <row r="221" customFormat="false" ht="15" hidden="false" customHeight="false" outlineLevel="0" collapsed="false">
      <c r="B221" s="0" t="n">
        <v>205</v>
      </c>
      <c r="C221" s="0" t="n">
        <f aca="true">RAND()</f>
        <v>0.780743869893114</v>
      </c>
      <c r="D221" s="0" t="n">
        <f aca="true">RAND()</f>
        <v>0.679674503596163</v>
      </c>
      <c r="E221" s="0" t="n">
        <f aca="false">IF(C221&lt;=$C$10,1,2)</f>
        <v>2</v>
      </c>
      <c r="F221" s="0" t="n">
        <f aca="false">IF(E221=1,$C$4+SQRT(D221*($C$6-$C$4)*($C$5-$C$4)),$C$6-SQRT((1-D221)*($C$6-$C$4)*($C$6-$C$5)))</f>
        <v>9.19959323290737</v>
      </c>
    </row>
    <row r="222" customFormat="false" ht="15" hidden="false" customHeight="false" outlineLevel="0" collapsed="false">
      <c r="B222" s="0" t="n">
        <v>206</v>
      </c>
      <c r="C222" s="0" t="n">
        <f aca="true">RAND()</f>
        <v>0.667987144851502</v>
      </c>
      <c r="D222" s="0" t="n">
        <f aca="true">RAND()</f>
        <v>0.492083138225142</v>
      </c>
      <c r="E222" s="0" t="n">
        <f aca="false">IF(C222&lt;=$C$10,1,2)</f>
        <v>2</v>
      </c>
      <c r="F222" s="0" t="n">
        <f aca="false">IF(E222=1,$C$4+SQRT(D222*($C$6-$C$4)*($C$5-$C$4)),$C$6-SQRT((1-D222)*($C$6-$C$4)*($C$6-$C$5)))</f>
        <v>8.99211423090227</v>
      </c>
    </row>
    <row r="223" customFormat="false" ht="15" hidden="false" customHeight="false" outlineLevel="0" collapsed="false">
      <c r="B223" s="0" t="n">
        <v>207</v>
      </c>
      <c r="C223" s="0" t="n">
        <f aca="true">RAND()</f>
        <v>0.0865101001844599</v>
      </c>
      <c r="D223" s="0" t="n">
        <f aca="true">RAND()</f>
        <v>0.0648084984701604</v>
      </c>
      <c r="E223" s="0" t="n">
        <f aca="false">IF(C223&lt;=$C$10,1,2)</f>
        <v>1</v>
      </c>
      <c r="F223" s="0" t="n">
        <f aca="false">IF(E223=1,$C$4+SQRT(D223*($C$6-$C$4)*($C$5-$C$4)),$C$6-SQRT((1-D223)*($C$6-$C$4)*($C$6-$C$5)))</f>
        <v>8.3600236060876</v>
      </c>
    </row>
    <row r="224" customFormat="false" ht="15" hidden="false" customHeight="false" outlineLevel="0" collapsed="false">
      <c r="B224" s="0" t="n">
        <v>208</v>
      </c>
      <c r="C224" s="0" t="n">
        <f aca="true">RAND()</f>
        <v>0.801976863373888</v>
      </c>
      <c r="D224" s="0" t="n">
        <f aca="true">RAND()</f>
        <v>0.111370309252142</v>
      </c>
      <c r="E224" s="0" t="n">
        <f aca="false">IF(C224&lt;=$C$10,1,2)</f>
        <v>2</v>
      </c>
      <c r="F224" s="0" t="n">
        <f aca="false">IF(E224=1,$C$4+SQRT(D224*($C$6-$C$4)*($C$5-$C$4)),$C$6-SQRT((1-D224)*($C$6-$C$4)*($C$6-$C$5)))</f>
        <v>8.66686107944606</v>
      </c>
    </row>
    <row r="225" customFormat="false" ht="15" hidden="false" customHeight="false" outlineLevel="0" collapsed="false">
      <c r="B225" s="0" t="n">
        <v>209</v>
      </c>
      <c r="C225" s="0" t="n">
        <f aca="true">RAND()</f>
        <v>0.223645853429229</v>
      </c>
      <c r="D225" s="0" t="n">
        <f aca="true">RAND()</f>
        <v>0.478265164932659</v>
      </c>
      <c r="E225" s="0" t="n">
        <f aca="false">IF(C225&lt;=$C$10,1,2)</f>
        <v>1</v>
      </c>
      <c r="F225" s="0" t="n">
        <f aca="false">IF(E225=1,$C$4+SQRT(D225*($C$6-$C$4)*($C$5-$C$4)),$C$6-SQRT((1-D225)*($C$6-$C$4)*($C$6-$C$5)))</f>
        <v>8.9780236857384</v>
      </c>
    </row>
    <row r="226" customFormat="false" ht="15" hidden="false" customHeight="false" outlineLevel="0" collapsed="false">
      <c r="B226" s="0" t="n">
        <v>210</v>
      </c>
      <c r="C226" s="0" t="n">
        <f aca="true">RAND()</f>
        <v>0.571869844093823</v>
      </c>
      <c r="D226" s="0" t="n">
        <f aca="true">RAND()</f>
        <v>0.371196456612619</v>
      </c>
      <c r="E226" s="0" t="n">
        <f aca="false">IF(C226&lt;=$C$10,1,2)</f>
        <v>2</v>
      </c>
      <c r="F226" s="0" t="n">
        <f aca="false">IF(E226=1,$C$4+SQRT(D226*($C$6-$C$4)*($C$5-$C$4)),$C$6-SQRT((1-D226)*($C$6-$C$4)*($C$6-$C$5)))</f>
        <v>8.8785691787833</v>
      </c>
    </row>
    <row r="227" customFormat="false" ht="15" hidden="false" customHeight="false" outlineLevel="0" collapsed="false">
      <c r="B227" s="0" t="n">
        <v>211</v>
      </c>
      <c r="C227" s="0" t="n">
        <f aca="true">RAND()</f>
        <v>0.214664638632058</v>
      </c>
      <c r="D227" s="0" t="n">
        <f aca="true">RAND()</f>
        <v>0.263042464165602</v>
      </c>
      <c r="E227" s="0" t="n">
        <f aca="false">IF(C227&lt;=$C$10,1,2)</f>
        <v>1</v>
      </c>
      <c r="F227" s="0" t="n">
        <f aca="false">IF(E227=1,$C$4+SQRT(D227*($C$6-$C$4)*($C$5-$C$4)),$C$6-SQRT((1-D227)*($C$6-$C$4)*($C$6-$C$5)))</f>
        <v>8.72531712259618</v>
      </c>
    </row>
    <row r="228" customFormat="false" ht="15" hidden="false" customHeight="false" outlineLevel="0" collapsed="false">
      <c r="B228" s="0" t="n">
        <v>212</v>
      </c>
      <c r="C228" s="0" t="n">
        <f aca="true">RAND()</f>
        <v>0.46717520640705</v>
      </c>
      <c r="D228" s="0" t="n">
        <f aca="true">RAND()</f>
        <v>0.0972902058316327</v>
      </c>
      <c r="E228" s="0" t="n">
        <f aca="false">IF(C228&lt;=$C$10,1,2)</f>
        <v>1</v>
      </c>
      <c r="F228" s="0" t="n">
        <f aca="false">IF(E228=1,$C$4+SQRT(D228*($C$6-$C$4)*($C$5-$C$4)),$C$6-SQRT((1-D228)*($C$6-$C$4)*($C$6-$C$5)))</f>
        <v>8.44111269723651</v>
      </c>
    </row>
    <row r="229" customFormat="false" ht="15" hidden="false" customHeight="false" outlineLevel="0" collapsed="false">
      <c r="B229" s="0" t="n">
        <v>213</v>
      </c>
      <c r="C229" s="0" t="n">
        <f aca="true">RAND()</f>
        <v>0.522499261002895</v>
      </c>
      <c r="D229" s="0" t="n">
        <f aca="true">RAND()</f>
        <v>0.563247941305761</v>
      </c>
      <c r="E229" s="0" t="n">
        <f aca="false">IF(C229&lt;=$C$10,1,2)</f>
        <v>2</v>
      </c>
      <c r="F229" s="0" t="n">
        <f aca="false">IF(E229=1,$C$4+SQRT(D229*($C$6-$C$4)*($C$5-$C$4)),$C$6-SQRT((1-D229)*($C$6-$C$4)*($C$6-$C$5)))</f>
        <v>9.06538557822572</v>
      </c>
    </row>
    <row r="230" customFormat="false" ht="15" hidden="false" customHeight="false" outlineLevel="0" collapsed="false">
      <c r="B230" s="0" t="n">
        <v>214</v>
      </c>
      <c r="C230" s="0" t="n">
        <f aca="true">RAND()</f>
        <v>0.598751026053256</v>
      </c>
      <c r="D230" s="0" t="n">
        <f aca="true">RAND()</f>
        <v>0.735389717801445</v>
      </c>
      <c r="E230" s="0" t="n">
        <f aca="false">IF(C230&lt;=$C$10,1,2)</f>
        <v>2</v>
      </c>
      <c r="F230" s="0" t="n">
        <f aca="false">IF(E230=1,$C$4+SQRT(D230*($C$6-$C$4)*($C$5-$C$4)),$C$6-SQRT((1-D230)*($C$6-$C$4)*($C$6-$C$5)))</f>
        <v>9.27252452660099</v>
      </c>
    </row>
    <row r="231" customFormat="false" ht="15" hidden="false" customHeight="false" outlineLevel="0" collapsed="false">
      <c r="B231" s="0" t="n">
        <v>215</v>
      </c>
      <c r="C231" s="0" t="n">
        <f aca="true">RAND()</f>
        <v>0.490580726072401</v>
      </c>
      <c r="D231" s="0" t="n">
        <f aca="true">RAND()</f>
        <v>0.0684618202561576</v>
      </c>
      <c r="E231" s="0" t="n">
        <f aca="false">IF(C231&lt;=$C$10,1,2)</f>
        <v>1</v>
      </c>
      <c r="F231" s="0" t="n">
        <f aca="false">IF(E231=1,$C$4+SQRT(D231*($C$6-$C$4)*($C$5-$C$4)),$C$6-SQRT((1-D231)*($C$6-$C$4)*($C$6-$C$5)))</f>
        <v>8.37003194525921</v>
      </c>
    </row>
    <row r="232" customFormat="false" ht="15" hidden="false" customHeight="false" outlineLevel="0" collapsed="false">
      <c r="B232" s="0" t="n">
        <v>216</v>
      </c>
      <c r="C232" s="0" t="n">
        <f aca="true">RAND()</f>
        <v>0.488826902240902</v>
      </c>
      <c r="D232" s="0" t="n">
        <f aca="true">RAND()</f>
        <v>0.282762572012496</v>
      </c>
      <c r="E232" s="0" t="n">
        <f aca="false">IF(C232&lt;=$C$10,1,2)</f>
        <v>1</v>
      </c>
      <c r="F232" s="0" t="n">
        <f aca="false">IF(E232=1,$C$4+SQRT(D232*($C$6-$C$4)*($C$5-$C$4)),$C$6-SQRT((1-D232)*($C$6-$C$4)*($C$6-$C$5)))</f>
        <v>8.75201405839585</v>
      </c>
    </row>
    <row r="233" customFormat="false" ht="15" hidden="false" customHeight="false" outlineLevel="0" collapsed="false">
      <c r="B233" s="0" t="n">
        <v>217</v>
      </c>
      <c r="C233" s="0" t="n">
        <f aca="true">RAND()</f>
        <v>0.92186709220025</v>
      </c>
      <c r="D233" s="0" t="n">
        <f aca="true">RAND()</f>
        <v>0.423382238383837</v>
      </c>
      <c r="E233" s="0" t="n">
        <f aca="false">IF(C233&lt;=$C$10,1,2)</f>
        <v>2</v>
      </c>
      <c r="F233" s="0" t="n">
        <f aca="false">IF(E233=1,$C$4+SQRT(D233*($C$6-$C$4)*($C$5-$C$4)),$C$6-SQRT((1-D233)*($C$6-$C$4)*($C$6-$C$5)))</f>
        <v>8.9261119596381</v>
      </c>
    </row>
    <row r="234" customFormat="false" ht="15" hidden="false" customHeight="false" outlineLevel="0" collapsed="false">
      <c r="B234" s="0" t="n">
        <v>218</v>
      </c>
      <c r="C234" s="0" t="n">
        <f aca="true">RAND()</f>
        <v>0.00478994991051623</v>
      </c>
      <c r="D234" s="0" t="n">
        <f aca="true">RAND()</f>
        <v>0.170968682273626</v>
      </c>
      <c r="E234" s="0" t="n">
        <f aca="false">IF(C234&lt;=$C$10,1,2)</f>
        <v>1</v>
      </c>
      <c r="F234" s="0" t="n">
        <f aca="false">IF(E234=1,$C$4+SQRT(D234*($C$6-$C$4)*($C$5-$C$4)),$C$6-SQRT((1-D234)*($C$6-$C$4)*($C$6-$C$5)))</f>
        <v>8.5847541060542</v>
      </c>
    </row>
    <row r="235" customFormat="false" ht="15" hidden="false" customHeight="false" outlineLevel="0" collapsed="false">
      <c r="B235" s="0" t="n">
        <v>219</v>
      </c>
      <c r="C235" s="0" t="n">
        <f aca="true">RAND()</f>
        <v>0.676078971243833</v>
      </c>
      <c r="D235" s="0" t="n">
        <f aca="true">RAND()</f>
        <v>0.976761413094534</v>
      </c>
      <c r="E235" s="0" t="n">
        <f aca="false">IF(C235&lt;=$C$10,1,2)</f>
        <v>2</v>
      </c>
      <c r="F235" s="0" t="n">
        <f aca="false">IF(E235=1,$C$4+SQRT(D235*($C$6-$C$4)*($C$5-$C$4)),$C$6-SQRT((1-D235)*($C$6-$C$4)*($C$6-$C$5)))</f>
        <v>9.78441434692695</v>
      </c>
    </row>
    <row r="236" customFormat="false" ht="15" hidden="false" customHeight="false" outlineLevel="0" collapsed="false">
      <c r="B236" s="0" t="n">
        <v>220</v>
      </c>
      <c r="C236" s="0" t="n">
        <f aca="true">RAND()</f>
        <v>0.454322092699994</v>
      </c>
      <c r="D236" s="0" t="n">
        <f aca="true">RAND()</f>
        <v>0.0383455594061773</v>
      </c>
      <c r="E236" s="0" t="n">
        <f aca="false">IF(C236&lt;=$C$10,1,2)</f>
        <v>1</v>
      </c>
      <c r="F236" s="0" t="n">
        <f aca="false">IF(E236=1,$C$4+SQRT(D236*($C$6-$C$4)*($C$5-$C$4)),$C$6-SQRT((1-D236)*($C$6-$C$4)*($C$6-$C$5)))</f>
        <v>8.27693161396337</v>
      </c>
    </row>
    <row r="237" customFormat="false" ht="15" hidden="false" customHeight="false" outlineLevel="0" collapsed="false">
      <c r="B237" s="0" t="n">
        <v>221</v>
      </c>
      <c r="C237" s="0" t="n">
        <f aca="true">RAND()</f>
        <v>0.529343999247821</v>
      </c>
      <c r="D237" s="0" t="n">
        <f aca="true">RAND()</f>
        <v>0.00689573661485318</v>
      </c>
      <c r="E237" s="0" t="n">
        <f aca="false">IF(C237&lt;=$C$10,1,2)</f>
        <v>2</v>
      </c>
      <c r="F237" s="0" t="n">
        <f aca="false">IF(E237=1,$C$4+SQRT(D237*($C$6-$C$4)*($C$5-$C$4)),$C$6-SQRT((1-D237)*($C$6-$C$4)*($C$6-$C$5)))</f>
        <v>8.59067089479771</v>
      </c>
    </row>
    <row r="238" customFormat="false" ht="15" hidden="false" customHeight="false" outlineLevel="0" collapsed="false">
      <c r="B238" s="0" t="n">
        <v>222</v>
      </c>
      <c r="C238" s="0" t="n">
        <f aca="true">RAND()</f>
        <v>0.894446252695608</v>
      </c>
      <c r="D238" s="0" t="n">
        <f aca="true">RAND()</f>
        <v>0.870063966779358</v>
      </c>
      <c r="E238" s="0" t="n">
        <f aca="false">IF(C238&lt;=$C$10,1,2)</f>
        <v>2</v>
      </c>
      <c r="F238" s="0" t="n">
        <f aca="false">IF(E238=1,$C$4+SQRT(D238*($C$6-$C$4)*($C$5-$C$4)),$C$6-SQRT((1-D238)*($C$6-$C$4)*($C$6-$C$5)))</f>
        <v>9.49022351325185</v>
      </c>
    </row>
    <row r="239" customFormat="false" ht="15" hidden="false" customHeight="false" outlineLevel="0" collapsed="false">
      <c r="B239" s="0" t="n">
        <v>223</v>
      </c>
      <c r="C239" s="0" t="n">
        <f aca="true">RAND()</f>
        <v>0.0710064610944052</v>
      </c>
      <c r="D239" s="0" t="n">
        <f aca="true">RAND()</f>
        <v>0.406783597585071</v>
      </c>
      <c r="E239" s="0" t="n">
        <f aca="false">IF(C239&lt;=$C$10,1,2)</f>
        <v>1</v>
      </c>
      <c r="F239" s="0" t="n">
        <f aca="false">IF(E239=1,$C$4+SQRT(D239*($C$6-$C$4)*($C$5-$C$4)),$C$6-SQRT((1-D239)*($C$6-$C$4)*($C$6-$C$5)))</f>
        <v>8.90197959797888</v>
      </c>
    </row>
    <row r="240" customFormat="false" ht="15" hidden="false" customHeight="false" outlineLevel="0" collapsed="false">
      <c r="B240" s="0" t="n">
        <v>224</v>
      </c>
      <c r="C240" s="0" t="n">
        <f aca="true">RAND()</f>
        <v>0.0705807422301894</v>
      </c>
      <c r="D240" s="0" t="n">
        <f aca="true">RAND()</f>
        <v>0.1217279589758</v>
      </c>
      <c r="E240" s="0" t="n">
        <f aca="false">IF(C240&lt;=$C$10,1,2)</f>
        <v>1</v>
      </c>
      <c r="F240" s="0" t="n">
        <f aca="false">IF(E240=1,$C$4+SQRT(D240*($C$6-$C$4)*($C$5-$C$4)),$C$6-SQRT((1-D240)*($C$6-$C$4)*($C$6-$C$5)))</f>
        <v>8.49341252309969</v>
      </c>
    </row>
    <row r="241" customFormat="false" ht="15" hidden="false" customHeight="false" outlineLevel="0" collapsed="false">
      <c r="B241" s="0" t="n">
        <v>225</v>
      </c>
      <c r="C241" s="0" t="n">
        <f aca="true">RAND()</f>
        <v>0.39826663929674</v>
      </c>
      <c r="D241" s="0" t="n">
        <f aca="true">RAND()</f>
        <v>0.114532639244447</v>
      </c>
      <c r="E241" s="0" t="n">
        <f aca="false">IF(C241&lt;=$C$10,1,2)</f>
        <v>1</v>
      </c>
      <c r="F241" s="0" t="n">
        <f aca="false">IF(E241=1,$C$4+SQRT(D241*($C$6-$C$4)*($C$5-$C$4)),$C$6-SQRT((1-D241)*($C$6-$C$4)*($C$6-$C$5)))</f>
        <v>8.47860764566489</v>
      </c>
    </row>
    <row r="242" customFormat="false" ht="15" hidden="false" customHeight="false" outlineLevel="0" collapsed="false">
      <c r="B242" s="0" t="n">
        <v>226</v>
      </c>
      <c r="C242" s="0" t="n">
        <f aca="true">RAND()</f>
        <v>0.790761954469784</v>
      </c>
      <c r="D242" s="0" t="n">
        <f aca="true">RAND()</f>
        <v>0.516484806601454</v>
      </c>
      <c r="E242" s="0" t="n">
        <f aca="false">IF(C242&lt;=$C$10,1,2)</f>
        <v>2</v>
      </c>
      <c r="F242" s="0" t="n">
        <f aca="false">IF(E242=1,$C$4+SQRT(D242*($C$6-$C$4)*($C$5-$C$4)),$C$6-SQRT((1-D242)*($C$6-$C$4)*($C$6-$C$5)))</f>
        <v>9.01662296813628</v>
      </c>
    </row>
    <row r="243" customFormat="false" ht="15" hidden="false" customHeight="false" outlineLevel="0" collapsed="false">
      <c r="B243" s="0" t="n">
        <v>227</v>
      </c>
      <c r="C243" s="0" t="n">
        <f aca="true">RAND()</f>
        <v>0.519931606584147</v>
      </c>
      <c r="D243" s="0" t="n">
        <f aca="true">RAND()</f>
        <v>0.581211792559768</v>
      </c>
      <c r="E243" s="0" t="n">
        <f aca="false">IF(C243&lt;=$C$10,1,2)</f>
        <v>2</v>
      </c>
      <c r="F243" s="0" t="n">
        <f aca="false">IF(E243=1,$C$4+SQRT(D243*($C$6-$C$4)*($C$5-$C$4)),$C$6-SQRT((1-D243)*($C$6-$C$4)*($C$6-$C$5)))</f>
        <v>9.084807990157</v>
      </c>
    </row>
    <row r="244" customFormat="false" ht="15" hidden="false" customHeight="false" outlineLevel="0" collapsed="false">
      <c r="B244" s="0" t="n">
        <v>228</v>
      </c>
      <c r="C244" s="0" t="n">
        <f aca="true">RAND()</f>
        <v>0.635907668250263</v>
      </c>
      <c r="D244" s="0" t="n">
        <f aca="true">RAND()</f>
        <v>0.072986811654564</v>
      </c>
      <c r="E244" s="0" t="n">
        <f aca="false">IF(C244&lt;=$C$10,1,2)</f>
        <v>2</v>
      </c>
      <c r="F244" s="0" t="n">
        <f aca="false">IF(E244=1,$C$4+SQRT(D244*($C$6-$C$4)*($C$5-$C$4)),$C$6-SQRT((1-D244)*($C$6-$C$4)*($C$6-$C$5)))</f>
        <v>8.6383736280863</v>
      </c>
    </row>
    <row r="245" customFormat="false" ht="15" hidden="false" customHeight="false" outlineLevel="0" collapsed="false">
      <c r="B245" s="0" t="n">
        <v>229</v>
      </c>
      <c r="C245" s="0" t="n">
        <f aca="true">RAND()</f>
        <v>0.253385571922072</v>
      </c>
      <c r="D245" s="0" t="n">
        <f aca="true">RAND()</f>
        <v>0.946815035120517</v>
      </c>
      <c r="E245" s="0" t="n">
        <f aca="false">IF(C245&lt;=$C$10,1,2)</f>
        <v>1</v>
      </c>
      <c r="F245" s="0" t="n">
        <f aca="false">IF(E245=1,$C$4+SQRT(D245*($C$6-$C$4)*($C$5-$C$4)),$C$6-SQRT((1-D245)*($C$6-$C$4)*($C$6-$C$5)))</f>
        <v>9.37609231893832</v>
      </c>
    </row>
    <row r="246" customFormat="false" ht="15" hidden="false" customHeight="false" outlineLevel="0" collapsed="false">
      <c r="B246" s="0" t="n">
        <v>230</v>
      </c>
      <c r="C246" s="0" t="n">
        <f aca="true">RAND()</f>
        <v>0.223863646370032</v>
      </c>
      <c r="D246" s="0" t="n">
        <f aca="true">RAND()</f>
        <v>0.855029102271071</v>
      </c>
      <c r="E246" s="0" t="n">
        <f aca="false">IF(C246&lt;=$C$10,1,2)</f>
        <v>1</v>
      </c>
      <c r="F246" s="0" t="n">
        <f aca="false">IF(E246=1,$C$4+SQRT(D246*($C$6-$C$4)*($C$5-$C$4)),$C$6-SQRT((1-D246)*($C$6-$C$4)*($C$6-$C$5)))</f>
        <v>9.30769193793574</v>
      </c>
    </row>
    <row r="247" customFormat="false" ht="15" hidden="false" customHeight="false" outlineLevel="0" collapsed="false">
      <c r="B247" s="0" t="n">
        <v>231</v>
      </c>
      <c r="C247" s="0" t="n">
        <f aca="true">RAND()</f>
        <v>0.263971748237653</v>
      </c>
      <c r="D247" s="0" t="n">
        <f aca="true">RAND()</f>
        <v>0.370477508016614</v>
      </c>
      <c r="E247" s="0" t="n">
        <f aca="false">IF(C247&lt;=$C$10,1,2)</f>
        <v>1</v>
      </c>
      <c r="F247" s="0" t="n">
        <f aca="false">IF(E247=1,$C$4+SQRT(D247*($C$6-$C$4)*($C$5-$C$4)),$C$6-SQRT((1-D247)*($C$6-$C$4)*($C$6-$C$5)))</f>
        <v>8.86078743951874</v>
      </c>
    </row>
    <row r="248" customFormat="false" ht="15" hidden="false" customHeight="false" outlineLevel="0" collapsed="false">
      <c r="B248" s="0" t="n">
        <v>232</v>
      </c>
      <c r="C248" s="0" t="n">
        <f aca="true">RAND()</f>
        <v>0.592477743555934</v>
      </c>
      <c r="D248" s="0" t="n">
        <f aca="true">RAND()</f>
        <v>0.554762114954256</v>
      </c>
      <c r="E248" s="0" t="n">
        <f aca="false">IF(C248&lt;=$C$10,1,2)</f>
        <v>2</v>
      </c>
      <c r="F248" s="0" t="n">
        <f aca="false">IF(E248=1,$C$4+SQRT(D248*($C$6-$C$4)*($C$5-$C$4)),$C$6-SQRT((1-D248)*($C$6-$C$4)*($C$6-$C$5)))</f>
        <v>9.05634976284034</v>
      </c>
    </row>
    <row r="249" customFormat="false" ht="15" hidden="false" customHeight="false" outlineLevel="0" collapsed="false">
      <c r="B249" s="0" t="n">
        <v>233</v>
      </c>
      <c r="C249" s="0" t="n">
        <f aca="true">RAND()</f>
        <v>0.858187634597025</v>
      </c>
      <c r="D249" s="0" t="n">
        <f aca="true">RAND()</f>
        <v>0.531345893783272</v>
      </c>
      <c r="E249" s="0" t="n">
        <f aca="false">IF(C249&lt;=$C$10,1,2)</f>
        <v>2</v>
      </c>
      <c r="F249" s="0" t="n">
        <f aca="false">IF(E249=1,$C$4+SQRT(D249*($C$6-$C$4)*($C$5-$C$4)),$C$6-SQRT((1-D249)*($C$6-$C$4)*($C$6-$C$5)))</f>
        <v>9.03185320718733</v>
      </c>
    </row>
    <row r="250" customFormat="false" ht="15" hidden="false" customHeight="false" outlineLevel="0" collapsed="false">
      <c r="B250" s="0" t="n">
        <v>234</v>
      </c>
      <c r="C250" s="0" t="n">
        <f aca="true">RAND()</f>
        <v>0.0881501226559725</v>
      </c>
      <c r="D250" s="0" t="n">
        <f aca="true">RAND()</f>
        <v>0.573821099039448</v>
      </c>
      <c r="E250" s="0" t="n">
        <f aca="false">IF(C250&lt;=$C$10,1,2)</f>
        <v>1</v>
      </c>
      <c r="F250" s="0" t="n">
        <f aca="false">IF(E250=1,$C$4+SQRT(D250*($C$6-$C$4)*($C$5-$C$4)),$C$6-SQRT((1-D250)*($C$6-$C$4)*($C$6-$C$5)))</f>
        <v>9.07128063460463</v>
      </c>
    </row>
    <row r="251" customFormat="false" ht="15" hidden="false" customHeight="false" outlineLevel="0" collapsed="false">
      <c r="B251" s="0" t="n">
        <v>235</v>
      </c>
      <c r="C251" s="0" t="n">
        <f aca="true">RAND()</f>
        <v>0.815266562206584</v>
      </c>
      <c r="D251" s="0" t="n">
        <f aca="true">RAND()</f>
        <v>0.801918256425573</v>
      </c>
      <c r="E251" s="0" t="n">
        <f aca="false">IF(C251&lt;=$C$10,1,2)</f>
        <v>2</v>
      </c>
      <c r="F251" s="0" t="n">
        <f aca="false">IF(E251=1,$C$4+SQRT(D251*($C$6-$C$4)*($C$5-$C$4)),$C$6-SQRT((1-D251)*($C$6-$C$4)*($C$6-$C$5)))</f>
        <v>9.37058480543535</v>
      </c>
    </row>
    <row r="252" customFormat="false" ht="15" hidden="false" customHeight="false" outlineLevel="0" collapsed="false">
      <c r="B252" s="0" t="n">
        <v>236</v>
      </c>
      <c r="C252" s="0" t="n">
        <f aca="true">RAND()</f>
        <v>0.549376244208243</v>
      </c>
      <c r="D252" s="0" t="n">
        <f aca="true">RAND()</f>
        <v>0.815316877534086</v>
      </c>
      <c r="E252" s="0" t="n">
        <f aca="false">IF(C252&lt;=$C$10,1,2)</f>
        <v>2</v>
      </c>
      <c r="F252" s="0" t="n">
        <f aca="false">IF(E252=1,$C$4+SQRT(D252*($C$6-$C$4)*($C$5-$C$4)),$C$6-SQRT((1-D252)*($C$6-$C$4)*($C$6-$C$5)))</f>
        <v>9.39224491369317</v>
      </c>
    </row>
    <row r="253" customFormat="false" ht="15" hidden="false" customHeight="false" outlineLevel="0" collapsed="false">
      <c r="B253" s="0" t="n">
        <v>237</v>
      </c>
      <c r="C253" s="0" t="n">
        <f aca="true">RAND()</f>
        <v>0.862250248462513</v>
      </c>
      <c r="D253" s="0" t="n">
        <f aca="true">RAND()</f>
        <v>0.100258640335106</v>
      </c>
      <c r="E253" s="0" t="n">
        <f aca="false">IF(C253&lt;=$C$10,1,2)</f>
        <v>2</v>
      </c>
      <c r="F253" s="0" t="n">
        <f aca="false">IF(E253=1,$C$4+SQRT(D253*($C$6-$C$4)*($C$5-$C$4)),$C$6-SQRT((1-D253)*($C$6-$C$4)*($C$6-$C$5)))</f>
        <v>8.65855200647592</v>
      </c>
    </row>
    <row r="254" customFormat="false" ht="15" hidden="false" customHeight="false" outlineLevel="0" collapsed="false">
      <c r="B254" s="0" t="n">
        <v>238</v>
      </c>
      <c r="C254" s="0" t="n">
        <f aca="true">RAND()</f>
        <v>0.613512643551911</v>
      </c>
      <c r="D254" s="0" t="n">
        <f aca="true">RAND()</f>
        <v>0.10924343816174</v>
      </c>
      <c r="E254" s="0" t="n">
        <f aca="false">IF(C254&lt;=$C$10,1,2)</f>
        <v>2</v>
      </c>
      <c r="F254" s="0" t="n">
        <f aca="false">IF(E254=1,$C$4+SQRT(D254*($C$6-$C$4)*($C$5-$C$4)),$C$6-SQRT((1-D254)*($C$6-$C$4)*($C$6-$C$5)))</f>
        <v>8.66526664697532</v>
      </c>
    </row>
    <row r="255" customFormat="false" ht="15" hidden="false" customHeight="false" outlineLevel="0" collapsed="false">
      <c r="B255" s="0" t="n">
        <v>239</v>
      </c>
      <c r="C255" s="0" t="n">
        <f aca="true">RAND()</f>
        <v>0.554082464200223</v>
      </c>
      <c r="D255" s="0" t="n">
        <f aca="true">RAND()</f>
        <v>0.155921692003588</v>
      </c>
      <c r="E255" s="0" t="n">
        <f aca="false">IF(C255&lt;=$C$10,1,2)</f>
        <v>2</v>
      </c>
      <c r="F255" s="0" t="n">
        <f aca="false">IF(E255=1,$C$4+SQRT(D255*($C$6-$C$4)*($C$5-$C$4)),$C$6-SQRT((1-D255)*($C$6-$C$4)*($C$6-$C$5)))</f>
        <v>8.70070918728992</v>
      </c>
    </row>
    <row r="256" customFormat="false" ht="15" hidden="false" customHeight="false" outlineLevel="0" collapsed="false">
      <c r="B256" s="0" t="n">
        <v>240</v>
      </c>
      <c r="C256" s="0" t="n">
        <f aca="true">RAND()</f>
        <v>0.629714316438357</v>
      </c>
      <c r="D256" s="0" t="n">
        <f aca="true">RAND()</f>
        <v>0.738996291889605</v>
      </c>
      <c r="E256" s="0" t="n">
        <f aca="false">IF(C256&lt;=$C$10,1,2)</f>
        <v>2</v>
      </c>
      <c r="F256" s="0" t="n">
        <f aca="false">IF(E256=1,$C$4+SQRT(D256*($C$6-$C$4)*($C$5-$C$4)),$C$6-SQRT((1-D256)*($C$6-$C$4)*($C$6-$C$5)))</f>
        <v>9.27749919292724</v>
      </c>
    </row>
    <row r="257" customFormat="false" ht="15" hidden="false" customHeight="false" outlineLevel="0" collapsed="false">
      <c r="B257" s="0" t="n">
        <v>241</v>
      </c>
      <c r="C257" s="0" t="n">
        <f aca="true">RAND()</f>
        <v>0.719911705666159</v>
      </c>
      <c r="D257" s="0" t="n">
        <f aca="true">RAND()</f>
        <v>0.210049666877066</v>
      </c>
      <c r="E257" s="0" t="n">
        <f aca="false">IF(C257&lt;=$C$10,1,2)</f>
        <v>2</v>
      </c>
      <c r="F257" s="0" t="n">
        <f aca="false">IF(E257=1,$C$4+SQRT(D257*($C$6-$C$4)*($C$5-$C$4)),$C$6-SQRT((1-D257)*($C$6-$C$4)*($C$6-$C$5)))</f>
        <v>8.74305900446924</v>
      </c>
    </row>
    <row r="258" customFormat="false" ht="15" hidden="false" customHeight="false" outlineLevel="0" collapsed="false">
      <c r="B258" s="0" t="n">
        <v>242</v>
      </c>
      <c r="C258" s="0" t="n">
        <f aca="true">RAND()</f>
        <v>0.632835732973341</v>
      </c>
      <c r="D258" s="0" t="n">
        <f aca="true">RAND()</f>
        <v>0.114424909722731</v>
      </c>
      <c r="E258" s="0" t="n">
        <f aca="false">IF(C258&lt;=$C$10,1,2)</f>
        <v>2</v>
      </c>
      <c r="F258" s="0" t="n">
        <f aca="false">IF(E258=1,$C$4+SQRT(D258*($C$6-$C$4)*($C$5-$C$4)),$C$6-SQRT((1-D258)*($C$6-$C$4)*($C$6-$C$5)))</f>
        <v>8.66915433631298</v>
      </c>
    </row>
    <row r="259" customFormat="false" ht="15" hidden="false" customHeight="false" outlineLevel="0" collapsed="false">
      <c r="B259" s="0" t="n">
        <v>243</v>
      </c>
      <c r="C259" s="0" t="n">
        <f aca="true">RAND()</f>
        <v>0.440915676564617</v>
      </c>
      <c r="D259" s="0" t="n">
        <f aca="true">RAND()</f>
        <v>0.577934119613995</v>
      </c>
      <c r="E259" s="0" t="n">
        <f aca="false">IF(C259&lt;=$C$10,1,2)</f>
        <v>1</v>
      </c>
      <c r="F259" s="0" t="n">
        <f aca="false">IF(E259=1,$C$4+SQRT(D259*($C$6-$C$4)*($C$5-$C$4)),$C$6-SQRT((1-D259)*($C$6-$C$4)*($C$6-$C$5)))</f>
        <v>9.07511312857205</v>
      </c>
    </row>
    <row r="260" customFormat="false" ht="15" hidden="false" customHeight="false" outlineLevel="0" collapsed="false">
      <c r="B260" s="0" t="n">
        <v>244</v>
      </c>
      <c r="C260" s="0" t="n">
        <f aca="true">RAND()</f>
        <v>0.153078431696552</v>
      </c>
      <c r="D260" s="0" t="n">
        <f aca="true">RAND()</f>
        <v>0.771683483003979</v>
      </c>
      <c r="E260" s="0" t="n">
        <f aca="false">IF(C260&lt;=$C$10,1,2)</f>
        <v>1</v>
      </c>
      <c r="F260" s="0" t="n">
        <f aca="false">IF(E260=1,$C$4+SQRT(D260*($C$6-$C$4)*($C$5-$C$4)),$C$6-SQRT((1-D260)*($C$6-$C$4)*($C$6-$C$5)))</f>
        <v>9.24232321318084</v>
      </c>
    </row>
    <row r="261" customFormat="false" ht="15" hidden="false" customHeight="false" outlineLevel="0" collapsed="false">
      <c r="B261" s="0" t="n">
        <v>245</v>
      </c>
      <c r="C261" s="0" t="n">
        <f aca="true">RAND()</f>
        <v>0.996807086257161</v>
      </c>
      <c r="D261" s="0" t="n">
        <f aca="true">RAND()</f>
        <v>0.488707284311555</v>
      </c>
      <c r="E261" s="0" t="n">
        <f aca="false">IF(C261&lt;=$C$10,1,2)</f>
        <v>2</v>
      </c>
      <c r="F261" s="0" t="n">
        <f aca="false">IF(E261=1,$C$4+SQRT(D261*($C$6-$C$4)*($C$5-$C$4)),$C$6-SQRT((1-D261)*($C$6-$C$4)*($C$6-$C$5)))</f>
        <v>8.98877033697736</v>
      </c>
    </row>
    <row r="262" customFormat="false" ht="15" hidden="false" customHeight="false" outlineLevel="0" collapsed="false">
      <c r="B262" s="0" t="n">
        <v>246</v>
      </c>
      <c r="C262" s="0" t="n">
        <f aca="true">RAND()</f>
        <v>0.974001923737296</v>
      </c>
      <c r="D262" s="0" t="n">
        <f aca="true">RAND()</f>
        <v>0.186899852236569</v>
      </c>
      <c r="E262" s="0" t="n">
        <f aca="false">IF(C262&lt;=$C$10,1,2)</f>
        <v>2</v>
      </c>
      <c r="F262" s="0" t="n">
        <f aca="false">IF(E262=1,$C$4+SQRT(D262*($C$6-$C$4)*($C$5-$C$4)),$C$6-SQRT((1-D262)*($C$6-$C$4)*($C$6-$C$5)))</f>
        <v>8.72477441386755</v>
      </c>
    </row>
    <row r="263" customFormat="false" ht="15" hidden="false" customHeight="false" outlineLevel="0" collapsed="false">
      <c r="B263" s="0" t="n">
        <v>247</v>
      </c>
      <c r="C263" s="0" t="n">
        <f aca="true">RAND()</f>
        <v>0.0733642236120566</v>
      </c>
      <c r="D263" s="0" t="n">
        <f aca="true">RAND()</f>
        <v>0.138654936534096</v>
      </c>
      <c r="E263" s="0" t="n">
        <f aca="false">IF(C263&lt;=$C$10,1,2)</f>
        <v>1</v>
      </c>
      <c r="F263" s="0" t="n">
        <f aca="false">IF(E263=1,$C$4+SQRT(D263*($C$6-$C$4)*($C$5-$C$4)),$C$6-SQRT((1-D263)*($C$6-$C$4)*($C$6-$C$5)))</f>
        <v>8.52660219622424</v>
      </c>
    </row>
    <row r="264" customFormat="false" ht="15" hidden="false" customHeight="false" outlineLevel="0" collapsed="false">
      <c r="B264" s="0" t="n">
        <v>248</v>
      </c>
      <c r="C264" s="0" t="n">
        <f aca="true">RAND()</f>
        <v>0.499251273949803</v>
      </c>
      <c r="D264" s="0" t="n">
        <f aca="true">RAND()</f>
        <v>0.990405501970334</v>
      </c>
      <c r="E264" s="0" t="n">
        <f aca="false">IF(C264&lt;=$C$10,1,2)</f>
        <v>1</v>
      </c>
      <c r="F264" s="0" t="n">
        <f aca="false">IF(E264=1,$C$4+SQRT(D264*($C$6-$C$4)*($C$5-$C$4)),$C$6-SQRT((1-D264)*($C$6-$C$4)*($C$6-$C$5)))</f>
        <v>9.40741287614569</v>
      </c>
    </row>
    <row r="265" customFormat="false" ht="15" hidden="false" customHeight="false" outlineLevel="0" collapsed="false">
      <c r="B265" s="0" t="n">
        <v>249</v>
      </c>
      <c r="C265" s="0" t="n">
        <f aca="true">RAND()</f>
        <v>0.570860377150557</v>
      </c>
      <c r="D265" s="0" t="n">
        <f aca="true">RAND()</f>
        <v>0.974428119902906</v>
      </c>
      <c r="E265" s="0" t="n">
        <f aca="false">IF(C265&lt;=$C$10,1,2)</f>
        <v>2</v>
      </c>
      <c r="F265" s="0" t="n">
        <f aca="false">IF(E265=1,$C$4+SQRT(D265*($C$6-$C$4)*($C$5-$C$4)),$C$6-SQRT((1-D265)*($C$6-$C$4)*($C$6-$C$5)))</f>
        <v>9.77385013775333</v>
      </c>
    </row>
    <row r="266" customFormat="false" ht="15" hidden="false" customHeight="false" outlineLevel="0" collapsed="false">
      <c r="B266" s="0" t="n">
        <v>250</v>
      </c>
      <c r="C266" s="0" t="n">
        <f aca="true">RAND()</f>
        <v>0.979896640501667</v>
      </c>
      <c r="D266" s="0" t="n">
        <f aca="true">RAND()</f>
        <v>0.593803691972979</v>
      </c>
      <c r="E266" s="0" t="n">
        <f aca="false">IF(C266&lt;=$C$10,1,2)</f>
        <v>2</v>
      </c>
      <c r="F266" s="0" t="n">
        <f aca="false">IF(E266=1,$C$4+SQRT(D266*($C$6-$C$4)*($C$5-$C$4)),$C$6-SQRT((1-D266)*($C$6-$C$4)*($C$6-$C$5)))</f>
        <v>9.09867174899816</v>
      </c>
    </row>
    <row r="267" customFormat="false" ht="15" hidden="false" customHeight="false" outlineLevel="0" collapsed="false">
      <c r="B267" s="0" t="n">
        <v>251</v>
      </c>
      <c r="C267" s="0" t="n">
        <f aca="true">RAND()</f>
        <v>0.686704745179628</v>
      </c>
      <c r="D267" s="0" t="n">
        <f aca="true">RAND()</f>
        <v>0.796576129334986</v>
      </c>
      <c r="E267" s="0" t="n">
        <f aca="false">IF(C267&lt;=$C$10,1,2)</f>
        <v>2</v>
      </c>
      <c r="F267" s="0" t="n">
        <f aca="false">IF(E267=1,$C$4+SQRT(D267*($C$6-$C$4)*($C$5-$C$4)),$C$6-SQRT((1-D267)*($C$6-$C$4)*($C$6-$C$5)))</f>
        <v>9.36215382627939</v>
      </c>
    </row>
    <row r="268" customFormat="false" ht="15" hidden="false" customHeight="false" outlineLevel="0" collapsed="false">
      <c r="B268" s="0" t="n">
        <v>252</v>
      </c>
      <c r="C268" s="0" t="n">
        <f aca="true">RAND()</f>
        <v>0.53819954861737</v>
      </c>
      <c r="D268" s="0" t="n">
        <f aca="true">RAND()</f>
        <v>0.163231053782752</v>
      </c>
      <c r="E268" s="0" t="n">
        <f aca="false">IF(C268&lt;=$C$10,1,2)</f>
        <v>2</v>
      </c>
      <c r="F268" s="0" t="n">
        <f aca="false">IF(E268=1,$C$4+SQRT(D268*($C$6-$C$4)*($C$5-$C$4)),$C$6-SQRT((1-D268)*($C$6-$C$4)*($C$6-$C$5)))</f>
        <v>8.70634707419861</v>
      </c>
    </row>
    <row r="269" customFormat="false" ht="15" hidden="false" customHeight="false" outlineLevel="0" collapsed="false">
      <c r="B269" s="0" t="n">
        <v>253</v>
      </c>
      <c r="C269" s="0" t="n">
        <f aca="true">RAND()</f>
        <v>0.819029420440489</v>
      </c>
      <c r="D269" s="0" t="n">
        <f aca="true">RAND()</f>
        <v>0.858075920364731</v>
      </c>
      <c r="E269" s="0" t="n">
        <f aca="false">IF(C269&lt;=$C$10,1,2)</f>
        <v>2</v>
      </c>
      <c r="F269" s="0" t="n">
        <f aca="false">IF(E269=1,$C$4+SQRT(D269*($C$6-$C$4)*($C$5-$C$4)),$C$6-SQRT((1-D269)*($C$6-$C$4)*($C$6-$C$5)))</f>
        <v>9.46722597729381</v>
      </c>
    </row>
    <row r="270" customFormat="false" ht="15" hidden="false" customHeight="false" outlineLevel="0" collapsed="false">
      <c r="B270" s="0" t="n">
        <v>254</v>
      </c>
      <c r="C270" s="0" t="n">
        <f aca="true">RAND()</f>
        <v>0.571875959026753</v>
      </c>
      <c r="D270" s="0" t="n">
        <f aca="true">RAND()</f>
        <v>0.713301505755066</v>
      </c>
      <c r="E270" s="0" t="n">
        <f aca="false">IF(C270&lt;=$C$10,1,2)</f>
        <v>2</v>
      </c>
      <c r="F270" s="0" t="n">
        <f aca="false">IF(E270=1,$C$4+SQRT(D270*($C$6-$C$4)*($C$5-$C$4)),$C$6-SQRT((1-D270)*($C$6-$C$4)*($C$6-$C$5)))</f>
        <v>9.24277018779642</v>
      </c>
    </row>
    <row r="271" customFormat="false" ht="15" hidden="false" customHeight="false" outlineLevel="0" collapsed="false">
      <c r="B271" s="0" t="n">
        <v>255</v>
      </c>
      <c r="C271" s="0" t="n">
        <f aca="true">RAND()</f>
        <v>0.919619176238031</v>
      </c>
      <c r="D271" s="0" t="n">
        <f aca="true">RAND()</f>
        <v>0.104720034525378</v>
      </c>
      <c r="E271" s="0" t="n">
        <f aca="false">IF(C271&lt;=$C$10,1,2)</f>
        <v>2</v>
      </c>
      <c r="F271" s="0" t="n">
        <f aca="false">IF(E271=1,$C$4+SQRT(D271*($C$6-$C$4)*($C$5-$C$4)),$C$6-SQRT((1-D271)*($C$6-$C$4)*($C$6-$C$5)))</f>
        <v>8.66188194431536</v>
      </c>
    </row>
    <row r="272" customFormat="false" ht="15" hidden="false" customHeight="false" outlineLevel="0" collapsed="false">
      <c r="B272" s="0" t="n">
        <v>256</v>
      </c>
      <c r="C272" s="0" t="n">
        <f aca="true">RAND()</f>
        <v>0.0324200764178377</v>
      </c>
      <c r="D272" s="0" t="n">
        <f aca="true">RAND()</f>
        <v>0.964922631808505</v>
      </c>
      <c r="E272" s="0" t="n">
        <f aca="false">IF(C272&lt;=$C$10,1,2)</f>
        <v>1</v>
      </c>
      <c r="F272" s="0" t="n">
        <f aca="false">IF(E272=1,$C$4+SQRT(D272*($C$6-$C$4)*($C$5-$C$4)),$C$6-SQRT((1-D272)*($C$6-$C$4)*($C$6-$C$5)))</f>
        <v>9.38918870698585</v>
      </c>
    </row>
    <row r="273" customFormat="false" ht="15" hidden="false" customHeight="false" outlineLevel="0" collapsed="false">
      <c r="B273" s="0" t="n">
        <v>257</v>
      </c>
      <c r="C273" s="0" t="n">
        <f aca="true">RAND()</f>
        <v>0.452721083599815</v>
      </c>
      <c r="D273" s="0" t="n">
        <f aca="true">RAND()</f>
        <v>0.87927180356465</v>
      </c>
      <c r="E273" s="0" t="n">
        <f aca="false">IF(C273&lt;=$C$10,1,2)</f>
        <v>1</v>
      </c>
      <c r="F273" s="0" t="n">
        <f aca="false">IF(E273=1,$C$4+SQRT(D273*($C$6-$C$4)*($C$5-$C$4)),$C$6-SQRT((1-D273)*($C$6-$C$4)*($C$6-$C$5)))</f>
        <v>9.32610090382644</v>
      </c>
    </row>
    <row r="274" customFormat="false" ht="15" hidden="false" customHeight="false" outlineLevel="0" collapsed="false">
      <c r="B274" s="0" t="n">
        <v>258</v>
      </c>
      <c r="C274" s="0" t="n">
        <f aca="true">RAND()</f>
        <v>0.454958088984326</v>
      </c>
      <c r="D274" s="0" t="n">
        <f aca="true">RAND()</f>
        <v>0.899102126035799</v>
      </c>
      <c r="E274" s="0" t="n">
        <f aca="false">IF(C274&lt;=$C$10,1,2)</f>
        <v>1</v>
      </c>
      <c r="F274" s="0" t="n">
        <f aca="false">IF(E274=1,$C$4+SQRT(D274*($C$6-$C$4)*($C$5-$C$4)),$C$6-SQRT((1-D274)*($C$6-$C$4)*($C$6-$C$5)))</f>
        <v>9.34097138376313</v>
      </c>
    </row>
    <row r="275" customFormat="false" ht="15" hidden="false" customHeight="false" outlineLevel="0" collapsed="false">
      <c r="B275" s="0" t="n">
        <v>259</v>
      </c>
      <c r="C275" s="0" t="n">
        <f aca="true">RAND()</f>
        <v>0.739765600552963</v>
      </c>
      <c r="D275" s="0" t="n">
        <f aca="true">RAND()</f>
        <v>0.261408146683727</v>
      </c>
      <c r="E275" s="0" t="n">
        <f aca="false">IF(C275&lt;=$C$10,1,2)</f>
        <v>2</v>
      </c>
      <c r="F275" s="0" t="n">
        <f aca="false">IF(E275=1,$C$4+SQRT(D275*($C$6-$C$4)*($C$5-$C$4)),$C$6-SQRT((1-D275)*($C$6-$C$4)*($C$6-$C$5)))</f>
        <v>8.78460553455574</v>
      </c>
    </row>
    <row r="276" customFormat="false" ht="15" hidden="false" customHeight="false" outlineLevel="0" collapsed="false">
      <c r="B276" s="0" t="n">
        <v>260</v>
      </c>
      <c r="C276" s="0" t="n">
        <f aca="true">RAND()</f>
        <v>0.273595699517196</v>
      </c>
      <c r="D276" s="0" t="n">
        <f aca="true">RAND()</f>
        <v>0.024087331293001</v>
      </c>
      <c r="E276" s="0" t="n">
        <f aca="false">IF(C276&lt;=$C$10,1,2)</f>
        <v>1</v>
      </c>
      <c r="F276" s="0" t="n">
        <f aca="false">IF(E276=1,$C$4+SQRT(D276*($C$6-$C$4)*($C$5-$C$4)),$C$6-SQRT((1-D276)*($C$6-$C$4)*($C$6-$C$5)))</f>
        <v>8.21948727203645</v>
      </c>
    </row>
    <row r="277" customFormat="false" ht="15" hidden="false" customHeight="false" outlineLevel="0" collapsed="false">
      <c r="B277" s="0" t="n">
        <v>261</v>
      </c>
      <c r="C277" s="0" t="n">
        <f aca="true">RAND()</f>
        <v>0.983615718669267</v>
      </c>
      <c r="D277" s="0" t="n">
        <f aca="true">RAND()</f>
        <v>0.514902911096342</v>
      </c>
      <c r="E277" s="0" t="n">
        <f aca="false">IF(C277&lt;=$C$10,1,2)</f>
        <v>2</v>
      </c>
      <c r="F277" s="0" t="n">
        <f aca="false">IF(E277=1,$C$4+SQRT(D277*($C$6-$C$4)*($C$5-$C$4)),$C$6-SQRT((1-D277)*($C$6-$C$4)*($C$6-$C$5)))</f>
        <v>9.01501564590735</v>
      </c>
    </row>
    <row r="278" customFormat="false" ht="15" hidden="false" customHeight="false" outlineLevel="0" collapsed="false">
      <c r="B278" s="0" t="n">
        <v>262</v>
      </c>
      <c r="C278" s="0" t="n">
        <f aca="true">RAND()</f>
        <v>0.896496048820461</v>
      </c>
      <c r="D278" s="0" t="n">
        <f aca="true">RAND()</f>
        <v>0.155296837883667</v>
      </c>
      <c r="E278" s="0" t="n">
        <f aca="false">IF(C278&lt;=$C$10,1,2)</f>
        <v>2</v>
      </c>
      <c r="F278" s="0" t="n">
        <f aca="false">IF(E278=1,$C$4+SQRT(D278*($C$6-$C$4)*($C$5-$C$4)),$C$6-SQRT((1-D278)*($C$6-$C$4)*($C$6-$C$5)))</f>
        <v>8.70022835689008</v>
      </c>
    </row>
    <row r="279" customFormat="false" ht="15" hidden="false" customHeight="false" outlineLevel="0" collapsed="false">
      <c r="B279" s="0" t="n">
        <v>263</v>
      </c>
      <c r="C279" s="0" t="n">
        <f aca="true">RAND()</f>
        <v>0.159457874025876</v>
      </c>
      <c r="D279" s="0" t="n">
        <f aca="true">RAND()</f>
        <v>0.22951244906941</v>
      </c>
      <c r="E279" s="0" t="n">
        <f aca="false">IF(C279&lt;=$C$10,1,2)</f>
        <v>1</v>
      </c>
      <c r="F279" s="0" t="n">
        <f aca="false">IF(E279=1,$C$4+SQRT(D279*($C$6-$C$4)*($C$5-$C$4)),$C$6-SQRT((1-D279)*($C$6-$C$4)*($C$6-$C$5)))</f>
        <v>8.6775137623243</v>
      </c>
    </row>
    <row r="280" customFormat="false" ht="15" hidden="false" customHeight="false" outlineLevel="0" collapsed="false">
      <c r="B280" s="0" t="n">
        <v>264</v>
      </c>
      <c r="C280" s="0" t="n">
        <f aca="true">RAND()</f>
        <v>0.0686865307239448</v>
      </c>
      <c r="D280" s="0" t="n">
        <f aca="true">RAND()</f>
        <v>0.0292345754040434</v>
      </c>
      <c r="E280" s="0" t="n">
        <f aca="false">IF(C280&lt;=$C$10,1,2)</f>
        <v>1</v>
      </c>
      <c r="F280" s="0" t="n">
        <f aca="false">IF(E280=1,$C$4+SQRT(D280*($C$6-$C$4)*($C$5-$C$4)),$C$6-SQRT((1-D280)*($C$6-$C$4)*($C$6-$C$5)))</f>
        <v>8.24180395118378</v>
      </c>
    </row>
    <row r="281" customFormat="false" ht="15" hidden="false" customHeight="false" outlineLevel="0" collapsed="false">
      <c r="B281" s="0" t="n">
        <v>265</v>
      </c>
      <c r="C281" s="0" t="n">
        <f aca="true">RAND()</f>
        <v>0.134340238269754</v>
      </c>
      <c r="D281" s="0" t="n">
        <f aca="true">RAND()</f>
        <v>0.624658518715245</v>
      </c>
      <c r="E281" s="0" t="n">
        <f aca="false">IF(C281&lt;=$C$10,1,2)</f>
        <v>1</v>
      </c>
      <c r="F281" s="0" t="n">
        <f aca="false">IF(E281=1,$C$4+SQRT(D281*($C$6-$C$4)*($C$5-$C$4)),$C$6-SQRT((1-D281)*($C$6-$C$4)*($C$6-$C$5)))</f>
        <v>9.11772851687272</v>
      </c>
    </row>
    <row r="282" customFormat="false" ht="15" hidden="false" customHeight="false" outlineLevel="0" collapsed="false">
      <c r="B282" s="0" t="n">
        <v>266</v>
      </c>
      <c r="C282" s="0" t="n">
        <f aca="true">RAND()</f>
        <v>0.763546576343827</v>
      </c>
      <c r="D282" s="0" t="n">
        <f aca="true">RAND()</f>
        <v>0.865663203470508</v>
      </c>
      <c r="E282" s="0" t="n">
        <f aca="false">IF(C282&lt;=$C$10,1,2)</f>
        <v>2</v>
      </c>
      <c r="F282" s="0" t="n">
        <f aca="false">IF(E282=1,$C$4+SQRT(D282*($C$6-$C$4)*($C$5-$C$4)),$C$6-SQRT((1-D282)*($C$6-$C$4)*($C$6-$C$5)))</f>
        <v>9.48166266480314</v>
      </c>
    </row>
    <row r="283" customFormat="false" ht="15" hidden="false" customHeight="false" outlineLevel="0" collapsed="false">
      <c r="B283" s="0" t="n">
        <v>267</v>
      </c>
      <c r="C283" s="0" t="n">
        <f aca="true">RAND()</f>
        <v>0.310492400845851</v>
      </c>
      <c r="D283" s="0" t="n">
        <f aca="true">RAND()</f>
        <v>0.975256647844251</v>
      </c>
      <c r="E283" s="0" t="n">
        <f aca="false">IF(C283&lt;=$C$10,1,2)</f>
        <v>1</v>
      </c>
      <c r="F283" s="0" t="n">
        <f aca="false">IF(E283=1,$C$4+SQRT(D283*($C$6-$C$4)*($C$5-$C$4)),$C$6-SQRT((1-D283)*($C$6-$C$4)*($C$6-$C$5)))</f>
        <v>9.39660778162249</v>
      </c>
    </row>
    <row r="284" customFormat="false" ht="15" hidden="false" customHeight="false" outlineLevel="0" collapsed="false">
      <c r="B284" s="0" t="n">
        <v>268</v>
      </c>
      <c r="C284" s="0" t="n">
        <f aca="true">RAND()</f>
        <v>0.905711232369237</v>
      </c>
      <c r="D284" s="0" t="n">
        <f aca="true">RAND()</f>
        <v>0.543906830530329</v>
      </c>
      <c r="E284" s="0" t="n">
        <f aca="false">IF(C284&lt;=$C$10,1,2)</f>
        <v>2</v>
      </c>
      <c r="F284" s="0" t="n">
        <f aca="false">IF(E284=1,$C$4+SQRT(D284*($C$6-$C$4)*($C$5-$C$4)),$C$6-SQRT((1-D284)*($C$6-$C$4)*($C$6-$C$5)))</f>
        <v>9.04491553308655</v>
      </c>
    </row>
    <row r="285" customFormat="false" ht="15" hidden="false" customHeight="false" outlineLevel="0" collapsed="false">
      <c r="B285" s="0" t="n">
        <v>269</v>
      </c>
      <c r="C285" s="0" t="n">
        <f aca="true">RAND()</f>
        <v>0.367122656152937</v>
      </c>
      <c r="D285" s="0" t="n">
        <f aca="true">RAND()</f>
        <v>0.495924195015876</v>
      </c>
      <c r="E285" s="0" t="n">
        <f aca="false">IF(C285&lt;=$C$10,1,2)</f>
        <v>1</v>
      </c>
      <c r="F285" s="0" t="n">
        <f aca="false">IF(E285=1,$C$4+SQRT(D285*($C$6-$C$4)*($C$5-$C$4)),$C$6-SQRT((1-D285)*($C$6-$C$4)*($C$6-$C$5)))</f>
        <v>8.99591585489526</v>
      </c>
    </row>
    <row r="286" customFormat="false" ht="15" hidden="false" customHeight="false" outlineLevel="0" collapsed="false">
      <c r="B286" s="0" t="n">
        <v>270</v>
      </c>
      <c r="C286" s="0" t="n">
        <f aca="true">RAND()</f>
        <v>0.190225392037084</v>
      </c>
      <c r="D286" s="0" t="n">
        <f aca="true">RAND()</f>
        <v>0.715629414435974</v>
      </c>
      <c r="E286" s="0" t="n">
        <f aca="false">IF(C286&lt;=$C$10,1,2)</f>
        <v>1</v>
      </c>
      <c r="F286" s="0" t="n">
        <f aca="false">IF(E286=1,$C$4+SQRT(D286*($C$6-$C$4)*($C$5-$C$4)),$C$6-SQRT((1-D286)*($C$6-$C$4)*($C$6-$C$5)))</f>
        <v>9.19635230131929</v>
      </c>
    </row>
    <row r="287" customFormat="false" ht="15" hidden="false" customHeight="false" outlineLevel="0" collapsed="false">
      <c r="B287" s="0" t="n">
        <v>271</v>
      </c>
      <c r="C287" s="0" t="n">
        <f aca="true">RAND()</f>
        <v>0.347716269362538</v>
      </c>
      <c r="D287" s="0" t="n">
        <f aca="true">RAND()</f>
        <v>0.849200119376777</v>
      </c>
      <c r="E287" s="0" t="n">
        <f aca="false">IF(C287&lt;=$C$10,1,2)</f>
        <v>1</v>
      </c>
      <c r="F287" s="0" t="n">
        <f aca="false">IF(E287=1,$C$4+SQRT(D287*($C$6-$C$4)*($C$5-$C$4)),$C$6-SQRT((1-D287)*($C$6-$C$4)*($C$6-$C$5)))</f>
        <v>9.30322685621252</v>
      </c>
    </row>
    <row r="288" customFormat="false" ht="15" hidden="false" customHeight="false" outlineLevel="0" collapsed="false">
      <c r="B288" s="0" t="n">
        <v>272</v>
      </c>
      <c r="C288" s="0" t="n">
        <f aca="true">RAND()</f>
        <v>0.20640985127428</v>
      </c>
      <c r="D288" s="0" t="n">
        <f aca="true">RAND()</f>
        <v>0.335587571370184</v>
      </c>
      <c r="E288" s="0" t="n">
        <f aca="false">IF(C288&lt;=$C$10,1,2)</f>
        <v>1</v>
      </c>
      <c r="F288" s="0" t="n">
        <f aca="false">IF(E288=1,$C$4+SQRT(D288*($C$6-$C$4)*($C$5-$C$4)),$C$6-SQRT((1-D288)*($C$6-$C$4)*($C$6-$C$5)))</f>
        <v>8.81925279538148</v>
      </c>
    </row>
    <row r="289" customFormat="false" ht="15" hidden="false" customHeight="false" outlineLevel="0" collapsed="false">
      <c r="B289" s="0" t="n">
        <v>273</v>
      </c>
      <c r="C289" s="0" t="n">
        <f aca="true">RAND()</f>
        <v>0.808931598811914</v>
      </c>
      <c r="D289" s="0" t="n">
        <f aca="true">RAND()</f>
        <v>0.209739145685585</v>
      </c>
      <c r="E289" s="0" t="n">
        <f aca="false">IF(C289&lt;=$C$10,1,2)</f>
        <v>2</v>
      </c>
      <c r="F289" s="0" t="n">
        <f aca="false">IF(E289=1,$C$4+SQRT(D289*($C$6-$C$4)*($C$5-$C$4)),$C$6-SQRT((1-D289)*($C$6-$C$4)*($C$6-$C$5)))</f>
        <v>8.74281198358049</v>
      </c>
    </row>
    <row r="290" customFormat="false" ht="15" hidden="false" customHeight="false" outlineLevel="0" collapsed="false">
      <c r="B290" s="0" t="n">
        <v>274</v>
      </c>
      <c r="C290" s="0" t="n">
        <f aca="true">RAND()</f>
        <v>0.309911601584258</v>
      </c>
      <c r="D290" s="0" t="n">
        <f aca="true">RAND()</f>
        <v>0.621695048220889</v>
      </c>
      <c r="E290" s="0" t="n">
        <f aca="false">IF(C290&lt;=$C$10,1,2)</f>
        <v>1</v>
      </c>
      <c r="F290" s="0" t="n">
        <f aca="false">IF(E290=1,$C$4+SQRT(D290*($C$6-$C$4)*($C$5-$C$4)),$C$6-SQRT((1-D290)*($C$6-$C$4)*($C$6-$C$5)))</f>
        <v>9.11507403182111</v>
      </c>
    </row>
    <row r="291" customFormat="false" ht="15" hidden="false" customHeight="false" outlineLevel="0" collapsed="false">
      <c r="B291" s="0" t="n">
        <v>275</v>
      </c>
      <c r="C291" s="0" t="n">
        <f aca="true">RAND()</f>
        <v>0.116989251248472</v>
      </c>
      <c r="D291" s="0" t="n">
        <f aca="true">RAND()</f>
        <v>0.55583761415773</v>
      </c>
      <c r="E291" s="0" t="n">
        <f aca="false">IF(C291&lt;=$C$10,1,2)</f>
        <v>1</v>
      </c>
      <c r="F291" s="0" t="n">
        <f aca="false">IF(E291=1,$C$4+SQRT(D291*($C$6-$C$4)*($C$5-$C$4)),$C$6-SQRT((1-D291)*($C$6-$C$4)*($C$6-$C$5)))</f>
        <v>9.05436010371953</v>
      </c>
    </row>
    <row r="292" customFormat="false" ht="15" hidden="false" customHeight="false" outlineLevel="0" collapsed="false">
      <c r="B292" s="0" t="n">
        <v>276</v>
      </c>
      <c r="C292" s="0" t="n">
        <f aca="true">RAND()</f>
        <v>0.632553564352738</v>
      </c>
      <c r="D292" s="0" t="n">
        <f aca="true">RAND()</f>
        <v>0.961657309425498</v>
      </c>
      <c r="E292" s="0" t="n">
        <f aca="false">IF(C292&lt;=$C$10,1,2)</f>
        <v>2</v>
      </c>
      <c r="F292" s="0" t="n">
        <f aca="false">IF(E292=1,$C$4+SQRT(D292*($C$6-$C$4)*($C$5-$C$4)),$C$6-SQRT((1-D292)*($C$6-$C$4)*($C$6-$C$5)))</f>
        <v>9.72307874558098</v>
      </c>
    </row>
    <row r="293" customFormat="false" ht="15" hidden="false" customHeight="false" outlineLevel="0" collapsed="false">
      <c r="B293" s="0" t="n">
        <v>277</v>
      </c>
      <c r="C293" s="0" t="n">
        <f aca="true">RAND()</f>
        <v>0.263143924873813</v>
      </c>
      <c r="D293" s="0" t="n">
        <f aca="true">RAND()</f>
        <v>0.492777634004777</v>
      </c>
      <c r="E293" s="0" t="n">
        <f aca="false">IF(C293&lt;=$C$10,1,2)</f>
        <v>1</v>
      </c>
      <c r="F293" s="0" t="n">
        <f aca="false">IF(E293=1,$C$4+SQRT(D293*($C$6-$C$4)*($C$5-$C$4)),$C$6-SQRT((1-D293)*($C$6-$C$4)*($C$6-$C$5)))</f>
        <v>8.99275136263294</v>
      </c>
    </row>
    <row r="294" customFormat="false" ht="15" hidden="false" customHeight="false" outlineLevel="0" collapsed="false">
      <c r="B294" s="0" t="n">
        <v>278</v>
      </c>
      <c r="C294" s="0" t="n">
        <f aca="true">RAND()</f>
        <v>0.81564950620454</v>
      </c>
      <c r="D294" s="0" t="n">
        <f aca="true">RAND()</f>
        <v>0.492142920401243</v>
      </c>
      <c r="E294" s="0" t="n">
        <f aca="false">IF(C294&lt;=$C$10,1,2)</f>
        <v>2</v>
      </c>
      <c r="F294" s="0" t="n">
        <f aca="false">IF(E294=1,$C$4+SQRT(D294*($C$6-$C$4)*($C$5-$C$4)),$C$6-SQRT((1-D294)*($C$6-$C$4)*($C$6-$C$5)))</f>
        <v>8.99217354708387</v>
      </c>
    </row>
    <row r="295" customFormat="false" ht="15" hidden="false" customHeight="false" outlineLevel="0" collapsed="false">
      <c r="B295" s="0" t="n">
        <v>279</v>
      </c>
      <c r="C295" s="0" t="n">
        <f aca="true">RAND()</f>
        <v>0.987941413231747</v>
      </c>
      <c r="D295" s="0" t="n">
        <f aca="true">RAND()</f>
        <v>0.501916450247411</v>
      </c>
      <c r="E295" s="0" t="n">
        <f aca="false">IF(C295&lt;=$C$10,1,2)</f>
        <v>2</v>
      </c>
      <c r="F295" s="0" t="n">
        <f aca="false">IF(E295=1,$C$4+SQRT(D295*($C$6-$C$4)*($C$5-$C$4)),$C$6-SQRT((1-D295)*($C$6-$C$4)*($C$6-$C$5)))</f>
        <v>9.00191829016599</v>
      </c>
    </row>
    <row r="296" customFormat="false" ht="15" hidden="false" customHeight="false" outlineLevel="0" collapsed="false">
      <c r="B296" s="0" t="n">
        <v>280</v>
      </c>
      <c r="C296" s="0" t="n">
        <f aca="true">RAND()</f>
        <v>0.581501628870158</v>
      </c>
      <c r="D296" s="0" t="n">
        <f aca="true">RAND()</f>
        <v>0.636986661515076</v>
      </c>
      <c r="E296" s="0" t="n">
        <f aca="false">IF(C296&lt;=$C$10,1,2)</f>
        <v>2</v>
      </c>
      <c r="F296" s="0" t="n">
        <f aca="false">IF(E296=1,$C$4+SQRT(D296*($C$6-$C$4)*($C$5-$C$4)),$C$6-SQRT((1-D296)*($C$6-$C$4)*($C$6-$C$5)))</f>
        <v>9.14792800951454</v>
      </c>
    </row>
    <row r="297" customFormat="false" ht="15" hidden="false" customHeight="false" outlineLevel="0" collapsed="false">
      <c r="B297" s="0" t="n">
        <v>281</v>
      </c>
      <c r="C297" s="0" t="n">
        <f aca="true">RAND()</f>
        <v>0.250451032692707</v>
      </c>
      <c r="D297" s="0" t="n">
        <f aca="true">RAND()</f>
        <v>0.587317808881447</v>
      </c>
      <c r="E297" s="0" t="n">
        <f aca="false">IF(C297&lt;=$C$10,1,2)</f>
        <v>1</v>
      </c>
      <c r="F297" s="0" t="n">
        <f aca="false">IF(E297=1,$C$4+SQRT(D297*($C$6-$C$4)*($C$5-$C$4)),$C$6-SQRT((1-D297)*($C$6-$C$4)*($C$6-$C$5)))</f>
        <v>9.08380607940853</v>
      </c>
    </row>
    <row r="298" customFormat="false" ht="15" hidden="false" customHeight="false" outlineLevel="0" collapsed="false">
      <c r="B298" s="0" t="n">
        <v>282</v>
      </c>
      <c r="C298" s="0" t="n">
        <f aca="true">RAND()</f>
        <v>0.255854051806519</v>
      </c>
      <c r="D298" s="0" t="n">
        <f aca="true">RAND()</f>
        <v>0.890095606049171</v>
      </c>
      <c r="E298" s="0" t="n">
        <f aca="false">IF(C298&lt;=$C$10,1,2)</f>
        <v>1</v>
      </c>
      <c r="F298" s="0" t="n">
        <f aca="false">IF(E298=1,$C$4+SQRT(D298*($C$6-$C$4)*($C$5-$C$4)),$C$6-SQRT((1-D298)*($C$6-$C$4)*($C$6-$C$5)))</f>
        <v>9.33423806425178</v>
      </c>
    </row>
    <row r="299" customFormat="false" ht="15" hidden="false" customHeight="false" outlineLevel="0" collapsed="false">
      <c r="B299" s="0" t="n">
        <v>283</v>
      </c>
      <c r="C299" s="0" t="n">
        <f aca="true">RAND()</f>
        <v>0.806747619899378</v>
      </c>
      <c r="D299" s="0" t="n">
        <f aca="true">RAND()</f>
        <v>0.53307058624574</v>
      </c>
      <c r="E299" s="0" t="n">
        <f aca="false">IF(C299&lt;=$C$10,1,2)</f>
        <v>2</v>
      </c>
      <c r="F299" s="0" t="n">
        <f aca="false">IF(E299=1,$C$4+SQRT(D299*($C$6-$C$4)*($C$5-$C$4)),$C$6-SQRT((1-D299)*($C$6-$C$4)*($C$6-$C$5)))</f>
        <v>9.03363628611763</v>
      </c>
    </row>
    <row r="300" customFormat="false" ht="15" hidden="false" customHeight="false" outlineLevel="0" collapsed="false">
      <c r="B300" s="0" t="n">
        <v>284</v>
      </c>
      <c r="C300" s="0" t="n">
        <f aca="true">RAND()</f>
        <v>0.78131114589447</v>
      </c>
      <c r="D300" s="0" t="n">
        <f aca="true">RAND()</f>
        <v>0.140640023429552</v>
      </c>
      <c r="E300" s="0" t="n">
        <f aca="false">IF(C300&lt;=$C$10,1,2)</f>
        <v>2</v>
      </c>
      <c r="F300" s="0" t="n">
        <f aca="false">IF(E300=1,$C$4+SQRT(D300*($C$6-$C$4)*($C$5-$C$4)),$C$6-SQRT((1-D300)*($C$6-$C$4)*($C$6-$C$5)))</f>
        <v>8.68900039925983</v>
      </c>
    </row>
    <row r="301" customFormat="false" ht="15" hidden="false" customHeight="false" outlineLevel="0" collapsed="false">
      <c r="B301" s="0" t="n">
        <v>285</v>
      </c>
      <c r="C301" s="0" t="n">
        <f aca="true">RAND()</f>
        <v>0.707345177457661</v>
      </c>
      <c r="D301" s="0" t="n">
        <f aca="true">RAND()</f>
        <v>0.633199454945352</v>
      </c>
      <c r="E301" s="0" t="n">
        <f aca="false">IF(C301&lt;=$C$10,1,2)</f>
        <v>2</v>
      </c>
      <c r="F301" s="0" t="n">
        <f aca="false">IF(E301=1,$C$4+SQRT(D301*($C$6-$C$4)*($C$5-$C$4)),$C$6-SQRT((1-D301)*($C$6-$C$4)*($C$6-$C$5)))</f>
        <v>9.14349483941467</v>
      </c>
    </row>
    <row r="302" customFormat="false" ht="15" hidden="false" customHeight="false" outlineLevel="0" collapsed="false">
      <c r="B302" s="0" t="n">
        <v>286</v>
      </c>
      <c r="C302" s="0" t="n">
        <f aca="true">RAND()</f>
        <v>0.542667872423987</v>
      </c>
      <c r="D302" s="0" t="n">
        <f aca="true">RAND()</f>
        <v>0.319747499337572</v>
      </c>
      <c r="E302" s="0" t="n">
        <f aca="false">IF(C302&lt;=$C$10,1,2)</f>
        <v>2</v>
      </c>
      <c r="F302" s="0" t="n">
        <f aca="false">IF(E302=1,$C$4+SQRT(D302*($C$6-$C$4)*($C$5-$C$4)),$C$6-SQRT((1-D302)*($C$6-$C$4)*($C$6-$C$5)))</f>
        <v>8.83359312359501</v>
      </c>
    </row>
    <row r="303" customFormat="false" ht="15" hidden="false" customHeight="false" outlineLevel="0" collapsed="false">
      <c r="B303" s="0" t="n">
        <v>287</v>
      </c>
      <c r="C303" s="0" t="n">
        <f aca="true">RAND()</f>
        <v>0.0129503061617763</v>
      </c>
      <c r="D303" s="0" t="n">
        <f aca="true">RAND()</f>
        <v>0.942264249525365</v>
      </c>
      <c r="E303" s="0" t="n">
        <f aca="false">IF(C303&lt;=$C$10,1,2)</f>
        <v>1</v>
      </c>
      <c r="F303" s="0" t="n">
        <f aca="false">IF(E303=1,$C$4+SQRT(D303*($C$6-$C$4)*($C$5-$C$4)),$C$6-SQRT((1-D303)*($C$6-$C$4)*($C$6-$C$5)))</f>
        <v>9.37278130051758</v>
      </c>
    </row>
    <row r="304" customFormat="false" ht="15" hidden="false" customHeight="false" outlineLevel="0" collapsed="false">
      <c r="B304" s="0" t="n">
        <v>288</v>
      </c>
      <c r="C304" s="0" t="n">
        <f aca="true">RAND()</f>
        <v>0.851159920224274</v>
      </c>
      <c r="D304" s="0" t="n">
        <f aca="true">RAND()</f>
        <v>0.685418692473725</v>
      </c>
      <c r="E304" s="0" t="n">
        <f aca="false">IF(C304&lt;=$C$10,1,2)</f>
        <v>2</v>
      </c>
      <c r="F304" s="0" t="n">
        <f aca="false">IF(E304=1,$C$4+SQRT(D304*($C$6-$C$4)*($C$5-$C$4)),$C$6-SQRT((1-D304)*($C$6-$C$4)*($C$6-$C$5)))</f>
        <v>9.20680228501808</v>
      </c>
    </row>
    <row r="305" customFormat="false" ht="15" hidden="false" customHeight="false" outlineLevel="0" collapsed="false">
      <c r="B305" s="0" t="n">
        <v>289</v>
      </c>
      <c r="C305" s="0" t="n">
        <f aca="true">RAND()</f>
        <v>0.784535840915451</v>
      </c>
      <c r="D305" s="0" t="n">
        <f aca="true">RAND()</f>
        <v>0.375906309139558</v>
      </c>
      <c r="E305" s="0" t="n">
        <f aca="false">IF(C305&lt;=$C$10,1,2)</f>
        <v>2</v>
      </c>
      <c r="F305" s="0" t="n">
        <f aca="false">IF(E305=1,$C$4+SQRT(D305*($C$6-$C$4)*($C$5-$C$4)),$C$6-SQRT((1-D305)*($C$6-$C$4)*($C$6-$C$5)))</f>
        <v>8.8827769328729</v>
      </c>
    </row>
    <row r="306" customFormat="false" ht="15" hidden="false" customHeight="false" outlineLevel="0" collapsed="false">
      <c r="B306" s="0" t="n">
        <v>290</v>
      </c>
      <c r="C306" s="0" t="n">
        <f aca="true">RAND()</f>
        <v>0.100926085794162</v>
      </c>
      <c r="D306" s="0" t="n">
        <f aca="true">RAND()</f>
        <v>0.107301553260334</v>
      </c>
      <c r="E306" s="0" t="n">
        <f aca="false">IF(C306&lt;=$C$10,1,2)</f>
        <v>1</v>
      </c>
      <c r="F306" s="0" t="n">
        <f aca="false">IF(E306=1,$C$4+SQRT(D306*($C$6-$C$4)*($C$5-$C$4)),$C$6-SQRT((1-D306)*($C$6-$C$4)*($C$6-$C$5)))</f>
        <v>8.46325274583176</v>
      </c>
    </row>
    <row r="307" customFormat="false" ht="15" hidden="false" customHeight="false" outlineLevel="0" collapsed="false">
      <c r="B307" s="0" t="n">
        <v>291</v>
      </c>
      <c r="C307" s="0" t="n">
        <f aca="true">RAND()</f>
        <v>0.354834111107141</v>
      </c>
      <c r="D307" s="0" t="n">
        <f aca="true">RAND()</f>
        <v>0.0548558895368204</v>
      </c>
      <c r="E307" s="0" t="n">
        <f aca="false">IF(C307&lt;=$C$10,1,2)</f>
        <v>1</v>
      </c>
      <c r="F307" s="0" t="n">
        <f aca="false">IF(E307=1,$C$4+SQRT(D307*($C$6-$C$4)*($C$5-$C$4)),$C$6-SQRT((1-D307)*($C$6-$C$4)*($C$6-$C$5)))</f>
        <v>8.33122768464251</v>
      </c>
    </row>
    <row r="308" customFormat="false" ht="15" hidden="false" customHeight="false" outlineLevel="0" collapsed="false">
      <c r="B308" s="0" t="n">
        <v>292</v>
      </c>
      <c r="C308" s="0" t="n">
        <f aca="true">RAND()</f>
        <v>0.375449262803427</v>
      </c>
      <c r="D308" s="0" t="n">
        <f aca="true">RAND()</f>
        <v>0.574619715653979</v>
      </c>
      <c r="E308" s="0" t="n">
        <f aca="false">IF(C308&lt;=$C$10,1,2)</f>
        <v>1</v>
      </c>
      <c r="F308" s="0" t="n">
        <f aca="false">IF(E308=1,$C$4+SQRT(D308*($C$6-$C$4)*($C$5-$C$4)),$C$6-SQRT((1-D308)*($C$6-$C$4)*($C$6-$C$5)))</f>
        <v>9.07202585384307</v>
      </c>
    </row>
    <row r="309" customFormat="false" ht="15" hidden="false" customHeight="false" outlineLevel="0" collapsed="false">
      <c r="B309" s="0" t="n">
        <v>293</v>
      </c>
      <c r="C309" s="0" t="n">
        <f aca="true">RAND()</f>
        <v>0.237857786936463</v>
      </c>
      <c r="D309" s="0" t="n">
        <f aca="true">RAND()</f>
        <v>0.493974343192064</v>
      </c>
      <c r="E309" s="0" t="n">
        <f aca="false">IF(C309&lt;=$C$10,1,2)</f>
        <v>1</v>
      </c>
      <c r="F309" s="0" t="n">
        <f aca="false">IF(E309=1,$C$4+SQRT(D309*($C$6-$C$4)*($C$5-$C$4)),$C$6-SQRT((1-D309)*($C$6-$C$4)*($C$6-$C$5)))</f>
        <v>8.99395607869972</v>
      </c>
    </row>
    <row r="310" customFormat="false" ht="15" hidden="false" customHeight="false" outlineLevel="0" collapsed="false">
      <c r="B310" s="0" t="n">
        <v>294</v>
      </c>
      <c r="C310" s="0" t="n">
        <f aca="true">RAND()</f>
        <v>0.830533320164682</v>
      </c>
      <c r="D310" s="0" t="n">
        <f aca="true">RAND()</f>
        <v>0.713103736216123</v>
      </c>
      <c r="E310" s="0" t="n">
        <f aca="false">IF(C310&lt;=$C$10,1,2)</f>
        <v>2</v>
      </c>
      <c r="F310" s="0" t="n">
        <f aca="false">IF(E310=1,$C$4+SQRT(D310*($C$6-$C$4)*($C$5-$C$4)),$C$6-SQRT((1-D310)*($C$6-$C$4)*($C$6-$C$5)))</f>
        <v>9.24250905776521</v>
      </c>
    </row>
    <row r="311" customFormat="false" ht="15" hidden="false" customHeight="false" outlineLevel="0" collapsed="false">
      <c r="B311" s="0" t="n">
        <v>295</v>
      </c>
      <c r="C311" s="0" t="n">
        <f aca="true">RAND()</f>
        <v>0.529186514608641</v>
      </c>
      <c r="D311" s="0" t="n">
        <f aca="true">RAND()</f>
        <v>0.938194042368814</v>
      </c>
      <c r="E311" s="0" t="n">
        <f aca="false">IF(C311&lt;=$C$10,1,2)</f>
        <v>2</v>
      </c>
      <c r="F311" s="0" t="n">
        <f aca="false">IF(E311=1,$C$4+SQRT(D311*($C$6-$C$4)*($C$5-$C$4)),$C$6-SQRT((1-D311)*($C$6-$C$4)*($C$6-$C$5)))</f>
        <v>9.64841513789361</v>
      </c>
    </row>
    <row r="312" customFormat="false" ht="15" hidden="false" customHeight="false" outlineLevel="0" collapsed="false">
      <c r="B312" s="0" t="n">
        <v>296</v>
      </c>
      <c r="C312" s="0" t="n">
        <f aca="true">RAND()</f>
        <v>0.297246107128417</v>
      </c>
      <c r="D312" s="0" t="n">
        <f aca="true">RAND()</f>
        <v>0.274614734806038</v>
      </c>
      <c r="E312" s="0" t="n">
        <f aca="false">IF(C312&lt;=$C$10,1,2)</f>
        <v>1</v>
      </c>
      <c r="F312" s="0" t="n">
        <f aca="false">IF(E312=1,$C$4+SQRT(D312*($C$6-$C$4)*($C$5-$C$4)),$C$6-SQRT((1-D312)*($C$6-$C$4)*($C$6-$C$5)))</f>
        <v>8.74110017515318</v>
      </c>
    </row>
    <row r="313" customFormat="false" ht="15" hidden="false" customHeight="false" outlineLevel="0" collapsed="false">
      <c r="B313" s="0" t="n">
        <v>297</v>
      </c>
      <c r="C313" s="0" t="n">
        <f aca="true">RAND()</f>
        <v>0.793405206988519</v>
      </c>
      <c r="D313" s="0" t="n">
        <f aca="true">RAND()</f>
        <v>0.191382842706498</v>
      </c>
      <c r="E313" s="0" t="n">
        <f aca="false">IF(C313&lt;=$C$10,1,2)</f>
        <v>2</v>
      </c>
      <c r="F313" s="0" t="n">
        <f aca="false">IF(E313=1,$C$4+SQRT(D313*($C$6-$C$4)*($C$5-$C$4)),$C$6-SQRT((1-D313)*($C$6-$C$4)*($C$6-$C$5)))</f>
        <v>8.72829472180579</v>
      </c>
    </row>
    <row r="314" customFormat="false" ht="15" hidden="false" customHeight="false" outlineLevel="0" collapsed="false">
      <c r="B314" s="0" t="n">
        <v>298</v>
      </c>
      <c r="C314" s="0" t="n">
        <f aca="true">RAND()</f>
        <v>0.352822447023398</v>
      </c>
      <c r="D314" s="0" t="n">
        <f aca="true">RAND()</f>
        <v>0.485117708635869</v>
      </c>
      <c r="E314" s="0" t="n">
        <f aca="false">IF(C314&lt;=$C$10,1,2)</f>
        <v>1</v>
      </c>
      <c r="F314" s="0" t="n">
        <f aca="false">IF(E314=1,$C$4+SQRT(D314*($C$6-$C$4)*($C$5-$C$4)),$C$6-SQRT((1-D314)*($C$6-$C$4)*($C$6-$C$5)))</f>
        <v>8.985005287941</v>
      </c>
    </row>
    <row r="315" customFormat="false" ht="15" hidden="false" customHeight="false" outlineLevel="0" collapsed="false">
      <c r="B315" s="0" t="n">
        <v>299</v>
      </c>
      <c r="C315" s="0" t="n">
        <f aca="true">RAND()</f>
        <v>0.659577663728519</v>
      </c>
      <c r="D315" s="0" t="n">
        <f aca="true">RAND()</f>
        <v>0.0881674381450965</v>
      </c>
      <c r="E315" s="0" t="n">
        <f aca="false">IF(C315&lt;=$C$10,1,2)</f>
        <v>2</v>
      </c>
      <c r="F315" s="0" t="n">
        <f aca="false">IF(E315=1,$C$4+SQRT(D315*($C$6-$C$4)*($C$5-$C$4)),$C$6-SQRT((1-D315)*($C$6-$C$4)*($C$6-$C$5)))</f>
        <v>8.64956854164685</v>
      </c>
    </row>
    <row r="316" customFormat="false" ht="15" hidden="false" customHeight="false" outlineLevel="0" collapsed="false">
      <c r="B316" s="0" t="n">
        <v>300</v>
      </c>
      <c r="C316" s="0" t="n">
        <f aca="true">RAND()</f>
        <v>0.519279193497736</v>
      </c>
      <c r="D316" s="0" t="n">
        <f aca="true">RAND()</f>
        <v>0.203819731608031</v>
      </c>
      <c r="E316" s="0" t="n">
        <f aca="false">IF(C316&lt;=$C$10,1,2)</f>
        <v>2</v>
      </c>
      <c r="F316" s="0" t="n">
        <f aca="false">IF(E316=1,$C$4+SQRT(D316*($C$6-$C$4)*($C$5-$C$4)),$C$6-SQRT((1-D316)*($C$6-$C$4)*($C$6-$C$5)))</f>
        <v>8.73811231213553</v>
      </c>
    </row>
    <row r="317" customFormat="false" ht="15" hidden="false" customHeight="false" outlineLevel="0" collapsed="false">
      <c r="B317" s="0" t="n">
        <v>301</v>
      </c>
      <c r="C317" s="0" t="n">
        <f aca="true">RAND()</f>
        <v>0.840284235234267</v>
      </c>
      <c r="D317" s="0" t="n">
        <f aca="true">RAND()</f>
        <v>0.159715700061826</v>
      </c>
      <c r="E317" s="0" t="n">
        <f aca="false">IF(C317&lt;=$C$10,1,2)</f>
        <v>2</v>
      </c>
      <c r="F317" s="0" t="n">
        <f aca="false">IF(E317=1,$C$4+SQRT(D317*($C$6-$C$4)*($C$5-$C$4)),$C$6-SQRT((1-D317)*($C$6-$C$4)*($C$6-$C$5)))</f>
        <v>8.70363253671023</v>
      </c>
    </row>
    <row r="318" customFormat="false" ht="15" hidden="false" customHeight="false" outlineLevel="0" collapsed="false">
      <c r="B318" s="0" t="n">
        <v>302</v>
      </c>
      <c r="C318" s="0" t="n">
        <f aca="true">RAND()</f>
        <v>0.891703564939</v>
      </c>
      <c r="D318" s="0" t="n">
        <f aca="true">RAND()</f>
        <v>0.348974970287701</v>
      </c>
      <c r="E318" s="0" t="n">
        <f aca="false">IF(C318&lt;=$C$10,1,2)</f>
        <v>2</v>
      </c>
      <c r="F318" s="0" t="n">
        <f aca="false">IF(E318=1,$C$4+SQRT(D318*($C$6-$C$4)*($C$5-$C$4)),$C$6-SQRT((1-D318)*($C$6-$C$4)*($C$6-$C$5)))</f>
        <v>8.85892591852036</v>
      </c>
    </row>
    <row r="319" customFormat="false" ht="15" hidden="false" customHeight="false" outlineLevel="0" collapsed="false">
      <c r="B319" s="0" t="n">
        <v>303</v>
      </c>
      <c r="C319" s="0" t="n">
        <f aca="true">RAND()</f>
        <v>0.545736126839508</v>
      </c>
      <c r="D319" s="0" t="n">
        <f aca="true">RAND()</f>
        <v>0.798822409393346</v>
      </c>
      <c r="E319" s="0" t="n">
        <f aca="false">IF(C319&lt;=$C$10,1,2)</f>
        <v>2</v>
      </c>
      <c r="F319" s="0" t="n">
        <f aca="false">IF(E319=1,$C$4+SQRT(D319*($C$6-$C$4)*($C$5-$C$4)),$C$6-SQRT((1-D319)*($C$6-$C$4)*($C$6-$C$5)))</f>
        <v>9.36568526643841</v>
      </c>
    </row>
    <row r="320" customFormat="false" ht="15" hidden="false" customHeight="false" outlineLevel="0" collapsed="false">
      <c r="B320" s="0" t="n">
        <v>304</v>
      </c>
      <c r="C320" s="0" t="n">
        <f aca="true">RAND()</f>
        <v>0.392717783986996</v>
      </c>
      <c r="D320" s="0" t="n">
        <f aca="true">RAND()</f>
        <v>0.442706351852154</v>
      </c>
      <c r="E320" s="0" t="n">
        <f aca="false">IF(C320&lt;=$C$10,1,2)</f>
        <v>1</v>
      </c>
      <c r="F320" s="0" t="n">
        <f aca="false">IF(E320=1,$C$4+SQRT(D320*($C$6-$C$4)*($C$5-$C$4)),$C$6-SQRT((1-D320)*($C$6-$C$4)*($C$6-$C$5)))</f>
        <v>8.94096371008892</v>
      </c>
    </row>
    <row r="321" customFormat="false" ht="15" hidden="false" customHeight="false" outlineLevel="0" collapsed="false">
      <c r="B321" s="0" t="n">
        <v>305</v>
      </c>
      <c r="C321" s="0" t="n">
        <f aca="true">RAND()</f>
        <v>0.649029875144821</v>
      </c>
      <c r="D321" s="0" t="n">
        <f aca="true">RAND()</f>
        <v>0.273840050079041</v>
      </c>
      <c r="E321" s="0" t="n">
        <f aca="false">IF(C321&lt;=$C$10,1,2)</f>
        <v>2</v>
      </c>
      <c r="F321" s="0" t="n">
        <f aca="false">IF(E321=1,$C$4+SQRT(D321*($C$6-$C$4)*($C$5-$C$4)),$C$6-SQRT((1-D321)*($C$6-$C$4)*($C$6-$C$5)))</f>
        <v>8.79487764113269</v>
      </c>
    </row>
    <row r="322" customFormat="false" ht="15" hidden="false" customHeight="false" outlineLevel="0" collapsed="false">
      <c r="B322" s="0" t="n">
        <v>306</v>
      </c>
      <c r="C322" s="0" t="n">
        <f aca="true">RAND()</f>
        <v>0.452541396967329</v>
      </c>
      <c r="D322" s="0" t="n">
        <f aca="true">RAND()</f>
        <v>0.390939153418621</v>
      </c>
      <c r="E322" s="0" t="n">
        <f aca="false">IF(C322&lt;=$C$10,1,2)</f>
        <v>1</v>
      </c>
      <c r="F322" s="0" t="n">
        <f aca="false">IF(E322=1,$C$4+SQRT(D322*($C$6-$C$4)*($C$5-$C$4)),$C$6-SQRT((1-D322)*($C$6-$C$4)*($C$6-$C$5)))</f>
        <v>8.88423882907122</v>
      </c>
    </row>
    <row r="323" customFormat="false" ht="15" hidden="false" customHeight="false" outlineLevel="0" collapsed="false">
      <c r="B323" s="0" t="n">
        <v>307</v>
      </c>
      <c r="C323" s="0" t="n">
        <f aca="true">RAND()</f>
        <v>0.732590898177243</v>
      </c>
      <c r="D323" s="0" t="n">
        <f aca="true">RAND()</f>
        <v>0.310891845174975</v>
      </c>
      <c r="E323" s="0" t="n">
        <f aca="false">IF(C323&lt;=$C$10,1,2)</f>
        <v>2</v>
      </c>
      <c r="F323" s="0" t="n">
        <f aca="false">IF(E323=1,$C$4+SQRT(D323*($C$6-$C$4)*($C$5-$C$4)),$C$6-SQRT((1-D323)*($C$6-$C$4)*($C$6-$C$5)))</f>
        <v>8.82602542205972</v>
      </c>
    </row>
    <row r="324" customFormat="false" ht="15" hidden="false" customHeight="false" outlineLevel="0" collapsed="false">
      <c r="B324" s="0" t="n">
        <v>308</v>
      </c>
      <c r="C324" s="0" t="n">
        <f aca="true">RAND()</f>
        <v>0.145939839176553</v>
      </c>
      <c r="D324" s="0" t="n">
        <f aca="true">RAND()</f>
        <v>0.298903791374315</v>
      </c>
      <c r="E324" s="0" t="n">
        <f aca="false">IF(C324&lt;=$C$10,1,2)</f>
        <v>1</v>
      </c>
      <c r="F324" s="0" t="n">
        <f aca="false">IF(E324=1,$C$4+SQRT(D324*($C$6-$C$4)*($C$5-$C$4)),$C$6-SQRT((1-D324)*($C$6-$C$4)*($C$6-$C$5)))</f>
        <v>8.77318017482902</v>
      </c>
    </row>
    <row r="325" customFormat="false" ht="15" hidden="false" customHeight="false" outlineLevel="0" collapsed="false">
      <c r="B325" s="0" t="n">
        <v>309</v>
      </c>
      <c r="C325" s="0" t="n">
        <f aca="true">RAND()</f>
        <v>0.786028811575984</v>
      </c>
      <c r="D325" s="0" t="n">
        <f aca="true">RAND()</f>
        <v>0.429539680211822</v>
      </c>
      <c r="E325" s="0" t="n">
        <f aca="false">IF(C325&lt;=$C$10,1,2)</f>
        <v>2</v>
      </c>
      <c r="F325" s="0" t="n">
        <f aca="false">IF(E325=1,$C$4+SQRT(D325*($C$6-$C$4)*($C$5-$C$4)),$C$6-SQRT((1-D325)*($C$6-$C$4)*($C$6-$C$5)))</f>
        <v>8.93186113282197</v>
      </c>
    </row>
    <row r="326" customFormat="false" ht="15" hidden="false" customHeight="false" outlineLevel="0" collapsed="false">
      <c r="B326" s="0" t="n">
        <v>310</v>
      </c>
      <c r="C326" s="0" t="n">
        <f aca="true">RAND()</f>
        <v>0.0609395130881867</v>
      </c>
      <c r="D326" s="0" t="n">
        <f aca="true">RAND()</f>
        <v>0.225912458907514</v>
      </c>
      <c r="E326" s="0" t="n">
        <f aca="false">IF(C326&lt;=$C$10,1,2)</f>
        <v>1</v>
      </c>
      <c r="F326" s="0" t="n">
        <f aca="false">IF(E326=1,$C$4+SQRT(D326*($C$6-$C$4)*($C$5-$C$4)),$C$6-SQRT((1-D326)*($C$6-$C$4)*($C$6-$C$5)))</f>
        <v>8.67217923042521</v>
      </c>
    </row>
    <row r="327" customFormat="false" ht="15" hidden="false" customHeight="false" outlineLevel="0" collapsed="false">
      <c r="B327" s="0" t="n">
        <v>311</v>
      </c>
      <c r="C327" s="0" t="n">
        <f aca="true">RAND()</f>
        <v>0.0731552020344463</v>
      </c>
      <c r="D327" s="0" t="n">
        <f aca="true">RAND()</f>
        <v>0.479466740952868</v>
      </c>
      <c r="E327" s="0" t="n">
        <f aca="false">IF(C327&lt;=$C$10,1,2)</f>
        <v>1</v>
      </c>
      <c r="F327" s="0" t="n">
        <f aca="false">IF(E327=1,$C$4+SQRT(D327*($C$6-$C$4)*($C$5-$C$4)),$C$6-SQRT((1-D327)*($C$6-$C$4)*($C$6-$C$5)))</f>
        <v>8.97925149063238</v>
      </c>
    </row>
    <row r="328" customFormat="false" ht="15" hidden="false" customHeight="false" outlineLevel="0" collapsed="false">
      <c r="B328" s="0" t="n">
        <v>312</v>
      </c>
      <c r="C328" s="0" t="n">
        <f aca="true">RAND()</f>
        <v>0.923575453508924</v>
      </c>
      <c r="D328" s="0" t="n">
        <f aca="true">RAND()</f>
        <v>0.947859794912394</v>
      </c>
      <c r="E328" s="0" t="n">
        <f aca="false">IF(C328&lt;=$C$10,1,2)</f>
        <v>2</v>
      </c>
      <c r="F328" s="0" t="n">
        <f aca="false">IF(E328=1,$C$4+SQRT(D328*($C$6-$C$4)*($C$5-$C$4)),$C$6-SQRT((1-D328)*($C$6-$C$4)*($C$6-$C$5)))</f>
        <v>9.67707522520684</v>
      </c>
    </row>
    <row r="329" customFormat="false" ht="15" hidden="false" customHeight="false" outlineLevel="0" collapsed="false">
      <c r="B329" s="0" t="n">
        <v>313</v>
      </c>
      <c r="C329" s="0" t="n">
        <f aca="true">RAND()</f>
        <v>0.101299858001341</v>
      </c>
      <c r="D329" s="0" t="n">
        <f aca="true">RAND()</f>
        <v>0.577867025542066</v>
      </c>
      <c r="E329" s="0" t="n">
        <f aca="false">IF(C329&lt;=$C$10,1,2)</f>
        <v>1</v>
      </c>
      <c r="F329" s="0" t="n">
        <f aca="false">IF(E329=1,$C$4+SQRT(D329*($C$6-$C$4)*($C$5-$C$4)),$C$6-SQRT((1-D329)*($C$6-$C$4)*($C$6-$C$5)))</f>
        <v>9.07505072023795</v>
      </c>
    </row>
    <row r="330" customFormat="false" ht="15" hidden="false" customHeight="false" outlineLevel="0" collapsed="false">
      <c r="B330" s="0" t="n">
        <v>314</v>
      </c>
      <c r="C330" s="0" t="n">
        <f aca="true">RAND()</f>
        <v>0.462519756910306</v>
      </c>
      <c r="D330" s="0" t="n">
        <f aca="true">RAND()</f>
        <v>0.181094884357645</v>
      </c>
      <c r="E330" s="0" t="n">
        <f aca="false">IF(C330&lt;=$C$10,1,2)</f>
        <v>1</v>
      </c>
      <c r="F330" s="0" t="n">
        <f aca="false">IF(E330=1,$C$4+SQRT(D330*($C$6-$C$4)*($C$5-$C$4)),$C$6-SQRT((1-D330)*($C$6-$C$4)*($C$6-$C$5)))</f>
        <v>8.60182204073571</v>
      </c>
    </row>
    <row r="331" customFormat="false" ht="15" hidden="false" customHeight="false" outlineLevel="0" collapsed="false">
      <c r="B331" s="0" t="n">
        <v>315</v>
      </c>
      <c r="C331" s="0" t="n">
        <f aca="true">RAND()</f>
        <v>0.937862449300386</v>
      </c>
      <c r="D331" s="0" t="n">
        <f aca="true">RAND()</f>
        <v>0.011063977731145</v>
      </c>
      <c r="E331" s="0" t="n">
        <f aca="false">IF(C331&lt;=$C$10,1,2)</f>
        <v>2</v>
      </c>
      <c r="F331" s="0" t="n">
        <f aca="false">IF(E331=1,$C$4+SQRT(D331*($C$6-$C$4)*($C$5-$C$4)),$C$6-SQRT((1-D331)*($C$6-$C$4)*($C$6-$C$5)))</f>
        <v>8.59363161137001</v>
      </c>
    </row>
    <row r="332" customFormat="false" ht="15" hidden="false" customHeight="false" outlineLevel="0" collapsed="false">
      <c r="B332" s="0" t="n">
        <v>316</v>
      </c>
      <c r="C332" s="0" t="n">
        <f aca="true">RAND()</f>
        <v>0.850296373196294</v>
      </c>
      <c r="D332" s="0" t="n">
        <f aca="true">RAND()</f>
        <v>0.379365574451131</v>
      </c>
      <c r="E332" s="0" t="n">
        <f aca="false">IF(C332&lt;=$C$10,1,2)</f>
        <v>2</v>
      </c>
      <c r="F332" s="0" t="n">
        <f aca="false">IF(E332=1,$C$4+SQRT(D332*($C$6-$C$4)*($C$5-$C$4)),$C$6-SQRT((1-D332)*($C$6-$C$4)*($C$6-$C$5)))</f>
        <v>8.88587754214461</v>
      </c>
    </row>
    <row r="333" customFormat="false" ht="15" hidden="false" customHeight="false" outlineLevel="0" collapsed="false">
      <c r="B333" s="0" t="n">
        <v>317</v>
      </c>
      <c r="C333" s="0" t="n">
        <f aca="true">RAND()</f>
        <v>0.0672492283117888</v>
      </c>
      <c r="D333" s="0" t="n">
        <f aca="true">RAND()</f>
        <v>0.216728221980679</v>
      </c>
      <c r="E333" s="0" t="n">
        <f aca="false">IF(C333&lt;=$C$10,1,2)</f>
        <v>1</v>
      </c>
      <c r="F333" s="0" t="n">
        <f aca="false">IF(E333=1,$C$4+SQRT(D333*($C$6-$C$4)*($C$5-$C$4)),$C$6-SQRT((1-D333)*($C$6-$C$4)*($C$6-$C$5)))</f>
        <v>8.65837409119843</v>
      </c>
    </row>
    <row r="334" customFormat="false" ht="15" hidden="false" customHeight="false" outlineLevel="0" collapsed="false">
      <c r="B334" s="0" t="n">
        <v>318</v>
      </c>
      <c r="C334" s="0" t="n">
        <f aca="true">RAND()</f>
        <v>0.864479272526806</v>
      </c>
      <c r="D334" s="0" t="n">
        <f aca="true">RAND()</f>
        <v>0.719723057412087</v>
      </c>
      <c r="E334" s="0" t="n">
        <f aca="false">IF(C334&lt;=$C$10,1,2)</f>
        <v>2</v>
      </c>
      <c r="F334" s="0" t="n">
        <f aca="false">IF(E334=1,$C$4+SQRT(D334*($C$6-$C$4)*($C$5-$C$4)),$C$6-SQRT((1-D334)*($C$6-$C$4)*($C$6-$C$5)))</f>
        <v>9.25129853400983</v>
      </c>
    </row>
    <row r="335" customFormat="false" ht="15" hidden="false" customHeight="false" outlineLevel="0" collapsed="false">
      <c r="B335" s="0" t="n">
        <v>319</v>
      </c>
      <c r="C335" s="0" t="n">
        <f aca="true">RAND()</f>
        <v>0.77889451440592</v>
      </c>
      <c r="D335" s="0" t="n">
        <f aca="true">RAND()</f>
        <v>0.933050628862169</v>
      </c>
      <c r="E335" s="0" t="n">
        <f aca="false">IF(C335&lt;=$C$10,1,2)</f>
        <v>2</v>
      </c>
      <c r="F335" s="0" t="n">
        <f aca="false">IF(E335=1,$C$4+SQRT(D335*($C$6-$C$4)*($C$5-$C$4)),$C$6-SQRT((1-D335)*($C$6-$C$4)*($C$6-$C$5)))</f>
        <v>9.6340782292953</v>
      </c>
    </row>
    <row r="336" customFormat="false" ht="15" hidden="false" customHeight="false" outlineLevel="0" collapsed="false">
      <c r="B336" s="0" t="n">
        <v>320</v>
      </c>
      <c r="C336" s="0" t="n">
        <f aca="true">RAND()</f>
        <v>0.113258506299725</v>
      </c>
      <c r="D336" s="0" t="n">
        <f aca="true">RAND()</f>
        <v>0.57215828632746</v>
      </c>
      <c r="E336" s="0" t="n">
        <f aca="false">IF(C336&lt;=$C$10,1,2)</f>
        <v>1</v>
      </c>
      <c r="F336" s="0" t="n">
        <f aca="false">IF(E336=1,$C$4+SQRT(D336*($C$6-$C$4)*($C$5-$C$4)),$C$6-SQRT((1-D336)*($C$6-$C$4)*($C$6-$C$5)))</f>
        <v>9.06972733565845</v>
      </c>
    </row>
    <row r="337" customFormat="false" ht="15" hidden="false" customHeight="false" outlineLevel="0" collapsed="false">
      <c r="B337" s="0" t="n">
        <v>321</v>
      </c>
      <c r="C337" s="0" t="n">
        <f aca="true">RAND()</f>
        <v>0.630936843644559</v>
      </c>
      <c r="D337" s="0" t="n">
        <f aca="true">RAND()</f>
        <v>0.770628124890247</v>
      </c>
      <c r="E337" s="0" t="n">
        <f aca="false">IF(C337&lt;=$C$10,1,2)</f>
        <v>2</v>
      </c>
      <c r="F337" s="0" t="n">
        <f aca="false">IF(E337=1,$C$4+SQRT(D337*($C$6-$C$4)*($C$5-$C$4)),$C$6-SQRT((1-D337)*($C$6-$C$4)*($C$6-$C$5)))</f>
        <v>9.32269375448066</v>
      </c>
    </row>
    <row r="338" customFormat="false" ht="15" hidden="false" customHeight="false" outlineLevel="0" collapsed="false">
      <c r="B338" s="0" t="n">
        <v>322</v>
      </c>
      <c r="C338" s="0" t="n">
        <f aca="true">RAND()</f>
        <v>0.240348905291982</v>
      </c>
      <c r="D338" s="0" t="n">
        <f aca="true">RAND()</f>
        <v>0.104149837616646</v>
      </c>
      <c r="E338" s="0" t="n">
        <f aca="false">IF(C338&lt;=$C$10,1,2)</f>
        <v>1</v>
      </c>
      <c r="F338" s="0" t="n">
        <f aca="false">IF(E338=1,$C$4+SQRT(D338*($C$6-$C$4)*($C$5-$C$4)),$C$6-SQRT((1-D338)*($C$6-$C$4)*($C$6-$C$5)))</f>
        <v>8.45639859249705</v>
      </c>
    </row>
    <row r="339" customFormat="false" ht="15" hidden="false" customHeight="false" outlineLevel="0" collapsed="false">
      <c r="B339" s="0" t="n">
        <v>323</v>
      </c>
      <c r="C339" s="0" t="n">
        <f aca="true">RAND()</f>
        <v>0.4609386737829</v>
      </c>
      <c r="D339" s="0" t="n">
        <f aca="true">RAND()</f>
        <v>0.324704172853155</v>
      </c>
      <c r="E339" s="0" t="n">
        <f aca="false">IF(C339&lt;=$C$10,1,2)</f>
        <v>1</v>
      </c>
      <c r="F339" s="0" t="n">
        <f aca="false">IF(E339=1,$C$4+SQRT(D339*($C$6-$C$4)*($C$5-$C$4)),$C$6-SQRT((1-D339)*($C$6-$C$4)*($C$6-$C$5)))</f>
        <v>8.80585876287741</v>
      </c>
    </row>
    <row r="340" customFormat="false" ht="15" hidden="false" customHeight="false" outlineLevel="0" collapsed="false">
      <c r="B340" s="0" t="n">
        <v>324</v>
      </c>
      <c r="C340" s="0" t="n">
        <f aca="true">RAND()</f>
        <v>0.498039990402556</v>
      </c>
      <c r="D340" s="0" t="n">
        <f aca="true">RAND()</f>
        <v>4.48288000296215E-005</v>
      </c>
      <c r="E340" s="0" t="n">
        <f aca="false">IF(C340&lt;=$C$10,1,2)</f>
        <v>1</v>
      </c>
      <c r="F340" s="0" t="n">
        <f aca="false">IF(E340=1,$C$4+SQRT(D340*($C$6-$C$4)*($C$5-$C$4)),$C$6-SQRT((1-D340)*($C$6-$C$4)*($C$6-$C$5)))</f>
        <v>8.00946876972258</v>
      </c>
    </row>
    <row r="341" customFormat="false" ht="15" hidden="false" customHeight="false" outlineLevel="0" collapsed="false">
      <c r="B341" s="0" t="n">
        <v>325</v>
      </c>
      <c r="C341" s="0" t="n">
        <f aca="true">RAND()</f>
        <v>0.607345984564653</v>
      </c>
      <c r="D341" s="0" t="n">
        <f aca="true">RAND()</f>
        <v>0.3184698221929</v>
      </c>
      <c r="E341" s="0" t="n">
        <f aca="false">IF(C341&lt;=$C$10,1,2)</f>
        <v>2</v>
      </c>
      <c r="F341" s="0" t="n">
        <f aca="false">IF(E341=1,$C$4+SQRT(D341*($C$6-$C$4)*($C$5-$C$4)),$C$6-SQRT((1-D341)*($C$6-$C$4)*($C$6-$C$5)))</f>
        <v>8.8324982417083</v>
      </c>
    </row>
    <row r="342" customFormat="false" ht="15" hidden="false" customHeight="false" outlineLevel="0" collapsed="false">
      <c r="B342" s="0" t="n">
        <v>326</v>
      </c>
      <c r="C342" s="0" t="n">
        <f aca="true">RAND()</f>
        <v>0.0941591346988607</v>
      </c>
      <c r="D342" s="0" t="n">
        <f aca="true">RAND()</f>
        <v>0.0342350562815019</v>
      </c>
      <c r="E342" s="0" t="n">
        <f aca="false">IF(C342&lt;=$C$10,1,2)</f>
        <v>1</v>
      </c>
      <c r="F342" s="0" t="n">
        <f aca="false">IF(E342=1,$C$4+SQRT(D342*($C$6-$C$4)*($C$5-$C$4)),$C$6-SQRT((1-D342)*($C$6-$C$4)*($C$6-$C$5)))</f>
        <v>8.26166794332322</v>
      </c>
    </row>
    <row r="343" customFormat="false" ht="15" hidden="false" customHeight="false" outlineLevel="0" collapsed="false">
      <c r="B343" s="0" t="n">
        <v>327</v>
      </c>
      <c r="C343" s="0" t="n">
        <f aca="true">RAND()</f>
        <v>0.179160833686023</v>
      </c>
      <c r="D343" s="0" t="n">
        <f aca="true">RAND()</f>
        <v>0.142506152197603</v>
      </c>
      <c r="E343" s="0" t="n">
        <f aca="false">IF(C343&lt;=$C$10,1,2)</f>
        <v>1</v>
      </c>
      <c r="F343" s="0" t="n">
        <f aca="false">IF(E343=1,$C$4+SQRT(D343*($C$6-$C$4)*($C$5-$C$4)),$C$6-SQRT((1-D343)*($C$6-$C$4)*($C$6-$C$5)))</f>
        <v>8.53386543659915</v>
      </c>
    </row>
    <row r="344" customFormat="false" ht="15" hidden="false" customHeight="false" outlineLevel="0" collapsed="false">
      <c r="B344" s="0" t="n">
        <v>328</v>
      </c>
      <c r="C344" s="0" t="n">
        <f aca="true">RAND()</f>
        <v>0.832464036539932</v>
      </c>
      <c r="D344" s="0" t="n">
        <f aca="true">RAND()</f>
        <v>0.760031393435242</v>
      </c>
      <c r="E344" s="0" t="n">
        <f aca="false">IF(C344&lt;=$C$10,1,2)</f>
        <v>2</v>
      </c>
      <c r="F344" s="0" t="n">
        <f aca="false">IF(E344=1,$C$4+SQRT(D344*($C$6-$C$4)*($C$5-$C$4)),$C$6-SQRT((1-D344)*($C$6-$C$4)*($C$6-$C$5)))</f>
        <v>9.30722499097505</v>
      </c>
    </row>
    <row r="345" customFormat="false" ht="15" hidden="false" customHeight="false" outlineLevel="0" collapsed="false">
      <c r="B345" s="0" t="n">
        <v>329</v>
      </c>
      <c r="C345" s="0" t="n">
        <f aca="true">RAND()</f>
        <v>0.545790546627866</v>
      </c>
      <c r="D345" s="0" t="n">
        <f aca="true">RAND()</f>
        <v>0.520538210991063</v>
      </c>
      <c r="E345" s="0" t="n">
        <f aca="false">IF(C345&lt;=$C$10,1,2)</f>
        <v>2</v>
      </c>
      <c r="F345" s="0" t="n">
        <f aca="false">IF(E345=1,$C$4+SQRT(D345*($C$6-$C$4)*($C$5-$C$4)),$C$6-SQRT((1-D345)*($C$6-$C$4)*($C$6-$C$5)))</f>
        <v>9.02075356624705</v>
      </c>
    </row>
    <row r="346" customFormat="false" ht="15" hidden="false" customHeight="false" outlineLevel="0" collapsed="false">
      <c r="B346" s="0" t="n">
        <v>330</v>
      </c>
      <c r="C346" s="0" t="n">
        <f aca="true">RAND()</f>
        <v>0.932036469194747</v>
      </c>
      <c r="D346" s="0" t="n">
        <f aca="true">RAND()</f>
        <v>0.366998619792573</v>
      </c>
      <c r="E346" s="0" t="n">
        <f aca="false">IF(C346&lt;=$C$10,1,2)</f>
        <v>2</v>
      </c>
      <c r="F346" s="0" t="n">
        <f aca="false">IF(E346=1,$C$4+SQRT(D346*($C$6-$C$4)*($C$5-$C$4)),$C$6-SQRT((1-D346)*($C$6-$C$4)*($C$6-$C$5)))</f>
        <v>8.87483211900852</v>
      </c>
    </row>
    <row r="347" customFormat="false" ht="15" hidden="false" customHeight="false" outlineLevel="0" collapsed="false">
      <c r="B347" s="0" t="n">
        <v>331</v>
      </c>
      <c r="C347" s="0" t="n">
        <f aca="true">RAND()</f>
        <v>0.308806830440021</v>
      </c>
      <c r="D347" s="0" t="n">
        <f aca="true">RAND()</f>
        <v>0.458119559089306</v>
      </c>
      <c r="E347" s="0" t="n">
        <f aca="false">IF(C347&lt;=$C$10,1,2)</f>
        <v>1</v>
      </c>
      <c r="F347" s="0" t="n">
        <f aca="false">IF(E347=1,$C$4+SQRT(D347*($C$6-$C$4)*($C$5-$C$4)),$C$6-SQRT((1-D347)*($C$6-$C$4)*($C$6-$C$5)))</f>
        <v>8.95720380179908</v>
      </c>
    </row>
    <row r="348" customFormat="false" ht="15" hidden="false" customHeight="false" outlineLevel="0" collapsed="false">
      <c r="B348" s="0" t="n">
        <v>332</v>
      </c>
      <c r="C348" s="0" t="n">
        <f aca="true">RAND()</f>
        <v>0.416940027315899</v>
      </c>
      <c r="D348" s="0" t="n">
        <f aca="true">RAND()</f>
        <v>0.755048988259135</v>
      </c>
      <c r="E348" s="0" t="n">
        <f aca="false">IF(C348&lt;=$C$10,1,2)</f>
        <v>1</v>
      </c>
      <c r="F348" s="0" t="n">
        <f aca="false">IF(E348=1,$C$4+SQRT(D348*($C$6-$C$4)*($C$5-$C$4)),$C$6-SQRT((1-D348)*($C$6-$C$4)*($C$6-$C$5)))</f>
        <v>9.22886043817769</v>
      </c>
    </row>
    <row r="349" customFormat="false" ht="15" hidden="false" customHeight="false" outlineLevel="0" collapsed="false">
      <c r="B349" s="0" t="n">
        <v>333</v>
      </c>
      <c r="C349" s="0" t="n">
        <f aca="true">RAND()</f>
        <v>0.786745597047331</v>
      </c>
      <c r="D349" s="0" t="n">
        <f aca="true">RAND()</f>
        <v>0.56356447268639</v>
      </c>
      <c r="E349" s="0" t="n">
        <f aca="false">IF(C349&lt;=$C$10,1,2)</f>
        <v>2</v>
      </c>
      <c r="F349" s="0" t="n">
        <f aca="false">IF(E349=1,$C$4+SQRT(D349*($C$6-$C$4)*($C$5-$C$4)),$C$6-SQRT((1-D349)*($C$6-$C$4)*($C$6-$C$5)))</f>
        <v>9.06572431551109</v>
      </c>
    </row>
    <row r="350" customFormat="false" ht="15" hidden="false" customHeight="false" outlineLevel="0" collapsed="false">
      <c r="B350" s="0" t="n">
        <v>334</v>
      </c>
      <c r="C350" s="0" t="n">
        <f aca="true">RAND()</f>
        <v>0.00708653458623098</v>
      </c>
      <c r="D350" s="0" t="n">
        <f aca="true">RAND()</f>
        <v>0.292354605119278</v>
      </c>
      <c r="E350" s="0" t="n">
        <f aca="false">IF(C350&lt;=$C$10,1,2)</f>
        <v>1</v>
      </c>
      <c r="F350" s="0" t="n">
        <f aca="false">IF(E350=1,$C$4+SQRT(D350*($C$6-$C$4)*($C$5-$C$4)),$C$6-SQRT((1-D350)*($C$6-$C$4)*($C$6-$C$5)))</f>
        <v>8.76466280819624</v>
      </c>
    </row>
    <row r="351" customFormat="false" ht="15" hidden="false" customHeight="false" outlineLevel="0" collapsed="false">
      <c r="B351" s="0" t="n">
        <v>335</v>
      </c>
      <c r="C351" s="0" t="n">
        <f aca="true">RAND()</f>
        <v>0.652049549494158</v>
      </c>
      <c r="D351" s="0" t="n">
        <f aca="true">RAND()</f>
        <v>0.274805689408189</v>
      </c>
      <c r="E351" s="0" t="n">
        <f aca="false">IF(C351&lt;=$C$10,1,2)</f>
        <v>2</v>
      </c>
      <c r="F351" s="0" t="n">
        <f aca="false">IF(E351=1,$C$4+SQRT(D351*($C$6-$C$4)*($C$5-$C$4)),$C$6-SQRT((1-D351)*($C$6-$C$4)*($C$6-$C$5)))</f>
        <v>8.79567918676807</v>
      </c>
    </row>
    <row r="352" customFormat="false" ht="15" hidden="false" customHeight="false" outlineLevel="0" collapsed="false">
      <c r="B352" s="0" t="n">
        <v>336</v>
      </c>
      <c r="C352" s="0" t="n">
        <f aca="true">RAND()</f>
        <v>0.616102047426357</v>
      </c>
      <c r="D352" s="0" t="n">
        <f aca="true">RAND()</f>
        <v>0.856224407914843</v>
      </c>
      <c r="E352" s="0" t="n">
        <f aca="false">IF(C352&lt;=$C$10,1,2)</f>
        <v>2</v>
      </c>
      <c r="F352" s="0" t="n">
        <f aca="false">IF(E352=1,$C$4+SQRT(D352*($C$6-$C$4)*($C$5-$C$4)),$C$6-SQRT((1-D352)*($C$6-$C$4)*($C$6-$C$5)))</f>
        <v>9.46376200790105</v>
      </c>
    </row>
    <row r="353" customFormat="false" ht="15" hidden="false" customHeight="false" outlineLevel="0" collapsed="false">
      <c r="B353" s="0" t="n">
        <v>337</v>
      </c>
      <c r="C353" s="0" t="n">
        <f aca="true">RAND()</f>
        <v>0.633458623852413</v>
      </c>
      <c r="D353" s="0" t="n">
        <f aca="true">RAND()</f>
        <v>0.334365443918786</v>
      </c>
      <c r="E353" s="0" t="n">
        <f aca="false">IF(C353&lt;=$C$10,1,2)</f>
        <v>2</v>
      </c>
      <c r="F353" s="0" t="n">
        <f aca="false">IF(E353=1,$C$4+SQRT(D353*($C$6-$C$4)*($C$5-$C$4)),$C$6-SQRT((1-D353)*($C$6-$C$4)*($C$6-$C$5)))</f>
        <v>8.84619364182614</v>
      </c>
    </row>
    <row r="354" customFormat="false" ht="15" hidden="false" customHeight="false" outlineLevel="0" collapsed="false">
      <c r="B354" s="0" t="n">
        <v>338</v>
      </c>
      <c r="C354" s="0" t="n">
        <f aca="true">RAND()</f>
        <v>0.277708682668693</v>
      </c>
      <c r="D354" s="0" t="n">
        <f aca="true">RAND()</f>
        <v>0.190369719454321</v>
      </c>
      <c r="E354" s="0" t="n">
        <f aca="false">IF(C354&lt;=$C$10,1,2)</f>
        <v>1</v>
      </c>
      <c r="F354" s="0" t="n">
        <f aca="false">IF(E354=1,$C$4+SQRT(D354*($C$6-$C$4)*($C$5-$C$4)),$C$6-SQRT((1-D354)*($C$6-$C$4)*($C$6-$C$5)))</f>
        <v>8.61704087296438</v>
      </c>
    </row>
    <row r="355" customFormat="false" ht="15" hidden="false" customHeight="false" outlineLevel="0" collapsed="false">
      <c r="B355" s="0" t="n">
        <v>339</v>
      </c>
      <c r="C355" s="0" t="n">
        <f aca="true">RAND()</f>
        <v>0.48161581590987</v>
      </c>
      <c r="D355" s="0" t="n">
        <f aca="true">RAND()</f>
        <v>0.503174878685824</v>
      </c>
      <c r="E355" s="0" t="n">
        <f aca="false">IF(C355&lt;=$C$10,1,2)</f>
        <v>1</v>
      </c>
      <c r="F355" s="0" t="n">
        <f aca="false">IF(E355=1,$C$4+SQRT(D355*($C$6-$C$4)*($C$5-$C$4)),$C$6-SQRT((1-D355)*($C$6-$C$4)*($C$6-$C$5)))</f>
        <v>9.00316985469643</v>
      </c>
    </row>
    <row r="356" customFormat="false" ht="15" hidden="false" customHeight="false" outlineLevel="0" collapsed="false">
      <c r="B356" s="0" t="n">
        <v>340</v>
      </c>
      <c r="C356" s="0" t="n">
        <f aca="true">RAND()</f>
        <v>0.0192084665152015</v>
      </c>
      <c r="D356" s="0" t="n">
        <f aca="true">RAND()</f>
        <v>0.756424881251589</v>
      </c>
      <c r="E356" s="0" t="n">
        <f aca="false">IF(C356&lt;=$C$10,1,2)</f>
        <v>1</v>
      </c>
      <c r="F356" s="0" t="n">
        <f aca="false">IF(E356=1,$C$4+SQRT(D356*($C$6-$C$4)*($C$5-$C$4)),$C$6-SQRT((1-D356)*($C$6-$C$4)*($C$6-$C$5)))</f>
        <v>9.22997957808379</v>
      </c>
    </row>
    <row r="357" customFormat="false" ht="15" hidden="false" customHeight="false" outlineLevel="0" collapsed="false">
      <c r="B357" s="0" t="n">
        <v>341</v>
      </c>
      <c r="C357" s="0" t="n">
        <f aca="true">RAND()</f>
        <v>0.591028877640086</v>
      </c>
      <c r="D357" s="0" t="n">
        <f aca="true">RAND()</f>
        <v>0.540025572199923</v>
      </c>
      <c r="E357" s="0" t="n">
        <f aca="false">IF(C357&lt;=$C$10,1,2)</f>
        <v>2</v>
      </c>
      <c r="F357" s="0" t="n">
        <f aca="false">IF(E357=1,$C$4+SQRT(D357*($C$6-$C$4)*($C$5-$C$4)),$C$6-SQRT((1-D357)*($C$6-$C$4)*($C$6-$C$5)))</f>
        <v>9.04086035656941</v>
      </c>
    </row>
    <row r="358" customFormat="false" ht="15" hidden="false" customHeight="false" outlineLevel="0" collapsed="false">
      <c r="B358" s="0" t="n">
        <v>342</v>
      </c>
      <c r="C358" s="0" t="n">
        <f aca="true">RAND()</f>
        <v>0.287303075340978</v>
      </c>
      <c r="D358" s="0" t="n">
        <f aca="true">RAND()</f>
        <v>0.723110054023606</v>
      </c>
      <c r="E358" s="0" t="n">
        <f aca="false">IF(C358&lt;=$C$10,1,2)</f>
        <v>1</v>
      </c>
      <c r="F358" s="0" t="n">
        <f aca="false">IF(E358=1,$C$4+SQRT(D358*($C$6-$C$4)*($C$5-$C$4)),$C$6-SQRT((1-D358)*($C$6-$C$4)*($C$6-$C$5)))</f>
        <v>9.20258891897739</v>
      </c>
    </row>
    <row r="359" customFormat="false" ht="15" hidden="false" customHeight="false" outlineLevel="0" collapsed="false">
      <c r="B359" s="0" t="n">
        <v>343</v>
      </c>
      <c r="C359" s="0" t="n">
        <f aca="true">RAND()</f>
        <v>0.463872833204522</v>
      </c>
      <c r="D359" s="0" t="n">
        <f aca="true">RAND()</f>
        <v>0.881902234571068</v>
      </c>
      <c r="E359" s="0" t="n">
        <f aca="false">IF(C359&lt;=$C$10,1,2)</f>
        <v>1</v>
      </c>
      <c r="F359" s="0" t="n">
        <f aca="false">IF(E359=1,$C$4+SQRT(D359*($C$6-$C$4)*($C$5-$C$4)),$C$6-SQRT((1-D359)*($C$6-$C$4)*($C$6-$C$5)))</f>
        <v>9.32808300536606</v>
      </c>
    </row>
    <row r="360" customFormat="false" ht="15" hidden="false" customHeight="false" outlineLevel="0" collapsed="false">
      <c r="B360" s="0" t="n">
        <v>344</v>
      </c>
      <c r="C360" s="0" t="n">
        <f aca="true">RAND()</f>
        <v>0.467559728175836</v>
      </c>
      <c r="D360" s="0" t="n">
        <f aca="true">RAND()</f>
        <v>0.0118507665352431</v>
      </c>
      <c r="E360" s="0" t="n">
        <f aca="false">IF(C360&lt;=$C$10,1,2)</f>
        <v>1</v>
      </c>
      <c r="F360" s="0" t="n">
        <f aca="false">IF(E360=1,$C$4+SQRT(D360*($C$6-$C$4)*($C$5-$C$4)),$C$6-SQRT((1-D360)*($C$6-$C$4)*($C$6-$C$5)))</f>
        <v>8.15395302228435</v>
      </c>
    </row>
    <row r="361" customFormat="false" ht="15" hidden="false" customHeight="false" outlineLevel="0" collapsed="false">
      <c r="B361" s="0" t="n">
        <v>345</v>
      </c>
      <c r="C361" s="0" t="n">
        <f aca="true">RAND()</f>
        <v>0.457473800139525</v>
      </c>
      <c r="D361" s="0" t="n">
        <f aca="true">RAND()</f>
        <v>0.0851761916878881</v>
      </c>
      <c r="E361" s="0" t="n">
        <f aca="false">IF(C361&lt;=$C$10,1,2)</f>
        <v>1</v>
      </c>
      <c r="F361" s="0" t="n">
        <f aca="false">IF(E361=1,$C$4+SQRT(D361*($C$6-$C$4)*($C$5-$C$4)),$C$6-SQRT((1-D361)*($C$6-$C$4)*($C$6-$C$5)))</f>
        <v>8.41273766895666</v>
      </c>
    </row>
    <row r="362" customFormat="false" ht="15" hidden="false" customHeight="false" outlineLevel="0" collapsed="false">
      <c r="B362" s="0" t="n">
        <v>346</v>
      </c>
      <c r="C362" s="0" t="n">
        <f aca="true">RAND()</f>
        <v>0.086245051275741</v>
      </c>
      <c r="D362" s="0" t="n">
        <f aca="true">RAND()</f>
        <v>0.110789196034743</v>
      </c>
      <c r="E362" s="0" t="n">
        <f aca="false">IF(C362&lt;=$C$10,1,2)</f>
        <v>1</v>
      </c>
      <c r="F362" s="0" t="n">
        <f aca="false">IF(E362=1,$C$4+SQRT(D362*($C$6-$C$4)*($C$5-$C$4)),$C$6-SQRT((1-D362)*($C$6-$C$4)*($C$6-$C$5)))</f>
        <v>8.47072114045312</v>
      </c>
    </row>
    <row r="363" customFormat="false" ht="15" hidden="false" customHeight="false" outlineLevel="0" collapsed="false">
      <c r="B363" s="0" t="n">
        <v>347</v>
      </c>
      <c r="C363" s="0" t="n">
        <f aca="true">RAND()</f>
        <v>0.701672060434428</v>
      </c>
      <c r="D363" s="0" t="n">
        <f aca="true">RAND()</f>
        <v>0.723691008371863</v>
      </c>
      <c r="E363" s="0" t="n">
        <f aca="false">IF(C363&lt;=$C$10,1,2)</f>
        <v>2</v>
      </c>
      <c r="F363" s="0" t="n">
        <f aca="false">IF(E363=1,$C$4+SQRT(D363*($C$6-$C$4)*($C$5-$C$4)),$C$6-SQRT((1-D363)*($C$6-$C$4)*($C$6-$C$5)))</f>
        <v>9.25661720274392</v>
      </c>
    </row>
    <row r="364" customFormat="false" ht="15" hidden="false" customHeight="false" outlineLevel="0" collapsed="false">
      <c r="B364" s="0" t="n">
        <v>348</v>
      </c>
      <c r="C364" s="0" t="n">
        <f aca="true">RAND()</f>
        <v>0.766970720009035</v>
      </c>
      <c r="D364" s="0" t="n">
        <f aca="true">RAND()</f>
        <v>0.358798774276545</v>
      </c>
      <c r="E364" s="0" t="n">
        <f aca="false">IF(C364&lt;=$C$10,1,2)</f>
        <v>2</v>
      </c>
      <c r="F364" s="0" t="n">
        <f aca="false">IF(E364=1,$C$4+SQRT(D364*($C$6-$C$4)*($C$5-$C$4)),$C$6-SQRT((1-D364)*($C$6-$C$4)*($C$6-$C$5)))</f>
        <v>8.8675679042667</v>
      </c>
    </row>
    <row r="365" customFormat="false" ht="15" hidden="false" customHeight="false" outlineLevel="0" collapsed="false">
      <c r="B365" s="0" t="n">
        <v>349</v>
      </c>
      <c r="C365" s="0" t="n">
        <f aca="true">RAND()</f>
        <v>0.707233087308213</v>
      </c>
      <c r="D365" s="0" t="n">
        <f aca="true">RAND()</f>
        <v>0.741120385982399</v>
      </c>
      <c r="E365" s="0" t="n">
        <f aca="false">IF(C365&lt;=$C$10,1,2)</f>
        <v>2</v>
      </c>
      <c r="F365" s="0" t="n">
        <f aca="false">IF(E365=1,$C$4+SQRT(D365*($C$6-$C$4)*($C$5-$C$4)),$C$6-SQRT((1-D365)*($C$6-$C$4)*($C$6-$C$5)))</f>
        <v>9.28044511812149</v>
      </c>
    </row>
    <row r="366" customFormat="false" ht="15" hidden="false" customHeight="false" outlineLevel="0" collapsed="false">
      <c r="B366" s="0" t="n">
        <v>350</v>
      </c>
      <c r="C366" s="0" t="n">
        <f aca="true">RAND()</f>
        <v>0.128675020171499</v>
      </c>
      <c r="D366" s="0" t="n">
        <f aca="true">RAND()</f>
        <v>0.687391987165463</v>
      </c>
      <c r="E366" s="0" t="n">
        <f aca="false">IF(C366&lt;=$C$10,1,2)</f>
        <v>1</v>
      </c>
      <c r="F366" s="0" t="n">
        <f aca="false">IF(E366=1,$C$4+SQRT(D366*($C$6-$C$4)*($C$5-$C$4)),$C$6-SQRT((1-D366)*($C$6-$C$4)*($C$6-$C$5)))</f>
        <v>9.17251182268279</v>
      </c>
    </row>
    <row r="367" customFormat="false" ht="15" hidden="false" customHeight="false" outlineLevel="0" collapsed="false">
      <c r="B367" s="0" t="n">
        <v>351</v>
      </c>
      <c r="C367" s="0" t="n">
        <f aca="true">RAND()</f>
        <v>0.838308585301953</v>
      </c>
      <c r="D367" s="0" t="n">
        <f aca="true">RAND()</f>
        <v>0.349086321414438</v>
      </c>
      <c r="E367" s="0" t="n">
        <f aca="false">IF(C367&lt;=$C$10,1,2)</f>
        <v>2</v>
      </c>
      <c r="F367" s="0" t="n">
        <f aca="false">IF(E367=1,$C$4+SQRT(D367*($C$6-$C$4)*($C$5-$C$4)),$C$6-SQRT((1-D367)*($C$6-$C$4)*($C$6-$C$5)))</f>
        <v>8.85902350717856</v>
      </c>
    </row>
    <row r="368" customFormat="false" ht="15" hidden="false" customHeight="false" outlineLevel="0" collapsed="false">
      <c r="B368" s="0" t="n">
        <v>352</v>
      </c>
      <c r="C368" s="0" t="n">
        <f aca="true">RAND()</f>
        <v>0.730838140195802</v>
      </c>
      <c r="D368" s="0" t="n">
        <f aca="true">RAND()</f>
        <v>0.294356041397341</v>
      </c>
      <c r="E368" s="0" t="n">
        <f aca="false">IF(C368&lt;=$C$10,1,2)</f>
        <v>2</v>
      </c>
      <c r="F368" s="0" t="n">
        <f aca="false">IF(E368=1,$C$4+SQRT(D368*($C$6-$C$4)*($C$5-$C$4)),$C$6-SQRT((1-D368)*($C$6-$C$4)*($C$6-$C$5)))</f>
        <v>8.81202360410431</v>
      </c>
    </row>
    <row r="369" customFormat="false" ht="15" hidden="false" customHeight="false" outlineLevel="0" collapsed="false">
      <c r="B369" s="0" t="n">
        <v>353</v>
      </c>
      <c r="C369" s="0" t="n">
        <f aca="true">RAND()</f>
        <v>0.0605002868054647</v>
      </c>
      <c r="D369" s="0" t="n">
        <f aca="true">RAND()</f>
        <v>0.791926534168003</v>
      </c>
      <c r="E369" s="0" t="n">
        <f aca="false">IF(C369&lt;=$C$10,1,2)</f>
        <v>1</v>
      </c>
      <c r="F369" s="0" t="n">
        <f aca="false">IF(E369=1,$C$4+SQRT(D369*($C$6-$C$4)*($C$5-$C$4)),$C$6-SQRT((1-D369)*($C$6-$C$4)*($C$6-$C$5)))</f>
        <v>9.25851224401513</v>
      </c>
    </row>
    <row r="370" customFormat="false" ht="15" hidden="false" customHeight="false" outlineLevel="0" collapsed="false">
      <c r="B370" s="0" t="n">
        <v>354</v>
      </c>
      <c r="C370" s="0" t="n">
        <f aca="true">RAND()</f>
        <v>0.950387005648274</v>
      </c>
      <c r="D370" s="0" t="n">
        <f aca="true">RAND()</f>
        <v>0.139654394034772</v>
      </c>
      <c r="E370" s="0" t="n">
        <f aca="false">IF(C370&lt;=$C$10,1,2)</f>
        <v>2</v>
      </c>
      <c r="F370" s="0" t="n">
        <f aca="false">IF(E370=1,$C$4+SQRT(D370*($C$6-$C$4)*($C$5-$C$4)),$C$6-SQRT((1-D370)*($C$6-$C$4)*($C$6-$C$5)))</f>
        <v>8.68824879953154</v>
      </c>
    </row>
    <row r="371" customFormat="false" ht="15" hidden="false" customHeight="false" outlineLevel="0" collapsed="false">
      <c r="B371" s="0" t="n">
        <v>355</v>
      </c>
      <c r="C371" s="0" t="n">
        <f aca="true">RAND()</f>
        <v>0.209587776856492</v>
      </c>
      <c r="D371" s="0" t="n">
        <f aca="true">RAND()</f>
        <v>0.906317530277516</v>
      </c>
      <c r="E371" s="0" t="n">
        <f aca="false">IF(C371&lt;=$C$10,1,2)</f>
        <v>1</v>
      </c>
      <c r="F371" s="0" t="n">
        <f aca="false">IF(E371=1,$C$4+SQRT(D371*($C$6-$C$4)*($C$5-$C$4)),$C$6-SQRT((1-D371)*($C$6-$C$4)*($C$6-$C$5)))</f>
        <v>9.34634136108011</v>
      </c>
    </row>
    <row r="372" customFormat="false" ht="15" hidden="false" customHeight="false" outlineLevel="0" collapsed="false">
      <c r="B372" s="0" t="n">
        <v>356</v>
      </c>
      <c r="C372" s="0" t="n">
        <f aca="true">RAND()</f>
        <v>0.64952292313665</v>
      </c>
      <c r="D372" s="0" t="n">
        <f aca="true">RAND()</f>
        <v>0.155461244248549</v>
      </c>
      <c r="E372" s="0" t="n">
        <f aca="false">IF(C372&lt;=$C$10,1,2)</f>
        <v>2</v>
      </c>
      <c r="F372" s="0" t="n">
        <f aca="false">IF(E372=1,$C$4+SQRT(D372*($C$6-$C$4)*($C$5-$C$4)),$C$6-SQRT((1-D372)*($C$6-$C$4)*($C$6-$C$5)))</f>
        <v>8.70035485169878</v>
      </c>
    </row>
    <row r="373" customFormat="false" ht="15" hidden="false" customHeight="false" outlineLevel="0" collapsed="false">
      <c r="B373" s="0" t="n">
        <v>357</v>
      </c>
      <c r="C373" s="0" t="n">
        <f aca="true">RAND()</f>
        <v>0.308817613349699</v>
      </c>
      <c r="D373" s="0" t="n">
        <f aca="true">RAND()</f>
        <v>0.557266205112369</v>
      </c>
      <c r="E373" s="0" t="n">
        <f aca="false">IF(C373&lt;=$C$10,1,2)</f>
        <v>1</v>
      </c>
      <c r="F373" s="0" t="n">
        <f aca="false">IF(E373=1,$C$4+SQRT(D373*($C$6-$C$4)*($C$5-$C$4)),$C$6-SQRT((1-D373)*($C$6-$C$4)*($C$6-$C$5)))</f>
        <v>9.05571417070377</v>
      </c>
    </row>
    <row r="374" customFormat="false" ht="15" hidden="false" customHeight="false" outlineLevel="0" collapsed="false">
      <c r="B374" s="0" t="n">
        <v>358</v>
      </c>
      <c r="C374" s="0" t="n">
        <f aca="true">RAND()</f>
        <v>0.79003108707076</v>
      </c>
      <c r="D374" s="0" t="n">
        <f aca="true">RAND()</f>
        <v>0.201656558019222</v>
      </c>
      <c r="E374" s="0" t="n">
        <f aca="false">IF(C374&lt;=$C$10,1,2)</f>
        <v>2</v>
      </c>
      <c r="F374" s="0" t="n">
        <f aca="false">IF(E374=1,$C$4+SQRT(D374*($C$6-$C$4)*($C$5-$C$4)),$C$6-SQRT((1-D374)*($C$6-$C$4)*($C$6-$C$5)))</f>
        <v>8.73639923869857</v>
      </c>
    </row>
    <row r="375" customFormat="false" ht="15" hidden="false" customHeight="false" outlineLevel="0" collapsed="false">
      <c r="B375" s="0" t="n">
        <v>359</v>
      </c>
      <c r="C375" s="0" t="n">
        <f aca="true">RAND()</f>
        <v>0.105200388546885</v>
      </c>
      <c r="D375" s="0" t="n">
        <f aca="true">RAND()</f>
        <v>0.466588677501589</v>
      </c>
      <c r="E375" s="0" t="n">
        <f aca="false">IF(C375&lt;=$C$10,1,2)</f>
        <v>1</v>
      </c>
      <c r="F375" s="0" t="n">
        <f aca="false">IF(E375=1,$C$4+SQRT(D375*($C$6-$C$4)*($C$5-$C$4)),$C$6-SQRT((1-D375)*($C$6-$C$4)*($C$6-$C$5)))</f>
        <v>8.96601105325104</v>
      </c>
    </row>
    <row r="376" customFormat="false" ht="15" hidden="false" customHeight="false" outlineLevel="0" collapsed="false">
      <c r="B376" s="0" t="n">
        <v>360</v>
      </c>
      <c r="C376" s="0" t="n">
        <f aca="true">RAND()</f>
        <v>0.53264757167693</v>
      </c>
      <c r="D376" s="0" t="n">
        <f aca="true">RAND()</f>
        <v>0.80367695157861</v>
      </c>
      <c r="E376" s="0" t="n">
        <f aca="false">IF(C376&lt;=$C$10,1,2)</f>
        <v>2</v>
      </c>
      <c r="F376" s="0" t="n">
        <f aca="false">IF(E376=1,$C$4+SQRT(D376*($C$6-$C$4)*($C$5-$C$4)),$C$6-SQRT((1-D376)*($C$6-$C$4)*($C$6-$C$5)))</f>
        <v>9.37338520856687</v>
      </c>
    </row>
    <row r="377" customFormat="false" ht="15" hidden="false" customHeight="false" outlineLevel="0" collapsed="false">
      <c r="B377" s="0" t="n">
        <v>361</v>
      </c>
      <c r="C377" s="0" t="n">
        <f aca="true">RAND()</f>
        <v>0.779017437286051</v>
      </c>
      <c r="D377" s="0" t="n">
        <f aca="true">RAND()</f>
        <v>0.478883735536702</v>
      </c>
      <c r="E377" s="0" t="n">
        <f aca="false">IF(C377&lt;=$C$10,1,2)</f>
        <v>2</v>
      </c>
      <c r="F377" s="0" t="n">
        <f aca="false">IF(E377=1,$C$4+SQRT(D377*($C$6-$C$4)*($C$5-$C$4)),$C$6-SQRT((1-D377)*($C$6-$C$4)*($C$6-$C$5)))</f>
        <v>8.9791020967175</v>
      </c>
    </row>
    <row r="378" customFormat="false" ht="15" hidden="false" customHeight="false" outlineLevel="0" collapsed="false">
      <c r="B378" s="0" t="n">
        <v>362</v>
      </c>
      <c r="C378" s="0" t="n">
        <f aca="true">RAND()</f>
        <v>0.893867463853462</v>
      </c>
      <c r="D378" s="0" t="n">
        <f aca="true">RAND()</f>
        <v>0.280472888162691</v>
      </c>
      <c r="E378" s="0" t="n">
        <f aca="false">IF(C378&lt;=$C$10,1,2)</f>
        <v>2</v>
      </c>
      <c r="F378" s="0" t="n">
        <f aca="false">IF(E378=1,$C$4+SQRT(D378*($C$6-$C$4)*($C$5-$C$4)),$C$6-SQRT((1-D378)*($C$6-$C$4)*($C$6-$C$5)))</f>
        <v>8.80039413819596</v>
      </c>
    </row>
    <row r="379" customFormat="false" ht="15" hidden="false" customHeight="false" outlineLevel="0" collapsed="false">
      <c r="B379" s="0" t="n">
        <v>363</v>
      </c>
      <c r="C379" s="0" t="n">
        <f aca="true">RAND()</f>
        <v>0.737663156339965</v>
      </c>
      <c r="D379" s="0" t="n">
        <f aca="true">RAND()</f>
        <v>0.107879936718203</v>
      </c>
      <c r="E379" s="0" t="n">
        <f aca="false">IF(C379&lt;=$C$10,1,2)</f>
        <v>2</v>
      </c>
      <c r="F379" s="0" t="n">
        <f aca="false">IF(E379=1,$C$4+SQRT(D379*($C$6-$C$4)*($C$5-$C$4)),$C$6-SQRT((1-D379)*($C$6-$C$4)*($C$6-$C$5)))</f>
        <v>8.66424548416874</v>
      </c>
    </row>
    <row r="380" customFormat="false" ht="15" hidden="false" customHeight="false" outlineLevel="0" collapsed="false">
      <c r="B380" s="0" t="n">
        <v>364</v>
      </c>
      <c r="C380" s="0" t="n">
        <f aca="true">RAND()</f>
        <v>0.380182961760917</v>
      </c>
      <c r="D380" s="0" t="n">
        <f aca="true">RAND()</f>
        <v>0.519941493796963</v>
      </c>
      <c r="E380" s="0" t="n">
        <f aca="false">IF(C380&lt;=$C$10,1,2)</f>
        <v>1</v>
      </c>
      <c r="F380" s="0" t="n">
        <f aca="false">IF(E380=1,$C$4+SQRT(D380*($C$6-$C$4)*($C$5-$C$4)),$C$6-SQRT((1-D380)*($C$6-$C$4)*($C$6-$C$5)))</f>
        <v>9.01974653105266</v>
      </c>
    </row>
    <row r="381" customFormat="false" ht="15" hidden="false" customHeight="false" outlineLevel="0" collapsed="false">
      <c r="B381" s="0" t="n">
        <v>365</v>
      </c>
      <c r="C381" s="0" t="n">
        <f aca="true">RAND()</f>
        <v>0.278020414669352</v>
      </c>
      <c r="D381" s="0" t="n">
        <f aca="true">RAND()</f>
        <v>0.629287459707951</v>
      </c>
      <c r="E381" s="0" t="n">
        <f aca="false">IF(C381&lt;=$C$10,1,2)</f>
        <v>1</v>
      </c>
      <c r="F381" s="0" t="n">
        <f aca="false">IF(E381=1,$C$4+SQRT(D381*($C$6-$C$4)*($C$5-$C$4)),$C$6-SQRT((1-D381)*($C$6-$C$4)*($C$6-$C$5)))</f>
        <v>9.12186225509904</v>
      </c>
    </row>
    <row r="382" customFormat="false" ht="15" hidden="false" customHeight="false" outlineLevel="0" collapsed="false">
      <c r="B382" s="0" t="n">
        <v>366</v>
      </c>
      <c r="C382" s="0" t="n">
        <f aca="true">RAND()</f>
        <v>0.297272648778986</v>
      </c>
      <c r="D382" s="0" t="n">
        <f aca="true">RAND()</f>
        <v>0.744707688839116</v>
      </c>
      <c r="E382" s="0" t="n">
        <f aca="false">IF(C382&lt;=$C$10,1,2)</f>
        <v>1</v>
      </c>
      <c r="F382" s="0" t="n">
        <f aca="false">IF(E382=1,$C$4+SQRT(D382*($C$6-$C$4)*($C$5-$C$4)),$C$6-SQRT((1-D382)*($C$6-$C$4)*($C$6-$C$5)))</f>
        <v>9.22041606744513</v>
      </c>
    </row>
    <row r="383" customFormat="false" ht="15" hidden="false" customHeight="false" outlineLevel="0" collapsed="false">
      <c r="B383" s="0" t="n">
        <v>367</v>
      </c>
      <c r="C383" s="0" t="n">
        <f aca="true">RAND()</f>
        <v>0.201031452204352</v>
      </c>
      <c r="D383" s="0" t="n">
        <f aca="true">RAND()</f>
        <v>0.253374240013987</v>
      </c>
      <c r="E383" s="0" t="n">
        <f aca="false">IF(C383&lt;=$C$10,1,2)</f>
        <v>1</v>
      </c>
      <c r="F383" s="0" t="n">
        <f aca="false">IF(E383=1,$C$4+SQRT(D383*($C$6-$C$4)*($C$5-$C$4)),$C$6-SQRT((1-D383)*($C$6-$C$4)*($C$6-$C$5)))</f>
        <v>8.71186268340739</v>
      </c>
    </row>
    <row r="384" customFormat="false" ht="15" hidden="false" customHeight="false" outlineLevel="0" collapsed="false">
      <c r="B384" s="0" t="n">
        <v>368</v>
      </c>
      <c r="C384" s="0" t="n">
        <f aca="true">RAND()</f>
        <v>0.659664806354116</v>
      </c>
      <c r="D384" s="0" t="n">
        <f aca="true">RAND()</f>
        <v>0.0689630487114627</v>
      </c>
      <c r="E384" s="0" t="n">
        <f aca="false">IF(C384&lt;=$C$10,1,2)</f>
        <v>2</v>
      </c>
      <c r="F384" s="0" t="n">
        <f aca="false">IF(E384=1,$C$4+SQRT(D384*($C$6-$C$4)*($C$5-$C$4)),$C$6-SQRT((1-D384)*($C$6-$C$4)*($C$6-$C$5)))</f>
        <v>8.63542171255106</v>
      </c>
    </row>
    <row r="385" customFormat="false" ht="15" hidden="false" customHeight="false" outlineLevel="0" collapsed="false">
      <c r="B385" s="0" t="n">
        <v>369</v>
      </c>
      <c r="C385" s="0" t="n">
        <f aca="true">RAND()</f>
        <v>0.601397953211098</v>
      </c>
      <c r="D385" s="0" t="n">
        <f aca="true">RAND()</f>
        <v>0.244933499135717</v>
      </c>
      <c r="E385" s="0" t="n">
        <f aca="false">IF(C385&lt;=$C$10,1,2)</f>
        <v>2</v>
      </c>
      <c r="F385" s="0" t="n">
        <f aca="false">IF(E385=1,$C$4+SQRT(D385*($C$6-$C$4)*($C$5-$C$4)),$C$6-SQRT((1-D385)*($C$6-$C$4)*($C$6-$C$5)))</f>
        <v>8.77112531081133</v>
      </c>
    </row>
    <row r="386" customFormat="false" ht="15" hidden="false" customHeight="false" outlineLevel="0" collapsed="false">
      <c r="B386" s="0" t="n">
        <v>370</v>
      </c>
      <c r="C386" s="0" t="n">
        <f aca="true">RAND()</f>
        <v>0.904735000190525</v>
      </c>
      <c r="D386" s="0" t="n">
        <f aca="true">RAND()</f>
        <v>0.695987350532554</v>
      </c>
      <c r="E386" s="0" t="n">
        <f aca="false">IF(C386&lt;=$C$10,1,2)</f>
        <v>2</v>
      </c>
      <c r="F386" s="0" t="n">
        <f aca="false">IF(E386=1,$C$4+SQRT(D386*($C$6-$C$4)*($C$5-$C$4)),$C$6-SQRT((1-D386)*($C$6-$C$4)*($C$6-$C$5)))</f>
        <v>9.22024022998433</v>
      </c>
    </row>
    <row r="387" customFormat="false" ht="15" hidden="false" customHeight="false" outlineLevel="0" collapsed="false">
      <c r="B387" s="0" t="n">
        <v>371</v>
      </c>
      <c r="C387" s="0" t="n">
        <f aca="true">RAND()</f>
        <v>0.265306234280029</v>
      </c>
      <c r="D387" s="0" t="n">
        <f aca="true">RAND()</f>
        <v>0.82740887775598</v>
      </c>
      <c r="E387" s="0" t="n">
        <f aca="false">IF(C387&lt;=$C$10,1,2)</f>
        <v>1</v>
      </c>
      <c r="F387" s="0" t="n">
        <f aca="false">IF(E387=1,$C$4+SQRT(D387*($C$6-$C$4)*($C$5-$C$4)),$C$6-SQRT((1-D387)*($C$6-$C$4)*($C$6-$C$5)))</f>
        <v>9.28639719974507</v>
      </c>
    </row>
    <row r="388" customFormat="false" ht="15" hidden="false" customHeight="false" outlineLevel="0" collapsed="false">
      <c r="B388" s="0" t="n">
        <v>372</v>
      </c>
      <c r="C388" s="0" t="n">
        <f aca="true">RAND()</f>
        <v>0.753587562108254</v>
      </c>
      <c r="D388" s="0" t="n">
        <f aca="true">RAND()</f>
        <v>0.551767959152118</v>
      </c>
      <c r="E388" s="0" t="n">
        <f aca="false">IF(C388&lt;=$C$10,1,2)</f>
        <v>2</v>
      </c>
      <c r="F388" s="0" t="n">
        <f aca="false">IF(E388=1,$C$4+SQRT(D388*($C$6-$C$4)*($C$5-$C$4)),$C$6-SQRT((1-D388)*($C$6-$C$4)*($C$6-$C$5)))</f>
        <v>9.05318212855071</v>
      </c>
    </row>
    <row r="389" customFormat="false" ht="15" hidden="false" customHeight="false" outlineLevel="0" collapsed="false">
      <c r="B389" s="0" t="n">
        <v>373</v>
      </c>
      <c r="C389" s="0" t="n">
        <f aca="true">RAND()</f>
        <v>0.573898613143545</v>
      </c>
      <c r="D389" s="0" t="n">
        <f aca="true">RAND()</f>
        <v>0.434664027806628</v>
      </c>
      <c r="E389" s="0" t="n">
        <f aca="false">IF(C389&lt;=$C$10,1,2)</f>
        <v>2</v>
      </c>
      <c r="F389" s="0" t="n">
        <f aca="false">IF(E389=1,$C$4+SQRT(D389*($C$6-$C$4)*($C$5-$C$4)),$C$6-SQRT((1-D389)*($C$6-$C$4)*($C$6-$C$5)))</f>
        <v>8.93666940964405</v>
      </c>
    </row>
    <row r="390" customFormat="false" ht="15" hidden="false" customHeight="false" outlineLevel="0" collapsed="false">
      <c r="B390" s="0" t="n">
        <v>374</v>
      </c>
      <c r="C390" s="0" t="n">
        <f aca="true">RAND()</f>
        <v>0.420648956741099</v>
      </c>
      <c r="D390" s="0" t="n">
        <f aca="true">RAND()</f>
        <v>0.378183847234816</v>
      </c>
      <c r="E390" s="0" t="n">
        <f aca="false">IF(C390&lt;=$C$10,1,2)</f>
        <v>1</v>
      </c>
      <c r="F390" s="0" t="n">
        <f aca="false">IF(E390=1,$C$4+SQRT(D390*($C$6-$C$4)*($C$5-$C$4)),$C$6-SQRT((1-D390)*($C$6-$C$4)*($C$6-$C$5)))</f>
        <v>8.86969402347586</v>
      </c>
    </row>
    <row r="391" customFormat="false" ht="15" hidden="false" customHeight="false" outlineLevel="0" collapsed="false">
      <c r="B391" s="0" t="n">
        <v>375</v>
      </c>
      <c r="C391" s="0" t="n">
        <f aca="true">RAND()</f>
        <v>0.0773104622925653</v>
      </c>
      <c r="D391" s="0" t="n">
        <f aca="true">RAND()</f>
        <v>0.379463704073983</v>
      </c>
      <c r="E391" s="0" t="n">
        <f aca="false">IF(C391&lt;=$C$10,1,2)</f>
        <v>1</v>
      </c>
      <c r="F391" s="0" t="n">
        <f aca="false">IF(E391=1,$C$4+SQRT(D391*($C$6-$C$4)*($C$5-$C$4)),$C$6-SQRT((1-D391)*($C$6-$C$4)*($C$6-$C$5)))</f>
        <v>8.87116439788823</v>
      </c>
    </row>
    <row r="392" customFormat="false" ht="15" hidden="false" customHeight="false" outlineLevel="0" collapsed="false">
      <c r="B392" s="0" t="n">
        <v>376</v>
      </c>
      <c r="C392" s="0" t="n">
        <f aca="true">RAND()</f>
        <v>0.382568793237629</v>
      </c>
      <c r="D392" s="0" t="n">
        <f aca="true">RAND()</f>
        <v>0.228187439224909</v>
      </c>
      <c r="E392" s="0" t="n">
        <f aca="false">IF(C392&lt;=$C$10,1,2)</f>
        <v>1</v>
      </c>
      <c r="F392" s="0" t="n">
        <f aca="false">IF(E392=1,$C$4+SQRT(D392*($C$6-$C$4)*($C$5-$C$4)),$C$6-SQRT((1-D392)*($C$6-$C$4)*($C$6-$C$5)))</f>
        <v>8.67555523715668</v>
      </c>
    </row>
    <row r="393" customFormat="false" ht="15" hidden="false" customHeight="false" outlineLevel="0" collapsed="false">
      <c r="B393" s="0" t="n">
        <v>377</v>
      </c>
      <c r="C393" s="0" t="n">
        <f aca="true">RAND()</f>
        <v>0.346220545856327</v>
      </c>
      <c r="D393" s="0" t="n">
        <f aca="true">RAND()</f>
        <v>0.0676823913259322</v>
      </c>
      <c r="E393" s="0" t="n">
        <f aca="false">IF(C393&lt;=$C$10,1,2)</f>
        <v>1</v>
      </c>
      <c r="F393" s="0" t="n">
        <f aca="false">IF(E393=1,$C$4+SQRT(D393*($C$6-$C$4)*($C$5-$C$4)),$C$6-SQRT((1-D393)*($C$6-$C$4)*($C$6-$C$5)))</f>
        <v>8.36791953284905</v>
      </c>
    </row>
    <row r="394" customFormat="false" ht="15" hidden="false" customHeight="false" outlineLevel="0" collapsed="false">
      <c r="B394" s="0" t="n">
        <v>378</v>
      </c>
      <c r="C394" s="0" t="n">
        <f aca="true">RAND()</f>
        <v>0.0347214476190207</v>
      </c>
      <c r="D394" s="0" t="n">
        <f aca="true">RAND()</f>
        <v>0.962563678467545</v>
      </c>
      <c r="E394" s="0" t="n">
        <f aca="false">IF(C394&lt;=$C$10,1,2)</f>
        <v>1</v>
      </c>
      <c r="F394" s="0" t="n">
        <f aca="false">IF(E394=1,$C$4+SQRT(D394*($C$6-$C$4)*($C$5-$C$4)),$C$6-SQRT((1-D394)*($C$6-$C$4)*($C$6-$C$5)))</f>
        <v>9.38748958804565</v>
      </c>
    </row>
    <row r="395" customFormat="false" ht="15" hidden="false" customHeight="false" outlineLevel="0" collapsed="false">
      <c r="B395" s="0" t="n">
        <v>379</v>
      </c>
      <c r="C395" s="0" t="n">
        <f aca="true">RAND()</f>
        <v>0.636107647648679</v>
      </c>
      <c r="D395" s="0" t="n">
        <f aca="true">RAND()</f>
        <v>0.232940432552709</v>
      </c>
      <c r="E395" s="0" t="n">
        <f aca="false">IF(C395&lt;=$C$10,1,2)</f>
        <v>2</v>
      </c>
      <c r="F395" s="0" t="n">
        <f aca="false">IF(E395=1,$C$4+SQRT(D395*($C$6-$C$4)*($C$5-$C$4)),$C$6-SQRT((1-D395)*($C$6-$C$4)*($C$6-$C$5)))</f>
        <v>8.76140436990333</v>
      </c>
    </row>
    <row r="396" customFormat="false" ht="15" hidden="false" customHeight="false" outlineLevel="0" collapsed="false">
      <c r="B396" s="0" t="n">
        <v>380</v>
      </c>
      <c r="C396" s="0" t="n">
        <f aca="true">RAND()</f>
        <v>0.619950269736408</v>
      </c>
      <c r="D396" s="0" t="n">
        <f aca="true">RAND()</f>
        <v>0.68434557282942</v>
      </c>
      <c r="E396" s="0" t="n">
        <f aca="false">IF(C396&lt;=$C$10,1,2)</f>
        <v>2</v>
      </c>
      <c r="F396" s="0" t="n">
        <f aca="false">IF(E396=1,$C$4+SQRT(D396*($C$6-$C$4)*($C$5-$C$4)),$C$6-SQRT((1-D396)*($C$6-$C$4)*($C$6-$C$5)))</f>
        <v>9.20545053373553</v>
      </c>
    </row>
    <row r="397" customFormat="false" ht="15" hidden="false" customHeight="false" outlineLevel="0" collapsed="false">
      <c r="B397" s="0" t="n">
        <v>381</v>
      </c>
      <c r="C397" s="0" t="n">
        <f aca="true">RAND()</f>
        <v>0.557417424520422</v>
      </c>
      <c r="D397" s="0" t="n">
        <f aca="true">RAND()</f>
        <v>0.244267810658013</v>
      </c>
      <c r="E397" s="0" t="n">
        <f aca="false">IF(C397&lt;=$C$10,1,2)</f>
        <v>2</v>
      </c>
      <c r="F397" s="0" t="n">
        <f aca="false">IF(E397=1,$C$4+SQRT(D397*($C$6-$C$4)*($C$5-$C$4)),$C$6-SQRT((1-D397)*($C$6-$C$4)*($C$6-$C$5)))</f>
        <v>8.77058372441066</v>
      </c>
    </row>
    <row r="398" customFormat="false" ht="15" hidden="false" customHeight="false" outlineLevel="0" collapsed="false">
      <c r="B398" s="0" t="n">
        <v>382</v>
      </c>
      <c r="C398" s="0" t="n">
        <f aca="true">RAND()</f>
        <v>0.15047051474424</v>
      </c>
      <c r="D398" s="0" t="n">
        <f aca="true">RAND()</f>
        <v>0.822162896243302</v>
      </c>
      <c r="E398" s="0" t="n">
        <f aca="false">IF(C398&lt;=$C$10,1,2)</f>
        <v>1</v>
      </c>
      <c r="F398" s="0" t="n">
        <f aca="false">IF(E398=1,$C$4+SQRT(D398*($C$6-$C$4)*($C$5-$C$4)),$C$6-SQRT((1-D398)*($C$6-$C$4)*($C$6-$C$5)))</f>
        <v>9.28231267344849</v>
      </c>
    </row>
    <row r="399" customFormat="false" ht="15" hidden="false" customHeight="false" outlineLevel="0" collapsed="false">
      <c r="B399" s="0" t="n">
        <v>383</v>
      </c>
      <c r="C399" s="0" t="n">
        <f aca="true">RAND()</f>
        <v>0.497286639104715</v>
      </c>
      <c r="D399" s="0" t="n">
        <f aca="true">RAND()</f>
        <v>0.656782340589803</v>
      </c>
      <c r="E399" s="0" t="n">
        <f aca="false">IF(C399&lt;=$C$10,1,2)</f>
        <v>1</v>
      </c>
      <c r="F399" s="0" t="n">
        <f aca="false">IF(E399=1,$C$4+SQRT(D399*($C$6-$C$4)*($C$5-$C$4)),$C$6-SQRT((1-D399)*($C$6-$C$4)*($C$6-$C$5)))</f>
        <v>9.14610849450635</v>
      </c>
    </row>
    <row r="400" customFormat="false" ht="15" hidden="false" customHeight="false" outlineLevel="0" collapsed="false">
      <c r="B400" s="0" t="n">
        <v>384</v>
      </c>
      <c r="C400" s="0" t="n">
        <f aca="true">RAND()</f>
        <v>0.53591976845123</v>
      </c>
      <c r="D400" s="0" t="n">
        <f aca="true">RAND()</f>
        <v>0.706548165232964</v>
      </c>
      <c r="E400" s="0" t="n">
        <f aca="false">IF(C400&lt;=$C$10,1,2)</f>
        <v>2</v>
      </c>
      <c r="F400" s="0" t="n">
        <f aca="false">IF(E400=1,$C$4+SQRT(D400*($C$6-$C$4)*($C$5-$C$4)),$C$6-SQRT((1-D400)*($C$6-$C$4)*($C$6-$C$5)))</f>
        <v>9.23390361602859</v>
      </c>
    </row>
    <row r="401" customFormat="false" ht="15" hidden="false" customHeight="false" outlineLevel="0" collapsed="false">
      <c r="B401" s="0" t="n">
        <v>385</v>
      </c>
      <c r="C401" s="0" t="n">
        <f aca="true">RAND()</f>
        <v>0.85790999837047</v>
      </c>
      <c r="D401" s="0" t="n">
        <f aca="true">RAND()</f>
        <v>0.400724121237303</v>
      </c>
      <c r="E401" s="0" t="n">
        <f aca="false">IF(C401&lt;=$C$10,1,2)</f>
        <v>2</v>
      </c>
      <c r="F401" s="0" t="n">
        <f aca="false">IF(E401=1,$C$4+SQRT(D401*($C$6-$C$4)*($C$5-$C$4)),$C$6-SQRT((1-D401)*($C$6-$C$4)*($C$6-$C$5)))</f>
        <v>8.90521611378072</v>
      </c>
    </row>
    <row r="402" customFormat="false" ht="15" hidden="false" customHeight="false" outlineLevel="0" collapsed="false">
      <c r="B402" s="0" t="n">
        <v>386</v>
      </c>
      <c r="C402" s="0" t="n">
        <f aca="true">RAND()</f>
        <v>0.8123390394213</v>
      </c>
      <c r="D402" s="0" t="n">
        <f aca="true">RAND()</f>
        <v>0.288440364149588</v>
      </c>
      <c r="E402" s="0" t="n">
        <f aca="false">IF(C402&lt;=$C$10,1,2)</f>
        <v>2</v>
      </c>
      <c r="F402" s="0" t="n">
        <f aca="false">IF(E402=1,$C$4+SQRT(D402*($C$6-$C$4)*($C$5-$C$4)),$C$6-SQRT((1-D402)*($C$6-$C$4)*($C$6-$C$5)))</f>
        <v>8.80705437185896</v>
      </c>
    </row>
    <row r="403" customFormat="false" ht="15" hidden="false" customHeight="false" outlineLevel="0" collapsed="false">
      <c r="B403" s="0" t="n">
        <v>387</v>
      </c>
      <c r="C403" s="0" t="n">
        <f aca="true">RAND()</f>
        <v>0.507940470250528</v>
      </c>
      <c r="D403" s="0" t="n">
        <f aca="true">RAND()</f>
        <v>0.165093988819971</v>
      </c>
      <c r="E403" s="0" t="n">
        <f aca="false">IF(C403&lt;=$C$10,1,2)</f>
        <v>2</v>
      </c>
      <c r="F403" s="0" t="n">
        <f aca="false">IF(E403=1,$C$4+SQRT(D403*($C$6-$C$4)*($C$5-$C$4)),$C$6-SQRT((1-D403)*($C$6-$C$4)*($C$6-$C$5)))</f>
        <v>8.70778793444727</v>
      </c>
    </row>
    <row r="404" customFormat="false" ht="15" hidden="false" customHeight="false" outlineLevel="0" collapsed="false">
      <c r="B404" s="0" t="n">
        <v>388</v>
      </c>
      <c r="C404" s="0" t="n">
        <f aca="true">RAND()</f>
        <v>0.735372057107945</v>
      </c>
      <c r="D404" s="0" t="n">
        <f aca="true">RAND()</f>
        <v>0.512698836277133</v>
      </c>
      <c r="E404" s="0" t="n">
        <f aca="false">IF(C404&lt;=$C$10,1,2)</f>
        <v>2</v>
      </c>
      <c r="F404" s="0" t="n">
        <f aca="false">IF(E404=1,$C$4+SQRT(D404*($C$6-$C$4)*($C$5-$C$4)),$C$6-SQRT((1-D404)*($C$6-$C$4)*($C$6-$C$5)))</f>
        <v>9.01278050695616</v>
      </c>
    </row>
    <row r="405" customFormat="false" ht="15" hidden="false" customHeight="false" outlineLevel="0" collapsed="false">
      <c r="B405" s="0" t="n">
        <v>389</v>
      </c>
      <c r="C405" s="0" t="n">
        <f aca="true">RAND()</f>
        <v>0.690703271480485</v>
      </c>
      <c r="D405" s="0" t="n">
        <f aca="true">RAND()</f>
        <v>0.672213778451953</v>
      </c>
      <c r="E405" s="0" t="n">
        <f aca="false">IF(C405&lt;=$C$10,1,2)</f>
        <v>2</v>
      </c>
      <c r="F405" s="0" t="n">
        <f aca="false">IF(E405=1,$C$4+SQRT(D405*($C$6-$C$4)*($C$5-$C$4)),$C$6-SQRT((1-D405)*($C$6-$C$4)*($C$6-$C$5)))</f>
        <v>9.1903257178988</v>
      </c>
    </row>
    <row r="406" customFormat="false" ht="15" hidden="false" customHeight="false" outlineLevel="0" collapsed="false">
      <c r="B406" s="0" t="n">
        <v>390</v>
      </c>
      <c r="C406" s="0" t="n">
        <f aca="true">RAND()</f>
        <v>0.371519530407006</v>
      </c>
      <c r="D406" s="0" t="n">
        <f aca="true">RAND()</f>
        <v>0.528808180583509</v>
      </c>
      <c r="E406" s="0" t="n">
        <f aca="false">IF(C406&lt;=$C$10,1,2)</f>
        <v>1</v>
      </c>
      <c r="F406" s="0" t="n">
        <f aca="false">IF(E406=1,$C$4+SQRT(D406*($C$6-$C$4)*($C$5-$C$4)),$C$6-SQRT((1-D406)*($C$6-$C$4)*($C$6-$C$5)))</f>
        <v>9.02840476523936</v>
      </c>
    </row>
    <row r="407" customFormat="false" ht="15" hidden="false" customHeight="false" outlineLevel="0" collapsed="false">
      <c r="B407" s="0" t="n">
        <v>391</v>
      </c>
      <c r="C407" s="0" t="n">
        <f aca="true">RAND()</f>
        <v>0.577417490506705</v>
      </c>
      <c r="D407" s="0" t="n">
        <f aca="true">RAND()</f>
        <v>0.433962338049495</v>
      </c>
      <c r="E407" s="0" t="n">
        <f aca="false">IF(C407&lt;=$C$10,1,2)</f>
        <v>2</v>
      </c>
      <c r="F407" s="0" t="n">
        <f aca="false">IF(E407=1,$C$4+SQRT(D407*($C$6-$C$4)*($C$5-$C$4)),$C$6-SQRT((1-D407)*($C$6-$C$4)*($C$6-$C$5)))</f>
        <v>8.9360097162563</v>
      </c>
    </row>
    <row r="408" customFormat="false" ht="15" hidden="false" customHeight="false" outlineLevel="0" collapsed="false">
      <c r="B408" s="0" t="n">
        <v>392</v>
      </c>
      <c r="C408" s="0" t="n">
        <f aca="true">RAND()</f>
        <v>0.67863731316167</v>
      </c>
      <c r="D408" s="0" t="n">
        <f aca="true">RAND()</f>
        <v>0.403494816035761</v>
      </c>
      <c r="E408" s="0" t="n">
        <f aca="false">IF(C408&lt;=$C$10,1,2)</f>
        <v>2</v>
      </c>
      <c r="F408" s="0" t="n">
        <f aca="false">IF(E408=1,$C$4+SQRT(D408*($C$6-$C$4)*($C$5-$C$4)),$C$6-SQRT((1-D408)*($C$6-$C$4)*($C$6-$C$5)))</f>
        <v>8.90774986018381</v>
      </c>
    </row>
    <row r="409" customFormat="false" ht="15" hidden="false" customHeight="false" outlineLevel="0" collapsed="false">
      <c r="B409" s="0" t="n">
        <v>393</v>
      </c>
      <c r="C409" s="0" t="n">
        <f aca="true">RAND()</f>
        <v>0.495129999692657</v>
      </c>
      <c r="D409" s="0" t="n">
        <f aca="true">RAND()</f>
        <v>0.305317629760129</v>
      </c>
      <c r="E409" s="0" t="n">
        <f aca="false">IF(C409&lt;=$C$10,1,2)</f>
        <v>1</v>
      </c>
      <c r="F409" s="0" t="n">
        <f aca="false">IF(E409=1,$C$4+SQRT(D409*($C$6-$C$4)*($C$5-$C$4)),$C$6-SQRT((1-D409)*($C$6-$C$4)*($C$6-$C$5)))</f>
        <v>8.78143154499947</v>
      </c>
    </row>
    <row r="410" customFormat="false" ht="15" hidden="false" customHeight="false" outlineLevel="0" collapsed="false">
      <c r="B410" s="0" t="n">
        <v>394</v>
      </c>
      <c r="C410" s="0" t="n">
        <f aca="true">RAND()</f>
        <v>0.00262111629059507</v>
      </c>
      <c r="D410" s="0" t="n">
        <f aca="true">RAND()</f>
        <v>0.548724747012128</v>
      </c>
      <c r="E410" s="0" t="n">
        <f aca="false">IF(C410&lt;=$C$10,1,2)</f>
        <v>1</v>
      </c>
      <c r="F410" s="0" t="n">
        <f aca="false">IF(E410=1,$C$4+SQRT(D410*($C$6-$C$4)*($C$5-$C$4)),$C$6-SQRT((1-D410)*($C$6-$C$4)*($C$6-$C$5)))</f>
        <v>9.04759223652347</v>
      </c>
    </row>
    <row r="411" customFormat="false" ht="15" hidden="false" customHeight="false" outlineLevel="0" collapsed="false">
      <c r="B411" s="0" t="n">
        <v>395</v>
      </c>
      <c r="C411" s="0" t="n">
        <f aca="true">RAND()</f>
        <v>0.230017249997302</v>
      </c>
      <c r="D411" s="0" t="n">
        <f aca="true">RAND()</f>
        <v>0.662774763360312</v>
      </c>
      <c r="E411" s="0" t="n">
        <f aca="false">IF(C411&lt;=$C$10,1,2)</f>
        <v>1</v>
      </c>
      <c r="F411" s="0" t="n">
        <f aca="false">IF(E411=1,$C$4+SQRT(D411*($C$6-$C$4)*($C$5-$C$4)),$C$6-SQRT((1-D411)*($C$6-$C$4)*($C$6-$C$5)))</f>
        <v>9.15132511773201</v>
      </c>
    </row>
    <row r="412" customFormat="false" ht="15" hidden="false" customHeight="false" outlineLevel="0" collapsed="false">
      <c r="B412" s="0" t="n">
        <v>396</v>
      </c>
      <c r="C412" s="0" t="n">
        <f aca="true">RAND()</f>
        <v>0.794001278925766</v>
      </c>
      <c r="D412" s="0" t="n">
        <f aca="true">RAND()</f>
        <v>0.835151632642992</v>
      </c>
      <c r="E412" s="0" t="n">
        <f aca="false">IF(C412&lt;=$C$10,1,2)</f>
        <v>2</v>
      </c>
      <c r="F412" s="0" t="n">
        <f aca="false">IF(E412=1,$C$4+SQRT(D412*($C$6-$C$4)*($C$5-$C$4)),$C$6-SQRT((1-D412)*($C$6-$C$4)*($C$6-$C$5)))</f>
        <v>9.4258077545682</v>
      </c>
    </row>
    <row r="413" customFormat="false" ht="15" hidden="false" customHeight="false" outlineLevel="0" collapsed="false">
      <c r="B413" s="0" t="n">
        <v>397</v>
      </c>
      <c r="C413" s="0" t="n">
        <f aca="true">RAND()</f>
        <v>0.93222864834891</v>
      </c>
      <c r="D413" s="0" t="n">
        <f aca="true">RAND()</f>
        <v>0.238424374592309</v>
      </c>
      <c r="E413" s="0" t="n">
        <f aca="false">IF(C413&lt;=$C$10,1,2)</f>
        <v>2</v>
      </c>
      <c r="F413" s="0" t="n">
        <f aca="false">IF(E413=1,$C$4+SQRT(D413*($C$6-$C$4)*($C$5-$C$4)),$C$6-SQRT((1-D413)*($C$6-$C$4)*($C$6-$C$5)))</f>
        <v>8.76583986014157</v>
      </c>
    </row>
    <row r="414" customFormat="false" ht="15" hidden="false" customHeight="false" outlineLevel="0" collapsed="false">
      <c r="B414" s="0" t="n">
        <v>398</v>
      </c>
      <c r="C414" s="0" t="n">
        <f aca="true">RAND()</f>
        <v>0.318055911426918</v>
      </c>
      <c r="D414" s="0" t="n">
        <f aca="true">RAND()</f>
        <v>0.140790307499798</v>
      </c>
      <c r="E414" s="0" t="n">
        <f aca="false">IF(C414&lt;=$C$10,1,2)</f>
        <v>1</v>
      </c>
      <c r="F414" s="0" t="n">
        <f aca="false">IF(E414=1,$C$4+SQRT(D414*($C$6-$C$4)*($C$5-$C$4)),$C$6-SQRT((1-D414)*($C$6-$C$4)*($C$6-$C$5)))</f>
        <v>8.53064170115022</v>
      </c>
    </row>
    <row r="415" customFormat="false" ht="15" hidden="false" customHeight="false" outlineLevel="0" collapsed="false">
      <c r="B415" s="0" t="n">
        <v>399</v>
      </c>
      <c r="C415" s="0" t="n">
        <f aca="true">RAND()</f>
        <v>0.531387183286679</v>
      </c>
      <c r="D415" s="0" t="n">
        <f aca="true">RAND()</f>
        <v>0.348430086647301</v>
      </c>
      <c r="E415" s="0" t="n">
        <f aca="false">IF(C415&lt;=$C$10,1,2)</f>
        <v>2</v>
      </c>
      <c r="F415" s="0" t="n">
        <f aca="false">IF(E415=1,$C$4+SQRT(D415*($C$6-$C$4)*($C$5-$C$4)),$C$6-SQRT((1-D415)*($C$6-$C$4)*($C$6-$C$5)))</f>
        <v>8.85844850019572</v>
      </c>
    </row>
    <row r="416" customFormat="false" ht="15" hidden="false" customHeight="false" outlineLevel="0" collapsed="false">
      <c r="B416" s="0" t="n">
        <v>400</v>
      </c>
      <c r="C416" s="0" t="n">
        <f aca="true">RAND()</f>
        <v>0.441276134437451</v>
      </c>
      <c r="D416" s="0" t="n">
        <f aca="true">RAND()</f>
        <v>0.187690173119718</v>
      </c>
      <c r="E416" s="0" t="n">
        <f aca="false">IF(C416&lt;=$C$10,1,2)</f>
        <v>1</v>
      </c>
      <c r="F416" s="0" t="n">
        <f aca="false">IF(E416=1,$C$4+SQRT(D416*($C$6-$C$4)*($C$5-$C$4)),$C$6-SQRT((1-D416)*($C$6-$C$4)*($C$6-$C$5)))</f>
        <v>8.61268290839507</v>
      </c>
    </row>
    <row r="417" customFormat="false" ht="15" hidden="false" customHeight="false" outlineLevel="0" collapsed="false">
      <c r="B417" s="0" t="n">
        <v>401</v>
      </c>
      <c r="C417" s="0" t="n">
        <f aca="true">RAND()</f>
        <v>0.211834838203282</v>
      </c>
      <c r="D417" s="0" t="n">
        <f aca="true">RAND()</f>
        <v>0.295358576876138</v>
      </c>
      <c r="E417" s="0" t="n">
        <f aca="false">IF(C417&lt;=$C$10,1,2)</f>
        <v>1</v>
      </c>
      <c r="F417" s="0" t="n">
        <f aca="false">IF(E417=1,$C$4+SQRT(D417*($C$6-$C$4)*($C$5-$C$4)),$C$6-SQRT((1-D417)*($C$6-$C$4)*($C$6-$C$5)))</f>
        <v>8.7685812603442</v>
      </c>
    </row>
    <row r="418" customFormat="false" ht="15" hidden="false" customHeight="false" outlineLevel="0" collapsed="false">
      <c r="B418" s="0" t="n">
        <v>402</v>
      </c>
      <c r="C418" s="0" t="n">
        <f aca="true">RAND()</f>
        <v>0.275721090933004</v>
      </c>
      <c r="D418" s="0" t="n">
        <f aca="true">RAND()</f>
        <v>0.85222641816568</v>
      </c>
      <c r="E418" s="0" t="n">
        <f aca="false">IF(C418&lt;=$C$10,1,2)</f>
        <v>1</v>
      </c>
      <c r="F418" s="0" t="n">
        <f aca="false">IF(E418=1,$C$4+SQRT(D418*($C$6-$C$4)*($C$5-$C$4)),$C$6-SQRT((1-D418)*($C$6-$C$4)*($C$6-$C$5)))</f>
        <v>9.30554694911036</v>
      </c>
    </row>
    <row r="419" customFormat="false" ht="15" hidden="false" customHeight="false" outlineLevel="0" collapsed="false">
      <c r="B419" s="0" t="n">
        <v>403</v>
      </c>
      <c r="C419" s="0" t="n">
        <f aca="true">RAND()</f>
        <v>0.608498342353472</v>
      </c>
      <c r="D419" s="0" t="n">
        <f aca="true">RAND()</f>
        <v>0.323733761706345</v>
      </c>
      <c r="E419" s="0" t="n">
        <f aca="false">IF(C419&lt;=$C$10,1,2)</f>
        <v>2</v>
      </c>
      <c r="F419" s="0" t="n">
        <f aca="false">IF(E419=1,$C$4+SQRT(D419*($C$6-$C$4)*($C$5-$C$4)),$C$6-SQRT((1-D419)*($C$6-$C$4)*($C$6-$C$5)))</f>
        <v>8.83701570234706</v>
      </c>
    </row>
    <row r="420" customFormat="false" ht="15" hidden="false" customHeight="false" outlineLevel="0" collapsed="false">
      <c r="B420" s="0" t="n">
        <v>404</v>
      </c>
      <c r="C420" s="0" t="n">
        <f aca="true">RAND()</f>
        <v>0.267938423584154</v>
      </c>
      <c r="D420" s="0" t="n">
        <f aca="true">RAND()</f>
        <v>0.202135231637497</v>
      </c>
      <c r="E420" s="0" t="n">
        <f aca="false">IF(C420&lt;=$C$10,1,2)</f>
        <v>1</v>
      </c>
      <c r="F420" s="0" t="n">
        <f aca="false">IF(E420=1,$C$4+SQRT(D420*($C$6-$C$4)*($C$5-$C$4)),$C$6-SQRT((1-D420)*($C$6-$C$4)*($C$6-$C$5)))</f>
        <v>8.63582266653132</v>
      </c>
    </row>
    <row r="421" customFormat="false" ht="15" hidden="false" customHeight="false" outlineLevel="0" collapsed="false">
      <c r="B421" s="0" t="n">
        <v>405</v>
      </c>
      <c r="C421" s="0" t="n">
        <f aca="true">RAND()</f>
        <v>0.779549721757166</v>
      </c>
      <c r="D421" s="0" t="n">
        <f aca="true">RAND()</f>
        <v>0.283424006225389</v>
      </c>
      <c r="E421" s="0" t="n">
        <f aca="false">IF(C421&lt;=$C$10,1,2)</f>
        <v>2</v>
      </c>
      <c r="F421" s="0" t="n">
        <f aca="false">IF(E421=1,$C$4+SQRT(D421*($C$6-$C$4)*($C$5-$C$4)),$C$6-SQRT((1-D421)*($C$6-$C$4)*($C$6-$C$5)))</f>
        <v>8.80285673892002</v>
      </c>
    </row>
    <row r="422" customFormat="false" ht="15" hidden="false" customHeight="false" outlineLevel="0" collapsed="false">
      <c r="B422" s="0" t="n">
        <v>406</v>
      </c>
      <c r="C422" s="0" t="n">
        <f aca="true">RAND()</f>
        <v>0.719474332082844</v>
      </c>
      <c r="D422" s="0" t="n">
        <f aca="true">RAND()</f>
        <v>0.823205130072263</v>
      </c>
      <c r="E422" s="0" t="n">
        <f aca="false">IF(C422&lt;=$C$10,1,2)</f>
        <v>2</v>
      </c>
      <c r="F422" s="0" t="n">
        <f aca="false">IF(E422=1,$C$4+SQRT(D422*($C$6-$C$4)*($C$5-$C$4)),$C$6-SQRT((1-D422)*($C$6-$C$4)*($C$6-$C$5)))</f>
        <v>9.40536587731995</v>
      </c>
    </row>
    <row r="423" customFormat="false" ht="15" hidden="false" customHeight="false" outlineLevel="0" collapsed="false">
      <c r="B423" s="0" t="n">
        <v>407</v>
      </c>
      <c r="C423" s="0" t="n">
        <f aca="true">RAND()</f>
        <v>0.0638335849540541</v>
      </c>
      <c r="D423" s="0" t="n">
        <f aca="true">RAND()</f>
        <v>0.125202137162749</v>
      </c>
      <c r="E423" s="0" t="n">
        <f aca="false">IF(C423&lt;=$C$10,1,2)</f>
        <v>1</v>
      </c>
      <c r="F423" s="0" t="n">
        <f aca="false">IF(E423=1,$C$4+SQRT(D423*($C$6-$C$4)*($C$5-$C$4)),$C$6-SQRT((1-D423)*($C$6-$C$4)*($C$6-$C$5)))</f>
        <v>8.50040411101978</v>
      </c>
    </row>
    <row r="424" customFormat="false" ht="15" hidden="false" customHeight="false" outlineLevel="0" collapsed="false">
      <c r="B424" s="0" t="n">
        <v>408</v>
      </c>
      <c r="C424" s="0" t="n">
        <f aca="true">RAND()</f>
        <v>0.0348681140016412</v>
      </c>
      <c r="D424" s="0" t="n">
        <f aca="true">RAND()</f>
        <v>0.936154164183482</v>
      </c>
      <c r="E424" s="0" t="n">
        <f aca="false">IF(C424&lt;=$C$10,1,2)</f>
        <v>1</v>
      </c>
      <c r="F424" s="0" t="n">
        <f aca="false">IF(E424=1,$C$4+SQRT(D424*($C$6-$C$4)*($C$5-$C$4)),$C$6-SQRT((1-D424)*($C$6-$C$4)*($C$6-$C$5)))</f>
        <v>9.36832318125762</v>
      </c>
    </row>
    <row r="425" customFormat="false" ht="15" hidden="false" customHeight="false" outlineLevel="0" collapsed="false">
      <c r="B425" s="0" t="n">
        <v>409</v>
      </c>
      <c r="C425" s="0" t="n">
        <f aca="true">RAND()</f>
        <v>0.206882486804005</v>
      </c>
      <c r="D425" s="0" t="n">
        <f aca="true">RAND()</f>
        <v>0.280078611077725</v>
      </c>
      <c r="E425" s="0" t="n">
        <f aca="false">IF(C425&lt;=$C$10,1,2)</f>
        <v>1</v>
      </c>
      <c r="F425" s="0" t="n">
        <f aca="false">IF(E425=1,$C$4+SQRT(D425*($C$6-$C$4)*($C$5-$C$4)),$C$6-SQRT((1-D425)*($C$6-$C$4)*($C$6-$C$5)))</f>
        <v>8.74843651845394</v>
      </c>
    </row>
    <row r="426" customFormat="false" ht="15" hidden="false" customHeight="false" outlineLevel="0" collapsed="false">
      <c r="B426" s="0" t="n">
        <v>410</v>
      </c>
      <c r="C426" s="0" t="n">
        <f aca="true">RAND()</f>
        <v>0.940904484645651</v>
      </c>
      <c r="D426" s="0" t="n">
        <f aca="true">RAND()</f>
        <v>0.549363554447073</v>
      </c>
      <c r="E426" s="0" t="n">
        <f aca="false">IF(C426&lt;=$C$10,1,2)</f>
        <v>2</v>
      </c>
      <c r="F426" s="0" t="n">
        <f aca="false">IF(E426=1,$C$4+SQRT(D426*($C$6-$C$4)*($C$5-$C$4)),$C$6-SQRT((1-D426)*($C$6-$C$4)*($C$6-$C$5)))</f>
        <v>9.0506460664716</v>
      </c>
    </row>
    <row r="427" customFormat="false" ht="15" hidden="false" customHeight="false" outlineLevel="0" collapsed="false">
      <c r="B427" s="0" t="n">
        <v>411</v>
      </c>
      <c r="C427" s="0" t="n">
        <f aca="true">RAND()</f>
        <v>0.704191412641516</v>
      </c>
      <c r="D427" s="0" t="n">
        <f aca="true">RAND()</f>
        <v>0.307658302711795</v>
      </c>
      <c r="E427" s="0" t="n">
        <f aca="false">IF(C427&lt;=$C$10,1,2)</f>
        <v>2</v>
      </c>
      <c r="F427" s="0" t="n">
        <f aca="false">IF(E427=1,$C$4+SQRT(D427*($C$6-$C$4)*($C$5-$C$4)),$C$6-SQRT((1-D427)*($C$6-$C$4)*($C$6-$C$5)))</f>
        <v>8.82327429084922</v>
      </c>
    </row>
    <row r="428" customFormat="false" ht="15" hidden="false" customHeight="false" outlineLevel="0" collapsed="false">
      <c r="B428" s="0" t="n">
        <v>412</v>
      </c>
      <c r="C428" s="0" t="n">
        <f aca="true">RAND()</f>
        <v>0.463956606360591</v>
      </c>
      <c r="D428" s="0" t="n">
        <f aca="true">RAND()</f>
        <v>0.81956557625519</v>
      </c>
      <c r="E428" s="0" t="n">
        <f aca="false">IF(C428&lt;=$C$10,1,2)</f>
        <v>1</v>
      </c>
      <c r="F428" s="0" t="n">
        <f aca="false">IF(E428=1,$C$4+SQRT(D428*($C$6-$C$4)*($C$5-$C$4)),$C$6-SQRT((1-D428)*($C$6-$C$4)*($C$6-$C$5)))</f>
        <v>9.28028557459279</v>
      </c>
    </row>
    <row r="429" customFormat="false" ht="15" hidden="false" customHeight="false" outlineLevel="0" collapsed="false">
      <c r="B429" s="0" t="n">
        <v>413</v>
      </c>
      <c r="C429" s="0" t="n">
        <f aca="true">RAND()</f>
        <v>0.77833277798521</v>
      </c>
      <c r="D429" s="0" t="n">
        <f aca="true">RAND()</f>
        <v>0.50997792841081</v>
      </c>
      <c r="E429" s="0" t="n">
        <f aca="false">IF(C429&lt;=$C$10,1,2)</f>
        <v>2</v>
      </c>
      <c r="F429" s="0" t="n">
        <f aca="false">IF(E429=1,$C$4+SQRT(D429*($C$6-$C$4)*($C$5-$C$4)),$C$6-SQRT((1-D429)*($C$6-$C$4)*($C$6-$C$5)))</f>
        <v>9.01002821091792</v>
      </c>
    </row>
    <row r="430" customFormat="false" ht="15" hidden="false" customHeight="false" outlineLevel="0" collapsed="false">
      <c r="B430" s="0" t="n">
        <v>414</v>
      </c>
      <c r="C430" s="0" t="n">
        <f aca="true">RAND()</f>
        <v>0.655802044245226</v>
      </c>
      <c r="D430" s="0" t="n">
        <f aca="true">RAND()</f>
        <v>0.799960892687518</v>
      </c>
      <c r="E430" s="0" t="n">
        <f aca="false">IF(C430&lt;=$C$10,1,2)</f>
        <v>2</v>
      </c>
      <c r="F430" s="0" t="n">
        <f aca="false">IF(E430=1,$C$4+SQRT(D430*($C$6-$C$4)*($C$5-$C$4)),$C$6-SQRT((1-D430)*($C$6-$C$4)*($C$6-$C$5)))</f>
        <v>9.36748263689843</v>
      </c>
    </row>
    <row r="431" customFormat="false" ht="15" hidden="false" customHeight="false" outlineLevel="0" collapsed="false">
      <c r="B431" s="0" t="n">
        <v>415</v>
      </c>
      <c r="C431" s="0" t="n">
        <f aca="true">RAND()</f>
        <v>0.607824924398212</v>
      </c>
      <c r="D431" s="0" t="n">
        <f aca="true">RAND()</f>
        <v>0.932483903514568</v>
      </c>
      <c r="E431" s="0" t="n">
        <f aca="false">IF(C431&lt;=$C$10,1,2)</f>
        <v>2</v>
      </c>
      <c r="F431" s="0" t="n">
        <f aca="false">IF(E431=1,$C$4+SQRT(D431*($C$6-$C$4)*($C$5-$C$4)),$C$6-SQRT((1-D431)*($C$6-$C$4)*($C$6-$C$5)))</f>
        <v>9.63253273210956</v>
      </c>
    </row>
    <row r="432" customFormat="false" ht="15" hidden="false" customHeight="false" outlineLevel="0" collapsed="false">
      <c r="B432" s="0" t="n">
        <v>416</v>
      </c>
      <c r="C432" s="0" t="n">
        <f aca="true">RAND()</f>
        <v>0.296983889834982</v>
      </c>
      <c r="D432" s="0" t="n">
        <f aca="true">RAND()</f>
        <v>0.745150207008636</v>
      </c>
      <c r="E432" s="0" t="n">
        <f aca="false">IF(C432&lt;=$C$10,1,2)</f>
        <v>1</v>
      </c>
      <c r="F432" s="0" t="n">
        <f aca="false">IF(E432=1,$C$4+SQRT(D432*($C$6-$C$4)*($C$5-$C$4)),$C$6-SQRT((1-D432)*($C$6-$C$4)*($C$6-$C$5)))</f>
        <v>9.2207786097476</v>
      </c>
    </row>
    <row r="433" customFormat="false" ht="15" hidden="false" customHeight="false" outlineLevel="0" collapsed="false">
      <c r="B433" s="0" t="n">
        <v>417</v>
      </c>
      <c r="C433" s="0" t="n">
        <f aca="true">RAND()</f>
        <v>0.31734294087479</v>
      </c>
      <c r="D433" s="0" t="n">
        <f aca="true">RAND()</f>
        <v>0.459077285018234</v>
      </c>
      <c r="E433" s="0" t="n">
        <f aca="false">IF(C433&lt;=$C$10,1,2)</f>
        <v>1</v>
      </c>
      <c r="F433" s="0" t="n">
        <f aca="false">IF(E433=1,$C$4+SQRT(D433*($C$6-$C$4)*($C$5-$C$4)),$C$6-SQRT((1-D433)*($C$6-$C$4)*($C$6-$C$5)))</f>
        <v>8.95820382489138</v>
      </c>
    </row>
    <row r="434" customFormat="false" ht="15" hidden="false" customHeight="false" outlineLevel="0" collapsed="false">
      <c r="B434" s="0" t="n">
        <v>418</v>
      </c>
      <c r="C434" s="0" t="n">
        <f aca="true">RAND()</f>
        <v>0.977171552723788</v>
      </c>
      <c r="D434" s="0" t="n">
        <f aca="true">RAND()</f>
        <v>0.414707276881805</v>
      </c>
      <c r="E434" s="0" t="n">
        <f aca="false">IF(C434&lt;=$C$10,1,2)</f>
        <v>2</v>
      </c>
      <c r="F434" s="0" t="n">
        <f aca="false">IF(E434=1,$C$4+SQRT(D434*($C$6-$C$4)*($C$5-$C$4)),$C$6-SQRT((1-D434)*($C$6-$C$4)*($C$6-$C$5)))</f>
        <v>8.91806402858746</v>
      </c>
    </row>
    <row r="435" customFormat="false" ht="15" hidden="false" customHeight="false" outlineLevel="0" collapsed="false">
      <c r="B435" s="0" t="n">
        <v>419</v>
      </c>
      <c r="C435" s="0" t="n">
        <f aca="true">RAND()</f>
        <v>0.158426467788807</v>
      </c>
      <c r="D435" s="0" t="n">
        <f aca="true">RAND()</f>
        <v>0.598593475098006</v>
      </c>
      <c r="E435" s="0" t="n">
        <f aca="false">IF(C435&lt;=$C$10,1,2)</f>
        <v>1</v>
      </c>
      <c r="F435" s="0" t="n">
        <f aca="false">IF(E435=1,$C$4+SQRT(D435*($C$6-$C$4)*($C$5-$C$4)),$C$6-SQRT((1-D435)*($C$6-$C$4)*($C$6-$C$5)))</f>
        <v>9.09416038595629</v>
      </c>
    </row>
    <row r="436" customFormat="false" ht="15" hidden="false" customHeight="false" outlineLevel="0" collapsed="false">
      <c r="B436" s="0" t="n">
        <v>420</v>
      </c>
      <c r="C436" s="0" t="n">
        <f aca="true">RAND()</f>
        <v>0.747628818727816</v>
      </c>
      <c r="D436" s="0" t="n">
        <f aca="true">RAND()</f>
        <v>0.0890364760359711</v>
      </c>
      <c r="E436" s="0" t="n">
        <f aca="false">IF(C436&lt;=$C$10,1,2)</f>
        <v>2</v>
      </c>
      <c r="F436" s="0" t="n">
        <f aca="false">IF(E436=1,$C$4+SQRT(D436*($C$6-$C$4)*($C$5-$C$4)),$C$6-SQRT((1-D436)*($C$6-$C$4)*($C$6-$C$5)))</f>
        <v>8.65021222115176</v>
      </c>
    </row>
    <row r="437" customFormat="false" ht="15" hidden="false" customHeight="false" outlineLevel="0" collapsed="false">
      <c r="B437" s="0" t="n">
        <v>421</v>
      </c>
      <c r="C437" s="0" t="n">
        <f aca="true">RAND()</f>
        <v>0.677824204852763</v>
      </c>
      <c r="D437" s="0" t="n">
        <f aca="true">RAND()</f>
        <v>0.179121108130018</v>
      </c>
      <c r="E437" s="0" t="n">
        <f aca="false">IF(C437&lt;=$C$10,1,2)</f>
        <v>2</v>
      </c>
      <c r="F437" s="0" t="n">
        <f aca="false">IF(E437=1,$C$4+SQRT(D437*($C$6-$C$4)*($C$5-$C$4)),$C$6-SQRT((1-D437)*($C$6-$C$4)*($C$6-$C$5)))</f>
        <v>8.71868903706401</v>
      </c>
    </row>
    <row r="438" customFormat="false" ht="15" hidden="false" customHeight="false" outlineLevel="0" collapsed="false">
      <c r="B438" s="0" t="n">
        <v>422</v>
      </c>
      <c r="C438" s="0" t="n">
        <f aca="true">RAND()</f>
        <v>0.310637733569471</v>
      </c>
      <c r="D438" s="0" t="n">
        <f aca="true">RAND()</f>
        <v>0.651318733923364</v>
      </c>
      <c r="E438" s="0" t="n">
        <f aca="false">IF(C438&lt;=$C$10,1,2)</f>
        <v>1</v>
      </c>
      <c r="F438" s="0" t="n">
        <f aca="false">IF(E438=1,$C$4+SQRT(D438*($C$6-$C$4)*($C$5-$C$4)),$C$6-SQRT((1-D438)*($C$6-$C$4)*($C$6-$C$5)))</f>
        <v>9.14133144521946</v>
      </c>
    </row>
    <row r="439" customFormat="false" ht="15" hidden="false" customHeight="false" outlineLevel="0" collapsed="false">
      <c r="B439" s="0" t="n">
        <v>423</v>
      </c>
      <c r="C439" s="0" t="n">
        <f aca="true">RAND()</f>
        <v>0.775329428650195</v>
      </c>
      <c r="D439" s="0" t="n">
        <f aca="true">RAND()</f>
        <v>0.75446832193143</v>
      </c>
      <c r="E439" s="0" t="n">
        <f aca="false">IF(C439&lt;=$C$10,1,2)</f>
        <v>2</v>
      </c>
      <c r="F439" s="0" t="n">
        <f aca="false">IF(E439=1,$C$4+SQRT(D439*($C$6-$C$4)*($C$5-$C$4)),$C$6-SQRT((1-D439)*($C$6-$C$4)*($C$6-$C$5)))</f>
        <v>9.29924087152778</v>
      </c>
    </row>
    <row r="440" customFormat="false" ht="15" hidden="false" customHeight="false" outlineLevel="0" collapsed="false">
      <c r="B440" s="0" t="n">
        <v>424</v>
      </c>
      <c r="C440" s="0" t="n">
        <f aca="true">RAND()</f>
        <v>0.181450693820419</v>
      </c>
      <c r="D440" s="0" t="n">
        <f aca="true">RAND()</f>
        <v>0.8356103799512</v>
      </c>
      <c r="E440" s="0" t="n">
        <f aca="false">IF(C440&lt;=$C$10,1,2)</f>
        <v>1</v>
      </c>
      <c r="F440" s="0" t="n">
        <f aca="false">IF(E440=1,$C$4+SQRT(D440*($C$6-$C$4)*($C$5-$C$4)),$C$6-SQRT((1-D440)*($C$6-$C$4)*($C$6-$C$5)))</f>
        <v>9.29275703823356</v>
      </c>
    </row>
    <row r="441" customFormat="false" ht="15" hidden="false" customHeight="false" outlineLevel="0" collapsed="false">
      <c r="B441" s="0" t="n">
        <v>425</v>
      </c>
      <c r="C441" s="0" t="n">
        <f aca="true">RAND()</f>
        <v>0.143168956408672</v>
      </c>
      <c r="D441" s="0" t="n">
        <f aca="true">RAND()</f>
        <v>0.143849704447368</v>
      </c>
      <c r="E441" s="0" t="n">
        <f aca="false">IF(C441&lt;=$C$10,1,2)</f>
        <v>1</v>
      </c>
      <c r="F441" s="0" t="n">
        <f aca="false">IF(E441=1,$C$4+SQRT(D441*($C$6-$C$4)*($C$5-$C$4)),$C$6-SQRT((1-D441)*($C$6-$C$4)*($C$6-$C$5)))</f>
        <v>8.536376182259</v>
      </c>
    </row>
    <row r="442" customFormat="false" ht="15" hidden="false" customHeight="false" outlineLevel="0" collapsed="false">
      <c r="B442" s="0" t="n">
        <v>426</v>
      </c>
      <c r="C442" s="0" t="n">
        <f aca="true">RAND()</f>
        <v>0.528835461815218</v>
      </c>
      <c r="D442" s="0" t="n">
        <f aca="true">RAND()</f>
        <v>0.266735716911651</v>
      </c>
      <c r="E442" s="0" t="n">
        <f aca="false">IF(C442&lt;=$C$10,1,2)</f>
        <v>2</v>
      </c>
      <c r="F442" s="0" t="n">
        <f aca="false">IF(E442=1,$C$4+SQRT(D442*($C$6-$C$4)*($C$5-$C$4)),$C$6-SQRT((1-D442)*($C$6-$C$4)*($C$6-$C$5)))</f>
        <v>8.7889968760665</v>
      </c>
    </row>
    <row r="443" customFormat="false" ht="15" hidden="false" customHeight="false" outlineLevel="0" collapsed="false">
      <c r="B443" s="0" t="n">
        <v>427</v>
      </c>
      <c r="C443" s="0" t="n">
        <f aca="true">RAND()</f>
        <v>0.728695410794933</v>
      </c>
      <c r="D443" s="0" t="n">
        <f aca="true">RAND()</f>
        <v>0.230474556761441</v>
      </c>
      <c r="E443" s="0" t="n">
        <f aca="false">IF(C443&lt;=$C$10,1,2)</f>
        <v>2</v>
      </c>
      <c r="F443" s="0" t="n">
        <f aca="false">IF(E443=1,$C$4+SQRT(D443*($C$6-$C$4)*($C$5-$C$4)),$C$6-SQRT((1-D443)*($C$6-$C$4)*($C$6-$C$5)))</f>
        <v>8.75941510307552</v>
      </c>
    </row>
    <row r="444" customFormat="false" ht="15" hidden="false" customHeight="false" outlineLevel="0" collapsed="false">
      <c r="B444" s="0" t="n">
        <v>428</v>
      </c>
      <c r="C444" s="0" t="n">
        <f aca="true">RAND()</f>
        <v>0.410355335258657</v>
      </c>
      <c r="D444" s="0" t="n">
        <f aca="true">RAND()</f>
        <v>0.379019879834252</v>
      </c>
      <c r="E444" s="0" t="n">
        <f aca="false">IF(C444&lt;=$C$10,1,2)</f>
        <v>1</v>
      </c>
      <c r="F444" s="0" t="n">
        <f aca="false">IF(E444=1,$C$4+SQRT(D444*($C$6-$C$4)*($C$5-$C$4)),$C$6-SQRT((1-D444)*($C$6-$C$4)*($C$6-$C$5)))</f>
        <v>8.87065478788582</v>
      </c>
    </row>
    <row r="445" customFormat="false" ht="15" hidden="false" customHeight="false" outlineLevel="0" collapsed="false">
      <c r="B445" s="0" t="n">
        <v>429</v>
      </c>
      <c r="C445" s="0" t="n">
        <f aca="true">RAND()</f>
        <v>0.128786061186923</v>
      </c>
      <c r="D445" s="0" t="n">
        <f aca="true">RAND()</f>
        <v>0.406217378181042</v>
      </c>
      <c r="E445" s="0" t="n">
        <f aca="false">IF(C445&lt;=$C$10,1,2)</f>
        <v>1</v>
      </c>
      <c r="F445" s="0" t="n">
        <f aca="false">IF(E445=1,$C$4+SQRT(D445*($C$6-$C$4)*($C$5-$C$4)),$C$6-SQRT((1-D445)*($C$6-$C$4)*($C$6-$C$5)))</f>
        <v>8.90135162748069</v>
      </c>
    </row>
    <row r="446" customFormat="false" ht="15" hidden="false" customHeight="false" outlineLevel="0" collapsed="false">
      <c r="B446" s="0" t="n">
        <v>430</v>
      </c>
      <c r="C446" s="0" t="n">
        <f aca="true">RAND()</f>
        <v>0.67313879423213</v>
      </c>
      <c r="D446" s="0" t="n">
        <f aca="true">RAND()</f>
        <v>0.3635783654586</v>
      </c>
      <c r="E446" s="0" t="n">
        <f aca="false">IF(C446&lt;=$C$10,1,2)</f>
        <v>2</v>
      </c>
      <c r="F446" s="0" t="n">
        <f aca="false">IF(E446=1,$C$4+SQRT(D446*($C$6-$C$4)*($C$5-$C$4)),$C$6-SQRT((1-D446)*($C$6-$C$4)*($C$6-$C$5)))</f>
        <v>8.87179644164592</v>
      </c>
    </row>
    <row r="447" customFormat="false" ht="15" hidden="false" customHeight="false" outlineLevel="0" collapsed="false">
      <c r="B447" s="0" t="n">
        <v>431</v>
      </c>
      <c r="C447" s="0" t="n">
        <f aca="true">RAND()</f>
        <v>0.996641605675886</v>
      </c>
      <c r="D447" s="0" t="n">
        <f aca="true">RAND()</f>
        <v>0.775497407744682</v>
      </c>
      <c r="E447" s="0" t="n">
        <f aca="false">IF(C447&lt;=$C$10,1,2)</f>
        <v>2</v>
      </c>
      <c r="F447" s="0" t="n">
        <f aca="false">IF(E447=1,$C$4+SQRT(D447*($C$6-$C$4)*($C$5-$C$4)),$C$6-SQRT((1-D447)*($C$6-$C$4)*($C$6-$C$5)))</f>
        <v>9.32992150869422</v>
      </c>
    </row>
    <row r="448" customFormat="false" ht="15" hidden="false" customHeight="false" outlineLevel="0" collapsed="false">
      <c r="B448" s="0" t="n">
        <v>432</v>
      </c>
      <c r="C448" s="0" t="n">
        <f aca="true">RAND()</f>
        <v>0.965467466605786</v>
      </c>
      <c r="D448" s="0" t="n">
        <f aca="true">RAND()</f>
        <v>0.416724670953553</v>
      </c>
      <c r="E448" s="0" t="n">
        <f aca="false">IF(C448&lt;=$C$10,1,2)</f>
        <v>2</v>
      </c>
      <c r="F448" s="0" t="n">
        <f aca="false">IF(E448=1,$C$4+SQRT(D448*($C$6-$C$4)*($C$5-$C$4)),$C$6-SQRT((1-D448)*($C$6-$C$4)*($C$6-$C$5)))</f>
        <v>8.91993025313506</v>
      </c>
    </row>
    <row r="449" customFormat="false" ht="15" hidden="false" customHeight="false" outlineLevel="0" collapsed="false">
      <c r="B449" s="0" t="n">
        <v>433</v>
      </c>
      <c r="C449" s="0" t="n">
        <f aca="true">RAND()</f>
        <v>0.49043232434962</v>
      </c>
      <c r="D449" s="0" t="n">
        <f aca="true">RAND()</f>
        <v>0.028483547227424</v>
      </c>
      <c r="E449" s="0" t="n">
        <f aca="false">IF(C449&lt;=$C$10,1,2)</f>
        <v>1</v>
      </c>
      <c r="F449" s="0" t="n">
        <f aca="false">IF(E449=1,$C$4+SQRT(D449*($C$6-$C$4)*($C$5-$C$4)),$C$6-SQRT((1-D449)*($C$6-$C$4)*($C$6-$C$5)))</f>
        <v>8.23867780469672</v>
      </c>
    </row>
    <row r="450" customFormat="false" ht="15" hidden="false" customHeight="false" outlineLevel="0" collapsed="false">
      <c r="B450" s="0" t="n">
        <v>434</v>
      </c>
      <c r="C450" s="0" t="n">
        <f aca="true">RAND()</f>
        <v>0.355967692976353</v>
      </c>
      <c r="D450" s="0" t="n">
        <f aca="true">RAND()</f>
        <v>0.479668335426622</v>
      </c>
      <c r="E450" s="0" t="n">
        <f aca="false">IF(C450&lt;=$C$10,1,2)</f>
        <v>1</v>
      </c>
      <c r="F450" s="0" t="n">
        <f aca="false">IF(E450=1,$C$4+SQRT(D450*($C$6-$C$4)*($C$5-$C$4)),$C$6-SQRT((1-D450)*($C$6-$C$4)*($C$6-$C$5)))</f>
        <v>8.97945733488154</v>
      </c>
    </row>
    <row r="451" customFormat="false" ht="15" hidden="false" customHeight="false" outlineLevel="0" collapsed="false">
      <c r="B451" s="0" t="n">
        <v>435</v>
      </c>
      <c r="C451" s="0" t="n">
        <f aca="true">RAND()</f>
        <v>0.333229779536551</v>
      </c>
      <c r="D451" s="0" t="n">
        <f aca="true">RAND()</f>
        <v>0.0829683239452736</v>
      </c>
      <c r="E451" s="0" t="n">
        <f aca="false">IF(C451&lt;=$C$10,1,2)</f>
        <v>1</v>
      </c>
      <c r="F451" s="0" t="n">
        <f aca="false">IF(E451=1,$C$4+SQRT(D451*($C$6-$C$4)*($C$5-$C$4)),$C$6-SQRT((1-D451)*($C$6-$C$4)*($C$6-$C$5)))</f>
        <v>8.40735322251155</v>
      </c>
    </row>
    <row r="452" customFormat="false" ht="15" hidden="false" customHeight="false" outlineLevel="0" collapsed="false">
      <c r="B452" s="0" t="n">
        <v>436</v>
      </c>
      <c r="C452" s="0" t="n">
        <f aca="true">RAND()</f>
        <v>0.857547096493738</v>
      </c>
      <c r="D452" s="0" t="n">
        <f aca="true">RAND()</f>
        <v>0.252403732544028</v>
      </c>
      <c r="E452" s="0" t="n">
        <f aca="false">IF(C452&lt;=$C$10,1,2)</f>
        <v>2</v>
      </c>
      <c r="F452" s="0" t="n">
        <f aca="false">IF(E452=1,$C$4+SQRT(D452*($C$6-$C$4)*($C$5-$C$4)),$C$6-SQRT((1-D452)*($C$6-$C$4)*($C$6-$C$5)))</f>
        <v>8.77721934309053</v>
      </c>
    </row>
    <row r="453" customFormat="false" ht="15" hidden="false" customHeight="false" outlineLevel="0" collapsed="false">
      <c r="B453" s="0" t="n">
        <v>437</v>
      </c>
      <c r="C453" s="0" t="n">
        <f aca="true">RAND()</f>
        <v>0.896325206253665</v>
      </c>
      <c r="D453" s="0" t="n">
        <f aca="true">RAND()</f>
        <v>0.916976991177957</v>
      </c>
      <c r="E453" s="0" t="n">
        <f aca="false">IF(C453&lt;=$C$10,1,2)</f>
        <v>2</v>
      </c>
      <c r="F453" s="0" t="n">
        <f aca="false">IF(E453=1,$C$4+SQRT(D453*($C$6-$C$4)*($C$5-$C$4)),$C$6-SQRT((1-D453)*($C$6-$C$4)*($C$6-$C$5)))</f>
        <v>9.59251255523135</v>
      </c>
    </row>
    <row r="454" customFormat="false" ht="15" hidden="false" customHeight="false" outlineLevel="0" collapsed="false">
      <c r="B454" s="0" t="n">
        <v>438</v>
      </c>
      <c r="C454" s="0" t="n">
        <f aca="true">RAND()</f>
        <v>0.326140666459518</v>
      </c>
      <c r="D454" s="0" t="n">
        <f aca="true">RAND()</f>
        <v>0.0452673287599942</v>
      </c>
      <c r="E454" s="0" t="n">
        <f aca="false">IF(C454&lt;=$C$10,1,2)</f>
        <v>1</v>
      </c>
      <c r="F454" s="0" t="n">
        <f aca="false">IF(E454=1,$C$4+SQRT(D454*($C$6-$C$4)*($C$5-$C$4)),$C$6-SQRT((1-D454)*($C$6-$C$4)*($C$6-$C$5)))</f>
        <v>8.30088977636335</v>
      </c>
    </row>
    <row r="455" customFormat="false" ht="15" hidden="false" customHeight="false" outlineLevel="0" collapsed="false">
      <c r="B455" s="0" t="n">
        <v>439</v>
      </c>
      <c r="C455" s="0" t="n">
        <f aca="true">RAND()</f>
        <v>0.99925672262019</v>
      </c>
      <c r="D455" s="0" t="n">
        <f aca="true">RAND()</f>
        <v>0.0414305043441856</v>
      </c>
      <c r="E455" s="0" t="n">
        <f aca="false">IF(C455&lt;=$C$10,1,2)</f>
        <v>2</v>
      </c>
      <c r="F455" s="0" t="n">
        <f aca="false">IF(E455=1,$C$4+SQRT(D455*($C$6-$C$4)*($C$5-$C$4)),$C$6-SQRT((1-D455)*($C$6-$C$4)*($C$6-$C$5)))</f>
        <v>8.61539211640565</v>
      </c>
    </row>
    <row r="456" customFormat="false" ht="15" hidden="false" customHeight="false" outlineLevel="0" collapsed="false">
      <c r="B456" s="0" t="n">
        <v>440</v>
      </c>
      <c r="C456" s="0" t="n">
        <f aca="true">RAND()</f>
        <v>0.960741158905043</v>
      </c>
      <c r="D456" s="0" t="n">
        <f aca="true">RAND()</f>
        <v>0.839871532152666</v>
      </c>
      <c r="E456" s="0" t="n">
        <f aca="false">IF(C456&lt;=$C$10,1,2)</f>
        <v>2</v>
      </c>
      <c r="F456" s="0" t="n">
        <f aca="false">IF(E456=1,$C$4+SQRT(D456*($C$6-$C$4)*($C$5-$C$4)),$C$6-SQRT((1-D456)*($C$6-$C$4)*($C$6-$C$5)))</f>
        <v>9.43408751940369</v>
      </c>
    </row>
    <row r="457" customFormat="false" ht="15" hidden="false" customHeight="false" outlineLevel="0" collapsed="false">
      <c r="B457" s="0" t="n">
        <v>441</v>
      </c>
      <c r="C457" s="0" t="n">
        <f aca="true">RAND()</f>
        <v>0.467848967363297</v>
      </c>
      <c r="D457" s="0" t="n">
        <f aca="true">RAND()</f>
        <v>0.157777558615527</v>
      </c>
      <c r="E457" s="0" t="n">
        <f aca="false">IF(C457&lt;=$C$10,1,2)</f>
        <v>1</v>
      </c>
      <c r="F457" s="0" t="n">
        <f aca="false">IF(E457=1,$C$4+SQRT(D457*($C$6-$C$4)*($C$5-$C$4)),$C$6-SQRT((1-D457)*($C$6-$C$4)*($C$6-$C$5)))</f>
        <v>8.56174292806501</v>
      </c>
    </row>
    <row r="458" customFormat="false" ht="15" hidden="false" customHeight="false" outlineLevel="0" collapsed="false">
      <c r="B458" s="0" t="n">
        <v>442</v>
      </c>
      <c r="C458" s="0" t="n">
        <f aca="true">RAND()</f>
        <v>0.507455653927112</v>
      </c>
      <c r="D458" s="0" t="n">
        <f aca="true">RAND()</f>
        <v>0.319861221634066</v>
      </c>
      <c r="E458" s="0" t="n">
        <f aca="false">IF(C458&lt;=$C$10,1,2)</f>
        <v>2</v>
      </c>
      <c r="F458" s="0" t="n">
        <f aca="false">IF(E458=1,$C$4+SQRT(D458*($C$6-$C$4)*($C$5-$C$4)),$C$6-SQRT((1-D458)*($C$6-$C$4)*($C$6-$C$5)))</f>
        <v>8.83369062563492</v>
      </c>
    </row>
    <row r="459" customFormat="false" ht="15" hidden="false" customHeight="false" outlineLevel="0" collapsed="false">
      <c r="B459" s="0" t="n">
        <v>443</v>
      </c>
      <c r="C459" s="0" t="n">
        <f aca="true">RAND()</f>
        <v>0.802584004827381</v>
      </c>
      <c r="D459" s="0" t="n">
        <f aca="true">RAND()</f>
        <v>0.0893004440750313</v>
      </c>
      <c r="E459" s="0" t="n">
        <f aca="false">IF(C459&lt;=$C$10,1,2)</f>
        <v>2</v>
      </c>
      <c r="F459" s="0" t="n">
        <f aca="false">IF(E459=1,$C$4+SQRT(D459*($C$6-$C$4)*($C$5-$C$4)),$C$6-SQRT((1-D459)*($C$6-$C$4)*($C$6-$C$5)))</f>
        <v>8.65040779794416</v>
      </c>
    </row>
    <row r="460" customFormat="false" ht="15" hidden="false" customHeight="false" outlineLevel="0" collapsed="false">
      <c r="B460" s="0" t="n">
        <v>444</v>
      </c>
      <c r="C460" s="0" t="n">
        <f aca="true">RAND()</f>
        <v>0.470122712982716</v>
      </c>
      <c r="D460" s="0" t="n">
        <f aca="true">RAND()</f>
        <v>0.457476261091674</v>
      </c>
      <c r="E460" s="0" t="n">
        <f aca="false">IF(C460&lt;=$C$10,1,2)</f>
        <v>1</v>
      </c>
      <c r="F460" s="0" t="n">
        <f aca="false">IF(E460=1,$C$4+SQRT(D460*($C$6-$C$4)*($C$5-$C$4)),$C$6-SQRT((1-D460)*($C$6-$C$4)*($C$6-$C$5)))</f>
        <v>8.95653150611119</v>
      </c>
    </row>
    <row r="461" customFormat="false" ht="15" hidden="false" customHeight="false" outlineLevel="0" collapsed="false">
      <c r="B461" s="0" t="n">
        <v>445</v>
      </c>
      <c r="C461" s="0" t="n">
        <f aca="true">RAND()</f>
        <v>0.450105723432803</v>
      </c>
      <c r="D461" s="0" t="n">
        <f aca="true">RAND()</f>
        <v>0.604667568418604</v>
      </c>
      <c r="E461" s="0" t="n">
        <f aca="false">IF(C461&lt;=$C$10,1,2)</f>
        <v>1</v>
      </c>
      <c r="F461" s="0" t="n">
        <f aca="false">IF(E461=1,$C$4+SQRT(D461*($C$6-$C$4)*($C$5-$C$4)),$C$6-SQRT((1-D461)*($C$6-$C$4)*($C$6-$C$5)))</f>
        <v>9.09969774794586</v>
      </c>
    </row>
    <row r="462" customFormat="false" ht="15" hidden="false" customHeight="false" outlineLevel="0" collapsed="false">
      <c r="B462" s="0" t="n">
        <v>446</v>
      </c>
      <c r="C462" s="0" t="n">
        <f aca="true">RAND()</f>
        <v>0.182763233435676</v>
      </c>
      <c r="D462" s="0" t="n">
        <f aca="true">RAND()</f>
        <v>0.764840832735642</v>
      </c>
      <c r="E462" s="0" t="n">
        <f aca="false">IF(C462&lt;=$C$10,1,2)</f>
        <v>1</v>
      </c>
      <c r="F462" s="0" t="n">
        <f aca="false">IF(E462=1,$C$4+SQRT(D462*($C$6-$C$4)*($C$5-$C$4)),$C$6-SQRT((1-D462)*($C$6-$C$4)*($C$6-$C$5)))</f>
        <v>9.23680300188481</v>
      </c>
    </row>
    <row r="463" customFormat="false" ht="15" hidden="false" customHeight="false" outlineLevel="0" collapsed="false">
      <c r="B463" s="0" t="n">
        <v>447</v>
      </c>
      <c r="C463" s="0" t="n">
        <f aca="true">RAND()</f>
        <v>0.718302343284884</v>
      </c>
      <c r="D463" s="0" t="n">
        <f aca="true">RAND()</f>
        <v>0.886675998349298</v>
      </c>
      <c r="E463" s="0" t="n">
        <f aca="false">IF(C463&lt;=$C$10,1,2)</f>
        <v>2</v>
      </c>
      <c r="F463" s="0" t="n">
        <f aca="false">IF(E463=1,$C$4+SQRT(D463*($C$6-$C$4)*($C$5-$C$4)),$C$6-SQRT((1-D463)*($C$6-$C$4)*($C$6-$C$5)))</f>
        <v>9.52392437228797</v>
      </c>
    </row>
    <row r="464" customFormat="false" ht="15" hidden="false" customHeight="false" outlineLevel="0" collapsed="false">
      <c r="B464" s="0" t="n">
        <v>448</v>
      </c>
      <c r="C464" s="0" t="n">
        <f aca="true">RAND()</f>
        <v>0.562472350845792</v>
      </c>
      <c r="D464" s="0" t="n">
        <f aca="true">RAND()</f>
        <v>0.984111188865852</v>
      </c>
      <c r="E464" s="0" t="n">
        <f aca="false">IF(C464&lt;=$C$10,1,2)</f>
        <v>2</v>
      </c>
      <c r="F464" s="0" t="n">
        <f aca="false">IF(E464=1,$C$4+SQRT(D464*($C$6-$C$4)*($C$5-$C$4)),$C$6-SQRT((1-D464)*($C$6-$C$4)*($C$6-$C$5)))</f>
        <v>9.82173721008495</v>
      </c>
    </row>
    <row r="465" customFormat="false" ht="15" hidden="false" customHeight="false" outlineLevel="0" collapsed="false">
      <c r="B465" s="0" t="n">
        <v>449</v>
      </c>
      <c r="C465" s="0" t="n">
        <f aca="true">RAND()</f>
        <v>0.408740697956859</v>
      </c>
      <c r="D465" s="0" t="n">
        <f aca="true">RAND()</f>
        <v>0.212227006382128</v>
      </c>
      <c r="E465" s="0" t="n">
        <f aca="false">IF(C465&lt;=$C$10,1,2)</f>
        <v>1</v>
      </c>
      <c r="F465" s="0" t="n">
        <f aca="false">IF(E465=1,$C$4+SQRT(D465*($C$6-$C$4)*($C$5-$C$4)),$C$6-SQRT((1-D465)*($C$6-$C$4)*($C$6-$C$5)))</f>
        <v>8.65150135284914</v>
      </c>
    </row>
    <row r="466" customFormat="false" ht="15" hidden="false" customHeight="false" outlineLevel="0" collapsed="false">
      <c r="B466" s="0" t="n">
        <v>450</v>
      </c>
      <c r="C466" s="0" t="n">
        <f aca="true">RAND()</f>
        <v>0.657179563096563</v>
      </c>
      <c r="D466" s="0" t="n">
        <f aca="true">RAND()</f>
        <v>0.952341690675468</v>
      </c>
      <c r="E466" s="0" t="n">
        <f aca="false">IF(C466&lt;=$C$10,1,2)</f>
        <v>2</v>
      </c>
      <c r="F466" s="0" t="n">
        <f aca="false">IF(E466=1,$C$4+SQRT(D466*($C$6-$C$4)*($C$5-$C$4)),$C$6-SQRT((1-D466)*($C$6-$C$4)*($C$6-$C$5)))</f>
        <v>9.6912661038223</v>
      </c>
    </row>
    <row r="467" customFormat="false" ht="15" hidden="false" customHeight="false" outlineLevel="0" collapsed="false">
      <c r="B467" s="0" t="n">
        <v>451</v>
      </c>
      <c r="C467" s="0" t="n">
        <f aca="true">RAND()</f>
        <v>0.283860364827734</v>
      </c>
      <c r="D467" s="0" t="n">
        <f aca="true">RAND()</f>
        <v>0.752994800476862</v>
      </c>
      <c r="E467" s="0" t="n">
        <f aca="false">IF(C467&lt;=$C$10,1,2)</f>
        <v>1</v>
      </c>
      <c r="F467" s="0" t="n">
        <f aca="false">IF(E467=1,$C$4+SQRT(D467*($C$6-$C$4)*($C$5-$C$4)),$C$6-SQRT((1-D467)*($C$6-$C$4)*($C$6-$C$5)))</f>
        <v>9.22718767959661</v>
      </c>
    </row>
    <row r="468" customFormat="false" ht="15" hidden="false" customHeight="false" outlineLevel="0" collapsed="false">
      <c r="B468" s="0" t="n">
        <v>452</v>
      </c>
      <c r="C468" s="0" t="n">
        <f aca="true">RAND()</f>
        <v>0.404669961026824</v>
      </c>
      <c r="D468" s="0" t="n">
        <f aca="true">RAND()</f>
        <v>0.351976587959396</v>
      </c>
      <c r="E468" s="0" t="n">
        <f aca="false">IF(C468&lt;=$C$10,1,2)</f>
        <v>1</v>
      </c>
      <c r="F468" s="0" t="n">
        <f aca="false">IF(E468=1,$C$4+SQRT(D468*($C$6-$C$4)*($C$5-$C$4)),$C$6-SQRT((1-D468)*($C$6-$C$4)*($C$6-$C$5)))</f>
        <v>8.83901917494107</v>
      </c>
    </row>
    <row r="469" customFormat="false" ht="15" hidden="false" customHeight="false" outlineLevel="0" collapsed="false">
      <c r="B469" s="0" t="n">
        <v>453</v>
      </c>
      <c r="C469" s="0" t="n">
        <f aca="true">RAND()</f>
        <v>0.84133656135794</v>
      </c>
      <c r="D469" s="0" t="n">
        <f aca="true">RAND()</f>
        <v>0.248625565989861</v>
      </c>
      <c r="E469" s="0" t="n">
        <f aca="false">IF(C469&lt;=$C$10,1,2)</f>
        <v>2</v>
      </c>
      <c r="F469" s="0" t="n">
        <f aca="false">IF(E469=1,$C$4+SQRT(D469*($C$6-$C$4)*($C$5-$C$4)),$C$6-SQRT((1-D469)*($C$6-$C$4)*($C$6-$C$5)))</f>
        <v>8.77413342160728</v>
      </c>
    </row>
    <row r="470" customFormat="false" ht="15" hidden="false" customHeight="false" outlineLevel="0" collapsed="false">
      <c r="B470" s="0" t="n">
        <v>454</v>
      </c>
      <c r="C470" s="0" t="n">
        <f aca="true">RAND()</f>
        <v>0.259694654001669</v>
      </c>
      <c r="D470" s="0" t="n">
        <f aca="true">RAND()</f>
        <v>0.964558648126807</v>
      </c>
      <c r="E470" s="0" t="n">
        <f aca="false">IF(C470&lt;=$C$10,1,2)</f>
        <v>1</v>
      </c>
      <c r="F470" s="0" t="n">
        <f aca="false">IF(E470=1,$C$4+SQRT(D470*($C$6-$C$4)*($C$5-$C$4)),$C$6-SQRT((1-D470)*($C$6-$C$4)*($C$6-$C$5)))</f>
        <v>9.38892667058186</v>
      </c>
    </row>
    <row r="471" customFormat="false" ht="15" hidden="false" customHeight="false" outlineLevel="0" collapsed="false">
      <c r="B471" s="0" t="n">
        <v>455</v>
      </c>
      <c r="C471" s="0" t="n">
        <f aca="true">RAND()</f>
        <v>0.534905390848109</v>
      </c>
      <c r="D471" s="0" t="n">
        <f aca="true">RAND()</f>
        <v>0.675683315080179</v>
      </c>
      <c r="E471" s="0" t="n">
        <f aca="false">IF(C471&lt;=$C$10,1,2)</f>
        <v>2</v>
      </c>
      <c r="F471" s="0" t="n">
        <f aca="false">IF(E471=1,$C$4+SQRT(D471*($C$6-$C$4)*($C$5-$C$4)),$C$6-SQRT((1-D471)*($C$6-$C$4)*($C$6-$C$5)))</f>
        <v>9.19462221917932</v>
      </c>
    </row>
    <row r="472" customFormat="false" ht="15" hidden="false" customHeight="false" outlineLevel="0" collapsed="false">
      <c r="B472" s="0" t="n">
        <v>456</v>
      </c>
      <c r="C472" s="0" t="n">
        <f aca="true">RAND()</f>
        <v>0.913415736192625</v>
      </c>
      <c r="D472" s="0" t="n">
        <f aca="true">RAND()</f>
        <v>0.320110687455912</v>
      </c>
      <c r="E472" s="0" t="n">
        <f aca="false">IF(C472&lt;=$C$10,1,2)</f>
        <v>2</v>
      </c>
      <c r="F472" s="0" t="n">
        <f aca="false">IF(E472=1,$C$4+SQRT(D472*($C$6-$C$4)*($C$5-$C$4)),$C$6-SQRT((1-D472)*($C$6-$C$4)*($C$6-$C$5)))</f>
        <v>8.83390453860407</v>
      </c>
    </row>
    <row r="473" customFormat="false" ht="15" hidden="false" customHeight="false" outlineLevel="0" collapsed="false">
      <c r="B473" s="0" t="n">
        <v>457</v>
      </c>
      <c r="C473" s="0" t="n">
        <f aca="true">RAND()</f>
        <v>0.313237751230171</v>
      </c>
      <c r="D473" s="0" t="n">
        <f aca="true">RAND()</f>
        <v>0.228047361412104</v>
      </c>
      <c r="E473" s="0" t="n">
        <f aca="false">IF(C473&lt;=$C$10,1,2)</f>
        <v>1</v>
      </c>
      <c r="F473" s="0" t="n">
        <f aca="false">IF(E473=1,$C$4+SQRT(D473*($C$6-$C$4)*($C$5-$C$4)),$C$6-SQRT((1-D473)*($C$6-$C$4)*($C$6-$C$5)))</f>
        <v>8.67534785320175</v>
      </c>
    </row>
    <row r="474" customFormat="false" ht="15" hidden="false" customHeight="false" outlineLevel="0" collapsed="false">
      <c r="B474" s="0" t="n">
        <v>458</v>
      </c>
      <c r="C474" s="0" t="n">
        <f aca="true">RAND()</f>
        <v>0.361578688175098</v>
      </c>
      <c r="D474" s="0" t="n">
        <f aca="true">RAND()</f>
        <v>0.0602139441442115</v>
      </c>
      <c r="E474" s="0" t="n">
        <f aca="false">IF(C474&lt;=$C$10,1,2)</f>
        <v>1</v>
      </c>
      <c r="F474" s="0" t="n">
        <f aca="false">IF(E474=1,$C$4+SQRT(D474*($C$6-$C$4)*($C$5-$C$4)),$C$6-SQRT((1-D474)*($C$6-$C$4)*($C$6-$C$5)))</f>
        <v>8.34702721548666</v>
      </c>
    </row>
    <row r="475" customFormat="false" ht="15" hidden="false" customHeight="false" outlineLevel="0" collapsed="false">
      <c r="B475" s="0" t="n">
        <v>459</v>
      </c>
      <c r="C475" s="0" t="n">
        <f aca="true">RAND()</f>
        <v>0.664393322038805</v>
      </c>
      <c r="D475" s="0" t="n">
        <f aca="true">RAND()</f>
        <v>0.954596018089349</v>
      </c>
      <c r="E475" s="0" t="n">
        <f aca="false">IF(C475&lt;=$C$10,1,2)</f>
        <v>2</v>
      </c>
      <c r="F475" s="0" t="n">
        <f aca="false">IF(E475=1,$C$4+SQRT(D475*($C$6-$C$4)*($C$5-$C$4)),$C$6-SQRT((1-D475)*($C$6-$C$4)*($C$6-$C$5)))</f>
        <v>9.69865640238873</v>
      </c>
    </row>
    <row r="476" customFormat="false" ht="15" hidden="false" customHeight="false" outlineLevel="0" collapsed="false">
      <c r="B476" s="0" t="n">
        <v>460</v>
      </c>
      <c r="C476" s="0" t="n">
        <f aca="true">RAND()</f>
        <v>0.512065580618899</v>
      </c>
      <c r="D476" s="0" t="n">
        <f aca="true">RAND()</f>
        <v>0.683468325718156</v>
      </c>
      <c r="E476" s="0" t="n">
        <f aca="false">IF(C476&lt;=$C$10,1,2)</f>
        <v>2</v>
      </c>
      <c r="F476" s="0" t="n">
        <f aca="false">IF(E476=1,$C$4+SQRT(D476*($C$6-$C$4)*($C$5-$C$4)),$C$6-SQRT((1-D476)*($C$6-$C$4)*($C$6-$C$5)))</f>
        <v>9.20434721859112</v>
      </c>
    </row>
    <row r="477" customFormat="false" ht="15" hidden="false" customHeight="false" outlineLevel="0" collapsed="false">
      <c r="B477" s="0" t="n">
        <v>461</v>
      </c>
      <c r="C477" s="0" t="n">
        <f aca="true">RAND()</f>
        <v>0.395350093504648</v>
      </c>
      <c r="D477" s="0" t="n">
        <f aca="true">RAND()</f>
        <v>0.934246444981471</v>
      </c>
      <c r="E477" s="0" t="n">
        <f aca="false">IF(C477&lt;=$C$10,1,2)</f>
        <v>1</v>
      </c>
      <c r="F477" s="0" t="n">
        <f aca="false">IF(E477=1,$C$4+SQRT(D477*($C$6-$C$4)*($C$5-$C$4)),$C$6-SQRT((1-D477)*($C$6-$C$4)*($C$6-$C$5)))</f>
        <v>9.36692826803858</v>
      </c>
    </row>
    <row r="478" customFormat="false" ht="15" hidden="false" customHeight="false" outlineLevel="0" collapsed="false">
      <c r="B478" s="0" t="n">
        <v>462</v>
      </c>
      <c r="C478" s="0" t="n">
        <f aca="true">RAND()</f>
        <v>0.49071482423668</v>
      </c>
      <c r="D478" s="0" t="n">
        <f aca="true">RAND()</f>
        <v>0.381994214491635</v>
      </c>
      <c r="E478" s="0" t="n">
        <f aca="false">IF(C478&lt;=$C$10,1,2)</f>
        <v>1</v>
      </c>
      <c r="F478" s="0" t="n">
        <f aca="false">IF(E478=1,$C$4+SQRT(D478*($C$6-$C$4)*($C$5-$C$4)),$C$6-SQRT((1-D478)*($C$6-$C$4)*($C$6-$C$5)))</f>
        <v>8.87406431627385</v>
      </c>
    </row>
    <row r="479" customFormat="false" ht="15" hidden="false" customHeight="false" outlineLevel="0" collapsed="false">
      <c r="B479" s="0" t="n">
        <v>463</v>
      </c>
      <c r="C479" s="0" t="n">
        <f aca="true">RAND()</f>
        <v>0.0209881013488229</v>
      </c>
      <c r="D479" s="0" t="n">
        <f aca="true">RAND()</f>
        <v>0.562444619258824</v>
      </c>
      <c r="E479" s="0" t="n">
        <f aca="false">IF(C479&lt;=$C$10,1,2)</f>
        <v>1</v>
      </c>
      <c r="F479" s="0" t="n">
        <f aca="false">IF(E479=1,$C$4+SQRT(D479*($C$6-$C$4)*($C$5-$C$4)),$C$6-SQRT((1-D479)*($C$6-$C$4)*($C$6-$C$5)))</f>
        <v>9.06060795703108</v>
      </c>
    </row>
    <row r="480" customFormat="false" ht="15" hidden="false" customHeight="false" outlineLevel="0" collapsed="false">
      <c r="B480" s="0" t="n">
        <v>464</v>
      </c>
      <c r="C480" s="0" t="n">
        <f aca="true">RAND()</f>
        <v>0.208999569075126</v>
      </c>
      <c r="D480" s="0" t="n">
        <f aca="true">RAND()</f>
        <v>0.654042730573305</v>
      </c>
      <c r="E480" s="0" t="n">
        <f aca="false">IF(C480&lt;=$C$10,1,2)</f>
        <v>1</v>
      </c>
      <c r="F480" s="0" t="n">
        <f aca="false">IF(E480=1,$C$4+SQRT(D480*($C$6-$C$4)*($C$5-$C$4)),$C$6-SQRT((1-D480)*($C$6-$C$4)*($C$6-$C$5)))</f>
        <v>9.14371563823645</v>
      </c>
    </row>
    <row r="481" customFormat="false" ht="15" hidden="false" customHeight="false" outlineLevel="0" collapsed="false">
      <c r="B481" s="0" t="n">
        <v>465</v>
      </c>
      <c r="C481" s="0" t="n">
        <f aca="true">RAND()</f>
        <v>0.365310314504025</v>
      </c>
      <c r="D481" s="0" t="n">
        <f aca="true">RAND()</f>
        <v>0.588031149648157</v>
      </c>
      <c r="E481" s="0" t="n">
        <f aca="false">IF(C481&lt;=$C$10,1,2)</f>
        <v>1</v>
      </c>
      <c r="F481" s="0" t="n">
        <f aca="false">IF(E481=1,$C$4+SQRT(D481*($C$6-$C$4)*($C$5-$C$4)),$C$6-SQRT((1-D481)*($C$6-$C$4)*($C$6-$C$5)))</f>
        <v>9.0844640608597</v>
      </c>
    </row>
    <row r="482" customFormat="false" ht="15" hidden="false" customHeight="false" outlineLevel="0" collapsed="false">
      <c r="B482" s="0" t="n">
        <v>466</v>
      </c>
      <c r="C482" s="0" t="n">
        <f aca="true">RAND()</f>
        <v>0.948977752547895</v>
      </c>
      <c r="D482" s="0" t="n">
        <f aca="true">RAND()</f>
        <v>0.631635358710882</v>
      </c>
      <c r="E482" s="0" t="n">
        <f aca="false">IF(C482&lt;=$C$10,1,2)</f>
        <v>2</v>
      </c>
      <c r="F482" s="0" t="n">
        <f aca="false">IF(E482=1,$C$4+SQRT(D482*($C$6-$C$4)*($C$5-$C$4)),$C$6-SQRT((1-D482)*($C$6-$C$4)*($C$6-$C$5)))</f>
        <v>9.14167064446203</v>
      </c>
    </row>
    <row r="483" customFormat="false" ht="15" hidden="false" customHeight="false" outlineLevel="0" collapsed="false">
      <c r="B483" s="0" t="n">
        <v>467</v>
      </c>
      <c r="C483" s="0" t="n">
        <f aca="true">RAND()</f>
        <v>0.272209144602803</v>
      </c>
      <c r="D483" s="0" t="n">
        <f aca="true">RAND()</f>
        <v>0.6795547692449</v>
      </c>
      <c r="E483" s="0" t="n">
        <f aca="false">IF(C483&lt;=$C$10,1,2)</f>
        <v>1</v>
      </c>
      <c r="F483" s="0" t="n">
        <f aca="false">IF(E483=1,$C$4+SQRT(D483*($C$6-$C$4)*($C$5-$C$4)),$C$6-SQRT((1-D483)*($C$6-$C$4)*($C$6-$C$5)))</f>
        <v>9.1658085342327</v>
      </c>
    </row>
    <row r="484" customFormat="false" ht="15" hidden="false" customHeight="false" outlineLevel="0" collapsed="false">
      <c r="B484" s="0" t="n">
        <v>468</v>
      </c>
      <c r="C484" s="0" t="n">
        <f aca="true">RAND()</f>
        <v>0.6454252178041</v>
      </c>
      <c r="D484" s="0" t="n">
        <f aca="true">RAND()</f>
        <v>0.467227791344979</v>
      </c>
      <c r="E484" s="0" t="n">
        <f aca="false">IF(C484&lt;=$C$10,1,2)</f>
        <v>2</v>
      </c>
      <c r="F484" s="0" t="n">
        <f aca="false">IF(E484=1,$C$4+SQRT(D484*($C$6-$C$4)*($C$5-$C$4)),$C$6-SQRT((1-D484)*($C$6-$C$4)*($C$6-$C$5)))</f>
        <v>8.96774789062456</v>
      </c>
    </row>
    <row r="485" customFormat="false" ht="15" hidden="false" customHeight="false" outlineLevel="0" collapsed="false">
      <c r="B485" s="0" t="n">
        <v>469</v>
      </c>
      <c r="C485" s="0" t="n">
        <f aca="true">RAND()</f>
        <v>0.297990709520744</v>
      </c>
      <c r="D485" s="0" t="n">
        <f aca="true">RAND()</f>
        <v>0.283083376802312</v>
      </c>
      <c r="E485" s="0" t="n">
        <f aca="false">IF(C485&lt;=$C$10,1,2)</f>
        <v>1</v>
      </c>
      <c r="F485" s="0" t="n">
        <f aca="false">IF(E485=1,$C$4+SQRT(D485*($C$6-$C$4)*($C$5-$C$4)),$C$6-SQRT((1-D485)*($C$6-$C$4)*($C$6-$C$5)))</f>
        <v>8.75244053160673</v>
      </c>
    </row>
    <row r="486" customFormat="false" ht="15" hidden="false" customHeight="false" outlineLevel="0" collapsed="false">
      <c r="B486" s="0" t="n">
        <v>470</v>
      </c>
      <c r="C486" s="0" t="n">
        <f aca="true">RAND()</f>
        <v>0.91370746695585</v>
      </c>
      <c r="D486" s="0" t="n">
        <f aca="true">RAND()</f>
        <v>0.808092489826472</v>
      </c>
      <c r="E486" s="0" t="n">
        <f aca="false">IF(C486&lt;=$C$10,1,2)</f>
        <v>2</v>
      </c>
      <c r="F486" s="0" t="n">
        <f aca="false">IF(E486=1,$C$4+SQRT(D486*($C$6-$C$4)*($C$5-$C$4)),$C$6-SQRT((1-D486)*($C$6-$C$4)*($C$6-$C$5)))</f>
        <v>9.3804719374015</v>
      </c>
    </row>
    <row r="487" customFormat="false" ht="15" hidden="false" customHeight="false" outlineLevel="0" collapsed="false">
      <c r="B487" s="0" t="n">
        <v>471</v>
      </c>
      <c r="C487" s="0" t="n">
        <f aca="true">RAND()</f>
        <v>0.522384495131282</v>
      </c>
      <c r="D487" s="0" t="n">
        <f aca="true">RAND()</f>
        <v>0.96732348986299</v>
      </c>
      <c r="E487" s="0" t="n">
        <f aca="false">IF(C487&lt;=$C$10,1,2)</f>
        <v>2</v>
      </c>
      <c r="F487" s="0" t="n">
        <f aca="false">IF(E487=1,$C$4+SQRT(D487*($C$6-$C$4)*($C$5-$C$4)),$C$6-SQRT((1-D487)*($C$6-$C$4)*($C$6-$C$5)))</f>
        <v>9.74435763208337</v>
      </c>
    </row>
    <row r="488" customFormat="false" ht="15" hidden="false" customHeight="false" outlineLevel="0" collapsed="false">
      <c r="B488" s="0" t="n">
        <v>472</v>
      </c>
      <c r="C488" s="0" t="n">
        <f aca="true">RAND()</f>
        <v>0.0656621689194079</v>
      </c>
      <c r="D488" s="0" t="n">
        <f aca="true">RAND()</f>
        <v>0.349362297019926</v>
      </c>
      <c r="E488" s="0" t="n">
        <f aca="false">IF(C488&lt;=$C$10,1,2)</f>
        <v>1</v>
      </c>
      <c r="F488" s="0" t="n">
        <f aca="false">IF(E488=1,$C$4+SQRT(D488*($C$6-$C$4)*($C$5-$C$4)),$C$6-SQRT((1-D488)*($C$6-$C$4)*($C$6-$C$5)))</f>
        <v>8.83589747818728</v>
      </c>
    </row>
    <row r="489" customFormat="false" ht="15" hidden="false" customHeight="false" outlineLevel="0" collapsed="false">
      <c r="B489" s="0" t="n">
        <v>473</v>
      </c>
      <c r="C489" s="0" t="n">
        <f aca="true">RAND()</f>
        <v>0.52894652666896</v>
      </c>
      <c r="D489" s="0" t="n">
        <f aca="true">RAND()</f>
        <v>0.588941571128922</v>
      </c>
      <c r="E489" s="0" t="n">
        <f aca="false">IF(C489&lt;=$C$10,1,2)</f>
        <v>2</v>
      </c>
      <c r="F489" s="0" t="n">
        <f aca="false">IF(E489=1,$C$4+SQRT(D489*($C$6-$C$4)*($C$5-$C$4)),$C$6-SQRT((1-D489)*($C$6-$C$4)*($C$6-$C$5)))</f>
        <v>9.09329340040885</v>
      </c>
    </row>
    <row r="490" customFormat="false" ht="15" hidden="false" customHeight="false" outlineLevel="0" collapsed="false">
      <c r="B490" s="0" t="n">
        <v>474</v>
      </c>
      <c r="C490" s="0" t="n">
        <f aca="true">RAND()</f>
        <v>0.122280100413887</v>
      </c>
      <c r="D490" s="0" t="n">
        <f aca="true">RAND()</f>
        <v>0.974080659407869</v>
      </c>
      <c r="E490" s="0" t="n">
        <f aca="false">IF(C490&lt;=$C$10,1,2)</f>
        <v>1</v>
      </c>
      <c r="F490" s="0" t="n">
        <f aca="false">IF(E490=1,$C$4+SQRT(D490*($C$6-$C$4)*($C$5-$C$4)),$C$6-SQRT((1-D490)*($C$6-$C$4)*($C$6-$C$5)))</f>
        <v>9.39576549563877</v>
      </c>
    </row>
    <row r="491" customFormat="false" ht="15" hidden="false" customHeight="false" outlineLevel="0" collapsed="false">
      <c r="B491" s="0" t="n">
        <v>475</v>
      </c>
      <c r="C491" s="0" t="n">
        <f aca="true">RAND()</f>
        <v>0.103127926169182</v>
      </c>
      <c r="D491" s="0" t="n">
        <f aca="true">RAND()</f>
        <v>0.370003442438937</v>
      </c>
      <c r="E491" s="0" t="n">
        <f aca="false">IF(C491&lt;=$C$10,1,2)</f>
        <v>1</v>
      </c>
      <c r="F491" s="0" t="n">
        <f aca="false">IF(E491=1,$C$4+SQRT(D491*($C$6-$C$4)*($C$5-$C$4)),$C$6-SQRT((1-D491)*($C$6-$C$4)*($C$6-$C$5)))</f>
        <v>8.86023652844894</v>
      </c>
    </row>
    <row r="492" customFormat="false" ht="15" hidden="false" customHeight="false" outlineLevel="0" collapsed="false">
      <c r="B492" s="0" t="n">
        <v>476</v>
      </c>
      <c r="C492" s="0" t="n">
        <f aca="true">RAND()</f>
        <v>0.255320921089964</v>
      </c>
      <c r="D492" s="0" t="n">
        <f aca="true">RAND()</f>
        <v>0.645976812373733</v>
      </c>
      <c r="E492" s="0" t="n">
        <f aca="false">IF(C492&lt;=$C$10,1,2)</f>
        <v>1</v>
      </c>
      <c r="F492" s="0" t="n">
        <f aca="false">IF(E492=1,$C$4+SQRT(D492*($C$6-$C$4)*($C$5-$C$4)),$C$6-SQRT((1-D492)*($C$6-$C$4)*($C$6-$C$5)))</f>
        <v>9.13664137912864</v>
      </c>
    </row>
    <row r="493" customFormat="false" ht="15" hidden="false" customHeight="false" outlineLevel="0" collapsed="false">
      <c r="B493" s="0" t="n">
        <v>477</v>
      </c>
      <c r="C493" s="0" t="n">
        <f aca="true">RAND()</f>
        <v>0.422117269923106</v>
      </c>
      <c r="D493" s="0" t="n">
        <f aca="true">RAND()</f>
        <v>0.590430585092657</v>
      </c>
      <c r="E493" s="0" t="n">
        <f aca="false">IF(C493&lt;=$C$10,1,2)</f>
        <v>1</v>
      </c>
      <c r="F493" s="0" t="n">
        <f aca="false">IF(E493=1,$C$4+SQRT(D493*($C$6-$C$4)*($C$5-$C$4)),$C$6-SQRT((1-D493)*($C$6-$C$4)*($C$6-$C$5)))</f>
        <v>9.08667436253245</v>
      </c>
    </row>
    <row r="494" customFormat="false" ht="15" hidden="false" customHeight="false" outlineLevel="0" collapsed="false">
      <c r="B494" s="0" t="n">
        <v>478</v>
      </c>
      <c r="C494" s="0" t="n">
        <f aca="true">RAND()</f>
        <v>0.86587946671015</v>
      </c>
      <c r="D494" s="0" t="n">
        <f aca="true">RAND()</f>
        <v>0.125305362358178</v>
      </c>
      <c r="E494" s="0" t="n">
        <f aca="false">IF(C494&lt;=$C$10,1,2)</f>
        <v>2</v>
      </c>
      <c r="F494" s="0" t="n">
        <f aca="false">IF(E494=1,$C$4+SQRT(D494*($C$6-$C$4)*($C$5-$C$4)),$C$6-SQRT((1-D494)*($C$6-$C$4)*($C$6-$C$5)))</f>
        <v>8.67735519685607</v>
      </c>
    </row>
    <row r="495" customFormat="false" ht="15" hidden="false" customHeight="false" outlineLevel="0" collapsed="false">
      <c r="B495" s="0" t="n">
        <v>479</v>
      </c>
      <c r="C495" s="0" t="n">
        <f aca="true">RAND()</f>
        <v>0.0953755578265567</v>
      </c>
      <c r="D495" s="0" t="n">
        <f aca="true">RAND()</f>
        <v>0.500653128269629</v>
      </c>
      <c r="E495" s="0" t="n">
        <f aca="false">IF(C495&lt;=$C$10,1,2)</f>
        <v>1</v>
      </c>
      <c r="F495" s="0" t="n">
        <f aca="false">IF(E495=1,$C$4+SQRT(D495*($C$6-$C$4)*($C$5-$C$4)),$C$6-SQRT((1-D495)*($C$6-$C$4)*($C$6-$C$5)))</f>
        <v>9.00065291512055</v>
      </c>
    </row>
    <row r="496" customFormat="false" ht="15" hidden="false" customHeight="false" outlineLevel="0" collapsed="false">
      <c r="B496" s="0" t="n">
        <v>480</v>
      </c>
      <c r="C496" s="0" t="n">
        <f aca="true">RAND()</f>
        <v>0.0446315604511518</v>
      </c>
      <c r="D496" s="0" t="n">
        <f aca="true">RAND()</f>
        <v>0.0212130033673619</v>
      </c>
      <c r="E496" s="0" t="n">
        <f aca="false">IF(C496&lt;=$C$10,1,2)</f>
        <v>1</v>
      </c>
      <c r="F496" s="0" t="n">
        <f aca="false">IF(E496=1,$C$4+SQRT(D496*($C$6-$C$4)*($C$5-$C$4)),$C$6-SQRT((1-D496)*($C$6-$C$4)*($C$6-$C$5)))</f>
        <v>8.20597574307361</v>
      </c>
    </row>
    <row r="497" customFormat="false" ht="15" hidden="false" customHeight="false" outlineLevel="0" collapsed="false">
      <c r="B497" s="0" t="n">
        <v>481</v>
      </c>
      <c r="C497" s="0" t="n">
        <f aca="true">RAND()</f>
        <v>0.224002163494136</v>
      </c>
      <c r="D497" s="0" t="n">
        <f aca="true">RAND()</f>
        <v>0.487010398979603</v>
      </c>
      <c r="E497" s="0" t="n">
        <f aca="false">IF(C497&lt;=$C$10,1,2)</f>
        <v>1</v>
      </c>
      <c r="F497" s="0" t="n">
        <f aca="false">IF(E497=1,$C$4+SQRT(D497*($C$6-$C$4)*($C$5-$C$4)),$C$6-SQRT((1-D497)*($C$6-$C$4)*($C$6-$C$5)))</f>
        <v>8.9869249201227</v>
      </c>
    </row>
    <row r="498" customFormat="false" ht="15" hidden="false" customHeight="false" outlineLevel="0" collapsed="false">
      <c r="B498" s="0" t="n">
        <v>482</v>
      </c>
      <c r="C498" s="0" t="n">
        <f aca="true">RAND()</f>
        <v>0.547855080231519</v>
      </c>
      <c r="D498" s="0" t="n">
        <f aca="true">RAND()</f>
        <v>0.866742507725168</v>
      </c>
      <c r="E498" s="0" t="n">
        <f aca="false">IF(C498&lt;=$C$10,1,2)</f>
        <v>2</v>
      </c>
      <c r="F498" s="0" t="n">
        <f aca="false">IF(E498=1,$C$4+SQRT(D498*($C$6-$C$4)*($C$5-$C$4)),$C$6-SQRT((1-D498)*($C$6-$C$4)*($C$6-$C$5)))</f>
        <v>9.48374910697446</v>
      </c>
    </row>
    <row r="499" customFormat="false" ht="15" hidden="false" customHeight="false" outlineLevel="0" collapsed="false">
      <c r="B499" s="0" t="n">
        <v>483</v>
      </c>
      <c r="C499" s="0" t="n">
        <f aca="true">RAND()</f>
        <v>0.332682383631834</v>
      </c>
      <c r="D499" s="0" t="n">
        <f aca="true">RAND()</f>
        <v>0.658471483986414</v>
      </c>
      <c r="E499" s="0" t="n">
        <f aca="false">IF(C499&lt;=$C$10,1,2)</f>
        <v>1</v>
      </c>
      <c r="F499" s="0" t="n">
        <f aca="false">IF(E499=1,$C$4+SQRT(D499*($C$6-$C$4)*($C$5-$C$4)),$C$6-SQRT((1-D499)*($C$6-$C$4)*($C$6-$C$5)))</f>
        <v>9.14758135570984</v>
      </c>
    </row>
    <row r="500" customFormat="false" ht="15" hidden="false" customHeight="false" outlineLevel="0" collapsed="false">
      <c r="B500" s="0" t="n">
        <v>484</v>
      </c>
      <c r="C500" s="0" t="n">
        <f aca="true">RAND()</f>
        <v>0.80653900635544</v>
      </c>
      <c r="D500" s="0" t="n">
        <f aca="true">RAND()</f>
        <v>0.178490284003547</v>
      </c>
      <c r="E500" s="0" t="n">
        <f aca="false">IF(C500&lt;=$C$10,1,2)</f>
        <v>2</v>
      </c>
      <c r="F500" s="0" t="n">
        <f aca="false">IF(E500=1,$C$4+SQRT(D500*($C$6-$C$4)*($C$5-$C$4)),$C$6-SQRT((1-D500)*($C$6-$C$4)*($C$6-$C$5)))</f>
        <v>8.71819680450043</v>
      </c>
    </row>
    <row r="501" customFormat="false" ht="15" hidden="false" customHeight="false" outlineLevel="0" collapsed="false">
      <c r="B501" s="0" t="n">
        <v>485</v>
      </c>
      <c r="C501" s="0" t="n">
        <f aca="true">RAND()</f>
        <v>0.0981038043320071</v>
      </c>
      <c r="D501" s="0" t="n">
        <f aca="true">RAND()</f>
        <v>0.661091160458445</v>
      </c>
      <c r="E501" s="0" t="n">
        <f aca="false">IF(C501&lt;=$C$10,1,2)</f>
        <v>1</v>
      </c>
      <c r="F501" s="0" t="n">
        <f aca="false">IF(E501=1,$C$4+SQRT(D501*($C$6-$C$4)*($C$5-$C$4)),$C$6-SQRT((1-D501)*($C$6-$C$4)*($C$6-$C$5)))</f>
        <v>9.14986187036395</v>
      </c>
    </row>
    <row r="502" customFormat="false" ht="15" hidden="false" customHeight="false" outlineLevel="0" collapsed="false">
      <c r="B502" s="0" t="n">
        <v>486</v>
      </c>
      <c r="C502" s="0" t="n">
        <f aca="true">RAND()</f>
        <v>0.121837763759431</v>
      </c>
      <c r="D502" s="0" t="n">
        <f aca="true">RAND()</f>
        <v>0.956991607925744</v>
      </c>
      <c r="E502" s="0" t="n">
        <f aca="false">IF(C502&lt;=$C$10,1,2)</f>
        <v>1</v>
      </c>
      <c r="F502" s="0" t="n">
        <f aca="false">IF(E502=1,$C$4+SQRT(D502*($C$6-$C$4)*($C$5-$C$4)),$C$6-SQRT((1-D502)*($C$6-$C$4)*($C$6-$C$5)))</f>
        <v>9.38346782248504</v>
      </c>
    </row>
    <row r="503" customFormat="false" ht="15" hidden="false" customHeight="false" outlineLevel="0" collapsed="false">
      <c r="B503" s="0" t="n">
        <v>487</v>
      </c>
      <c r="C503" s="0" t="n">
        <f aca="true">RAND()</f>
        <v>0.24934171134654</v>
      </c>
      <c r="D503" s="0" t="n">
        <f aca="true">RAND()</f>
        <v>0.014760388563766</v>
      </c>
      <c r="E503" s="0" t="n">
        <f aca="false">IF(C503&lt;=$C$10,1,2)</f>
        <v>1</v>
      </c>
      <c r="F503" s="0" t="n">
        <f aca="false">IF(E503=1,$C$4+SQRT(D503*($C$6-$C$4)*($C$5-$C$4)),$C$6-SQRT((1-D503)*($C$6-$C$4)*($C$6-$C$5)))</f>
        <v>8.17181611428365</v>
      </c>
    </row>
    <row r="504" customFormat="false" ht="15" hidden="false" customHeight="false" outlineLevel="0" collapsed="false">
      <c r="B504" s="0" t="n">
        <v>488</v>
      </c>
      <c r="C504" s="0" t="n">
        <f aca="true">RAND()</f>
        <v>0.0915876723479989</v>
      </c>
      <c r="D504" s="0" t="n">
        <f aca="true">RAND()</f>
        <v>0.960415437204283</v>
      </c>
      <c r="E504" s="0" t="n">
        <f aca="false">IF(C504&lt;=$C$10,1,2)</f>
        <v>1</v>
      </c>
      <c r="F504" s="0" t="n">
        <f aca="false">IF(E504=1,$C$4+SQRT(D504*($C$6-$C$4)*($C$5-$C$4)),$C$6-SQRT((1-D504)*($C$6-$C$4)*($C$6-$C$5)))</f>
        <v>9.38594042960315</v>
      </c>
    </row>
    <row r="505" customFormat="false" ht="15" hidden="false" customHeight="false" outlineLevel="0" collapsed="false">
      <c r="B505" s="0" t="n">
        <v>489</v>
      </c>
      <c r="C505" s="0" t="n">
        <f aca="true">RAND()</f>
        <v>0.951666512539116</v>
      </c>
      <c r="D505" s="0" t="n">
        <f aca="true">RAND()</f>
        <v>0.168190033028293</v>
      </c>
      <c r="E505" s="0" t="n">
        <f aca="false">IF(C505&lt;=$C$10,1,2)</f>
        <v>2</v>
      </c>
      <c r="F505" s="0" t="n">
        <f aca="false">IF(E505=1,$C$4+SQRT(D505*($C$6-$C$4)*($C$5-$C$4)),$C$6-SQRT((1-D505)*($C$6-$C$4)*($C$6-$C$5)))</f>
        <v>8.7101860855366</v>
      </c>
    </row>
    <row r="506" customFormat="false" ht="15" hidden="false" customHeight="false" outlineLevel="0" collapsed="false">
      <c r="B506" s="0" t="n">
        <v>490</v>
      </c>
      <c r="C506" s="0" t="n">
        <f aca="true">RAND()</f>
        <v>0.129647924947641</v>
      </c>
      <c r="D506" s="0" t="n">
        <f aca="true">RAND()</f>
        <v>0.508834737547262</v>
      </c>
      <c r="E506" s="0" t="n">
        <f aca="false">IF(C506&lt;=$C$10,1,2)</f>
        <v>1</v>
      </c>
      <c r="F506" s="0" t="n">
        <f aca="false">IF(E506=1,$C$4+SQRT(D506*($C$6-$C$4)*($C$5-$C$4)),$C$6-SQRT((1-D506)*($C$6-$C$4)*($C$6-$C$5)))</f>
        <v>9.00879605227941</v>
      </c>
    </row>
    <row r="507" customFormat="false" ht="15" hidden="false" customHeight="false" outlineLevel="0" collapsed="false">
      <c r="B507" s="0" t="n">
        <v>491</v>
      </c>
      <c r="C507" s="0" t="n">
        <f aca="true">RAND()</f>
        <v>0.794249592176347</v>
      </c>
      <c r="D507" s="0" t="n">
        <f aca="true">RAND()</f>
        <v>0.925792762422018</v>
      </c>
      <c r="E507" s="0" t="n">
        <f aca="false">IF(C507&lt;=$C$10,1,2)</f>
        <v>2</v>
      </c>
      <c r="F507" s="0" t="n">
        <f aca="false">IF(E507=1,$C$4+SQRT(D507*($C$6-$C$4)*($C$5-$C$4)),$C$6-SQRT((1-D507)*($C$6-$C$4)*($C$6-$C$5)))</f>
        <v>9.61475400695664</v>
      </c>
    </row>
    <row r="508" customFormat="false" ht="15" hidden="false" customHeight="false" outlineLevel="0" collapsed="false">
      <c r="B508" s="0" t="n">
        <v>492</v>
      </c>
      <c r="C508" s="0" t="n">
        <f aca="true">RAND()</f>
        <v>0.0444379346459211</v>
      </c>
      <c r="D508" s="0" t="n">
        <f aca="true">RAND()</f>
        <v>0.70781654352908</v>
      </c>
      <c r="E508" s="0" t="n">
        <f aca="false">IF(C508&lt;=$C$10,1,2)</f>
        <v>1</v>
      </c>
      <c r="F508" s="0" t="n">
        <f aca="false">IF(E508=1,$C$4+SQRT(D508*($C$6-$C$4)*($C$5-$C$4)),$C$6-SQRT((1-D508)*($C$6-$C$4)*($C$6-$C$5)))</f>
        <v>9.18980380191785</v>
      </c>
    </row>
    <row r="509" customFormat="false" ht="15" hidden="false" customHeight="false" outlineLevel="0" collapsed="false">
      <c r="B509" s="0" t="n">
        <v>493</v>
      </c>
      <c r="C509" s="0" t="n">
        <f aca="true">RAND()</f>
        <v>0.136735818225445</v>
      </c>
      <c r="D509" s="0" t="n">
        <f aca="true">RAND()</f>
        <v>0.953161068726804</v>
      </c>
      <c r="E509" s="0" t="n">
        <f aca="false">IF(C509&lt;=$C$10,1,2)</f>
        <v>1</v>
      </c>
      <c r="F509" s="0" t="n">
        <f aca="false">IF(E509=1,$C$4+SQRT(D509*($C$6-$C$4)*($C$5-$C$4)),$C$6-SQRT((1-D509)*($C$6-$C$4)*($C$6-$C$5)))</f>
        <v>9.38069625097398</v>
      </c>
    </row>
    <row r="510" customFormat="false" ht="15" hidden="false" customHeight="false" outlineLevel="0" collapsed="false">
      <c r="B510" s="0" t="n">
        <v>494</v>
      </c>
      <c r="C510" s="0" t="n">
        <f aca="true">RAND()</f>
        <v>0.720307037276231</v>
      </c>
      <c r="D510" s="0" t="n">
        <f aca="true">RAND()</f>
        <v>0.742166185269052</v>
      </c>
      <c r="E510" s="0" t="n">
        <f aca="false">IF(C510&lt;=$C$10,1,2)</f>
        <v>2</v>
      </c>
      <c r="F510" s="0" t="n">
        <f aca="false">IF(E510=1,$C$4+SQRT(D510*($C$6-$C$4)*($C$5-$C$4)),$C$6-SQRT((1-D510)*($C$6-$C$4)*($C$6-$C$5)))</f>
        <v>9.28189998644904</v>
      </c>
    </row>
    <row r="511" customFormat="false" ht="15" hidden="false" customHeight="false" outlineLevel="0" collapsed="false">
      <c r="B511" s="0" t="n">
        <v>495</v>
      </c>
      <c r="C511" s="0" t="n">
        <f aca="true">RAND()</f>
        <v>0.346994324450515</v>
      </c>
      <c r="D511" s="0" t="n">
        <f aca="true">RAND()</f>
        <v>0.681278627546775</v>
      </c>
      <c r="E511" s="0" t="n">
        <f aca="false">IF(C511&lt;=$C$10,1,2)</f>
        <v>1</v>
      </c>
      <c r="F511" s="0" t="n">
        <f aca="false">IF(E511=1,$C$4+SQRT(D511*($C$6-$C$4)*($C$5-$C$4)),$C$6-SQRT((1-D511)*($C$6-$C$4)*($C$6-$C$5)))</f>
        <v>9.1672862781227</v>
      </c>
    </row>
    <row r="512" customFormat="false" ht="15" hidden="false" customHeight="false" outlineLevel="0" collapsed="false">
      <c r="B512" s="0" t="n">
        <v>496</v>
      </c>
      <c r="C512" s="0" t="n">
        <f aca="true">RAND()</f>
        <v>0.187577569737359</v>
      </c>
      <c r="D512" s="0" t="n">
        <f aca="true">RAND()</f>
        <v>0.419530498378651</v>
      </c>
      <c r="E512" s="0" t="n">
        <f aca="false">IF(C512&lt;=$C$10,1,2)</f>
        <v>1</v>
      </c>
      <c r="F512" s="0" t="n">
        <f aca="false">IF(E512=1,$C$4+SQRT(D512*($C$6-$C$4)*($C$5-$C$4)),$C$6-SQRT((1-D512)*($C$6-$C$4)*($C$6-$C$5)))</f>
        <v>8.91600272748355</v>
      </c>
    </row>
    <row r="513" customFormat="false" ht="15" hidden="false" customHeight="false" outlineLevel="0" collapsed="false">
      <c r="B513" s="0" t="n">
        <v>497</v>
      </c>
      <c r="C513" s="0" t="n">
        <f aca="true">RAND()</f>
        <v>0.016334758953555</v>
      </c>
      <c r="D513" s="0" t="n">
        <f aca="true">RAND()</f>
        <v>0.410516831010043</v>
      </c>
      <c r="E513" s="0" t="n">
        <f aca="false">IF(C513&lt;=$C$10,1,2)</f>
        <v>1</v>
      </c>
      <c r="F513" s="0" t="n">
        <f aca="false">IF(E513=1,$C$4+SQRT(D513*($C$6-$C$4)*($C$5-$C$4)),$C$6-SQRT((1-D513)*($C$6-$C$4)*($C$6-$C$5)))</f>
        <v>8.90610907843377</v>
      </c>
    </row>
    <row r="514" customFormat="false" ht="15" hidden="false" customHeight="false" outlineLevel="0" collapsed="false">
      <c r="B514" s="0" t="n">
        <v>498</v>
      </c>
      <c r="C514" s="0" t="n">
        <f aca="true">RAND()</f>
        <v>0.513306344054797</v>
      </c>
      <c r="D514" s="0" t="n">
        <f aca="true">RAND()</f>
        <v>0.573202314780362</v>
      </c>
      <c r="E514" s="0" t="n">
        <f aca="false">IF(C514&lt;=$C$10,1,2)</f>
        <v>2</v>
      </c>
      <c r="F514" s="0" t="n">
        <f aca="false">IF(E514=1,$C$4+SQRT(D514*($C$6-$C$4)*($C$5-$C$4)),$C$6-SQRT((1-D514)*($C$6-$C$4)*($C$6-$C$5)))</f>
        <v>9.07609774843911</v>
      </c>
    </row>
    <row r="515" customFormat="false" ht="15" hidden="false" customHeight="false" outlineLevel="0" collapsed="false">
      <c r="B515" s="0" t="n">
        <v>499</v>
      </c>
      <c r="C515" s="0" t="n">
        <f aca="true">RAND()</f>
        <v>0.530566498567374</v>
      </c>
      <c r="D515" s="0" t="n">
        <f aca="true">RAND()</f>
        <v>0.128347305902615</v>
      </c>
      <c r="E515" s="0" t="n">
        <f aca="false">IF(C515&lt;=$C$10,1,2)</f>
        <v>2</v>
      </c>
      <c r="F515" s="0" t="n">
        <f aca="false">IF(E515=1,$C$4+SQRT(D515*($C$6-$C$4)*($C$5-$C$4)),$C$6-SQRT((1-D515)*($C$6-$C$4)*($C$6-$C$5)))</f>
        <v>8.6796570944657</v>
      </c>
    </row>
    <row r="516" customFormat="false" ht="15" hidden="false" customHeight="false" outlineLevel="0" collapsed="false">
      <c r="B516" s="0" t="n">
        <v>500</v>
      </c>
      <c r="C516" s="0" t="n">
        <f aca="true">RAND()</f>
        <v>0.743208703308341</v>
      </c>
      <c r="D516" s="0" t="n">
        <f aca="true">RAND()</f>
        <v>0.0162618643075821</v>
      </c>
      <c r="E516" s="0" t="n">
        <f aca="false">IF(C516&lt;=$C$10,1,2)</f>
        <v>2</v>
      </c>
      <c r="F516" s="0" t="n">
        <f aca="false">IF(E516=1,$C$4+SQRT(D516*($C$6-$C$4)*($C$5-$C$4)),$C$6-SQRT((1-D516)*($C$6-$C$4)*($C$6-$C$5)))</f>
        <v>8.59733244445277</v>
      </c>
    </row>
    <row r="517" customFormat="false" ht="15" hidden="false" customHeight="false" outlineLevel="0" collapsed="false">
      <c r="B517" s="0" t="n">
        <v>501</v>
      </c>
      <c r="C517" s="0" t="n">
        <f aca="true">RAND()</f>
        <v>0.595171120255124</v>
      </c>
      <c r="D517" s="0" t="n">
        <f aca="true">RAND()</f>
        <v>0.228521555914939</v>
      </c>
      <c r="E517" s="0" t="n">
        <f aca="false">IF(C517&lt;=$C$10,1,2)</f>
        <v>2</v>
      </c>
      <c r="F517" s="0" t="n">
        <f aca="false">IF(E517=1,$C$4+SQRT(D517*($C$6-$C$4)*($C$5-$C$4)),$C$6-SQRT((1-D517)*($C$6-$C$4)*($C$6-$C$5)))</f>
        <v>8.75784184252965</v>
      </c>
    </row>
    <row r="518" customFormat="false" ht="15" hidden="false" customHeight="false" outlineLevel="0" collapsed="false">
      <c r="B518" s="0" t="n">
        <v>502</v>
      </c>
      <c r="C518" s="0" t="n">
        <f aca="true">RAND()</f>
        <v>0.931993748958527</v>
      </c>
      <c r="D518" s="0" t="n">
        <f aca="true">RAND()</f>
        <v>0.0995879948396265</v>
      </c>
      <c r="E518" s="0" t="n">
        <f aca="false">IF(C518&lt;=$C$10,1,2)</f>
        <v>2</v>
      </c>
      <c r="F518" s="0" t="n">
        <f aca="false">IF(E518=1,$C$4+SQRT(D518*($C$6-$C$4)*($C$5-$C$4)),$C$6-SQRT((1-D518)*($C$6-$C$4)*($C$6-$C$5)))</f>
        <v>8.6580521581221</v>
      </c>
    </row>
    <row r="519" customFormat="false" ht="15" hidden="false" customHeight="false" outlineLevel="0" collapsed="false">
      <c r="B519" s="0" t="n">
        <v>503</v>
      </c>
      <c r="C519" s="0" t="n">
        <f aca="true">RAND()</f>
        <v>0.0722444608496006</v>
      </c>
      <c r="D519" s="0" t="n">
        <f aca="true">RAND()</f>
        <v>0.370028515827333</v>
      </c>
      <c r="E519" s="0" t="n">
        <f aca="false">IF(C519&lt;=$C$10,1,2)</f>
        <v>1</v>
      </c>
      <c r="F519" s="0" t="n">
        <f aca="false">IF(E519=1,$C$4+SQRT(D519*($C$6-$C$4)*($C$5-$C$4)),$C$6-SQRT((1-D519)*($C$6-$C$4)*($C$6-$C$5)))</f>
        <v>8.86026567504153</v>
      </c>
    </row>
    <row r="520" customFormat="false" ht="15" hidden="false" customHeight="false" outlineLevel="0" collapsed="false">
      <c r="B520" s="0" t="n">
        <v>504</v>
      </c>
      <c r="C520" s="0" t="n">
        <f aca="true">RAND()</f>
        <v>0.307012190237433</v>
      </c>
      <c r="D520" s="0" t="n">
        <f aca="true">RAND()</f>
        <v>0.145825599779302</v>
      </c>
      <c r="E520" s="0" t="n">
        <f aca="false">IF(C520&lt;=$C$10,1,2)</f>
        <v>1</v>
      </c>
      <c r="F520" s="0" t="n">
        <f aca="false">IF(E520=1,$C$4+SQRT(D520*($C$6-$C$4)*($C$5-$C$4)),$C$6-SQRT((1-D520)*($C$6-$C$4)*($C$6-$C$5)))</f>
        <v>8.54004740491794</v>
      </c>
    </row>
    <row r="521" customFormat="false" ht="15" hidden="false" customHeight="false" outlineLevel="0" collapsed="false">
      <c r="B521" s="0" t="n">
        <v>505</v>
      </c>
      <c r="C521" s="0" t="n">
        <f aca="true">RAND()</f>
        <v>0.612727171332948</v>
      </c>
      <c r="D521" s="0" t="n">
        <f aca="true">RAND()</f>
        <v>0.500641395615999</v>
      </c>
      <c r="E521" s="0" t="n">
        <f aca="false">IF(C521&lt;=$C$10,1,2)</f>
        <v>2</v>
      </c>
      <c r="F521" s="0" t="n">
        <f aca="false">IF(E521=1,$C$4+SQRT(D521*($C$6-$C$4)*($C$5-$C$4)),$C$6-SQRT((1-D521)*($C$6-$C$4)*($C$6-$C$5)))</f>
        <v>9.0006416014422</v>
      </c>
    </row>
    <row r="522" customFormat="false" ht="15" hidden="false" customHeight="false" outlineLevel="0" collapsed="false">
      <c r="B522" s="0" t="n">
        <v>506</v>
      </c>
      <c r="C522" s="0" t="n">
        <f aca="true">RAND()</f>
        <v>0.341424837975862</v>
      </c>
      <c r="D522" s="0" t="n">
        <f aca="true">RAND()</f>
        <v>0.938701970808814</v>
      </c>
      <c r="E522" s="0" t="n">
        <f aca="false">IF(C522&lt;=$C$10,1,2)</f>
        <v>1</v>
      </c>
      <c r="F522" s="0" t="n">
        <f aca="false">IF(E522=1,$C$4+SQRT(D522*($C$6-$C$4)*($C$5-$C$4)),$C$6-SQRT((1-D522)*($C$6-$C$4)*($C$6-$C$5)))</f>
        <v>9.37018390795456</v>
      </c>
    </row>
    <row r="523" customFormat="false" ht="15" hidden="false" customHeight="false" outlineLevel="0" collapsed="false">
      <c r="B523" s="0" t="n">
        <v>507</v>
      </c>
      <c r="C523" s="0" t="n">
        <f aca="true">RAND()</f>
        <v>0.249917467050452</v>
      </c>
      <c r="D523" s="0" t="n">
        <f aca="true">RAND()</f>
        <v>0.57428612636363</v>
      </c>
      <c r="E523" s="0" t="n">
        <f aca="false">IF(C523&lt;=$C$10,1,2)</f>
        <v>1</v>
      </c>
      <c r="F523" s="0" t="n">
        <f aca="false">IF(E523=1,$C$4+SQRT(D523*($C$6-$C$4)*($C$5-$C$4)),$C$6-SQRT((1-D523)*($C$6-$C$4)*($C$6-$C$5)))</f>
        <v>9.07171463213267</v>
      </c>
    </row>
    <row r="524" customFormat="false" ht="15" hidden="false" customHeight="false" outlineLevel="0" collapsed="false">
      <c r="B524" s="0" t="n">
        <v>508</v>
      </c>
      <c r="C524" s="0" t="n">
        <f aca="true">RAND()</f>
        <v>0.232793551035093</v>
      </c>
      <c r="D524" s="0" t="n">
        <f aca="true">RAND()</f>
        <v>0.964843343520221</v>
      </c>
      <c r="E524" s="0" t="n">
        <f aca="false">IF(C524&lt;=$C$10,1,2)</f>
        <v>1</v>
      </c>
      <c r="F524" s="0" t="n">
        <f aca="false">IF(E524=1,$C$4+SQRT(D524*($C$6-$C$4)*($C$5-$C$4)),$C$6-SQRT((1-D524)*($C$6-$C$4)*($C$6-$C$5)))</f>
        <v>9.38913163056654</v>
      </c>
    </row>
    <row r="525" customFormat="false" ht="15" hidden="false" customHeight="false" outlineLevel="0" collapsed="false">
      <c r="B525" s="0" t="n">
        <v>509</v>
      </c>
      <c r="C525" s="0" t="n">
        <f aca="true">RAND()</f>
        <v>0.726090282205953</v>
      </c>
      <c r="D525" s="0" t="n">
        <f aca="true">RAND()</f>
        <v>0.117178767211845</v>
      </c>
      <c r="E525" s="0" t="n">
        <f aca="false">IF(C525&lt;=$C$10,1,2)</f>
        <v>2</v>
      </c>
      <c r="F525" s="0" t="n">
        <f aca="false">IF(E525=1,$C$4+SQRT(D525*($C$6-$C$4)*($C$5-$C$4)),$C$6-SQRT((1-D525)*($C$6-$C$4)*($C$6-$C$5)))</f>
        <v>8.67122520133158</v>
      </c>
    </row>
    <row r="526" customFormat="false" ht="15" hidden="false" customHeight="false" outlineLevel="0" collapsed="false">
      <c r="B526" s="0" t="n">
        <v>510</v>
      </c>
      <c r="C526" s="0" t="n">
        <f aca="true">RAND()</f>
        <v>0.0419436493316882</v>
      </c>
      <c r="D526" s="0" t="n">
        <f aca="true">RAND()</f>
        <v>0.360769384707058</v>
      </c>
      <c r="E526" s="0" t="n">
        <f aca="false">IF(C526&lt;=$C$10,1,2)</f>
        <v>1</v>
      </c>
      <c r="F526" s="0" t="n">
        <f aca="false">IF(E526=1,$C$4+SQRT(D526*($C$6-$C$4)*($C$5-$C$4)),$C$6-SQRT((1-D526)*($C$6-$C$4)*($C$6-$C$5)))</f>
        <v>8.84943438205321</v>
      </c>
    </row>
    <row r="527" customFormat="false" ht="15" hidden="false" customHeight="false" outlineLevel="0" collapsed="false">
      <c r="B527" s="0" t="n">
        <v>511</v>
      </c>
      <c r="C527" s="0" t="n">
        <f aca="true">RAND()</f>
        <v>0.409229370104295</v>
      </c>
      <c r="D527" s="0" t="n">
        <f aca="true">RAND()</f>
        <v>0.119529139929636</v>
      </c>
      <c r="E527" s="0" t="n">
        <f aca="false">IF(C527&lt;=$C$10,1,2)</f>
        <v>1</v>
      </c>
      <c r="F527" s="0" t="n">
        <f aca="false">IF(E527=1,$C$4+SQRT(D527*($C$6-$C$4)*($C$5-$C$4)),$C$6-SQRT((1-D527)*($C$6-$C$4)*($C$6-$C$5)))</f>
        <v>8.48893586477091</v>
      </c>
    </row>
    <row r="528" customFormat="false" ht="15" hidden="false" customHeight="false" outlineLevel="0" collapsed="false">
      <c r="B528" s="0" t="n">
        <v>512</v>
      </c>
      <c r="C528" s="0" t="n">
        <f aca="true">RAND()</f>
        <v>0.349592783723564</v>
      </c>
      <c r="D528" s="0" t="n">
        <f aca="true">RAND()</f>
        <v>0.0381913823666208</v>
      </c>
      <c r="E528" s="0" t="n">
        <f aca="false">IF(C528&lt;=$C$10,1,2)</f>
        <v>1</v>
      </c>
      <c r="F528" s="0" t="n">
        <f aca="false">IF(E528=1,$C$4+SQRT(D528*($C$6-$C$4)*($C$5-$C$4)),$C$6-SQRT((1-D528)*($C$6-$C$4)*($C$6-$C$5)))</f>
        <v>8.2763743199598</v>
      </c>
    </row>
    <row r="529" customFormat="false" ht="15" hidden="false" customHeight="false" outlineLevel="0" collapsed="false">
      <c r="B529" s="0" t="n">
        <v>513</v>
      </c>
      <c r="C529" s="0" t="n">
        <f aca="true">RAND()</f>
        <v>0.690725409207164</v>
      </c>
      <c r="D529" s="0" t="n">
        <f aca="true">RAND()</f>
        <v>0.107795188177133</v>
      </c>
      <c r="E529" s="0" t="n">
        <f aca="false">IF(C529&lt;=$C$10,1,2)</f>
        <v>2</v>
      </c>
      <c r="F529" s="0" t="n">
        <f aca="false">IF(E529=1,$C$4+SQRT(D529*($C$6-$C$4)*($C$5-$C$4)),$C$6-SQRT((1-D529)*($C$6-$C$4)*($C$6-$C$5)))</f>
        <v>8.66418203948078</v>
      </c>
    </row>
    <row r="530" customFormat="false" ht="15" hidden="false" customHeight="false" outlineLevel="0" collapsed="false">
      <c r="B530" s="0" t="n">
        <v>514</v>
      </c>
      <c r="C530" s="0" t="n">
        <f aca="true">RAND()</f>
        <v>0.37679641504895</v>
      </c>
      <c r="D530" s="0" t="n">
        <f aca="true">RAND()</f>
        <v>0.897019428995055</v>
      </c>
      <c r="E530" s="0" t="n">
        <f aca="false">IF(C530&lt;=$C$10,1,2)</f>
        <v>1</v>
      </c>
      <c r="F530" s="0" t="n">
        <f aca="false">IF(E530=1,$C$4+SQRT(D530*($C$6-$C$4)*($C$5-$C$4)),$C$6-SQRT((1-D530)*($C$6-$C$4)*($C$6-$C$5)))</f>
        <v>9.33941735765597</v>
      </c>
    </row>
    <row r="531" customFormat="false" ht="15" hidden="false" customHeight="false" outlineLevel="0" collapsed="false">
      <c r="B531" s="0" t="n">
        <v>515</v>
      </c>
      <c r="C531" s="0" t="n">
        <f aca="true">RAND()</f>
        <v>0.499323215368316</v>
      </c>
      <c r="D531" s="0" t="n">
        <f aca="true">RAND()</f>
        <v>0.281929907402022</v>
      </c>
      <c r="E531" s="0" t="n">
        <f aca="false">IF(C531&lt;=$C$10,1,2)</f>
        <v>1</v>
      </c>
      <c r="F531" s="0" t="n">
        <f aca="false">IF(E531=1,$C$4+SQRT(D531*($C$6-$C$4)*($C$5-$C$4)),$C$6-SQRT((1-D531)*($C$6-$C$4)*($C$6-$C$5)))</f>
        <v>8.75090599598355</v>
      </c>
    </row>
    <row r="532" customFormat="false" ht="15" hidden="false" customHeight="false" outlineLevel="0" collapsed="false">
      <c r="B532" s="0" t="n">
        <v>516</v>
      </c>
      <c r="C532" s="0" t="n">
        <f aca="true">RAND()</f>
        <v>0.851280524443595</v>
      </c>
      <c r="D532" s="0" t="n">
        <f aca="true">RAND()</f>
        <v>0.361707460948456</v>
      </c>
      <c r="E532" s="0" t="n">
        <f aca="false">IF(C532&lt;=$C$10,1,2)</f>
        <v>2</v>
      </c>
      <c r="F532" s="0" t="n">
        <f aca="false">IF(E532=1,$C$4+SQRT(D532*($C$6-$C$4)*($C$5-$C$4)),$C$6-SQRT((1-D532)*($C$6-$C$4)*($C$6-$C$5)))</f>
        <v>8.87013935456487</v>
      </c>
    </row>
    <row r="533" customFormat="false" ht="15" hidden="false" customHeight="false" outlineLevel="0" collapsed="false">
      <c r="B533" s="0" t="n">
        <v>517</v>
      </c>
      <c r="C533" s="0" t="n">
        <f aca="true">RAND()</f>
        <v>0.922017668694037</v>
      </c>
      <c r="D533" s="0" t="n">
        <f aca="true">RAND()</f>
        <v>0.370058889038737</v>
      </c>
      <c r="E533" s="0" t="n">
        <f aca="false">IF(C533&lt;=$C$10,1,2)</f>
        <v>2</v>
      </c>
      <c r="F533" s="0" t="n">
        <f aca="false">IF(E533=1,$C$4+SQRT(D533*($C$6-$C$4)*($C$5-$C$4)),$C$6-SQRT((1-D533)*($C$6-$C$4)*($C$6-$C$5)))</f>
        <v>8.87755524771928</v>
      </c>
    </row>
    <row r="534" customFormat="false" ht="15" hidden="false" customHeight="false" outlineLevel="0" collapsed="false">
      <c r="B534" s="0" t="n">
        <v>518</v>
      </c>
      <c r="C534" s="0" t="n">
        <f aca="true">RAND()</f>
        <v>0.24132523426033</v>
      </c>
      <c r="D534" s="0" t="n">
        <f aca="true">RAND()</f>
        <v>0.790550296223112</v>
      </c>
      <c r="E534" s="0" t="n">
        <f aca="false">IF(C534&lt;=$C$10,1,2)</f>
        <v>1</v>
      </c>
      <c r="F534" s="0" t="n">
        <f aca="false">IF(E534=1,$C$4+SQRT(D534*($C$6-$C$4)*($C$5-$C$4)),$C$6-SQRT((1-D534)*($C$6-$C$4)*($C$6-$C$5)))</f>
        <v>9.2574182249539</v>
      </c>
    </row>
    <row r="535" customFormat="false" ht="15" hidden="false" customHeight="false" outlineLevel="0" collapsed="false">
      <c r="B535" s="0" t="n">
        <v>519</v>
      </c>
      <c r="C535" s="0" t="n">
        <f aca="true">RAND()</f>
        <v>0.411615358937418</v>
      </c>
      <c r="D535" s="0" t="n">
        <f aca="true">RAND()</f>
        <v>0.63264631571272</v>
      </c>
      <c r="E535" s="0" t="n">
        <f aca="false">IF(C535&lt;=$C$10,1,2)</f>
        <v>1</v>
      </c>
      <c r="F535" s="0" t="n">
        <f aca="false">IF(E535=1,$C$4+SQRT(D535*($C$6-$C$4)*($C$5-$C$4)),$C$6-SQRT((1-D535)*($C$6-$C$4)*($C$6-$C$5)))</f>
        <v>9.12485227093403</v>
      </c>
    </row>
    <row r="536" customFormat="false" ht="15" hidden="false" customHeight="false" outlineLevel="0" collapsed="false">
      <c r="B536" s="0" t="n">
        <v>520</v>
      </c>
      <c r="C536" s="0" t="n">
        <f aca="true">RAND()</f>
        <v>0.140082568605854</v>
      </c>
      <c r="D536" s="0" t="n">
        <f aca="true">RAND()</f>
        <v>0.995931711480015</v>
      </c>
      <c r="E536" s="0" t="n">
        <f aca="false">IF(C536&lt;=$C$10,1,2)</f>
        <v>1</v>
      </c>
      <c r="F536" s="0" t="n">
        <f aca="false">IF(E536=1,$C$4+SQRT(D536*($C$6-$C$4)*($C$5-$C$4)),$C$6-SQRT((1-D536)*($C$6-$C$4)*($C$6-$C$5)))</f>
        <v>9.41133391618002</v>
      </c>
    </row>
    <row r="537" customFormat="false" ht="15" hidden="false" customHeight="false" outlineLevel="0" collapsed="false">
      <c r="B537" s="0" t="n">
        <v>521</v>
      </c>
      <c r="C537" s="0" t="n">
        <f aca="true">RAND()</f>
        <v>0.12807131159725</v>
      </c>
      <c r="D537" s="0" t="n">
        <f aca="true">RAND()</f>
        <v>0.282197737276048</v>
      </c>
      <c r="E537" s="0" t="n">
        <f aca="false">IF(C537&lt;=$C$10,1,2)</f>
        <v>1</v>
      </c>
      <c r="F537" s="0" t="n">
        <f aca="false">IF(E537=1,$C$4+SQRT(D537*($C$6-$C$4)*($C$5-$C$4)),$C$6-SQRT((1-D537)*($C$6-$C$4)*($C$6-$C$5)))</f>
        <v>8.75126258695086</v>
      </c>
    </row>
    <row r="538" customFormat="false" ht="15" hidden="false" customHeight="false" outlineLevel="0" collapsed="false">
      <c r="B538" s="0" t="n">
        <v>522</v>
      </c>
      <c r="C538" s="0" t="n">
        <f aca="true">RAND()</f>
        <v>0.930997904375862</v>
      </c>
      <c r="D538" s="0" t="n">
        <f aca="true">RAND()</f>
        <v>0.96320318252287</v>
      </c>
      <c r="E538" s="0" t="n">
        <f aca="false">IF(C538&lt;=$C$10,1,2)</f>
        <v>2</v>
      </c>
      <c r="F538" s="0" t="n">
        <f aca="false">IF(E538=1,$C$4+SQRT(D538*($C$6-$C$4)*($C$5-$C$4)),$C$6-SQRT((1-D538)*($C$6-$C$4)*($C$6-$C$5)))</f>
        <v>9.72871853186356</v>
      </c>
    </row>
    <row r="539" customFormat="false" ht="15" hidden="false" customHeight="false" outlineLevel="0" collapsed="false">
      <c r="B539" s="0" t="n">
        <v>523</v>
      </c>
      <c r="C539" s="0" t="n">
        <f aca="true">RAND()</f>
        <v>0.0608834086442135</v>
      </c>
      <c r="D539" s="0" t="n">
        <f aca="true">RAND()</f>
        <v>0.865178770209754</v>
      </c>
      <c r="E539" s="0" t="n">
        <f aca="false">IF(C539&lt;=$C$10,1,2)</f>
        <v>1</v>
      </c>
      <c r="F539" s="0" t="n">
        <f aca="false">IF(E539=1,$C$4+SQRT(D539*($C$6-$C$4)*($C$5-$C$4)),$C$6-SQRT((1-D539)*($C$6-$C$4)*($C$6-$C$5)))</f>
        <v>9.31543055324844</v>
      </c>
    </row>
    <row r="540" customFormat="false" ht="15" hidden="false" customHeight="false" outlineLevel="0" collapsed="false">
      <c r="B540" s="0" t="n">
        <v>524</v>
      </c>
      <c r="C540" s="0" t="n">
        <f aca="true">RAND()</f>
        <v>0.217528469640706</v>
      </c>
      <c r="D540" s="0" t="n">
        <f aca="true">RAND()</f>
        <v>0.285121658244557</v>
      </c>
      <c r="E540" s="0" t="n">
        <f aca="false">IF(C540&lt;=$C$10,1,2)</f>
        <v>1</v>
      </c>
      <c r="F540" s="0" t="n">
        <f aca="false">IF(E540=1,$C$4+SQRT(D540*($C$6-$C$4)*($C$5-$C$4)),$C$6-SQRT((1-D540)*($C$6-$C$4)*($C$6-$C$5)))</f>
        <v>8.75514456661563</v>
      </c>
    </row>
    <row r="541" customFormat="false" ht="15" hidden="false" customHeight="false" outlineLevel="0" collapsed="false">
      <c r="B541" s="0" t="n">
        <v>525</v>
      </c>
      <c r="C541" s="0" t="n">
        <f aca="true">RAND()</f>
        <v>0.506421545893736</v>
      </c>
      <c r="D541" s="0" t="n">
        <f aca="true">RAND()</f>
        <v>0.956483688898579</v>
      </c>
      <c r="E541" s="0" t="n">
        <f aca="false">IF(C541&lt;=$C$10,1,2)</f>
        <v>2</v>
      </c>
      <c r="F541" s="0" t="n">
        <f aca="false">IF(E541=1,$C$4+SQRT(D541*($C$6-$C$4)*($C$5-$C$4)),$C$6-SQRT((1-D541)*($C$6-$C$4)*($C$6-$C$5)))</f>
        <v>9.704987081295</v>
      </c>
    </row>
    <row r="542" customFormat="false" ht="15" hidden="false" customHeight="false" outlineLevel="0" collapsed="false">
      <c r="B542" s="0" t="n">
        <v>526</v>
      </c>
      <c r="C542" s="0" t="n">
        <f aca="true">RAND()</f>
        <v>0.83836794354602</v>
      </c>
      <c r="D542" s="0" t="n">
        <f aca="true">RAND()</f>
        <v>0.366981178762728</v>
      </c>
      <c r="E542" s="0" t="n">
        <f aca="false">IF(C542&lt;=$C$10,1,2)</f>
        <v>2</v>
      </c>
      <c r="F542" s="0" t="n">
        <f aca="false">IF(E542=1,$C$4+SQRT(D542*($C$6-$C$4)*($C$5-$C$4)),$C$6-SQRT((1-D542)*($C$6-$C$4)*($C$6-$C$5)))</f>
        <v>8.8748166182908</v>
      </c>
    </row>
    <row r="543" customFormat="false" ht="15" hidden="false" customHeight="false" outlineLevel="0" collapsed="false">
      <c r="B543" s="0" t="n">
        <v>527</v>
      </c>
      <c r="C543" s="0" t="n">
        <f aca="true">RAND()</f>
        <v>0.8737547668214</v>
      </c>
      <c r="D543" s="0" t="n">
        <f aca="true">RAND()</f>
        <v>0.619642192294167</v>
      </c>
      <c r="E543" s="0" t="n">
        <f aca="false">IF(C543&lt;=$C$10,1,2)</f>
        <v>2</v>
      </c>
      <c r="F543" s="0" t="n">
        <f aca="false">IF(E543=1,$C$4+SQRT(D543*($C$6-$C$4)*($C$5-$C$4)),$C$6-SQRT((1-D543)*($C$6-$C$4)*($C$6-$C$5)))</f>
        <v>9.1278098742753</v>
      </c>
    </row>
    <row r="544" customFormat="false" ht="15" hidden="false" customHeight="false" outlineLevel="0" collapsed="false">
      <c r="B544" s="0" t="n">
        <v>528</v>
      </c>
      <c r="C544" s="0" t="n">
        <f aca="true">RAND()</f>
        <v>0.0263114937622224</v>
      </c>
      <c r="D544" s="0" t="n">
        <f aca="true">RAND()</f>
        <v>0.0201868748104534</v>
      </c>
      <c r="E544" s="0" t="n">
        <f aca="false">IF(C544&lt;=$C$10,1,2)</f>
        <v>1</v>
      </c>
      <c r="F544" s="0" t="n">
        <f aca="false">IF(E544=1,$C$4+SQRT(D544*($C$6-$C$4)*($C$5-$C$4)),$C$6-SQRT((1-D544)*($C$6-$C$4)*($C$6-$C$5)))</f>
        <v>8.20093220155293</v>
      </c>
    </row>
    <row r="545" customFormat="false" ht="15" hidden="false" customHeight="false" outlineLevel="0" collapsed="false">
      <c r="B545" s="0" t="n">
        <v>529</v>
      </c>
      <c r="C545" s="0" t="n">
        <f aca="true">RAND()</f>
        <v>0.718674077274082</v>
      </c>
      <c r="D545" s="0" t="n">
        <f aca="true">RAND()</f>
        <v>0.639676939735182</v>
      </c>
      <c r="E545" s="0" t="n">
        <f aca="false">IF(C545&lt;=$C$10,1,2)</f>
        <v>2</v>
      </c>
      <c r="F545" s="0" t="n">
        <f aca="false">IF(E545=1,$C$4+SQRT(D545*($C$6-$C$4)*($C$5-$C$4)),$C$6-SQRT((1-D545)*($C$6-$C$4)*($C$6-$C$5)))</f>
        <v>9.15109121778036</v>
      </c>
    </row>
    <row r="546" customFormat="false" ht="15" hidden="false" customHeight="false" outlineLevel="0" collapsed="false">
      <c r="B546" s="0" t="n">
        <v>530</v>
      </c>
      <c r="C546" s="0" t="n">
        <f aca="true">RAND()</f>
        <v>0.0848765680313982</v>
      </c>
      <c r="D546" s="0" t="n">
        <f aca="true">RAND()</f>
        <v>0.987063330786312</v>
      </c>
      <c r="E546" s="0" t="n">
        <f aca="false">IF(C546&lt;=$C$10,1,2)</f>
        <v>1</v>
      </c>
      <c r="F546" s="0" t="n">
        <f aca="false">IF(E546=1,$C$4+SQRT(D546*($C$6-$C$4)*($C$5-$C$4)),$C$6-SQRT((1-D546)*($C$6-$C$4)*($C$6-$C$5)))</f>
        <v>9.40503617802981</v>
      </c>
    </row>
    <row r="547" customFormat="false" ht="15" hidden="false" customHeight="false" outlineLevel="0" collapsed="false">
      <c r="B547" s="0" t="n">
        <v>531</v>
      </c>
      <c r="C547" s="0" t="n">
        <f aca="true">RAND()</f>
        <v>0.285132861932543</v>
      </c>
      <c r="D547" s="0" t="n">
        <f aca="true">RAND()</f>
        <v>0.253211121787338</v>
      </c>
      <c r="E547" s="0" t="n">
        <f aca="false">IF(C547&lt;=$C$10,1,2)</f>
        <v>1</v>
      </c>
      <c r="F547" s="0" t="n">
        <f aca="false">IF(E547=1,$C$4+SQRT(D547*($C$6-$C$4)*($C$5-$C$4)),$C$6-SQRT((1-D547)*($C$6-$C$4)*($C$6-$C$5)))</f>
        <v>8.7116335036904</v>
      </c>
    </row>
    <row r="548" customFormat="false" ht="15" hidden="false" customHeight="false" outlineLevel="0" collapsed="false">
      <c r="B548" s="0" t="n">
        <v>532</v>
      </c>
      <c r="C548" s="0" t="n">
        <f aca="true">RAND()</f>
        <v>0.991704765278403</v>
      </c>
      <c r="D548" s="0" t="n">
        <f aca="true">RAND()</f>
        <v>0.982294947721344</v>
      </c>
      <c r="E548" s="0" t="n">
        <f aca="false">IF(C548&lt;=$C$10,1,2)</f>
        <v>2</v>
      </c>
      <c r="F548" s="0" t="n">
        <f aca="false">IF(E548=1,$C$4+SQRT(D548*($C$6-$C$4)*($C$5-$C$4)),$C$6-SQRT((1-D548)*($C$6-$C$4)*($C$6-$C$5)))</f>
        <v>9.81182427213556</v>
      </c>
    </row>
    <row r="549" customFormat="false" ht="15" hidden="false" customHeight="false" outlineLevel="0" collapsed="false">
      <c r="B549" s="0" t="n">
        <v>533</v>
      </c>
      <c r="C549" s="0" t="n">
        <f aca="true">RAND()</f>
        <v>0.408462644949643</v>
      </c>
      <c r="D549" s="0" t="n">
        <f aca="true">RAND()</f>
        <v>0.217843934383087</v>
      </c>
      <c r="E549" s="0" t="n">
        <f aca="false">IF(C549&lt;=$C$10,1,2)</f>
        <v>1</v>
      </c>
      <c r="F549" s="0" t="n">
        <f aca="false">IF(E549=1,$C$4+SQRT(D549*($C$6-$C$4)*($C$5-$C$4)),$C$6-SQRT((1-D549)*($C$6-$C$4)*($C$6-$C$5)))</f>
        <v>8.66006656389047</v>
      </c>
    </row>
    <row r="550" customFormat="false" ht="15" hidden="false" customHeight="false" outlineLevel="0" collapsed="false">
      <c r="B550" s="0" t="n">
        <v>534</v>
      </c>
      <c r="C550" s="0" t="n">
        <f aca="true">RAND()</f>
        <v>0.843636566463145</v>
      </c>
      <c r="D550" s="0" t="n">
        <f aca="true">RAND()</f>
        <v>0.562287811572419</v>
      </c>
      <c r="E550" s="0" t="n">
        <f aca="false">IF(C550&lt;=$C$10,1,2)</f>
        <v>2</v>
      </c>
      <c r="F550" s="0" t="n">
        <f aca="false">IF(E550=1,$C$4+SQRT(D550*($C$6-$C$4)*($C$5-$C$4)),$C$6-SQRT((1-D550)*($C$6-$C$4)*($C$6-$C$5)))</f>
        <v>9.06435884183349</v>
      </c>
    </row>
    <row r="551" customFormat="false" ht="15" hidden="false" customHeight="false" outlineLevel="0" collapsed="false">
      <c r="B551" s="0" t="n">
        <v>535</v>
      </c>
      <c r="C551" s="0" t="n">
        <f aca="true">RAND()</f>
        <v>0.695007792787537</v>
      </c>
      <c r="D551" s="0" t="n">
        <f aca="true">RAND()</f>
        <v>0.409864162980269</v>
      </c>
      <c r="E551" s="0" t="n">
        <f aca="false">IF(C551&lt;=$C$10,1,2)</f>
        <v>2</v>
      </c>
      <c r="F551" s="0" t="n">
        <f aca="false">IF(E551=1,$C$4+SQRT(D551*($C$6-$C$4)*($C$5-$C$4)),$C$6-SQRT((1-D551)*($C$6-$C$4)*($C$6-$C$5)))</f>
        <v>8.91359690996414</v>
      </c>
    </row>
    <row r="552" customFormat="false" ht="15" hidden="false" customHeight="false" outlineLevel="0" collapsed="false">
      <c r="B552" s="0" t="n">
        <v>536</v>
      </c>
      <c r="C552" s="0" t="n">
        <f aca="true">RAND()</f>
        <v>0.547848815127311</v>
      </c>
      <c r="D552" s="0" t="n">
        <f aca="true">RAND()</f>
        <v>0.38945903119989</v>
      </c>
      <c r="E552" s="0" t="n">
        <f aca="false">IF(C552&lt;=$C$10,1,2)</f>
        <v>2</v>
      </c>
      <c r="F552" s="0" t="n">
        <f aca="false">IF(E552=1,$C$4+SQRT(D552*($C$6-$C$4)*($C$5-$C$4)),$C$6-SQRT((1-D552)*($C$6-$C$4)*($C$6-$C$5)))</f>
        <v>8.89497423668033</v>
      </c>
    </row>
    <row r="553" customFormat="false" ht="15" hidden="false" customHeight="false" outlineLevel="0" collapsed="false">
      <c r="B553" s="0" t="n">
        <v>537</v>
      </c>
      <c r="C553" s="0" t="n">
        <f aca="true">RAND()</f>
        <v>0.321884320632213</v>
      </c>
      <c r="D553" s="0" t="n">
        <f aca="true">RAND()</f>
        <v>0.422155587426443</v>
      </c>
      <c r="E553" s="0" t="n">
        <f aca="false">IF(C553&lt;=$C$10,1,2)</f>
        <v>1</v>
      </c>
      <c r="F553" s="0" t="n">
        <f aca="false">IF(E553=1,$C$4+SQRT(D553*($C$6-$C$4)*($C$5-$C$4)),$C$6-SQRT((1-D553)*($C$6-$C$4)*($C$6-$C$5)))</f>
        <v>8.91886406766882</v>
      </c>
    </row>
    <row r="554" customFormat="false" ht="15" hidden="false" customHeight="false" outlineLevel="0" collapsed="false">
      <c r="B554" s="0" t="n">
        <v>538</v>
      </c>
      <c r="C554" s="0" t="n">
        <f aca="true">RAND()</f>
        <v>0.767773269412534</v>
      </c>
      <c r="D554" s="0" t="n">
        <f aca="true">RAND()</f>
        <v>0.879672822608646</v>
      </c>
      <c r="E554" s="0" t="n">
        <f aca="false">IF(C554&lt;=$C$10,1,2)</f>
        <v>2</v>
      </c>
      <c r="F554" s="0" t="n">
        <f aca="false">IF(E554=1,$C$4+SQRT(D554*($C$6-$C$4)*($C$5-$C$4)),$C$6-SQRT((1-D554)*($C$6-$C$4)*($C$6-$C$5)))</f>
        <v>9.50943465798866</v>
      </c>
    </row>
    <row r="555" customFormat="false" ht="15" hidden="false" customHeight="false" outlineLevel="0" collapsed="false">
      <c r="B555" s="0" t="n">
        <v>539</v>
      </c>
      <c r="C555" s="0" t="n">
        <f aca="true">RAND()</f>
        <v>0.728242570549433</v>
      </c>
      <c r="D555" s="0" t="n">
        <f aca="true">RAND()</f>
        <v>0.0994114529423785</v>
      </c>
      <c r="E555" s="0" t="n">
        <f aca="false">IF(C555&lt;=$C$10,1,2)</f>
        <v>2</v>
      </c>
      <c r="F555" s="0" t="n">
        <f aca="false">IF(E555=1,$C$4+SQRT(D555*($C$6-$C$4)*($C$5-$C$4)),$C$6-SQRT((1-D555)*($C$6-$C$4)*($C$6-$C$5)))</f>
        <v>8.65792060811767</v>
      </c>
    </row>
    <row r="556" customFormat="false" ht="15" hidden="false" customHeight="false" outlineLevel="0" collapsed="false">
      <c r="B556" s="0" t="n">
        <v>540</v>
      </c>
      <c r="C556" s="0" t="n">
        <f aca="true">RAND()</f>
        <v>0.432950760066467</v>
      </c>
      <c r="D556" s="0" t="n">
        <f aca="true">RAND()</f>
        <v>0.176120272599118</v>
      </c>
      <c r="E556" s="0" t="n">
        <f aca="false">IF(C556&lt;=$C$10,1,2)</f>
        <v>1</v>
      </c>
      <c r="F556" s="0" t="n">
        <f aca="false">IF(E556=1,$C$4+SQRT(D556*($C$6-$C$4)*($C$5-$C$4)),$C$6-SQRT((1-D556)*($C$6-$C$4)*($C$6-$C$5)))</f>
        <v>8.593498563771</v>
      </c>
    </row>
    <row r="557" customFormat="false" ht="15" hidden="false" customHeight="false" outlineLevel="0" collapsed="false">
      <c r="B557" s="0" t="n">
        <v>541</v>
      </c>
      <c r="C557" s="0" t="n">
        <f aca="true">RAND()</f>
        <v>0.489870728952625</v>
      </c>
      <c r="D557" s="0" t="n">
        <f aca="true">RAND()</f>
        <v>0.085456261036905</v>
      </c>
      <c r="E557" s="0" t="n">
        <f aca="false">IF(C557&lt;=$C$10,1,2)</f>
        <v>1</v>
      </c>
      <c r="F557" s="0" t="n">
        <f aca="false">IF(E557=1,$C$4+SQRT(D557*($C$6-$C$4)*($C$5-$C$4)),$C$6-SQRT((1-D557)*($C$6-$C$4)*($C$6-$C$5)))</f>
        <v>8.41341567710213</v>
      </c>
    </row>
    <row r="558" customFormat="false" ht="15" hidden="false" customHeight="false" outlineLevel="0" collapsed="false">
      <c r="B558" s="0" t="n">
        <v>542</v>
      </c>
      <c r="C558" s="0" t="n">
        <f aca="true">RAND()</f>
        <v>0.0374000594151995</v>
      </c>
      <c r="D558" s="0" t="n">
        <f aca="true">RAND()</f>
        <v>0.909554367433196</v>
      </c>
      <c r="E558" s="0" t="n">
        <f aca="false">IF(C558&lt;=$C$10,1,2)</f>
        <v>1</v>
      </c>
      <c r="F558" s="0" t="n">
        <f aca="false">IF(E558=1,$C$4+SQRT(D558*($C$6-$C$4)*($C$5-$C$4)),$C$6-SQRT((1-D558)*($C$6-$C$4)*($C$6-$C$5)))</f>
        <v>9.34874339103715</v>
      </c>
    </row>
    <row r="559" customFormat="false" ht="15" hidden="false" customHeight="false" outlineLevel="0" collapsed="false">
      <c r="B559" s="0" t="n">
        <v>543</v>
      </c>
      <c r="C559" s="0" t="n">
        <f aca="true">RAND()</f>
        <v>0.874181552426935</v>
      </c>
      <c r="D559" s="0" t="n">
        <f aca="true">RAND()</f>
        <v>0.376156659166611</v>
      </c>
      <c r="E559" s="0" t="n">
        <f aca="false">IF(C559&lt;=$C$10,1,2)</f>
        <v>2</v>
      </c>
      <c r="F559" s="0" t="n">
        <f aca="false">IF(E559=1,$C$4+SQRT(D559*($C$6-$C$4)*($C$5-$C$4)),$C$6-SQRT((1-D559)*($C$6-$C$4)*($C$6-$C$5)))</f>
        <v>8.88300103775036</v>
      </c>
    </row>
    <row r="560" customFormat="false" ht="15" hidden="false" customHeight="false" outlineLevel="0" collapsed="false">
      <c r="B560" s="0" t="n">
        <v>544</v>
      </c>
      <c r="C560" s="0" t="n">
        <f aca="true">RAND()</f>
        <v>0.0342647822183879</v>
      </c>
      <c r="D560" s="0" t="n">
        <f aca="true">RAND()</f>
        <v>0.104298474030357</v>
      </c>
      <c r="E560" s="0" t="n">
        <f aca="false">IF(C560&lt;=$C$10,1,2)</f>
        <v>1</v>
      </c>
      <c r="F560" s="0" t="n">
        <f aca="false">IF(E560=1,$C$4+SQRT(D560*($C$6-$C$4)*($C$5-$C$4)),$C$6-SQRT((1-D560)*($C$6-$C$4)*($C$6-$C$5)))</f>
        <v>8.45672414876018</v>
      </c>
    </row>
    <row r="561" customFormat="false" ht="15" hidden="false" customHeight="false" outlineLevel="0" collapsed="false">
      <c r="B561" s="0" t="n">
        <v>545</v>
      </c>
      <c r="C561" s="0" t="n">
        <f aca="true">RAND()</f>
        <v>0.0456876140381357</v>
      </c>
      <c r="D561" s="0" t="n">
        <f aca="true">RAND()</f>
        <v>0.00146694282979762</v>
      </c>
      <c r="E561" s="0" t="n">
        <f aca="false">IF(C561&lt;=$C$10,1,2)</f>
        <v>1</v>
      </c>
      <c r="F561" s="0" t="n">
        <f aca="false">IF(E561=1,$C$4+SQRT(D561*($C$6-$C$4)*($C$5-$C$4)),$C$6-SQRT((1-D561)*($C$6-$C$4)*($C$6-$C$5)))</f>
        <v>8.05416535479063</v>
      </c>
    </row>
    <row r="562" customFormat="false" ht="15" hidden="false" customHeight="false" outlineLevel="0" collapsed="false">
      <c r="B562" s="0" t="n">
        <v>546</v>
      </c>
      <c r="C562" s="0" t="n">
        <f aca="true">RAND()</f>
        <v>0.245913126974215</v>
      </c>
      <c r="D562" s="0" t="n">
        <f aca="true">RAND()</f>
        <v>0.104874376820311</v>
      </c>
      <c r="E562" s="0" t="n">
        <f aca="false">IF(C562&lt;=$C$10,1,2)</f>
        <v>1</v>
      </c>
      <c r="F562" s="0" t="n">
        <f aca="false">IF(E562=1,$C$4+SQRT(D562*($C$6-$C$4)*($C$5-$C$4)),$C$6-SQRT((1-D562)*($C$6-$C$4)*($C$6-$C$5)))</f>
        <v>8.45798335520041</v>
      </c>
    </row>
    <row r="563" customFormat="false" ht="15" hidden="false" customHeight="false" outlineLevel="0" collapsed="false">
      <c r="B563" s="0" t="n">
        <v>547</v>
      </c>
      <c r="C563" s="0" t="n">
        <f aca="true">RAND()</f>
        <v>0.958838088474807</v>
      </c>
      <c r="D563" s="0" t="n">
        <f aca="true">RAND()</f>
        <v>0.670037791326383</v>
      </c>
      <c r="E563" s="0" t="n">
        <f aca="false">IF(C563&lt;=$C$10,1,2)</f>
        <v>2</v>
      </c>
      <c r="F563" s="0" t="n">
        <f aca="false">IF(E563=1,$C$4+SQRT(D563*($C$6-$C$4)*($C$5-$C$4)),$C$6-SQRT((1-D563)*($C$6-$C$4)*($C$6-$C$5)))</f>
        <v>9.18764267877539</v>
      </c>
    </row>
    <row r="564" customFormat="false" ht="15" hidden="false" customHeight="false" outlineLevel="0" collapsed="false">
      <c r="B564" s="0" t="n">
        <v>548</v>
      </c>
      <c r="C564" s="0" t="n">
        <f aca="true">RAND()</f>
        <v>0.678314742065351</v>
      </c>
      <c r="D564" s="0" t="n">
        <f aca="true">RAND()</f>
        <v>0.31496331871258</v>
      </c>
      <c r="E564" s="0" t="n">
        <f aca="false">IF(C564&lt;=$C$10,1,2)</f>
        <v>2</v>
      </c>
      <c r="F564" s="0" t="n">
        <f aca="false">IF(E564=1,$C$4+SQRT(D564*($C$6-$C$4)*($C$5-$C$4)),$C$6-SQRT((1-D564)*($C$6-$C$4)*($C$6-$C$5)))</f>
        <v>8.82949867040877</v>
      </c>
    </row>
    <row r="565" customFormat="false" ht="15" hidden="false" customHeight="false" outlineLevel="0" collapsed="false">
      <c r="B565" s="0" t="n">
        <v>549</v>
      </c>
      <c r="C565" s="0" t="n">
        <f aca="true">RAND()</f>
        <v>0.825961274882261</v>
      </c>
      <c r="D565" s="0" t="n">
        <f aca="true">RAND()</f>
        <v>0.221001024522312</v>
      </c>
      <c r="E565" s="0" t="n">
        <f aca="false">IF(C565&lt;=$C$10,1,2)</f>
        <v>2</v>
      </c>
      <c r="F565" s="0" t="n">
        <f aca="false">IF(E565=1,$C$4+SQRT(D565*($C$6-$C$4)*($C$5-$C$4)),$C$6-SQRT((1-D565)*($C$6-$C$4)*($C$6-$C$5)))</f>
        <v>8.75180211867053</v>
      </c>
    </row>
    <row r="566" customFormat="false" ht="15" hidden="false" customHeight="false" outlineLevel="0" collapsed="false">
      <c r="B566" s="0" t="n">
        <v>550</v>
      </c>
      <c r="C566" s="0" t="n">
        <f aca="true">RAND()</f>
        <v>0.576045235854572</v>
      </c>
      <c r="D566" s="0" t="n">
        <f aca="true">RAND()</f>
        <v>0.138376321237655</v>
      </c>
      <c r="E566" s="0" t="n">
        <f aca="false">IF(C566&lt;=$C$10,1,2)</f>
        <v>2</v>
      </c>
      <c r="F566" s="0" t="n">
        <f aca="false">IF(E566=1,$C$4+SQRT(D566*($C$6-$C$4)*($C$5-$C$4)),$C$6-SQRT((1-D566)*($C$6-$C$4)*($C$6-$C$5)))</f>
        <v>8.687274835495</v>
      </c>
    </row>
    <row r="567" customFormat="false" ht="15" hidden="false" customHeight="false" outlineLevel="0" collapsed="false">
      <c r="B567" s="0" t="n">
        <v>551</v>
      </c>
      <c r="C567" s="0" t="n">
        <f aca="true">RAND()</f>
        <v>0.652840156893036</v>
      </c>
      <c r="D567" s="0" t="n">
        <f aca="true">RAND()</f>
        <v>0.0823139125048412</v>
      </c>
      <c r="E567" s="0" t="n">
        <f aca="false">IF(C567&lt;=$C$10,1,2)</f>
        <v>2</v>
      </c>
      <c r="F567" s="0" t="n">
        <f aca="false">IF(E567=1,$C$4+SQRT(D567*($C$6-$C$4)*($C$5-$C$4)),$C$6-SQRT((1-D567)*($C$6-$C$4)*($C$6-$C$5)))</f>
        <v>8.64524091625473</v>
      </c>
    </row>
    <row r="568" customFormat="false" ht="15" hidden="false" customHeight="false" outlineLevel="0" collapsed="false">
      <c r="B568" s="0" t="n">
        <v>552</v>
      </c>
      <c r="C568" s="0" t="n">
        <f aca="true">RAND()</f>
        <v>0.511888212811304</v>
      </c>
      <c r="D568" s="0" t="n">
        <f aca="true">RAND()</f>
        <v>0.474007237687096</v>
      </c>
      <c r="E568" s="0" t="n">
        <f aca="false">IF(C568&lt;=$C$10,1,2)</f>
        <v>2</v>
      </c>
      <c r="F568" s="0" t="n">
        <f aca="false">IF(E568=1,$C$4+SQRT(D568*($C$6-$C$4)*($C$5-$C$4)),$C$6-SQRT((1-D568)*($C$6-$C$4)*($C$6-$C$5)))</f>
        <v>8.97433654416967</v>
      </c>
    </row>
    <row r="569" customFormat="false" ht="15" hidden="false" customHeight="false" outlineLevel="0" collapsed="false">
      <c r="B569" s="0" t="n">
        <v>553</v>
      </c>
      <c r="C569" s="0" t="n">
        <f aca="true">RAND()</f>
        <v>0.95920831702906</v>
      </c>
      <c r="D569" s="0" t="n">
        <f aca="true">RAND()</f>
        <v>0.557405201739046</v>
      </c>
      <c r="E569" s="0" t="n">
        <f aca="false">IF(C569&lt;=$C$10,1,2)</f>
        <v>2</v>
      </c>
      <c r="F569" s="0" t="n">
        <f aca="false">IF(E569=1,$C$4+SQRT(D569*($C$6-$C$4)*($C$5-$C$4)),$C$6-SQRT((1-D569)*($C$6-$C$4)*($C$6-$C$5)))</f>
        <v>9.05915484987066</v>
      </c>
    </row>
    <row r="570" customFormat="false" ht="15" hidden="false" customHeight="false" outlineLevel="0" collapsed="false">
      <c r="B570" s="0" t="n">
        <v>554</v>
      </c>
      <c r="C570" s="0" t="n">
        <f aca="true">RAND()</f>
        <v>0.225216216053292</v>
      </c>
      <c r="D570" s="0" t="n">
        <f aca="true">RAND()</f>
        <v>0.347489308173187</v>
      </c>
      <c r="E570" s="0" t="n">
        <f aca="false">IF(C570&lt;=$C$10,1,2)</f>
        <v>1</v>
      </c>
      <c r="F570" s="0" t="n">
        <f aca="false">IF(E570=1,$C$4+SQRT(D570*($C$6-$C$4)*($C$5-$C$4)),$C$6-SQRT((1-D570)*($C$6-$C$4)*($C$6-$C$5)))</f>
        <v>8.83365377486483</v>
      </c>
    </row>
    <row r="571" customFormat="false" ht="15" hidden="false" customHeight="false" outlineLevel="0" collapsed="false">
      <c r="B571" s="0" t="n">
        <v>555</v>
      </c>
      <c r="C571" s="0" t="n">
        <f aca="true">RAND()</f>
        <v>0.0674478459960934</v>
      </c>
      <c r="D571" s="0" t="n">
        <f aca="true">RAND()</f>
        <v>0.101849712502641</v>
      </c>
      <c r="E571" s="0" t="n">
        <f aca="false">IF(C571&lt;=$C$10,1,2)</f>
        <v>1</v>
      </c>
      <c r="F571" s="0" t="n">
        <f aca="false">IF(E571=1,$C$4+SQRT(D571*($C$6-$C$4)*($C$5-$C$4)),$C$6-SQRT((1-D571)*($C$6-$C$4)*($C$6-$C$5)))</f>
        <v>8.45133072685702</v>
      </c>
    </row>
    <row r="572" customFormat="false" ht="15" hidden="false" customHeight="false" outlineLevel="0" collapsed="false">
      <c r="B572" s="0" t="n">
        <v>556</v>
      </c>
      <c r="C572" s="0" t="n">
        <f aca="true">RAND()</f>
        <v>0.738907958695008</v>
      </c>
      <c r="D572" s="0" t="n">
        <f aca="true">RAND()</f>
        <v>0.208981843574473</v>
      </c>
      <c r="E572" s="0" t="n">
        <f aca="false">IF(C572&lt;=$C$10,1,2)</f>
        <v>2</v>
      </c>
      <c r="F572" s="0" t="n">
        <f aca="false">IF(E572=1,$C$4+SQRT(D572*($C$6-$C$4)*($C$5-$C$4)),$C$6-SQRT((1-D572)*($C$6-$C$4)*($C$6-$C$5)))</f>
        <v>8.74220975005725</v>
      </c>
    </row>
    <row r="573" customFormat="false" ht="15" hidden="false" customHeight="false" outlineLevel="0" collapsed="false">
      <c r="B573" s="0" t="n">
        <v>557</v>
      </c>
      <c r="C573" s="0" t="n">
        <f aca="true">RAND()</f>
        <v>0.594616754374561</v>
      </c>
      <c r="D573" s="0" t="n">
        <f aca="true">RAND()</f>
        <v>0.701764961689864</v>
      </c>
      <c r="E573" s="0" t="n">
        <f aca="false">IF(C573&lt;=$C$10,1,2)</f>
        <v>2</v>
      </c>
      <c r="F573" s="0" t="n">
        <f aca="false">IF(E573=1,$C$4+SQRT(D573*($C$6-$C$4)*($C$5-$C$4)),$C$6-SQRT((1-D573)*($C$6-$C$4)*($C$6-$C$5)))</f>
        <v>9.22768524769996</v>
      </c>
    </row>
    <row r="574" customFormat="false" ht="15" hidden="false" customHeight="false" outlineLevel="0" collapsed="false">
      <c r="B574" s="0" t="n">
        <v>558</v>
      </c>
      <c r="C574" s="0" t="n">
        <f aca="true">RAND()</f>
        <v>0.0886795776751698</v>
      </c>
      <c r="D574" s="0" t="n">
        <f aca="true">RAND()</f>
        <v>0.796081988174252</v>
      </c>
      <c r="E574" s="0" t="n">
        <f aca="false">IF(C574&lt;=$C$10,1,2)</f>
        <v>1</v>
      </c>
      <c r="F574" s="0" t="n">
        <f aca="false">IF(E574=1,$C$4+SQRT(D574*($C$6-$C$4)*($C$5-$C$4)),$C$6-SQRT((1-D574)*($C$6-$C$4)*($C$6-$C$5)))</f>
        <v>9.26180980197037</v>
      </c>
    </row>
    <row r="575" customFormat="false" ht="15" hidden="false" customHeight="false" outlineLevel="0" collapsed="false">
      <c r="B575" s="0" t="n">
        <v>559</v>
      </c>
      <c r="C575" s="0" t="n">
        <f aca="true">RAND()</f>
        <v>0.633413252061706</v>
      </c>
      <c r="D575" s="0" t="n">
        <f aca="true">RAND()</f>
        <v>0.845667854275716</v>
      </c>
      <c r="E575" s="0" t="n">
        <f aca="false">IF(C575&lt;=$C$10,1,2)</f>
        <v>2</v>
      </c>
      <c r="F575" s="0" t="n">
        <f aca="false">IF(E575=1,$C$4+SQRT(D575*($C$6-$C$4)*($C$5-$C$4)),$C$6-SQRT((1-D575)*($C$6-$C$4)*($C$6-$C$5)))</f>
        <v>9.44442436028155</v>
      </c>
    </row>
    <row r="576" customFormat="false" ht="15" hidden="false" customHeight="false" outlineLevel="0" collapsed="false">
      <c r="B576" s="0" t="n">
        <v>560</v>
      </c>
      <c r="C576" s="0" t="n">
        <f aca="true">RAND()</f>
        <v>0.492315739933618</v>
      </c>
      <c r="D576" s="0" t="n">
        <f aca="true">RAND()</f>
        <v>0.376167976253203</v>
      </c>
      <c r="E576" s="0" t="n">
        <f aca="false">IF(C576&lt;=$C$10,1,2)</f>
        <v>1</v>
      </c>
      <c r="F576" s="0" t="n">
        <f aca="false">IF(E576=1,$C$4+SQRT(D576*($C$6-$C$4)*($C$5-$C$4)),$C$6-SQRT((1-D576)*($C$6-$C$4)*($C$6-$C$5)))</f>
        <v>8.86737301808761</v>
      </c>
    </row>
    <row r="577" customFormat="false" ht="15" hidden="false" customHeight="false" outlineLevel="0" collapsed="false">
      <c r="B577" s="0" t="n">
        <v>561</v>
      </c>
      <c r="C577" s="0" t="n">
        <f aca="true">RAND()</f>
        <v>0.904132498373681</v>
      </c>
      <c r="D577" s="0" t="n">
        <f aca="true">RAND()</f>
        <v>0.839477598161116</v>
      </c>
      <c r="E577" s="0" t="n">
        <f aca="false">IF(C577&lt;=$C$10,1,2)</f>
        <v>2</v>
      </c>
      <c r="F577" s="0" t="n">
        <f aca="false">IF(E577=1,$C$4+SQRT(D577*($C$6-$C$4)*($C$5-$C$4)),$C$6-SQRT((1-D577)*($C$6-$C$4)*($C$6-$C$5)))</f>
        <v>9.43339184291279</v>
      </c>
    </row>
    <row r="578" customFormat="false" ht="15" hidden="false" customHeight="false" outlineLevel="0" collapsed="false">
      <c r="B578" s="0" t="n">
        <v>562</v>
      </c>
      <c r="C578" s="0" t="n">
        <f aca="true">RAND()</f>
        <v>0.167173741513097</v>
      </c>
      <c r="D578" s="0" t="n">
        <f aca="true">RAND()</f>
        <v>0.990981805518851</v>
      </c>
      <c r="E578" s="0" t="n">
        <f aca="false">IF(C578&lt;=$C$10,1,2)</f>
        <v>1</v>
      </c>
      <c r="F578" s="0" t="n">
        <f aca="false">IF(E578=1,$C$4+SQRT(D578*($C$6-$C$4)*($C$5-$C$4)),$C$6-SQRT((1-D578)*($C$6-$C$4)*($C$6-$C$5)))</f>
        <v>9.4078222938417</v>
      </c>
    </row>
    <row r="579" customFormat="false" ht="15" hidden="false" customHeight="false" outlineLevel="0" collapsed="false">
      <c r="B579" s="0" t="n">
        <v>563</v>
      </c>
      <c r="C579" s="0" t="n">
        <f aca="true">RAND()</f>
        <v>0.499261568998001</v>
      </c>
      <c r="D579" s="0" t="n">
        <f aca="true">RAND()</f>
        <v>0.873828012566701</v>
      </c>
      <c r="E579" s="0" t="n">
        <f aca="false">IF(C579&lt;=$C$10,1,2)</f>
        <v>1</v>
      </c>
      <c r="F579" s="0" t="n">
        <f aca="false">IF(E579=1,$C$4+SQRT(D579*($C$6-$C$4)*($C$5-$C$4)),$C$6-SQRT((1-D579)*($C$6-$C$4)*($C$6-$C$5)))</f>
        <v>9.32198941944836</v>
      </c>
    </row>
    <row r="580" customFormat="false" ht="15" hidden="false" customHeight="false" outlineLevel="0" collapsed="false">
      <c r="B580" s="0" t="n">
        <v>564</v>
      </c>
      <c r="C580" s="0" t="n">
        <f aca="true">RAND()</f>
        <v>0.176256582815165</v>
      </c>
      <c r="D580" s="0" t="n">
        <f aca="true">RAND()</f>
        <v>0.773463587609908</v>
      </c>
      <c r="E580" s="0" t="n">
        <f aca="false">IF(C580&lt;=$C$10,1,2)</f>
        <v>1</v>
      </c>
      <c r="F580" s="0" t="n">
        <f aca="false">IF(E580=1,$C$4+SQRT(D580*($C$6-$C$4)*($C$5-$C$4)),$C$6-SQRT((1-D580)*($C$6-$C$4)*($C$6-$C$5)))</f>
        <v>9.24375527143398</v>
      </c>
    </row>
    <row r="581" customFormat="false" ht="15" hidden="false" customHeight="false" outlineLevel="0" collapsed="false">
      <c r="B581" s="0" t="n">
        <v>565</v>
      </c>
      <c r="C581" s="0" t="n">
        <f aca="true">RAND()</f>
        <v>0.246706013294761</v>
      </c>
      <c r="D581" s="0" t="n">
        <f aca="true">RAND()</f>
        <v>0.535442662121645</v>
      </c>
      <c r="E581" s="0" t="n">
        <f aca="false">IF(C581&lt;=$C$10,1,2)</f>
        <v>1</v>
      </c>
      <c r="F581" s="0" t="n">
        <f aca="false">IF(E581=1,$C$4+SQRT(D581*($C$6-$C$4)*($C$5-$C$4)),$C$6-SQRT((1-D581)*($C$6-$C$4)*($C$6-$C$5)))</f>
        <v>9.03483589242125</v>
      </c>
    </row>
    <row r="582" customFormat="false" ht="15" hidden="false" customHeight="false" outlineLevel="0" collapsed="false">
      <c r="B582" s="0" t="n">
        <v>566</v>
      </c>
      <c r="C582" s="0" t="n">
        <f aca="true">RAND()</f>
        <v>0.203263262918889</v>
      </c>
      <c r="D582" s="0" t="n">
        <f aca="true">RAND()</f>
        <v>0.604707336586921</v>
      </c>
      <c r="E582" s="0" t="n">
        <f aca="false">IF(C582&lt;=$C$10,1,2)</f>
        <v>1</v>
      </c>
      <c r="F582" s="0" t="n">
        <f aca="false">IF(E582=1,$C$4+SQRT(D582*($C$6-$C$4)*($C$5-$C$4)),$C$6-SQRT((1-D582)*($C$6-$C$4)*($C$6-$C$5)))</f>
        <v>9.0997339101682</v>
      </c>
    </row>
    <row r="583" customFormat="false" ht="15" hidden="false" customHeight="false" outlineLevel="0" collapsed="false">
      <c r="B583" s="0" t="n">
        <v>567</v>
      </c>
      <c r="C583" s="0" t="n">
        <f aca="true">RAND()</f>
        <v>0.390788187183527</v>
      </c>
      <c r="D583" s="0" t="n">
        <f aca="true">RAND()</f>
        <v>0.706279784264967</v>
      </c>
      <c r="E583" s="0" t="n">
        <f aca="false">IF(C583&lt;=$C$10,1,2)</f>
        <v>1</v>
      </c>
      <c r="F583" s="0" t="n">
        <f aca="false">IF(E583=1,$C$4+SQRT(D583*($C$6-$C$4)*($C$5-$C$4)),$C$6-SQRT((1-D583)*($C$6-$C$4)*($C$6-$C$5)))</f>
        <v>9.18851149280515</v>
      </c>
    </row>
    <row r="584" customFormat="false" ht="15" hidden="false" customHeight="false" outlineLevel="0" collapsed="false">
      <c r="B584" s="0" t="n">
        <v>568</v>
      </c>
      <c r="C584" s="0" t="n">
        <f aca="true">RAND()</f>
        <v>0.724899787211889</v>
      </c>
      <c r="D584" s="0" t="n">
        <f aca="true">RAND()</f>
        <v>0.0650075429266787</v>
      </c>
      <c r="E584" s="0" t="n">
        <f aca="false">IF(C584&lt;=$C$10,1,2)</f>
        <v>2</v>
      </c>
      <c r="F584" s="0" t="n">
        <f aca="false">IF(E584=1,$C$4+SQRT(D584*($C$6-$C$4)*($C$5-$C$4)),$C$6-SQRT((1-D584)*($C$6-$C$4)*($C$6-$C$5)))</f>
        <v>8.63252608282767</v>
      </c>
    </row>
    <row r="585" customFormat="false" ht="15" hidden="false" customHeight="false" outlineLevel="0" collapsed="false">
      <c r="B585" s="0" t="n">
        <v>569</v>
      </c>
      <c r="C585" s="0" t="n">
        <f aca="true">RAND()</f>
        <v>0.247457471055054</v>
      </c>
      <c r="D585" s="0" t="n">
        <f aca="true">RAND()</f>
        <v>0.472956634275287</v>
      </c>
      <c r="E585" s="0" t="n">
        <f aca="false">IF(C585&lt;=$C$10,1,2)</f>
        <v>1</v>
      </c>
      <c r="F585" s="0" t="n">
        <f aca="false">IF(E585=1,$C$4+SQRT(D585*($C$6-$C$4)*($C$5-$C$4)),$C$6-SQRT((1-D585)*($C$6-$C$4)*($C$6-$C$5)))</f>
        <v>8.97258072598143</v>
      </c>
    </row>
    <row r="586" customFormat="false" ht="15" hidden="false" customHeight="false" outlineLevel="0" collapsed="false">
      <c r="B586" s="0" t="n">
        <v>570</v>
      </c>
      <c r="C586" s="0" t="n">
        <f aca="true">RAND()</f>
        <v>0.969007085325874</v>
      </c>
      <c r="D586" s="0" t="n">
        <f aca="true">RAND()</f>
        <v>0.709511476677835</v>
      </c>
      <c r="E586" s="0" t="n">
        <f aca="false">IF(C586&lt;=$C$10,1,2)</f>
        <v>2</v>
      </c>
      <c r="F586" s="0" t="n">
        <f aca="false">IF(E586=1,$C$4+SQRT(D586*($C$6-$C$4)*($C$5-$C$4)),$C$6-SQRT((1-D586)*($C$6-$C$4)*($C$6-$C$5)))</f>
        <v>9.23778149678433</v>
      </c>
    </row>
    <row r="587" customFormat="false" ht="15" hidden="false" customHeight="false" outlineLevel="0" collapsed="false">
      <c r="B587" s="0" t="n">
        <v>571</v>
      </c>
      <c r="C587" s="0" t="n">
        <f aca="true">RAND()</f>
        <v>0.771773085520238</v>
      </c>
      <c r="D587" s="0" t="n">
        <f aca="true">RAND()</f>
        <v>0.264001190477228</v>
      </c>
      <c r="E587" s="0" t="n">
        <f aca="false">IF(C587&lt;=$C$10,1,2)</f>
        <v>2</v>
      </c>
      <c r="F587" s="0" t="n">
        <f aca="false">IF(E587=1,$C$4+SQRT(D587*($C$6-$C$4)*($C$5-$C$4)),$C$6-SQRT((1-D587)*($C$6-$C$4)*($C$6-$C$5)))</f>
        <v>8.78674091017395</v>
      </c>
    </row>
    <row r="588" customFormat="false" ht="15" hidden="false" customHeight="false" outlineLevel="0" collapsed="false">
      <c r="B588" s="0" t="n">
        <v>572</v>
      </c>
      <c r="C588" s="0" t="n">
        <f aca="true">RAND()</f>
        <v>0.147570449073988</v>
      </c>
      <c r="D588" s="0" t="n">
        <f aca="true">RAND()</f>
        <v>0.335063547718384</v>
      </c>
      <c r="E588" s="0" t="n">
        <f aca="false">IF(C588&lt;=$C$10,1,2)</f>
        <v>1</v>
      </c>
      <c r="F588" s="0" t="n">
        <f aca="false">IF(E588=1,$C$4+SQRT(D588*($C$6-$C$4)*($C$5-$C$4)),$C$6-SQRT((1-D588)*($C$6-$C$4)*($C$6-$C$5)))</f>
        <v>8.81861290940027</v>
      </c>
    </row>
    <row r="589" customFormat="false" ht="15" hidden="false" customHeight="false" outlineLevel="0" collapsed="false">
      <c r="B589" s="0" t="n">
        <v>573</v>
      </c>
      <c r="C589" s="0" t="n">
        <f aca="true">RAND()</f>
        <v>0.914475758610294</v>
      </c>
      <c r="D589" s="0" t="n">
        <f aca="true">RAND()</f>
        <v>0.409029075195389</v>
      </c>
      <c r="E589" s="0" t="n">
        <f aca="false">IF(C589&lt;=$C$10,1,2)</f>
        <v>2</v>
      </c>
      <c r="F589" s="0" t="n">
        <f aca="false">IF(E589=1,$C$4+SQRT(D589*($C$6-$C$4)*($C$5-$C$4)),$C$6-SQRT((1-D589)*($C$6-$C$4)*($C$6-$C$5)))</f>
        <v>8.9128285095675</v>
      </c>
    </row>
    <row r="590" customFormat="false" ht="15" hidden="false" customHeight="false" outlineLevel="0" collapsed="false">
      <c r="B590" s="0" t="n">
        <v>574</v>
      </c>
      <c r="C590" s="0" t="n">
        <f aca="true">RAND()</f>
        <v>0.0531928481064801</v>
      </c>
      <c r="D590" s="0" t="n">
        <f aca="true">RAND()</f>
        <v>0.983226231418849</v>
      </c>
      <c r="E590" s="0" t="n">
        <f aca="false">IF(C590&lt;=$C$10,1,2)</f>
        <v>1</v>
      </c>
      <c r="F590" s="0" t="n">
        <f aca="false">IF(E590=1,$C$4+SQRT(D590*($C$6-$C$4)*($C$5-$C$4)),$C$6-SQRT((1-D590)*($C$6-$C$4)*($C$6-$C$5)))</f>
        <v>9.40230255752377</v>
      </c>
    </row>
    <row r="591" customFormat="false" ht="15" hidden="false" customHeight="false" outlineLevel="0" collapsed="false">
      <c r="B591" s="0" t="n">
        <v>575</v>
      </c>
      <c r="C591" s="0" t="n">
        <f aca="true">RAND()</f>
        <v>0.933128011111883</v>
      </c>
      <c r="D591" s="0" t="n">
        <f aca="true">RAND()</f>
        <v>0.0550154948997099</v>
      </c>
      <c r="E591" s="0" t="n">
        <f aca="false">IF(C591&lt;=$C$10,1,2)</f>
        <v>2</v>
      </c>
      <c r="F591" s="0" t="n">
        <f aca="false">IF(E591=1,$C$4+SQRT(D591*($C$6-$C$4)*($C$5-$C$4)),$C$6-SQRT((1-D591)*($C$6-$C$4)*($C$6-$C$5)))</f>
        <v>8.62523856244053</v>
      </c>
    </row>
    <row r="592" customFormat="false" ht="15" hidden="false" customHeight="false" outlineLevel="0" collapsed="false">
      <c r="B592" s="0" t="n">
        <v>576</v>
      </c>
      <c r="C592" s="0" t="n">
        <f aca="true">RAND()</f>
        <v>0.782777036950062</v>
      </c>
      <c r="D592" s="0" t="n">
        <f aca="true">RAND()</f>
        <v>0.69587167496962</v>
      </c>
      <c r="E592" s="0" t="n">
        <f aca="false">IF(C592&lt;=$C$10,1,2)</f>
        <v>2</v>
      </c>
      <c r="F592" s="0" t="n">
        <f aca="false">IF(E592=1,$C$4+SQRT(D592*($C$6-$C$4)*($C$5-$C$4)),$C$6-SQRT((1-D592)*($C$6-$C$4)*($C$6-$C$5)))</f>
        <v>9.22009189640012</v>
      </c>
    </row>
    <row r="593" customFormat="false" ht="15" hidden="false" customHeight="false" outlineLevel="0" collapsed="false">
      <c r="B593" s="0" t="n">
        <v>577</v>
      </c>
      <c r="C593" s="0" t="n">
        <f aca="true">RAND()</f>
        <v>0.961929745786922</v>
      </c>
      <c r="D593" s="0" t="n">
        <f aca="true">RAND()</f>
        <v>0.818465351884612</v>
      </c>
      <c r="E593" s="0" t="n">
        <f aca="false">IF(C593&lt;=$C$10,1,2)</f>
        <v>2</v>
      </c>
      <c r="F593" s="0" t="n">
        <f aca="false">IF(E593=1,$C$4+SQRT(D593*($C$6-$C$4)*($C$5-$C$4)),$C$6-SQRT((1-D593)*($C$6-$C$4)*($C$6-$C$5)))</f>
        <v>9.39744768174807</v>
      </c>
    </row>
    <row r="594" customFormat="false" ht="15" hidden="false" customHeight="false" outlineLevel="0" collapsed="false">
      <c r="B594" s="0" t="n">
        <v>578</v>
      </c>
      <c r="C594" s="0" t="n">
        <f aca="true">RAND()</f>
        <v>0.0134848546015526</v>
      </c>
      <c r="D594" s="0" t="n">
        <f aca="true">RAND()</f>
        <v>0.904160090145825</v>
      </c>
      <c r="E594" s="0" t="n">
        <f aca="false">IF(C594&lt;=$C$10,1,2)</f>
        <v>1</v>
      </c>
      <c r="F594" s="0" t="n">
        <f aca="false">IF(E594=1,$C$4+SQRT(D594*($C$6-$C$4)*($C$5-$C$4)),$C$6-SQRT((1-D594)*($C$6-$C$4)*($C$6-$C$5)))</f>
        <v>9.34473795971247</v>
      </c>
    </row>
    <row r="595" customFormat="false" ht="15" hidden="false" customHeight="false" outlineLevel="0" collapsed="false">
      <c r="B595" s="0" t="n">
        <v>579</v>
      </c>
      <c r="C595" s="0" t="n">
        <f aca="true">RAND()</f>
        <v>0.549789335681959</v>
      </c>
      <c r="D595" s="0" t="n">
        <f aca="true">RAND()</f>
        <v>0.69203630902147</v>
      </c>
      <c r="E595" s="0" t="n">
        <f aca="false">IF(C595&lt;=$C$10,1,2)</f>
        <v>2</v>
      </c>
      <c r="F595" s="0" t="n">
        <f aca="false">IF(E595=1,$C$4+SQRT(D595*($C$6-$C$4)*($C$5-$C$4)),$C$6-SQRT((1-D595)*($C$6-$C$4)*($C$6-$C$5)))</f>
        <v>9.21518958852659</v>
      </c>
    </row>
    <row r="596" customFormat="false" ht="15" hidden="false" customHeight="false" outlineLevel="0" collapsed="false">
      <c r="B596" s="0" t="n">
        <v>580</v>
      </c>
      <c r="C596" s="0" t="n">
        <f aca="true">RAND()</f>
        <v>0.737415706575785</v>
      </c>
      <c r="D596" s="0" t="n">
        <f aca="true">RAND()</f>
        <v>0.0335486577562822</v>
      </c>
      <c r="E596" s="0" t="n">
        <f aca="false">IF(C596&lt;=$C$10,1,2)</f>
        <v>2</v>
      </c>
      <c r="F596" s="0" t="n">
        <f aca="false">IF(E596=1,$C$4+SQRT(D596*($C$6-$C$4)*($C$5-$C$4)),$C$6-SQRT((1-D596)*($C$6-$C$4)*($C$6-$C$5)))</f>
        <v>8.60971129455518</v>
      </c>
    </row>
    <row r="597" customFormat="false" ht="15" hidden="false" customHeight="false" outlineLevel="0" collapsed="false">
      <c r="B597" s="0" t="n">
        <v>581</v>
      </c>
      <c r="C597" s="0" t="n">
        <f aca="true">RAND()</f>
        <v>0.943966785392788</v>
      </c>
      <c r="D597" s="0" t="n">
        <f aca="true">RAND()</f>
        <v>0.152572791448475</v>
      </c>
      <c r="E597" s="0" t="n">
        <f aca="false">IF(C597&lt;=$C$10,1,2)</f>
        <v>2</v>
      </c>
      <c r="F597" s="0" t="n">
        <f aca="false">IF(E597=1,$C$4+SQRT(D597*($C$6-$C$4)*($C$5-$C$4)),$C$6-SQRT((1-D597)*($C$6-$C$4)*($C$6-$C$5)))</f>
        <v>8.69813425534618</v>
      </c>
    </row>
    <row r="598" customFormat="false" ht="15" hidden="false" customHeight="false" outlineLevel="0" collapsed="false">
      <c r="B598" s="0" t="n">
        <v>582</v>
      </c>
      <c r="C598" s="0" t="n">
        <f aca="true">RAND()</f>
        <v>0.19420139550789</v>
      </c>
      <c r="D598" s="0" t="n">
        <f aca="true">RAND()</f>
        <v>0.429850186377723</v>
      </c>
      <c r="E598" s="0" t="n">
        <f aca="false">IF(C598&lt;=$C$10,1,2)</f>
        <v>1</v>
      </c>
      <c r="F598" s="0" t="n">
        <f aca="false">IF(E598=1,$C$4+SQRT(D598*($C$6-$C$4)*($C$5-$C$4)),$C$6-SQRT((1-D598)*($C$6-$C$4)*($C$6-$C$5)))</f>
        <v>8.92720028729258</v>
      </c>
    </row>
    <row r="599" customFormat="false" ht="15" hidden="false" customHeight="false" outlineLevel="0" collapsed="false">
      <c r="B599" s="0" t="n">
        <v>583</v>
      </c>
      <c r="C599" s="0" t="n">
        <f aca="true">RAND()</f>
        <v>0.580613287822189</v>
      </c>
      <c r="D599" s="0" t="n">
        <f aca="true">RAND()</f>
        <v>0.473247081161282</v>
      </c>
      <c r="E599" s="0" t="n">
        <f aca="false">IF(C599&lt;=$C$10,1,2)</f>
        <v>2</v>
      </c>
      <c r="F599" s="0" t="n">
        <f aca="false">IF(E599=1,$C$4+SQRT(D599*($C$6-$C$4)*($C$5-$C$4)),$C$6-SQRT((1-D599)*($C$6-$C$4)*($C$6-$C$5)))</f>
        <v>8.97359567534162</v>
      </c>
    </row>
    <row r="600" customFormat="false" ht="15" hidden="false" customHeight="false" outlineLevel="0" collapsed="false">
      <c r="B600" s="0" t="n">
        <v>584</v>
      </c>
      <c r="C600" s="0" t="n">
        <f aca="true">RAND()</f>
        <v>0.233995436574518</v>
      </c>
      <c r="D600" s="0" t="n">
        <f aca="true">RAND()</f>
        <v>0.335725017412414</v>
      </c>
      <c r="E600" s="0" t="n">
        <f aca="false">IF(C600&lt;=$C$10,1,2)</f>
        <v>1</v>
      </c>
      <c r="F600" s="0" t="n">
        <f aca="false">IF(E600=1,$C$4+SQRT(D600*($C$6-$C$4)*($C$5-$C$4)),$C$6-SQRT((1-D600)*($C$6-$C$4)*($C$6-$C$5)))</f>
        <v>8.81942054820759</v>
      </c>
    </row>
    <row r="601" customFormat="false" ht="15" hidden="false" customHeight="false" outlineLevel="0" collapsed="false">
      <c r="B601" s="0" t="n">
        <v>585</v>
      </c>
      <c r="C601" s="0" t="n">
        <f aca="true">RAND()</f>
        <v>0.947852554589301</v>
      </c>
      <c r="D601" s="0" t="n">
        <f aca="true">RAND()</f>
        <v>0.525088864087233</v>
      </c>
      <c r="E601" s="0" t="n">
        <f aca="false">IF(C601&lt;=$C$10,1,2)</f>
        <v>2</v>
      </c>
      <c r="F601" s="0" t="n">
        <f aca="false">IF(E601=1,$C$4+SQRT(D601*($C$6-$C$4)*($C$5-$C$4)),$C$6-SQRT((1-D601)*($C$6-$C$4)*($C$6-$C$5)))</f>
        <v>9.02541174241348</v>
      </c>
    </row>
    <row r="602" customFormat="false" ht="15" hidden="false" customHeight="false" outlineLevel="0" collapsed="false">
      <c r="B602" s="0" t="n">
        <v>586</v>
      </c>
      <c r="C602" s="0" t="n">
        <f aca="true">RAND()</f>
        <v>0.774153042631906</v>
      </c>
      <c r="D602" s="0" t="n">
        <f aca="true">RAND()</f>
        <v>0.591163391424618</v>
      </c>
      <c r="E602" s="0" t="n">
        <f aca="false">IF(C602&lt;=$C$10,1,2)</f>
        <v>2</v>
      </c>
      <c r="F602" s="0" t="n">
        <f aca="false">IF(E602=1,$C$4+SQRT(D602*($C$6-$C$4)*($C$5-$C$4)),$C$6-SQRT((1-D602)*($C$6-$C$4)*($C$6-$C$5)))</f>
        <v>9.09574714976907</v>
      </c>
    </row>
    <row r="603" customFormat="false" ht="15" hidden="false" customHeight="false" outlineLevel="0" collapsed="false">
      <c r="B603" s="0" t="n">
        <v>587</v>
      </c>
      <c r="C603" s="0" t="n">
        <f aca="true">RAND()</f>
        <v>0.796900210738534</v>
      </c>
      <c r="D603" s="0" t="n">
        <f aca="true">RAND()</f>
        <v>0.800628714171077</v>
      </c>
      <c r="E603" s="0" t="n">
        <f aca="false">IF(C603&lt;=$C$10,1,2)</f>
        <v>2</v>
      </c>
      <c r="F603" s="0" t="n">
        <f aca="false">IF(E603=1,$C$4+SQRT(D603*($C$6-$C$4)*($C$5-$C$4)),$C$6-SQRT((1-D603)*($C$6-$C$4)*($C$6-$C$5)))</f>
        <v>9.36853933482928</v>
      </c>
    </row>
    <row r="604" customFormat="false" ht="15" hidden="false" customHeight="false" outlineLevel="0" collapsed="false">
      <c r="B604" s="0" t="n">
        <v>588</v>
      </c>
      <c r="C604" s="0" t="n">
        <f aca="true">RAND()</f>
        <v>0.435277776121959</v>
      </c>
      <c r="D604" s="0" t="n">
        <f aca="true">RAND()</f>
        <v>0.92863245977985</v>
      </c>
      <c r="E604" s="0" t="n">
        <f aca="false">IF(C604&lt;=$C$10,1,2)</f>
        <v>1</v>
      </c>
      <c r="F604" s="0" t="n">
        <f aca="false">IF(E604=1,$C$4+SQRT(D604*($C$6-$C$4)*($C$5-$C$4)),$C$6-SQRT((1-D604)*($C$6-$C$4)*($C$6-$C$5)))</f>
        <v>9.36281507166589</v>
      </c>
    </row>
    <row r="605" customFormat="false" ht="15" hidden="false" customHeight="false" outlineLevel="0" collapsed="false">
      <c r="B605" s="0" t="n">
        <v>589</v>
      </c>
      <c r="C605" s="0" t="n">
        <f aca="true">RAND()</f>
        <v>0.643699437646205</v>
      </c>
      <c r="D605" s="0" t="n">
        <f aca="true">RAND()</f>
        <v>0.74514492839153</v>
      </c>
      <c r="E605" s="0" t="n">
        <f aca="false">IF(C605&lt;=$C$10,1,2)</f>
        <v>2</v>
      </c>
      <c r="F605" s="0" t="n">
        <f aca="false">IF(E605=1,$C$4+SQRT(D605*($C$6-$C$4)*($C$5-$C$4)),$C$6-SQRT((1-D605)*($C$6-$C$4)*($C$6-$C$5)))</f>
        <v>9.2860601263293</v>
      </c>
    </row>
    <row r="606" customFormat="false" ht="15" hidden="false" customHeight="false" outlineLevel="0" collapsed="false">
      <c r="B606" s="0" t="n">
        <v>590</v>
      </c>
      <c r="C606" s="0" t="n">
        <f aca="true">RAND()</f>
        <v>0.380684967191044</v>
      </c>
      <c r="D606" s="0" t="n">
        <f aca="true">RAND()</f>
        <v>0.438990378599917</v>
      </c>
      <c r="E606" s="0" t="n">
        <f aca="false">IF(C606&lt;=$C$10,1,2)</f>
        <v>1</v>
      </c>
      <c r="F606" s="0" t="n">
        <f aca="false">IF(E606=1,$C$4+SQRT(D606*($C$6-$C$4)*($C$5-$C$4)),$C$6-SQRT((1-D606)*($C$6-$C$4)*($C$6-$C$5)))</f>
        <v>8.93700627383163</v>
      </c>
    </row>
    <row r="607" customFormat="false" ht="15" hidden="false" customHeight="false" outlineLevel="0" collapsed="false">
      <c r="B607" s="0" t="n">
        <v>591</v>
      </c>
      <c r="C607" s="0" t="n">
        <f aca="true">RAND()</f>
        <v>0.368551021400455</v>
      </c>
      <c r="D607" s="0" t="n">
        <f aca="true">RAND()</f>
        <v>0.0172047877918696</v>
      </c>
      <c r="E607" s="0" t="n">
        <f aca="false">IF(C607&lt;=$C$10,1,2)</f>
        <v>1</v>
      </c>
      <c r="F607" s="0" t="n">
        <f aca="false">IF(E607=1,$C$4+SQRT(D607*($C$6-$C$4)*($C$5-$C$4)),$C$6-SQRT((1-D607)*($C$6-$C$4)*($C$6-$C$5)))</f>
        <v>8.18549818215751</v>
      </c>
    </row>
    <row r="608" customFormat="false" ht="15" hidden="false" customHeight="false" outlineLevel="0" collapsed="false">
      <c r="B608" s="0" t="n">
        <v>592</v>
      </c>
      <c r="C608" s="0" t="n">
        <f aca="true">RAND()</f>
        <v>0.0878642011742744</v>
      </c>
      <c r="D608" s="0" t="n">
        <f aca="true">RAND()</f>
        <v>0.197798628482314</v>
      </c>
      <c r="E608" s="0" t="n">
        <f aca="false">IF(C608&lt;=$C$10,1,2)</f>
        <v>1</v>
      </c>
      <c r="F608" s="0" t="n">
        <f aca="false">IF(E608=1,$C$4+SQRT(D608*($C$6-$C$4)*($C$5-$C$4)),$C$6-SQRT((1-D608)*($C$6-$C$4)*($C$6-$C$5)))</f>
        <v>8.62896522715062</v>
      </c>
    </row>
    <row r="609" customFormat="false" ht="15" hidden="false" customHeight="false" outlineLevel="0" collapsed="false">
      <c r="B609" s="0" t="n">
        <v>593</v>
      </c>
      <c r="C609" s="0" t="n">
        <f aca="true">RAND()</f>
        <v>0.0236613532455124</v>
      </c>
      <c r="D609" s="0" t="n">
        <f aca="true">RAND()</f>
        <v>0.856636801218712</v>
      </c>
      <c r="E609" s="0" t="n">
        <f aca="false">IF(C609&lt;=$C$10,1,2)</f>
        <v>1</v>
      </c>
      <c r="F609" s="0" t="n">
        <f aca="false">IF(E609=1,$C$4+SQRT(D609*($C$6-$C$4)*($C$5-$C$4)),$C$6-SQRT((1-D609)*($C$6-$C$4)*($C$6-$C$5)))</f>
        <v>9.30892077775449</v>
      </c>
    </row>
    <row r="610" customFormat="false" ht="15" hidden="false" customHeight="false" outlineLevel="0" collapsed="false">
      <c r="B610" s="0" t="n">
        <v>594</v>
      </c>
      <c r="C610" s="0" t="n">
        <f aca="true">RAND()</f>
        <v>0.875737863983013</v>
      </c>
      <c r="D610" s="0" t="n">
        <f aca="true">RAND()</f>
        <v>0.498779791143674</v>
      </c>
      <c r="E610" s="0" t="n">
        <f aca="false">IF(C610&lt;=$C$10,1,2)</f>
        <v>2</v>
      </c>
      <c r="F610" s="0" t="n">
        <f aca="false">IF(E610=1,$C$4+SQRT(D610*($C$6-$C$4)*($C$5-$C$4)),$C$6-SQRT((1-D610)*($C$6-$C$4)*($C$6-$C$5)))</f>
        <v>8.99878053469149</v>
      </c>
    </row>
    <row r="611" customFormat="false" ht="15" hidden="false" customHeight="false" outlineLevel="0" collapsed="false">
      <c r="B611" s="0" t="n">
        <v>595</v>
      </c>
      <c r="C611" s="0" t="n">
        <f aca="true">RAND()</f>
        <v>0.818988020531323</v>
      </c>
      <c r="D611" s="0" t="n">
        <f aca="true">RAND()</f>
        <v>0.532060961409453</v>
      </c>
      <c r="E611" s="0" t="n">
        <f aca="false">IF(C611&lt;=$C$10,1,2)</f>
        <v>2</v>
      </c>
      <c r="F611" s="0" t="n">
        <f aca="false">IF(E611=1,$C$4+SQRT(D611*($C$6-$C$4)*($C$5-$C$4)),$C$6-SQRT((1-D611)*($C$6-$C$4)*($C$6-$C$5)))</f>
        <v>9.03259208335827</v>
      </c>
    </row>
    <row r="612" customFormat="false" ht="15" hidden="false" customHeight="false" outlineLevel="0" collapsed="false">
      <c r="B612" s="0" t="n">
        <v>596</v>
      </c>
      <c r="C612" s="0" t="n">
        <f aca="true">RAND()</f>
        <v>0.110446711629868</v>
      </c>
      <c r="D612" s="0" t="n">
        <f aca="true">RAND()</f>
        <v>0.438630273167619</v>
      </c>
      <c r="E612" s="0" t="n">
        <f aca="false">IF(C612&lt;=$C$10,1,2)</f>
        <v>1</v>
      </c>
      <c r="F612" s="0" t="n">
        <f aca="false">IF(E612=1,$C$4+SQRT(D612*($C$6-$C$4)*($C$5-$C$4)),$C$6-SQRT((1-D612)*($C$6-$C$4)*($C$6-$C$5)))</f>
        <v>8.93662188012839</v>
      </c>
    </row>
    <row r="613" customFormat="false" ht="15" hidden="false" customHeight="false" outlineLevel="0" collapsed="false">
      <c r="B613" s="0" t="n">
        <v>597</v>
      </c>
      <c r="C613" s="0" t="n">
        <f aca="true">RAND()</f>
        <v>0.582026861441795</v>
      </c>
      <c r="D613" s="0" t="n">
        <f aca="true">RAND()</f>
        <v>0.904824665528519</v>
      </c>
      <c r="E613" s="0" t="n">
        <f aca="false">IF(C613&lt;=$C$10,1,2)</f>
        <v>2</v>
      </c>
      <c r="F613" s="0" t="n">
        <f aca="false">IF(E613=1,$C$4+SQRT(D613*($C$6-$C$4)*($C$5-$C$4)),$C$6-SQRT((1-D613)*($C$6-$C$4)*($C$6-$C$5)))</f>
        <v>9.56370804620878</v>
      </c>
    </row>
    <row r="614" customFormat="false" ht="15" hidden="false" customHeight="false" outlineLevel="0" collapsed="false">
      <c r="B614" s="0" t="n">
        <v>598</v>
      </c>
      <c r="C614" s="0" t="n">
        <f aca="true">RAND()</f>
        <v>0.622703667922439</v>
      </c>
      <c r="D614" s="0" t="n">
        <f aca="true">RAND()</f>
        <v>0.208276118594772</v>
      </c>
      <c r="E614" s="0" t="n">
        <f aca="false">IF(C614&lt;=$C$10,1,2)</f>
        <v>2</v>
      </c>
      <c r="F614" s="0" t="n">
        <f aca="false">IF(E614=1,$C$4+SQRT(D614*($C$6-$C$4)*($C$5-$C$4)),$C$6-SQRT((1-D614)*($C$6-$C$4)*($C$6-$C$5)))</f>
        <v>8.7416487919462</v>
      </c>
    </row>
    <row r="615" customFormat="false" ht="15" hidden="false" customHeight="false" outlineLevel="0" collapsed="false">
      <c r="B615" s="0" t="n">
        <v>599</v>
      </c>
      <c r="C615" s="0" t="n">
        <f aca="true">RAND()</f>
        <v>0.945423000404968</v>
      </c>
      <c r="D615" s="0" t="n">
        <f aca="true">RAND()</f>
        <v>0.859770645678983</v>
      </c>
      <c r="E615" s="0" t="n">
        <f aca="false">IF(C615&lt;=$C$10,1,2)</f>
        <v>2</v>
      </c>
      <c r="F615" s="0" t="n">
        <f aca="false">IF(E615=1,$C$4+SQRT(D615*($C$6-$C$4)*($C$5-$C$4)),$C$6-SQRT((1-D615)*($C$6-$C$4)*($C$6-$C$5)))</f>
        <v>9.47041647623625</v>
      </c>
    </row>
    <row r="616" customFormat="false" ht="15" hidden="false" customHeight="false" outlineLevel="0" collapsed="false">
      <c r="B616" s="0" t="n">
        <v>600</v>
      </c>
      <c r="C616" s="0" t="n">
        <f aca="true">RAND()</f>
        <v>0.384456217323783</v>
      </c>
      <c r="D616" s="0" t="n">
        <f aca="true">RAND()</f>
        <v>0.015166257523878</v>
      </c>
      <c r="E616" s="0" t="n">
        <f aca="false">IF(C616&lt;=$C$10,1,2)</f>
        <v>1</v>
      </c>
      <c r="F616" s="0" t="n">
        <f aca="false">IF(E616=1,$C$4+SQRT(D616*($C$6-$C$4)*($C$5-$C$4)),$C$6-SQRT((1-D616)*($C$6-$C$4)*($C$6-$C$5)))</f>
        <v>8.17416232384691</v>
      </c>
    </row>
    <row r="617" customFormat="false" ht="15" hidden="false" customHeight="false" outlineLevel="0" collapsed="false">
      <c r="B617" s="0" t="n">
        <v>601</v>
      </c>
      <c r="C617" s="0" t="n">
        <f aca="true">RAND()</f>
        <v>0.356452801731358</v>
      </c>
      <c r="D617" s="0" t="n">
        <f aca="true">RAND()</f>
        <v>0.144700258619716</v>
      </c>
      <c r="E617" s="0" t="n">
        <f aca="false">IF(C617&lt;=$C$10,1,2)</f>
        <v>1</v>
      </c>
      <c r="F617" s="0" t="n">
        <f aca="false">IF(E617=1,$C$4+SQRT(D617*($C$6-$C$4)*($C$5-$C$4)),$C$6-SQRT((1-D617)*($C$6-$C$4)*($C$6-$C$5)))</f>
        <v>8.53795958699463</v>
      </c>
    </row>
    <row r="618" customFormat="false" ht="15" hidden="false" customHeight="false" outlineLevel="0" collapsed="false">
      <c r="B618" s="0" t="n">
        <v>602</v>
      </c>
      <c r="C618" s="0" t="n">
        <f aca="true">RAND()</f>
        <v>0.731014609333829</v>
      </c>
      <c r="D618" s="0" t="n">
        <f aca="true">RAND()</f>
        <v>0.695402174408416</v>
      </c>
      <c r="E618" s="0" t="n">
        <f aca="false">IF(C618&lt;=$C$10,1,2)</f>
        <v>2</v>
      </c>
      <c r="F618" s="0" t="n">
        <f aca="false">IF(E618=1,$C$4+SQRT(D618*($C$6-$C$4)*($C$5-$C$4)),$C$6-SQRT((1-D618)*($C$6-$C$4)*($C$6-$C$5)))</f>
        <v>9.21949013383355</v>
      </c>
    </row>
    <row r="619" customFormat="false" ht="15" hidden="false" customHeight="false" outlineLevel="0" collapsed="false">
      <c r="B619" s="0" t="n">
        <v>603</v>
      </c>
      <c r="C619" s="0" t="n">
        <f aca="true">RAND()</f>
        <v>0.386777704507561</v>
      </c>
      <c r="D619" s="0" t="n">
        <f aca="true">RAND()</f>
        <v>0.958006908540664</v>
      </c>
      <c r="E619" s="0" t="n">
        <f aca="false">IF(C619&lt;=$C$10,1,2)</f>
        <v>1</v>
      </c>
      <c r="F619" s="0" t="n">
        <f aca="false">IF(E619=1,$C$4+SQRT(D619*($C$6-$C$4)*($C$5-$C$4)),$C$6-SQRT((1-D619)*($C$6-$C$4)*($C$6-$C$5)))</f>
        <v>9.38420150884231</v>
      </c>
    </row>
    <row r="620" customFormat="false" ht="15" hidden="false" customHeight="false" outlineLevel="0" collapsed="false">
      <c r="B620" s="0" t="n">
        <v>604</v>
      </c>
      <c r="C620" s="0" t="n">
        <f aca="true">RAND()</f>
        <v>0.33221903894444</v>
      </c>
      <c r="D620" s="0" t="n">
        <f aca="true">RAND()</f>
        <v>0.964188161555272</v>
      </c>
      <c r="E620" s="0" t="n">
        <f aca="false">IF(C620&lt;=$C$10,1,2)</f>
        <v>1</v>
      </c>
      <c r="F620" s="0" t="n">
        <f aca="false">IF(E620=1,$C$4+SQRT(D620*($C$6-$C$4)*($C$5-$C$4)),$C$6-SQRT((1-D620)*($C$6-$C$4)*($C$6-$C$5)))</f>
        <v>9.38865990188762</v>
      </c>
    </row>
    <row r="621" customFormat="false" ht="15" hidden="false" customHeight="false" outlineLevel="0" collapsed="false">
      <c r="B621" s="0" t="n">
        <v>605</v>
      </c>
      <c r="C621" s="0" t="n">
        <f aca="true">RAND()</f>
        <v>0.709542945021891</v>
      </c>
      <c r="D621" s="0" t="n">
        <f aca="true">RAND()</f>
        <v>0.416413423190587</v>
      </c>
      <c r="E621" s="0" t="n">
        <f aca="false">IF(C621&lt;=$C$10,1,2)</f>
        <v>2</v>
      </c>
      <c r="F621" s="0" t="n">
        <f aca="false">IF(E621=1,$C$4+SQRT(D621*($C$6-$C$4)*($C$5-$C$4)),$C$6-SQRT((1-D621)*($C$6-$C$4)*($C$6-$C$5)))</f>
        <v>8.91964211780594</v>
      </c>
    </row>
    <row r="622" customFormat="false" ht="15" hidden="false" customHeight="false" outlineLevel="0" collapsed="false">
      <c r="B622" s="0" t="n">
        <v>606</v>
      </c>
      <c r="C622" s="0" t="n">
        <f aca="true">RAND()</f>
        <v>0.788533417161914</v>
      </c>
      <c r="D622" s="0" t="n">
        <f aca="true">RAND()</f>
        <v>0.343847443672756</v>
      </c>
      <c r="E622" s="0" t="n">
        <f aca="false">IF(C622&lt;=$C$10,1,2)</f>
        <v>2</v>
      </c>
      <c r="F622" s="0" t="n">
        <f aca="false">IF(E622=1,$C$4+SQRT(D622*($C$6-$C$4)*($C$5-$C$4)),$C$6-SQRT((1-D622)*($C$6-$C$4)*($C$6-$C$5)))</f>
        <v>8.85444113522941</v>
      </c>
    </row>
    <row r="623" customFormat="false" ht="15" hidden="false" customHeight="false" outlineLevel="0" collapsed="false">
      <c r="B623" s="0" t="n">
        <v>607</v>
      </c>
      <c r="C623" s="0" t="n">
        <f aca="true">RAND()</f>
        <v>0.846869500040593</v>
      </c>
      <c r="D623" s="0" t="n">
        <f aca="true">RAND()</f>
        <v>0.873391901806176</v>
      </c>
      <c r="E623" s="0" t="n">
        <f aca="false">IF(C623&lt;=$C$10,1,2)</f>
        <v>2</v>
      </c>
      <c r="F623" s="0" t="n">
        <f aca="false">IF(E623=1,$C$4+SQRT(D623*($C$6-$C$4)*($C$5-$C$4)),$C$6-SQRT((1-D623)*($C$6-$C$4)*($C$6-$C$5)))</f>
        <v>9.49679408152562</v>
      </c>
    </row>
    <row r="624" customFormat="false" ht="15" hidden="false" customHeight="false" outlineLevel="0" collapsed="false">
      <c r="B624" s="0" t="n">
        <v>608</v>
      </c>
      <c r="C624" s="0" t="n">
        <f aca="true">RAND()</f>
        <v>0.571521566404252</v>
      </c>
      <c r="D624" s="0" t="n">
        <f aca="true">RAND()</f>
        <v>0.786057875641321</v>
      </c>
      <c r="E624" s="0" t="n">
        <f aca="false">IF(C624&lt;=$C$10,1,2)</f>
        <v>2</v>
      </c>
      <c r="F624" s="0" t="n">
        <f aca="false">IF(E624=1,$C$4+SQRT(D624*($C$6-$C$4)*($C$5-$C$4)),$C$6-SQRT((1-D624)*($C$6-$C$4)*($C$6-$C$5)))</f>
        <v>9.34587138212936</v>
      </c>
    </row>
    <row r="625" customFormat="false" ht="15" hidden="false" customHeight="false" outlineLevel="0" collapsed="false">
      <c r="B625" s="0" t="n">
        <v>609</v>
      </c>
      <c r="C625" s="0" t="n">
        <f aca="true">RAND()</f>
        <v>0.039364182912443</v>
      </c>
      <c r="D625" s="0" t="n">
        <f aca="true">RAND()</f>
        <v>0.163378535577124</v>
      </c>
      <c r="E625" s="0" t="n">
        <f aca="false">IF(C625&lt;=$C$10,1,2)</f>
        <v>1</v>
      </c>
      <c r="F625" s="0" t="n">
        <f aca="false">IF(E625=1,$C$4+SQRT(D625*($C$6-$C$4)*($C$5-$C$4)),$C$6-SQRT((1-D625)*($C$6-$C$4)*($C$6-$C$5)))</f>
        <v>8.57162668863013</v>
      </c>
    </row>
    <row r="626" customFormat="false" ht="15" hidden="false" customHeight="false" outlineLevel="0" collapsed="false">
      <c r="B626" s="0" t="n">
        <v>610</v>
      </c>
      <c r="C626" s="0" t="n">
        <f aca="true">RAND()</f>
        <v>0.695205881125245</v>
      </c>
      <c r="D626" s="0" t="n">
        <f aca="true">RAND()</f>
        <v>0.78642546715532</v>
      </c>
      <c r="E626" s="0" t="n">
        <f aca="false">IF(C626&lt;=$C$10,1,2)</f>
        <v>2</v>
      </c>
      <c r="F626" s="0" t="n">
        <f aca="false">IF(E626=1,$C$4+SQRT(D626*($C$6-$C$4)*($C$5-$C$4)),$C$6-SQRT((1-D626)*($C$6-$C$4)*($C$6-$C$5)))</f>
        <v>9.34643357974161</v>
      </c>
    </row>
    <row r="627" customFormat="false" ht="15" hidden="false" customHeight="false" outlineLevel="0" collapsed="false">
      <c r="B627" s="0" t="n">
        <v>611</v>
      </c>
      <c r="C627" s="0" t="n">
        <f aca="true">RAND()</f>
        <v>0.613253904019424</v>
      </c>
      <c r="D627" s="0" t="n">
        <f aca="true">RAND()</f>
        <v>0.72279539520488</v>
      </c>
      <c r="E627" s="0" t="n">
        <f aca="false">IF(C627&lt;=$C$10,1,2)</f>
        <v>2</v>
      </c>
      <c r="F627" s="0" t="n">
        <f aca="false">IF(E627=1,$C$4+SQRT(D627*($C$6-$C$4)*($C$5-$C$4)),$C$6-SQRT((1-D627)*($C$6-$C$4)*($C$6-$C$5)))</f>
        <v>9.25541339685015</v>
      </c>
    </row>
    <row r="628" customFormat="false" ht="15" hidden="false" customHeight="false" outlineLevel="0" collapsed="false">
      <c r="B628" s="0" t="n">
        <v>612</v>
      </c>
      <c r="C628" s="0" t="n">
        <f aca="true">RAND()</f>
        <v>0.413926932321195</v>
      </c>
      <c r="D628" s="0" t="n">
        <f aca="true">RAND()</f>
        <v>0.133945876933444</v>
      </c>
      <c r="E628" s="0" t="n">
        <f aca="false">IF(C628&lt;=$C$10,1,2)</f>
        <v>1</v>
      </c>
      <c r="F628" s="0" t="n">
        <f aca="false">IF(E628=1,$C$4+SQRT(D628*($C$6-$C$4)*($C$5-$C$4)),$C$6-SQRT((1-D628)*($C$6-$C$4)*($C$6-$C$5)))</f>
        <v>8.51758260583881</v>
      </c>
    </row>
    <row r="629" customFormat="false" ht="15" hidden="false" customHeight="false" outlineLevel="0" collapsed="false">
      <c r="B629" s="0" t="n">
        <v>613</v>
      </c>
      <c r="C629" s="0" t="n">
        <f aca="true">RAND()</f>
        <v>0.355953329080034</v>
      </c>
      <c r="D629" s="0" t="n">
        <f aca="true">RAND()</f>
        <v>0.60264762224643</v>
      </c>
      <c r="E629" s="0" t="n">
        <f aca="false">IF(C629&lt;=$C$10,1,2)</f>
        <v>1</v>
      </c>
      <c r="F629" s="0" t="n">
        <f aca="false">IF(E629=1,$C$4+SQRT(D629*($C$6-$C$4)*($C$5-$C$4)),$C$6-SQRT((1-D629)*($C$6-$C$4)*($C$6-$C$5)))</f>
        <v>9.09785939195002</v>
      </c>
    </row>
    <row r="630" customFormat="false" ht="15" hidden="false" customHeight="false" outlineLevel="0" collapsed="false">
      <c r="B630" s="0" t="n">
        <v>614</v>
      </c>
      <c r="C630" s="0" t="n">
        <f aca="true">RAND()</f>
        <v>0.121682577338413</v>
      </c>
      <c r="D630" s="0" t="n">
        <f aca="true">RAND()</f>
        <v>0.240994360322132</v>
      </c>
      <c r="E630" s="0" t="n">
        <f aca="false">IF(C630&lt;=$C$10,1,2)</f>
        <v>1</v>
      </c>
      <c r="F630" s="0" t="n">
        <f aca="false">IF(E630=1,$C$4+SQRT(D630*($C$6-$C$4)*($C$5-$C$4)),$C$6-SQRT((1-D630)*($C$6-$C$4)*($C$6-$C$5)))</f>
        <v>8.69425407499291</v>
      </c>
    </row>
    <row r="631" customFormat="false" ht="15" hidden="false" customHeight="false" outlineLevel="0" collapsed="false">
      <c r="B631" s="0" t="n">
        <v>615</v>
      </c>
      <c r="C631" s="0" t="n">
        <f aca="true">RAND()</f>
        <v>0.834466743686801</v>
      </c>
      <c r="D631" s="0" t="n">
        <f aca="true">RAND()</f>
        <v>0.930603453150557</v>
      </c>
      <c r="E631" s="0" t="n">
        <f aca="false">IF(C631&lt;=$C$10,1,2)</f>
        <v>2</v>
      </c>
      <c r="F631" s="0" t="n">
        <f aca="false">IF(E631=1,$C$4+SQRT(D631*($C$6-$C$4)*($C$5-$C$4)),$C$6-SQRT((1-D631)*($C$6-$C$4)*($C$6-$C$5)))</f>
        <v>9.62745054865309</v>
      </c>
    </row>
    <row r="632" customFormat="false" ht="15" hidden="false" customHeight="false" outlineLevel="0" collapsed="false">
      <c r="B632" s="0" t="n">
        <v>616</v>
      </c>
      <c r="C632" s="0" t="n">
        <f aca="true">RAND()</f>
        <v>0.237835804330882</v>
      </c>
      <c r="D632" s="0" t="n">
        <f aca="true">RAND()</f>
        <v>0.130194893291509</v>
      </c>
      <c r="E632" s="0" t="n">
        <f aca="false">IF(C632&lt;=$C$10,1,2)</f>
        <v>1</v>
      </c>
      <c r="F632" s="0" t="n">
        <f aca="false">IF(E632=1,$C$4+SQRT(D632*($C$6-$C$4)*($C$5-$C$4)),$C$6-SQRT((1-D632)*($C$6-$C$4)*($C$6-$C$5)))</f>
        <v>8.5102840254045</v>
      </c>
    </row>
    <row r="633" customFormat="false" ht="15" hidden="false" customHeight="false" outlineLevel="0" collapsed="false">
      <c r="B633" s="0" t="n">
        <v>617</v>
      </c>
      <c r="C633" s="0" t="n">
        <f aca="true">RAND()</f>
        <v>0.932714298106186</v>
      </c>
      <c r="D633" s="0" t="n">
        <f aca="true">RAND()</f>
        <v>0.740970843963318</v>
      </c>
      <c r="E633" s="0" t="n">
        <f aca="false">IF(C633&lt;=$C$10,1,2)</f>
        <v>2</v>
      </c>
      <c r="F633" s="0" t="n">
        <f aca="false">IF(E633=1,$C$4+SQRT(D633*($C$6-$C$4)*($C$5-$C$4)),$C$6-SQRT((1-D633)*($C$6-$C$4)*($C$6-$C$5)))</f>
        <v>9.28023732239483</v>
      </c>
    </row>
    <row r="634" customFormat="false" ht="15" hidden="false" customHeight="false" outlineLevel="0" collapsed="false">
      <c r="B634" s="0" t="n">
        <v>618</v>
      </c>
      <c r="C634" s="0" t="n">
        <f aca="true">RAND()</f>
        <v>0.548626374964452</v>
      </c>
      <c r="D634" s="0" t="n">
        <f aca="true">RAND()</f>
        <v>0.0148469181972894</v>
      </c>
      <c r="E634" s="0" t="n">
        <f aca="false">IF(C634&lt;=$C$10,1,2)</f>
        <v>2</v>
      </c>
      <c r="F634" s="0" t="n">
        <f aca="false">IF(E634=1,$C$4+SQRT(D634*($C$6-$C$4)*($C$5-$C$4)),$C$6-SQRT((1-D634)*($C$6-$C$4)*($C$6-$C$5)))</f>
        <v>8.59632405320693</v>
      </c>
    </row>
    <row r="635" customFormat="false" ht="15" hidden="false" customHeight="false" outlineLevel="0" collapsed="false">
      <c r="B635" s="0" t="n">
        <v>619</v>
      </c>
      <c r="C635" s="0" t="n">
        <f aca="true">RAND()</f>
        <v>0.43417637321159</v>
      </c>
      <c r="D635" s="0" t="n">
        <f aca="true">RAND()</f>
        <v>0.240351564616125</v>
      </c>
      <c r="E635" s="0" t="n">
        <f aca="false">IF(C635&lt;=$C$10,1,2)</f>
        <v>1</v>
      </c>
      <c r="F635" s="0" t="n">
        <f aca="false">IF(E635=1,$C$4+SQRT(D635*($C$6-$C$4)*($C$5-$C$4)),$C$6-SQRT((1-D635)*($C$6-$C$4)*($C$6-$C$5)))</f>
        <v>8.6933275771468</v>
      </c>
    </row>
    <row r="636" customFormat="false" ht="15" hidden="false" customHeight="false" outlineLevel="0" collapsed="false">
      <c r="B636" s="0" t="n">
        <v>620</v>
      </c>
      <c r="C636" s="0" t="n">
        <f aca="true">RAND()</f>
        <v>0.156901136933002</v>
      </c>
      <c r="D636" s="0" t="n">
        <f aca="true">RAND()</f>
        <v>0.206676125987284</v>
      </c>
      <c r="E636" s="0" t="n">
        <f aca="false">IF(C636&lt;=$C$10,1,2)</f>
        <v>1</v>
      </c>
      <c r="F636" s="0" t="n">
        <f aca="false">IF(E636=1,$C$4+SQRT(D636*($C$6-$C$4)*($C$5-$C$4)),$C$6-SQRT((1-D636)*($C$6-$C$4)*($C$6-$C$5)))</f>
        <v>8.64292476385232</v>
      </c>
    </row>
    <row r="637" customFormat="false" ht="15" hidden="false" customHeight="false" outlineLevel="0" collapsed="false">
      <c r="B637" s="0" t="n">
        <v>621</v>
      </c>
      <c r="C637" s="0" t="n">
        <f aca="true">RAND()</f>
        <v>0.510583439541237</v>
      </c>
      <c r="D637" s="0" t="n">
        <f aca="true">RAND()</f>
        <v>0.775146555221542</v>
      </c>
      <c r="E637" s="0" t="n">
        <f aca="false">IF(C637&lt;=$C$10,1,2)</f>
        <v>2</v>
      </c>
      <c r="F637" s="0" t="n">
        <f aca="false">IF(E637=1,$C$4+SQRT(D637*($C$6-$C$4)*($C$5-$C$4)),$C$6-SQRT((1-D637)*($C$6-$C$4)*($C$6-$C$5)))</f>
        <v>9.3293981139626</v>
      </c>
    </row>
    <row r="638" customFormat="false" ht="15" hidden="false" customHeight="false" outlineLevel="0" collapsed="false">
      <c r="B638" s="0" t="n">
        <v>622</v>
      </c>
      <c r="C638" s="0" t="n">
        <f aca="true">RAND()</f>
        <v>0.830061625717283</v>
      </c>
      <c r="D638" s="0" t="n">
        <f aca="true">RAND()</f>
        <v>0.987111972488295</v>
      </c>
      <c r="E638" s="0" t="n">
        <f aca="false">IF(C638&lt;=$C$10,1,2)</f>
        <v>2</v>
      </c>
      <c r="F638" s="0" t="n">
        <f aca="false">IF(E638=1,$C$4+SQRT(D638*($C$6-$C$4)*($C$5-$C$4)),$C$6-SQRT((1-D638)*($C$6-$C$4)*($C$6-$C$5)))</f>
        <v>9.83945077071686</v>
      </c>
    </row>
    <row r="639" customFormat="false" ht="15" hidden="false" customHeight="false" outlineLevel="0" collapsed="false">
      <c r="B639" s="0" t="n">
        <v>623</v>
      </c>
      <c r="C639" s="0" t="n">
        <f aca="true">RAND()</f>
        <v>0.00993194195050112</v>
      </c>
      <c r="D639" s="0" t="n">
        <f aca="true">RAND()</f>
        <v>0.182557784900407</v>
      </c>
      <c r="E639" s="0" t="n">
        <f aca="false">IF(C639&lt;=$C$10,1,2)</f>
        <v>1</v>
      </c>
      <c r="F639" s="0" t="n">
        <f aca="false">IF(E639=1,$C$4+SQRT(D639*($C$6-$C$4)*($C$5-$C$4)),$C$6-SQRT((1-D639)*($C$6-$C$4)*($C$6-$C$5)))</f>
        <v>8.60424793735752</v>
      </c>
    </row>
    <row r="640" customFormat="false" ht="15" hidden="false" customHeight="false" outlineLevel="0" collapsed="false">
      <c r="B640" s="0" t="n">
        <v>624</v>
      </c>
      <c r="C640" s="0" t="n">
        <f aca="true">RAND()</f>
        <v>0.517237959319989</v>
      </c>
      <c r="D640" s="0" t="n">
        <f aca="true">RAND()</f>
        <v>0.294371713464597</v>
      </c>
      <c r="E640" s="0" t="n">
        <f aca="false">IF(C640&lt;=$C$10,1,2)</f>
        <v>2</v>
      </c>
      <c r="F640" s="0" t="n">
        <f aca="false">IF(E640=1,$C$4+SQRT(D640*($C$6-$C$4)*($C$5-$C$4)),$C$6-SQRT((1-D640)*($C$6-$C$4)*($C$6-$C$5)))</f>
        <v>8.81203679641548</v>
      </c>
    </row>
    <row r="641" customFormat="false" ht="15" hidden="false" customHeight="false" outlineLevel="0" collapsed="false">
      <c r="B641" s="0" t="n">
        <v>625</v>
      </c>
      <c r="C641" s="0" t="n">
        <f aca="true">RAND()</f>
        <v>0.723222199975146</v>
      </c>
      <c r="D641" s="0" t="n">
        <f aca="true">RAND()</f>
        <v>0.00515758162576173</v>
      </c>
      <c r="E641" s="0" t="n">
        <f aca="false">IF(C641&lt;=$C$10,1,2)</f>
        <v>2</v>
      </c>
      <c r="F641" s="0" t="n">
        <f aca="false">IF(E641=1,$C$4+SQRT(D641*($C$6-$C$4)*($C$5-$C$4)),$C$6-SQRT((1-D641)*($C$6-$C$4)*($C$6-$C$5)))</f>
        <v>8.58943811310936</v>
      </c>
    </row>
    <row r="642" customFormat="false" ht="15" hidden="false" customHeight="false" outlineLevel="0" collapsed="false">
      <c r="B642" s="0" t="n">
        <v>626</v>
      </c>
      <c r="C642" s="0" t="n">
        <f aca="true">RAND()</f>
        <v>0.223606030972342</v>
      </c>
      <c r="D642" s="0" t="n">
        <f aca="true">RAND()</f>
        <v>0.433216593041149</v>
      </c>
      <c r="E642" s="0" t="n">
        <f aca="false">IF(C642&lt;=$C$10,1,2)</f>
        <v>1</v>
      </c>
      <c r="F642" s="0" t="n">
        <f aca="false">IF(E642=1,$C$4+SQRT(D642*($C$6-$C$4)*($C$5-$C$4)),$C$6-SQRT((1-D642)*($C$6-$C$4)*($C$6-$C$5)))</f>
        <v>8.93082392861502</v>
      </c>
    </row>
    <row r="643" customFormat="false" ht="15" hidden="false" customHeight="false" outlineLevel="0" collapsed="false">
      <c r="B643" s="0" t="n">
        <v>627</v>
      </c>
      <c r="C643" s="0" t="n">
        <f aca="true">RAND()</f>
        <v>0.84713399690382</v>
      </c>
      <c r="D643" s="0" t="n">
        <f aca="true">RAND()</f>
        <v>0.175409029536819</v>
      </c>
      <c r="E643" s="0" t="n">
        <f aca="false">IF(C643&lt;=$C$10,1,2)</f>
        <v>2</v>
      </c>
      <c r="F643" s="0" t="n">
        <f aca="false">IF(E643=1,$C$4+SQRT(D643*($C$6-$C$4)*($C$5-$C$4)),$C$6-SQRT((1-D643)*($C$6-$C$4)*($C$6-$C$5)))</f>
        <v>8.71579521067457</v>
      </c>
    </row>
    <row r="644" customFormat="false" ht="15" hidden="false" customHeight="false" outlineLevel="0" collapsed="false">
      <c r="B644" s="0" t="n">
        <v>628</v>
      </c>
      <c r="C644" s="0" t="n">
        <f aca="true">RAND()</f>
        <v>0.0451752088133738</v>
      </c>
      <c r="D644" s="0" t="n">
        <f aca="true">RAND()</f>
        <v>0.102636600231236</v>
      </c>
      <c r="E644" s="0" t="n">
        <f aca="false">IF(C644&lt;=$C$10,1,2)</f>
        <v>1</v>
      </c>
      <c r="F644" s="0" t="n">
        <f aca="false">IF(E644=1,$C$4+SQRT(D644*($C$6-$C$4)*($C$5-$C$4)),$C$6-SQRT((1-D644)*($C$6-$C$4)*($C$6-$C$5)))</f>
        <v>8.45307085589615</v>
      </c>
    </row>
    <row r="645" customFormat="false" ht="15" hidden="false" customHeight="false" outlineLevel="0" collapsed="false">
      <c r="B645" s="0" t="n">
        <v>629</v>
      </c>
      <c r="C645" s="0" t="n">
        <f aca="true">RAND()</f>
        <v>0.158687211413457</v>
      </c>
      <c r="D645" s="0" t="n">
        <f aca="true">RAND()</f>
        <v>0.217857557228264</v>
      </c>
      <c r="E645" s="0" t="n">
        <f aca="false">IF(C645&lt;=$C$10,1,2)</f>
        <v>1</v>
      </c>
      <c r="F645" s="0" t="n">
        <f aca="false">IF(E645=1,$C$4+SQRT(D645*($C$6-$C$4)*($C$5-$C$4)),$C$6-SQRT((1-D645)*($C$6-$C$4)*($C$6-$C$5)))</f>
        <v>8.66008720216084</v>
      </c>
    </row>
    <row r="646" customFormat="false" ht="15" hidden="false" customHeight="false" outlineLevel="0" collapsed="false">
      <c r="B646" s="0" t="n">
        <v>630</v>
      </c>
      <c r="C646" s="0" t="n">
        <f aca="true">RAND()</f>
        <v>0.971353238760873</v>
      </c>
      <c r="D646" s="0" t="n">
        <f aca="true">RAND()</f>
        <v>0.35067151056313</v>
      </c>
      <c r="E646" s="0" t="n">
        <f aca="false">IF(C646&lt;=$C$10,1,2)</f>
        <v>2</v>
      </c>
      <c r="F646" s="0" t="n">
        <f aca="false">IF(E646=1,$C$4+SQRT(D646*($C$6-$C$4)*($C$5-$C$4)),$C$6-SQRT((1-D646)*($C$6-$C$4)*($C$6-$C$5)))</f>
        <v>8.86041368081495</v>
      </c>
    </row>
    <row r="647" customFormat="false" ht="15" hidden="false" customHeight="false" outlineLevel="0" collapsed="false">
      <c r="B647" s="0" t="n">
        <v>631</v>
      </c>
      <c r="C647" s="0" t="n">
        <f aca="true">RAND()</f>
        <v>0.295163019811098</v>
      </c>
      <c r="D647" s="0" t="n">
        <f aca="true">RAND()</f>
        <v>0.665708924206253</v>
      </c>
      <c r="E647" s="0" t="n">
        <f aca="false">IF(C647&lt;=$C$10,1,2)</f>
        <v>1</v>
      </c>
      <c r="F647" s="0" t="n">
        <f aca="false">IF(E647=1,$C$4+SQRT(D647*($C$6-$C$4)*($C$5-$C$4)),$C$6-SQRT((1-D647)*($C$6-$C$4)*($C$6-$C$5)))</f>
        <v>9.15387081097171</v>
      </c>
    </row>
    <row r="648" customFormat="false" ht="15" hidden="false" customHeight="false" outlineLevel="0" collapsed="false">
      <c r="B648" s="0" t="n">
        <v>632</v>
      </c>
      <c r="C648" s="0" t="n">
        <f aca="true">RAND()</f>
        <v>0.173301738001343</v>
      </c>
      <c r="D648" s="0" t="n">
        <f aca="true">RAND()</f>
        <v>0.314231018489261</v>
      </c>
      <c r="E648" s="0" t="n">
        <f aca="false">IF(C648&lt;=$C$10,1,2)</f>
        <v>1</v>
      </c>
      <c r="F648" s="0" t="n">
        <f aca="false">IF(E648=1,$C$4+SQRT(D648*($C$6-$C$4)*($C$5-$C$4)),$C$6-SQRT((1-D648)*($C$6-$C$4)*($C$6-$C$5)))</f>
        <v>8.79275597568137</v>
      </c>
    </row>
    <row r="649" customFormat="false" ht="15" hidden="false" customHeight="false" outlineLevel="0" collapsed="false">
      <c r="B649" s="0" t="n">
        <v>633</v>
      </c>
      <c r="C649" s="0" t="n">
        <f aca="true">RAND()</f>
        <v>0.523935285292887</v>
      </c>
      <c r="D649" s="0" t="n">
        <f aca="true">RAND()</f>
        <v>0.499930182354414</v>
      </c>
      <c r="E649" s="0" t="n">
        <f aca="false">IF(C649&lt;=$C$10,1,2)</f>
        <v>2</v>
      </c>
      <c r="F649" s="0" t="n">
        <f aca="false">IF(E649=1,$C$4+SQRT(D649*($C$6-$C$4)*($C$5-$C$4)),$C$6-SQRT((1-D649)*($C$6-$C$4)*($C$6-$C$5)))</f>
        <v>8.9999301847915</v>
      </c>
    </row>
    <row r="650" customFormat="false" ht="15" hidden="false" customHeight="false" outlineLevel="0" collapsed="false">
      <c r="B650" s="0" t="n">
        <v>634</v>
      </c>
      <c r="C650" s="0" t="n">
        <f aca="true">RAND()</f>
        <v>0.254271917569381</v>
      </c>
      <c r="D650" s="0" t="n">
        <f aca="true">RAND()</f>
        <v>0.956511611424625</v>
      </c>
      <c r="E650" s="0" t="n">
        <f aca="false">IF(C650&lt;=$C$10,1,2)</f>
        <v>1</v>
      </c>
      <c r="F650" s="0" t="n">
        <f aca="false">IF(E650=1,$C$4+SQRT(D650*($C$6-$C$4)*($C$5-$C$4)),$C$6-SQRT((1-D650)*($C$6-$C$4)*($C$6-$C$5)))</f>
        <v>9.38312082727767</v>
      </c>
    </row>
    <row r="651" customFormat="false" ht="15" hidden="false" customHeight="false" outlineLevel="0" collapsed="false">
      <c r="B651" s="0" t="n">
        <v>635</v>
      </c>
      <c r="C651" s="0" t="n">
        <f aca="true">RAND()</f>
        <v>0.176105645975296</v>
      </c>
      <c r="D651" s="0" t="n">
        <f aca="true">RAND()</f>
        <v>0.892592746725907</v>
      </c>
      <c r="E651" s="0" t="n">
        <f aca="false">IF(C651&lt;=$C$10,1,2)</f>
        <v>1</v>
      </c>
      <c r="F651" s="0" t="n">
        <f aca="false">IF(E651=1,$C$4+SQRT(D651*($C$6-$C$4)*($C$5-$C$4)),$C$6-SQRT((1-D651)*($C$6-$C$4)*($C$6-$C$5)))</f>
        <v>9.336108338965</v>
      </c>
    </row>
    <row r="652" customFormat="false" ht="15" hidden="false" customHeight="false" outlineLevel="0" collapsed="false">
      <c r="B652" s="0" t="n">
        <v>636</v>
      </c>
      <c r="C652" s="0" t="n">
        <f aca="true">RAND()</f>
        <v>0.523539737344399</v>
      </c>
      <c r="D652" s="0" t="n">
        <f aca="true">RAND()</f>
        <v>0.859775192613061</v>
      </c>
      <c r="E652" s="0" t="n">
        <f aca="false">IF(C652&lt;=$C$10,1,2)</f>
        <v>2</v>
      </c>
      <c r="F652" s="0" t="n">
        <f aca="false">IF(E652=1,$C$4+SQRT(D652*($C$6-$C$4)*($C$5-$C$4)),$C$6-SQRT((1-D652)*($C$6-$C$4)*($C$6-$C$5)))</f>
        <v>9.47042506217356</v>
      </c>
    </row>
    <row r="653" customFormat="false" ht="15" hidden="false" customHeight="false" outlineLevel="0" collapsed="false">
      <c r="B653" s="0" t="n">
        <v>637</v>
      </c>
      <c r="C653" s="0" t="n">
        <f aca="true">RAND()</f>
        <v>0.228990651750762</v>
      </c>
      <c r="D653" s="0" t="n">
        <f aca="true">RAND()</f>
        <v>0.570791698274011</v>
      </c>
      <c r="E653" s="0" t="n">
        <f aca="false">IF(C653&lt;=$C$10,1,2)</f>
        <v>1</v>
      </c>
      <c r="F653" s="0" t="n">
        <f aca="false">IF(E653=1,$C$4+SQRT(D653*($C$6-$C$4)*($C$5-$C$4)),$C$6-SQRT((1-D653)*($C$6-$C$4)*($C$6-$C$5)))</f>
        <v>9.06844906127902</v>
      </c>
    </row>
    <row r="654" customFormat="false" ht="15" hidden="false" customHeight="false" outlineLevel="0" collapsed="false">
      <c r="B654" s="0" t="n">
        <v>638</v>
      </c>
      <c r="C654" s="0" t="n">
        <f aca="true">RAND()</f>
        <v>0.935352768324558</v>
      </c>
      <c r="D654" s="0" t="n">
        <f aca="true">RAND()</f>
        <v>0.89009019894163</v>
      </c>
      <c r="E654" s="0" t="n">
        <f aca="false">IF(C654&lt;=$C$10,1,2)</f>
        <v>2</v>
      </c>
      <c r="F654" s="0" t="n">
        <f aca="false">IF(E654=1,$C$4+SQRT(D654*($C$6-$C$4)*($C$5-$C$4)),$C$6-SQRT((1-D654)*($C$6-$C$4)*($C$6-$C$5)))</f>
        <v>9.53115076824555</v>
      </c>
    </row>
    <row r="655" customFormat="false" ht="15" hidden="false" customHeight="false" outlineLevel="0" collapsed="false">
      <c r="B655" s="0" t="n">
        <v>639</v>
      </c>
      <c r="C655" s="0" t="n">
        <f aca="true">RAND()</f>
        <v>0.290248287907647</v>
      </c>
      <c r="D655" s="0" t="n">
        <f aca="true">RAND()</f>
        <v>0.0582396045887278</v>
      </c>
      <c r="E655" s="0" t="n">
        <f aca="false">IF(C655&lt;=$C$10,1,2)</f>
        <v>1</v>
      </c>
      <c r="F655" s="0" t="n">
        <f aca="false">IF(E655=1,$C$4+SQRT(D655*($C$6-$C$4)*($C$5-$C$4)),$C$6-SQRT((1-D655)*($C$6-$C$4)*($C$6-$C$5)))</f>
        <v>8.34129050554836</v>
      </c>
    </row>
    <row r="656" customFormat="false" ht="15" hidden="false" customHeight="false" outlineLevel="0" collapsed="false">
      <c r="B656" s="0" t="n">
        <v>640</v>
      </c>
      <c r="C656" s="0" t="n">
        <f aca="true">RAND()</f>
        <v>0.534717012990714</v>
      </c>
      <c r="D656" s="0" t="n">
        <f aca="true">RAND()</f>
        <v>0.520830079880832</v>
      </c>
      <c r="E656" s="0" t="n">
        <f aca="false">IF(C656&lt;=$C$10,1,2)</f>
        <v>2</v>
      </c>
      <c r="F656" s="0" t="n">
        <f aca="false">IF(E656=1,$C$4+SQRT(D656*($C$6-$C$4)*($C$5-$C$4)),$C$6-SQRT((1-D656)*($C$6-$C$4)*($C$6-$C$5)))</f>
        <v>9.02105166620585</v>
      </c>
    </row>
    <row r="657" customFormat="false" ht="15" hidden="false" customHeight="false" outlineLevel="0" collapsed="false">
      <c r="B657" s="0" t="n">
        <v>641</v>
      </c>
      <c r="C657" s="0" t="n">
        <f aca="true">RAND()</f>
        <v>0.725600812430087</v>
      </c>
      <c r="D657" s="0" t="n">
        <f aca="true">RAND()</f>
        <v>0.552877436498613</v>
      </c>
      <c r="E657" s="0" t="n">
        <f aca="false">IF(C657&lt;=$C$10,1,2)</f>
        <v>2</v>
      </c>
      <c r="F657" s="0" t="n">
        <f aca="false">IF(E657=1,$C$4+SQRT(D657*($C$6-$C$4)*($C$5-$C$4)),$C$6-SQRT((1-D657)*($C$6-$C$4)*($C$6-$C$5)))</f>
        <v>9.05435465051491</v>
      </c>
    </row>
    <row r="658" customFormat="false" ht="15" hidden="false" customHeight="false" outlineLevel="0" collapsed="false">
      <c r="B658" s="0" t="n">
        <v>642</v>
      </c>
      <c r="C658" s="0" t="n">
        <f aca="true">RAND()</f>
        <v>0.807511495842151</v>
      </c>
      <c r="D658" s="0" t="n">
        <f aca="true">RAND()</f>
        <v>0.123556978137425</v>
      </c>
      <c r="E658" s="0" t="n">
        <f aca="false">IF(C658&lt;=$C$10,1,2)</f>
        <v>2</v>
      </c>
      <c r="F658" s="0" t="n">
        <f aca="false">IF(E658=1,$C$4+SQRT(D658*($C$6-$C$4)*($C$5-$C$4)),$C$6-SQRT((1-D658)*($C$6-$C$4)*($C$6-$C$5)))</f>
        <v>8.67603397183872</v>
      </c>
    </row>
    <row r="659" customFormat="false" ht="15" hidden="false" customHeight="false" outlineLevel="0" collapsed="false">
      <c r="B659" s="0" t="n">
        <v>643</v>
      </c>
      <c r="C659" s="0" t="n">
        <f aca="true">RAND()</f>
        <v>0.88632059409524</v>
      </c>
      <c r="D659" s="0" t="n">
        <f aca="true">RAND()</f>
        <v>0.705109045215167</v>
      </c>
      <c r="E659" s="0" t="n">
        <f aca="false">IF(C659&lt;=$C$10,1,2)</f>
        <v>2</v>
      </c>
      <c r="F659" s="0" t="n">
        <f aca="false">IF(E659=1,$C$4+SQRT(D659*($C$6-$C$4)*($C$5-$C$4)),$C$6-SQRT((1-D659)*($C$6-$C$4)*($C$6-$C$5)))</f>
        <v>9.2320274031128</v>
      </c>
    </row>
    <row r="660" customFormat="false" ht="15" hidden="false" customHeight="false" outlineLevel="0" collapsed="false">
      <c r="B660" s="0" t="n">
        <v>644</v>
      </c>
      <c r="C660" s="0" t="n">
        <f aca="true">RAND()</f>
        <v>0.3651320453692</v>
      </c>
      <c r="D660" s="0" t="n">
        <f aca="true">RAND()</f>
        <v>0.677015800742182</v>
      </c>
      <c r="E660" s="0" t="n">
        <f aca="false">IF(C660&lt;=$C$10,1,2)</f>
        <v>1</v>
      </c>
      <c r="F660" s="0" t="n">
        <f aca="false">IF(E660=1,$C$4+SQRT(D660*($C$6-$C$4)*($C$5-$C$4)),$C$6-SQRT((1-D660)*($C$6-$C$4)*($C$6-$C$5)))</f>
        <v>9.16362863555533</v>
      </c>
    </row>
    <row r="661" customFormat="false" ht="15" hidden="false" customHeight="false" outlineLevel="0" collapsed="false">
      <c r="B661" s="0" t="n">
        <v>645</v>
      </c>
      <c r="C661" s="0" t="n">
        <f aca="true">RAND()</f>
        <v>0.389146895242563</v>
      </c>
      <c r="D661" s="0" t="n">
        <f aca="true">RAND()</f>
        <v>0.710866699196901</v>
      </c>
      <c r="E661" s="0" t="n">
        <f aca="false">IF(C661&lt;=$C$10,1,2)</f>
        <v>1</v>
      </c>
      <c r="F661" s="0" t="n">
        <f aca="false">IF(E661=1,$C$4+SQRT(D661*($C$6-$C$4)*($C$5-$C$4)),$C$6-SQRT((1-D661)*($C$6-$C$4)*($C$6-$C$5)))</f>
        <v>9.19236462476618</v>
      </c>
    </row>
    <row r="662" customFormat="false" ht="15" hidden="false" customHeight="false" outlineLevel="0" collapsed="false">
      <c r="B662" s="0" t="n">
        <v>646</v>
      </c>
      <c r="C662" s="0" t="n">
        <f aca="true">RAND()</f>
        <v>0.352329689065596</v>
      </c>
      <c r="D662" s="0" t="n">
        <f aca="true">RAND()</f>
        <v>0.808198231569653</v>
      </c>
      <c r="E662" s="0" t="n">
        <f aca="false">IF(C662&lt;=$C$10,1,2)</f>
        <v>1</v>
      </c>
      <c r="F662" s="0" t="n">
        <f aca="false">IF(E662=1,$C$4+SQRT(D662*($C$6-$C$4)*($C$5-$C$4)),$C$6-SQRT((1-D662)*($C$6-$C$4)*($C$6-$C$5)))</f>
        <v>9.2713758150678</v>
      </c>
    </row>
    <row r="663" customFormat="false" ht="15" hidden="false" customHeight="false" outlineLevel="0" collapsed="false">
      <c r="B663" s="0" t="n">
        <v>647</v>
      </c>
      <c r="C663" s="0" t="n">
        <f aca="true">RAND()</f>
        <v>0.650603692312404</v>
      </c>
      <c r="D663" s="0" t="n">
        <f aca="true">RAND()</f>
        <v>0.645045007533671</v>
      </c>
      <c r="E663" s="0" t="n">
        <f aca="false">IF(C663&lt;=$C$10,1,2)</f>
        <v>2</v>
      </c>
      <c r="F663" s="0" t="n">
        <f aca="false">IF(E663=1,$C$4+SQRT(D663*($C$6-$C$4)*($C$5-$C$4)),$C$6-SQRT((1-D663)*($C$6-$C$4)*($C$6-$C$5)))</f>
        <v>9.1574384384909</v>
      </c>
    </row>
    <row r="664" customFormat="false" ht="15" hidden="false" customHeight="false" outlineLevel="0" collapsed="false">
      <c r="B664" s="0" t="n">
        <v>648</v>
      </c>
      <c r="C664" s="0" t="n">
        <f aca="true">RAND()</f>
        <v>0.666498975584319</v>
      </c>
      <c r="D664" s="0" t="n">
        <f aca="true">RAND()</f>
        <v>0.195376514059741</v>
      </c>
      <c r="E664" s="0" t="n">
        <f aca="false">IF(C664&lt;=$C$10,1,2)</f>
        <v>2</v>
      </c>
      <c r="F664" s="0" t="n">
        <f aca="false">IF(E664=1,$C$4+SQRT(D664*($C$6-$C$4)*($C$5-$C$4)),$C$6-SQRT((1-D664)*($C$6-$C$4)*($C$6-$C$5)))</f>
        <v>8.73143901530887</v>
      </c>
    </row>
    <row r="665" customFormat="false" ht="15" hidden="false" customHeight="false" outlineLevel="0" collapsed="false">
      <c r="B665" s="0" t="n">
        <v>649</v>
      </c>
      <c r="C665" s="0" t="n">
        <f aca="true">RAND()</f>
        <v>0.460109331951141</v>
      </c>
      <c r="D665" s="0" t="n">
        <f aca="true">RAND()</f>
        <v>0.858701073420482</v>
      </c>
      <c r="E665" s="0" t="n">
        <f aca="false">IF(C665&lt;=$C$10,1,2)</f>
        <v>1</v>
      </c>
      <c r="F665" s="0" t="n">
        <f aca="false">IF(E665=1,$C$4+SQRT(D665*($C$6-$C$4)*($C$5-$C$4)),$C$6-SQRT((1-D665)*($C$6-$C$4)*($C$6-$C$5)))</f>
        <v>9.31049690836757</v>
      </c>
    </row>
    <row r="666" customFormat="false" ht="15" hidden="false" customHeight="false" outlineLevel="0" collapsed="false">
      <c r="B666" s="0" t="n">
        <v>650</v>
      </c>
      <c r="C666" s="0" t="n">
        <f aca="true">RAND()</f>
        <v>0.309897964153242</v>
      </c>
      <c r="D666" s="0" t="n">
        <f aca="true">RAND()</f>
        <v>0.826087281052309</v>
      </c>
      <c r="E666" s="0" t="n">
        <f aca="false">IF(C666&lt;=$C$10,1,2)</f>
        <v>1</v>
      </c>
      <c r="F666" s="0" t="n">
        <f aca="false">IF(E666=1,$C$4+SQRT(D666*($C$6-$C$4)*($C$5-$C$4)),$C$6-SQRT((1-D666)*($C$6-$C$4)*($C$6-$C$5)))</f>
        <v>9.28536942631471</v>
      </c>
    </row>
    <row r="667" customFormat="false" ht="15" hidden="false" customHeight="false" outlineLevel="0" collapsed="false">
      <c r="B667" s="0" t="n">
        <v>651</v>
      </c>
      <c r="C667" s="0" t="n">
        <f aca="true">RAND()</f>
        <v>0.906087863202506</v>
      </c>
      <c r="D667" s="0" t="n">
        <f aca="true">RAND()</f>
        <v>0.460995987701861</v>
      </c>
      <c r="E667" s="0" t="n">
        <f aca="false">IF(C667&lt;=$C$10,1,2)</f>
        <v>2</v>
      </c>
      <c r="F667" s="0" t="n">
        <f aca="false">IF(E667=1,$C$4+SQRT(D667*($C$6-$C$4)*($C$5-$C$4)),$C$6-SQRT((1-D667)*($C$6-$C$4)*($C$6-$C$5)))</f>
        <v>8.96172834739829</v>
      </c>
    </row>
    <row r="668" customFormat="false" ht="15" hidden="false" customHeight="false" outlineLevel="0" collapsed="false">
      <c r="B668" s="0" t="n">
        <v>652</v>
      </c>
      <c r="C668" s="0" t="n">
        <f aca="true">RAND()</f>
        <v>0.794191461453362</v>
      </c>
      <c r="D668" s="0" t="n">
        <f aca="true">RAND()</f>
        <v>0.584348272835143</v>
      </c>
      <c r="E668" s="0" t="n">
        <f aca="false">IF(C668&lt;=$C$10,1,2)</f>
        <v>2</v>
      </c>
      <c r="F668" s="0" t="n">
        <f aca="false">IF(E668=1,$C$4+SQRT(D668*($C$6-$C$4)*($C$5-$C$4)),$C$6-SQRT((1-D668)*($C$6-$C$4)*($C$6-$C$5)))</f>
        <v>9.08824155922212</v>
      </c>
    </row>
    <row r="669" customFormat="false" ht="15" hidden="false" customHeight="false" outlineLevel="0" collapsed="false">
      <c r="B669" s="0" t="n">
        <v>653</v>
      </c>
      <c r="C669" s="0" t="n">
        <f aca="true">RAND()</f>
        <v>0.950975033046745</v>
      </c>
      <c r="D669" s="0" t="n">
        <f aca="true">RAND()</f>
        <v>0.980782554143361</v>
      </c>
      <c r="E669" s="0" t="n">
        <f aca="false">IF(C669&lt;=$C$10,1,2)</f>
        <v>2</v>
      </c>
      <c r="F669" s="0" t="n">
        <f aca="false">IF(E669=1,$C$4+SQRT(D669*($C$6-$C$4)*($C$5-$C$4)),$C$6-SQRT((1-D669)*($C$6-$C$4)*($C$6-$C$5)))</f>
        <v>9.80395181277737</v>
      </c>
    </row>
    <row r="670" customFormat="false" ht="15" hidden="false" customHeight="false" outlineLevel="0" collapsed="false">
      <c r="B670" s="0" t="n">
        <v>654</v>
      </c>
      <c r="C670" s="0" t="n">
        <f aca="true">RAND()</f>
        <v>0.177356220890359</v>
      </c>
      <c r="D670" s="0" t="n">
        <f aca="true">RAND()</f>
        <v>0.285513432041918</v>
      </c>
      <c r="E670" s="0" t="n">
        <f aca="false">IF(C670&lt;=$C$10,1,2)</f>
        <v>1</v>
      </c>
      <c r="F670" s="0" t="n">
        <f aca="false">IF(E670=1,$C$4+SQRT(D670*($C$6-$C$4)*($C$5-$C$4)),$C$6-SQRT((1-D670)*($C$6-$C$4)*($C$6-$C$5)))</f>
        <v>8.75566319487179</v>
      </c>
    </row>
    <row r="671" customFormat="false" ht="15" hidden="false" customHeight="false" outlineLevel="0" collapsed="false">
      <c r="B671" s="0" t="n">
        <v>655</v>
      </c>
      <c r="C671" s="0" t="n">
        <f aca="true">RAND()</f>
        <v>0.783752553890308</v>
      </c>
      <c r="D671" s="0" t="n">
        <f aca="true">RAND()</f>
        <v>0.356157568536931</v>
      </c>
      <c r="E671" s="0" t="n">
        <f aca="false">IF(C671&lt;=$C$10,1,2)</f>
        <v>2</v>
      </c>
      <c r="F671" s="0" t="n">
        <f aca="false">IF(E671=1,$C$4+SQRT(D671*($C$6-$C$4)*($C$5-$C$4)),$C$6-SQRT((1-D671)*($C$6-$C$4)*($C$6-$C$5)))</f>
        <v>8.8652379707947</v>
      </c>
    </row>
    <row r="672" customFormat="false" ht="15" hidden="false" customHeight="false" outlineLevel="0" collapsed="false">
      <c r="B672" s="0" t="n">
        <v>656</v>
      </c>
      <c r="C672" s="0" t="n">
        <f aca="true">RAND()</f>
        <v>0.63165265280894</v>
      </c>
      <c r="D672" s="0" t="n">
        <f aca="true">RAND()</f>
        <v>0.0374811031219406</v>
      </c>
      <c r="E672" s="0" t="n">
        <f aca="false">IF(C672&lt;=$C$10,1,2)</f>
        <v>2</v>
      </c>
      <c r="F672" s="0" t="n">
        <f aca="false">IF(E672=1,$C$4+SQRT(D672*($C$6-$C$4)*($C$5-$C$4)),$C$6-SQRT((1-D672)*($C$6-$C$4)*($C$6-$C$5)))</f>
        <v>8.61254268759139</v>
      </c>
    </row>
    <row r="673" customFormat="false" ht="15" hidden="false" customHeight="false" outlineLevel="0" collapsed="false">
      <c r="B673" s="0" t="n">
        <v>657</v>
      </c>
      <c r="C673" s="0" t="n">
        <f aca="true">RAND()</f>
        <v>0.354342791524632</v>
      </c>
      <c r="D673" s="0" t="n">
        <f aca="true">RAND()</f>
        <v>0.200851718892806</v>
      </c>
      <c r="E673" s="0" t="n">
        <f aca="false">IF(C673&lt;=$C$10,1,2)</f>
        <v>1</v>
      </c>
      <c r="F673" s="0" t="n">
        <f aca="false">IF(E673=1,$C$4+SQRT(D673*($C$6-$C$4)*($C$5-$C$4)),$C$6-SQRT((1-D673)*($C$6-$C$4)*($C$6-$C$5)))</f>
        <v>8.63380078714499</v>
      </c>
    </row>
    <row r="674" customFormat="false" ht="15" hidden="false" customHeight="false" outlineLevel="0" collapsed="false">
      <c r="B674" s="0" t="n">
        <v>658</v>
      </c>
      <c r="C674" s="0" t="n">
        <f aca="true">RAND()</f>
        <v>0.86221568955357</v>
      </c>
      <c r="D674" s="0" t="n">
        <f aca="true">RAND()</f>
        <v>0.953052613684986</v>
      </c>
      <c r="E674" s="0" t="n">
        <f aca="false">IF(C674&lt;=$C$10,1,2)</f>
        <v>2</v>
      </c>
      <c r="F674" s="0" t="n">
        <f aca="false">IF(E674=1,$C$4+SQRT(D674*($C$6-$C$4)*($C$5-$C$4)),$C$6-SQRT((1-D674)*($C$6-$C$4)*($C$6-$C$5)))</f>
        <v>9.69357746063641</v>
      </c>
    </row>
    <row r="675" customFormat="false" ht="15" hidden="false" customHeight="false" outlineLevel="0" collapsed="false">
      <c r="B675" s="0" t="n">
        <v>659</v>
      </c>
      <c r="C675" s="0" t="n">
        <f aca="true">RAND()</f>
        <v>0.747378826635937</v>
      </c>
      <c r="D675" s="0" t="n">
        <f aca="true">RAND()</f>
        <v>0.947592431778465</v>
      </c>
      <c r="E675" s="0" t="n">
        <f aca="false">IF(C675&lt;=$C$10,1,2)</f>
        <v>2</v>
      </c>
      <c r="F675" s="0" t="n">
        <f aca="false">IF(E675=1,$C$4+SQRT(D675*($C$6-$C$4)*($C$5-$C$4)),$C$6-SQRT((1-D675)*($C$6-$C$4)*($C$6-$C$5)))</f>
        <v>9.67624834140491</v>
      </c>
    </row>
    <row r="676" customFormat="false" ht="15" hidden="false" customHeight="false" outlineLevel="0" collapsed="false">
      <c r="B676" s="0" t="n">
        <v>660</v>
      </c>
      <c r="C676" s="0" t="n">
        <f aca="true">RAND()</f>
        <v>0.674390665495381</v>
      </c>
      <c r="D676" s="0" t="n">
        <f aca="true">RAND()</f>
        <v>0.138897621392505</v>
      </c>
      <c r="E676" s="0" t="n">
        <f aca="false">IF(C676&lt;=$C$10,1,2)</f>
        <v>2</v>
      </c>
      <c r="F676" s="0" t="n">
        <f aca="false">IF(E676=1,$C$4+SQRT(D676*($C$6-$C$4)*($C$5-$C$4)),$C$6-SQRT((1-D676)*($C$6-$C$4)*($C$6-$C$5)))</f>
        <v>8.68767200852265</v>
      </c>
    </row>
    <row r="677" customFormat="false" ht="15" hidden="false" customHeight="false" outlineLevel="0" collapsed="false">
      <c r="B677" s="0" t="n">
        <v>661</v>
      </c>
      <c r="C677" s="0" t="n">
        <f aca="true">RAND()</f>
        <v>0.539794231405034</v>
      </c>
      <c r="D677" s="0" t="n">
        <f aca="true">RAND()</f>
        <v>0.551416885001007</v>
      </c>
      <c r="E677" s="0" t="n">
        <f aca="false">IF(C677&lt;=$C$10,1,2)</f>
        <v>2</v>
      </c>
      <c r="F677" s="0" t="n">
        <f aca="false">IF(E677=1,$C$4+SQRT(D677*($C$6-$C$4)*($C$5-$C$4)),$C$6-SQRT((1-D677)*($C$6-$C$4)*($C$6-$C$5)))</f>
        <v>9.0528114073755</v>
      </c>
    </row>
    <row r="678" customFormat="false" ht="15" hidden="false" customHeight="false" outlineLevel="0" collapsed="false">
      <c r="B678" s="0" t="n">
        <v>662</v>
      </c>
      <c r="C678" s="0" t="n">
        <f aca="true">RAND()</f>
        <v>0.675664935685804</v>
      </c>
      <c r="D678" s="0" t="n">
        <f aca="true">RAND()</f>
        <v>0.981899285392231</v>
      </c>
      <c r="E678" s="0" t="n">
        <f aca="false">IF(C678&lt;=$C$10,1,2)</f>
        <v>2</v>
      </c>
      <c r="F678" s="0" t="n">
        <f aca="false">IF(E678=1,$C$4+SQRT(D678*($C$6-$C$4)*($C$5-$C$4)),$C$6-SQRT((1-D678)*($C$6-$C$4)*($C$6-$C$5)))</f>
        <v>9.80973326823762</v>
      </c>
    </row>
    <row r="679" customFormat="false" ht="15" hidden="false" customHeight="false" outlineLevel="0" collapsed="false">
      <c r="B679" s="0" t="n">
        <v>663</v>
      </c>
      <c r="C679" s="0" t="n">
        <f aca="true">RAND()</f>
        <v>0.551146835465956</v>
      </c>
      <c r="D679" s="0" t="n">
        <f aca="true">RAND()</f>
        <v>0.020569584607048</v>
      </c>
      <c r="E679" s="0" t="n">
        <f aca="false">IF(C679&lt;=$C$10,1,2)</f>
        <v>2</v>
      </c>
      <c r="F679" s="0" t="n">
        <f aca="false">IF(E679=1,$C$4+SQRT(D679*($C$6-$C$4)*($C$5-$C$4)),$C$6-SQRT((1-D679)*($C$6-$C$4)*($C$6-$C$5)))</f>
        <v>8.60040690528072</v>
      </c>
    </row>
    <row r="680" customFormat="false" ht="15" hidden="false" customHeight="false" outlineLevel="0" collapsed="false">
      <c r="B680" s="0" t="n">
        <v>664</v>
      </c>
      <c r="C680" s="0" t="n">
        <f aca="true">RAND()</f>
        <v>0.0247268572509467</v>
      </c>
      <c r="D680" s="0" t="n">
        <f aca="true">RAND()</f>
        <v>0.224787117551334</v>
      </c>
      <c r="E680" s="0" t="n">
        <f aca="false">IF(C680&lt;=$C$10,1,2)</f>
        <v>1</v>
      </c>
      <c r="F680" s="0" t="n">
        <f aca="false">IF(E680=1,$C$4+SQRT(D680*($C$6-$C$4)*($C$5-$C$4)),$C$6-SQRT((1-D680)*($C$6-$C$4)*($C$6-$C$5)))</f>
        <v>8.67050297173291</v>
      </c>
    </row>
    <row r="681" customFormat="false" ht="15" hidden="false" customHeight="false" outlineLevel="0" collapsed="false">
      <c r="B681" s="0" t="n">
        <v>665</v>
      </c>
      <c r="C681" s="0" t="n">
        <f aca="true">RAND()</f>
        <v>0.298538591855346</v>
      </c>
      <c r="D681" s="0" t="n">
        <f aca="true">RAND()</f>
        <v>0.473224131753457</v>
      </c>
      <c r="E681" s="0" t="n">
        <f aca="false">IF(C681&lt;=$C$10,1,2)</f>
        <v>1</v>
      </c>
      <c r="F681" s="0" t="n">
        <f aca="false">IF(E681=1,$C$4+SQRT(D681*($C$6-$C$4)*($C$5-$C$4)),$C$6-SQRT((1-D681)*($C$6-$C$4)*($C$6-$C$5)))</f>
        <v>8.97285572594651</v>
      </c>
    </row>
    <row r="682" customFormat="false" ht="15" hidden="false" customHeight="false" outlineLevel="0" collapsed="false">
      <c r="B682" s="0" t="n">
        <v>666</v>
      </c>
      <c r="C682" s="0" t="n">
        <f aca="true">RAND()</f>
        <v>0.134298870574783</v>
      </c>
      <c r="D682" s="0" t="n">
        <f aca="true">RAND()</f>
        <v>0.132290818197732</v>
      </c>
      <c r="E682" s="0" t="n">
        <f aca="false">IF(C682&lt;=$C$10,1,2)</f>
        <v>1</v>
      </c>
      <c r="F682" s="0" t="n">
        <f aca="false">IF(E682=1,$C$4+SQRT(D682*($C$6-$C$4)*($C$5-$C$4)),$C$6-SQRT((1-D682)*($C$6-$C$4)*($C$6-$C$5)))</f>
        <v>8.51437499588866</v>
      </c>
    </row>
    <row r="683" customFormat="false" ht="15" hidden="false" customHeight="false" outlineLevel="0" collapsed="false">
      <c r="B683" s="0" t="n">
        <v>667</v>
      </c>
      <c r="C683" s="0" t="n">
        <f aca="true">RAND()</f>
        <v>0.999782795824744</v>
      </c>
      <c r="D683" s="0" t="n">
        <f aca="true">RAND()</f>
        <v>0.529831174863418</v>
      </c>
      <c r="E683" s="0" t="n">
        <f aca="false">IF(C683&lt;=$C$10,1,2)</f>
        <v>2</v>
      </c>
      <c r="F683" s="0" t="n">
        <f aca="false">IF(E683=1,$C$4+SQRT(D683*($C$6-$C$4)*($C$5-$C$4)),$C$6-SQRT((1-D683)*($C$6-$C$4)*($C$6-$C$5)))</f>
        <v>9.03028991431812</v>
      </c>
    </row>
    <row r="684" customFormat="false" ht="15" hidden="false" customHeight="false" outlineLevel="0" collapsed="false">
      <c r="B684" s="0" t="n">
        <v>668</v>
      </c>
      <c r="C684" s="0" t="n">
        <f aca="true">RAND()</f>
        <v>0.989606373075851</v>
      </c>
      <c r="D684" s="0" t="n">
        <f aca="true">RAND()</f>
        <v>0.900288981172358</v>
      </c>
      <c r="E684" s="0" t="n">
        <f aca="false">IF(C684&lt;=$C$10,1,2)</f>
        <v>2</v>
      </c>
      <c r="F684" s="0" t="n">
        <f aca="false">IF(E684=1,$C$4+SQRT(D684*($C$6-$C$4)*($C$5-$C$4)),$C$6-SQRT((1-D684)*($C$6-$C$4)*($C$6-$C$5)))</f>
        <v>9.55343305355716</v>
      </c>
    </row>
    <row r="685" customFormat="false" ht="15" hidden="false" customHeight="false" outlineLevel="0" collapsed="false">
      <c r="B685" s="0" t="n">
        <v>669</v>
      </c>
      <c r="C685" s="0" t="n">
        <f aca="true">RAND()</f>
        <v>0.033110085472543</v>
      </c>
      <c r="D685" s="0" t="n">
        <f aca="true">RAND()</f>
        <v>0.209208204547628</v>
      </c>
      <c r="E685" s="0" t="n">
        <f aca="false">IF(C685&lt;=$C$10,1,2)</f>
        <v>1</v>
      </c>
      <c r="F685" s="0" t="n">
        <f aca="false">IF(E685=1,$C$4+SQRT(D685*($C$6-$C$4)*($C$5-$C$4)),$C$6-SQRT((1-D685)*($C$6-$C$4)*($C$6-$C$5)))</f>
        <v>8.64685114910252</v>
      </c>
    </row>
    <row r="686" customFormat="false" ht="15" hidden="false" customHeight="false" outlineLevel="0" collapsed="false">
      <c r="B686" s="0" t="n">
        <v>670</v>
      </c>
      <c r="C686" s="0" t="n">
        <f aca="true">RAND()</f>
        <v>0.939614543079932</v>
      </c>
      <c r="D686" s="0" t="n">
        <f aca="true">RAND()</f>
        <v>0.339129365726722</v>
      </c>
      <c r="E686" s="0" t="n">
        <f aca="false">IF(C686&lt;=$C$10,1,2)</f>
        <v>2</v>
      </c>
      <c r="F686" s="0" t="n">
        <f aca="false">IF(E686=1,$C$4+SQRT(D686*($C$6-$C$4)*($C$5-$C$4)),$C$6-SQRT((1-D686)*($C$6-$C$4)*($C$6-$C$5)))</f>
        <v>8.85032993056853</v>
      </c>
    </row>
    <row r="687" customFormat="false" ht="15" hidden="false" customHeight="false" outlineLevel="0" collapsed="false">
      <c r="B687" s="0" t="n">
        <v>671</v>
      </c>
      <c r="C687" s="0" t="n">
        <f aca="true">RAND()</f>
        <v>0.847912258703301</v>
      </c>
      <c r="D687" s="0" t="n">
        <f aca="true">RAND()</f>
        <v>0.463157262263834</v>
      </c>
      <c r="E687" s="0" t="n">
        <f aca="false">IF(C687&lt;=$C$10,1,2)</f>
        <v>2</v>
      </c>
      <c r="F687" s="0" t="n">
        <f aca="false">IF(E687=1,$C$4+SQRT(D687*($C$6-$C$4)*($C$5-$C$4)),$C$6-SQRT((1-D687)*($C$6-$C$4)*($C$6-$C$5)))</f>
        <v>8.96381204626172</v>
      </c>
    </row>
    <row r="688" customFormat="false" ht="15" hidden="false" customHeight="false" outlineLevel="0" collapsed="false">
      <c r="B688" s="0" t="n">
        <v>672</v>
      </c>
      <c r="C688" s="0" t="n">
        <f aca="true">RAND()</f>
        <v>0.810175018525036</v>
      </c>
      <c r="D688" s="0" t="n">
        <f aca="true">RAND()</f>
        <v>0.676313689117269</v>
      </c>
      <c r="E688" s="0" t="n">
        <f aca="false">IF(C688&lt;=$C$10,1,2)</f>
        <v>2</v>
      </c>
      <c r="F688" s="0" t="n">
        <f aca="false">IF(E688=1,$C$4+SQRT(D688*($C$6-$C$4)*($C$5-$C$4)),$C$6-SQRT((1-D688)*($C$6-$C$4)*($C$6-$C$5)))</f>
        <v>9.19540530590523</v>
      </c>
    </row>
    <row r="689" customFormat="false" ht="15" hidden="false" customHeight="false" outlineLevel="0" collapsed="false">
      <c r="B689" s="0" t="n">
        <v>673</v>
      </c>
      <c r="C689" s="0" t="n">
        <f aca="true">RAND()</f>
        <v>0.965470610283306</v>
      </c>
      <c r="D689" s="0" t="n">
        <f aca="true">RAND()</f>
        <v>0.206915835218943</v>
      </c>
      <c r="E689" s="0" t="n">
        <f aca="false">IF(C689&lt;=$C$10,1,2)</f>
        <v>2</v>
      </c>
      <c r="F689" s="0" t="n">
        <f aca="false">IF(E689=1,$C$4+SQRT(D689*($C$6-$C$4)*($C$5-$C$4)),$C$6-SQRT((1-D689)*($C$6-$C$4)*($C$6-$C$5)))</f>
        <v>8.74056825132836</v>
      </c>
    </row>
    <row r="690" customFormat="false" ht="15" hidden="false" customHeight="false" outlineLevel="0" collapsed="false">
      <c r="B690" s="0" t="n">
        <v>674</v>
      </c>
      <c r="C690" s="0" t="n">
        <f aca="true">RAND()</f>
        <v>0.839465867996983</v>
      </c>
      <c r="D690" s="0" t="n">
        <f aca="true">RAND()</f>
        <v>0.443563074647576</v>
      </c>
      <c r="E690" s="0" t="n">
        <f aca="false">IF(C690&lt;=$C$10,1,2)</f>
        <v>2</v>
      </c>
      <c r="F690" s="0" t="n">
        <f aca="false">IF(E690=1,$C$4+SQRT(D690*($C$6-$C$4)*($C$5-$C$4)),$C$6-SQRT((1-D690)*($C$6-$C$4)*($C$6-$C$5)))</f>
        <v>8.94507163716921</v>
      </c>
    </row>
    <row r="691" customFormat="false" ht="15" hidden="false" customHeight="false" outlineLevel="0" collapsed="false">
      <c r="B691" s="0" t="n">
        <v>675</v>
      </c>
      <c r="C691" s="0" t="n">
        <f aca="true">RAND()</f>
        <v>0.185945661363207</v>
      </c>
      <c r="D691" s="0" t="n">
        <f aca="true">RAND()</f>
        <v>0.265379883442415</v>
      </c>
      <c r="E691" s="0" t="n">
        <f aca="false">IF(C691&lt;=$C$10,1,2)</f>
        <v>1</v>
      </c>
      <c r="F691" s="0" t="n">
        <f aca="false">IF(E691=1,$C$4+SQRT(D691*($C$6-$C$4)*($C$5-$C$4)),$C$6-SQRT((1-D691)*($C$6-$C$4)*($C$6-$C$5)))</f>
        <v>8.72853261209422</v>
      </c>
    </row>
    <row r="692" customFormat="false" ht="15" hidden="false" customHeight="false" outlineLevel="0" collapsed="false">
      <c r="B692" s="0" t="n">
        <v>676</v>
      </c>
      <c r="C692" s="0" t="n">
        <f aca="true">RAND()</f>
        <v>0.909716787227099</v>
      </c>
      <c r="D692" s="0" t="n">
        <f aca="true">RAND()</f>
        <v>0.255617774110426</v>
      </c>
      <c r="E692" s="0" t="n">
        <f aca="false">IF(C692&lt;=$C$10,1,2)</f>
        <v>2</v>
      </c>
      <c r="F692" s="0" t="n">
        <f aca="false">IF(E692=1,$C$4+SQRT(D692*($C$6-$C$4)*($C$5-$C$4)),$C$6-SQRT((1-D692)*($C$6-$C$4)*($C$6-$C$5)))</f>
        <v>8.77985064365909</v>
      </c>
    </row>
    <row r="693" customFormat="false" ht="15" hidden="false" customHeight="false" outlineLevel="0" collapsed="false">
      <c r="B693" s="0" t="n">
        <v>677</v>
      </c>
      <c r="C693" s="0" t="n">
        <f aca="true">RAND()</f>
        <v>0.863847082573652</v>
      </c>
      <c r="D693" s="0" t="n">
        <f aca="true">RAND()</f>
        <v>0.754507421837098</v>
      </c>
      <c r="E693" s="0" t="n">
        <f aca="false">IF(C693&lt;=$C$10,1,2)</f>
        <v>2</v>
      </c>
      <c r="F693" s="0" t="n">
        <f aca="false">IF(E693=1,$C$4+SQRT(D693*($C$6-$C$4)*($C$5-$C$4)),$C$6-SQRT((1-D693)*($C$6-$C$4)*($C$6-$C$5)))</f>
        <v>9.29929667024781</v>
      </c>
    </row>
    <row r="694" customFormat="false" ht="15" hidden="false" customHeight="false" outlineLevel="0" collapsed="false">
      <c r="B694" s="0" t="n">
        <v>678</v>
      </c>
      <c r="C694" s="0" t="n">
        <f aca="true">RAND()</f>
        <v>0.83060640451394</v>
      </c>
      <c r="D694" s="0" t="n">
        <f aca="true">RAND()</f>
        <v>0.164752149759653</v>
      </c>
      <c r="E694" s="0" t="n">
        <f aca="false">IF(C694&lt;=$C$10,1,2)</f>
        <v>2</v>
      </c>
      <c r="F694" s="0" t="n">
        <f aca="false">IF(E694=1,$C$4+SQRT(D694*($C$6-$C$4)*($C$5-$C$4)),$C$6-SQRT((1-D694)*($C$6-$C$4)*($C$6-$C$5)))</f>
        <v>8.70752342362397</v>
      </c>
    </row>
    <row r="695" customFormat="false" ht="15" hidden="false" customHeight="false" outlineLevel="0" collapsed="false">
      <c r="B695" s="0" t="n">
        <v>679</v>
      </c>
      <c r="C695" s="0" t="n">
        <f aca="true">RAND()</f>
        <v>0.210569998250852</v>
      </c>
      <c r="D695" s="0" t="n">
        <f aca="true">RAND()</f>
        <v>0.821713940530931</v>
      </c>
      <c r="E695" s="0" t="n">
        <f aca="false">IF(C695&lt;=$C$10,1,2)</f>
        <v>1</v>
      </c>
      <c r="F695" s="0" t="n">
        <f aca="false">IF(E695=1,$C$4+SQRT(D695*($C$6-$C$4)*($C$5-$C$4)),$C$6-SQRT((1-D695)*($C$6-$C$4)*($C$6-$C$5)))</f>
        <v>9.28196251156649</v>
      </c>
    </row>
    <row r="696" customFormat="false" ht="15" hidden="false" customHeight="false" outlineLevel="0" collapsed="false">
      <c r="B696" s="0" t="n">
        <v>680</v>
      </c>
      <c r="C696" s="0" t="n">
        <f aca="true">RAND()</f>
        <v>0.181026452271595</v>
      </c>
      <c r="D696" s="0" t="n">
        <f aca="true">RAND()</f>
        <v>0.561527738899988</v>
      </c>
      <c r="E696" s="0" t="n">
        <f aca="false">IF(C696&lt;=$C$10,1,2)</f>
        <v>1</v>
      </c>
      <c r="F696" s="0" t="n">
        <f aca="false">IF(E696=1,$C$4+SQRT(D696*($C$6-$C$4)*($C$5-$C$4)),$C$6-SQRT((1-D696)*($C$6-$C$4)*($C$6-$C$5)))</f>
        <v>9.05974311877925</v>
      </c>
    </row>
    <row r="697" customFormat="false" ht="15" hidden="false" customHeight="false" outlineLevel="0" collapsed="false">
      <c r="B697" s="0" t="n">
        <v>681</v>
      </c>
      <c r="C697" s="0" t="n">
        <f aca="true">RAND()</f>
        <v>0.900437004654948</v>
      </c>
      <c r="D697" s="0" t="n">
        <f aca="true">RAND()</f>
        <v>0.640864002349248</v>
      </c>
      <c r="E697" s="0" t="n">
        <f aca="false">IF(C697&lt;=$C$10,1,2)</f>
        <v>2</v>
      </c>
      <c r="F697" s="0" t="n">
        <f aca="false">IF(E697=1,$C$4+SQRT(D697*($C$6-$C$4)*($C$5-$C$4)),$C$6-SQRT((1-D697)*($C$6-$C$4)*($C$6-$C$5)))</f>
        <v>9.15249071078748</v>
      </c>
    </row>
    <row r="698" customFormat="false" ht="15" hidden="false" customHeight="false" outlineLevel="0" collapsed="false">
      <c r="B698" s="0" t="n">
        <v>682</v>
      </c>
      <c r="C698" s="0" t="n">
        <f aca="true">RAND()</f>
        <v>0.850336656462477</v>
      </c>
      <c r="D698" s="0" t="n">
        <f aca="true">RAND()</f>
        <v>0.0739766558680212</v>
      </c>
      <c r="E698" s="0" t="n">
        <f aca="false">IF(C698&lt;=$C$10,1,2)</f>
        <v>2</v>
      </c>
      <c r="F698" s="0" t="n">
        <f aca="false">IF(E698=1,$C$4+SQRT(D698*($C$6-$C$4)*($C$5-$C$4)),$C$6-SQRT((1-D698)*($C$6-$C$4)*($C$6-$C$5)))</f>
        <v>8.63910077953437</v>
      </c>
    </row>
    <row r="699" customFormat="false" ht="15" hidden="false" customHeight="false" outlineLevel="0" collapsed="false">
      <c r="B699" s="0" t="n">
        <v>683</v>
      </c>
      <c r="C699" s="0" t="n">
        <f aca="true">RAND()</f>
        <v>0.141859184273586</v>
      </c>
      <c r="D699" s="0" t="n">
        <f aca="true">RAND()</f>
        <v>0.610191784621333</v>
      </c>
      <c r="E699" s="0" t="n">
        <f aca="false">IF(C699&lt;=$C$10,1,2)</f>
        <v>1</v>
      </c>
      <c r="F699" s="0" t="n">
        <f aca="false">IF(E699=1,$C$4+SQRT(D699*($C$6-$C$4)*($C$5-$C$4)),$C$6-SQRT((1-D699)*($C$6-$C$4)*($C$6-$C$5)))</f>
        <v>9.10470972171094</v>
      </c>
    </row>
    <row r="700" customFormat="false" ht="15" hidden="false" customHeight="false" outlineLevel="0" collapsed="false">
      <c r="B700" s="0" t="n">
        <v>684</v>
      </c>
      <c r="C700" s="0" t="n">
        <f aca="true">RAND()</f>
        <v>0.397653717970733</v>
      </c>
      <c r="D700" s="0" t="n">
        <f aca="true">RAND()</f>
        <v>0.873257867166015</v>
      </c>
      <c r="E700" s="0" t="n">
        <f aca="false">IF(C700&lt;=$C$10,1,2)</f>
        <v>1</v>
      </c>
      <c r="F700" s="0" t="n">
        <f aca="false">IF(E700=1,$C$4+SQRT(D700*($C$6-$C$4)*($C$5-$C$4)),$C$6-SQRT((1-D700)*($C$6-$C$4)*($C$6-$C$5)))</f>
        <v>9.32155807073773</v>
      </c>
    </row>
    <row r="701" customFormat="false" ht="15" hidden="false" customHeight="false" outlineLevel="0" collapsed="false">
      <c r="B701" s="0" t="n">
        <v>685</v>
      </c>
      <c r="C701" s="0" t="n">
        <f aca="true">RAND()</f>
        <v>0.715392048620692</v>
      </c>
      <c r="D701" s="0" t="n">
        <f aca="true">RAND()</f>
        <v>0.829984059700653</v>
      </c>
      <c r="E701" s="0" t="n">
        <f aca="false">IF(C701&lt;=$C$10,1,2)</f>
        <v>2</v>
      </c>
      <c r="F701" s="0" t="n">
        <f aca="false">IF(E701=1,$C$4+SQRT(D701*($C$6-$C$4)*($C$5-$C$4)),$C$6-SQRT((1-D701)*($C$6-$C$4)*($C$6-$C$5)))</f>
        <v>9.41687747376843</v>
      </c>
    </row>
    <row r="702" customFormat="false" ht="15" hidden="false" customHeight="false" outlineLevel="0" collapsed="false">
      <c r="B702" s="0" t="n">
        <v>686</v>
      </c>
      <c r="C702" s="0" t="n">
        <f aca="true">RAND()</f>
        <v>0.245089667491176</v>
      </c>
      <c r="D702" s="0" t="n">
        <f aca="true">RAND()</f>
        <v>0.0340731058366786</v>
      </c>
      <c r="E702" s="0" t="n">
        <f aca="false">IF(C702&lt;=$C$10,1,2)</f>
        <v>1</v>
      </c>
      <c r="F702" s="0" t="n">
        <f aca="false">IF(E702=1,$C$4+SQRT(D702*($C$6-$C$4)*($C$5-$C$4)),$C$6-SQRT((1-D702)*($C$6-$C$4)*($C$6-$C$5)))</f>
        <v>8.26104829375684</v>
      </c>
    </row>
    <row r="703" customFormat="false" ht="15" hidden="false" customHeight="false" outlineLevel="0" collapsed="false">
      <c r="B703" s="0" t="n">
        <v>687</v>
      </c>
      <c r="C703" s="0" t="n">
        <f aca="true">RAND()</f>
        <v>0.593368240083223</v>
      </c>
      <c r="D703" s="0" t="n">
        <f aca="true">RAND()</f>
        <v>0.579256798949169</v>
      </c>
      <c r="E703" s="0" t="n">
        <f aca="false">IF(C703&lt;=$C$10,1,2)</f>
        <v>2</v>
      </c>
      <c r="F703" s="0" t="n">
        <f aca="false">IF(E703=1,$C$4+SQRT(D703*($C$6-$C$4)*($C$5-$C$4)),$C$6-SQRT((1-D703)*($C$6-$C$4)*($C$6-$C$5)))</f>
        <v>9.08267432059183</v>
      </c>
    </row>
    <row r="704" customFormat="false" ht="15" hidden="false" customHeight="false" outlineLevel="0" collapsed="false">
      <c r="B704" s="0" t="n">
        <v>688</v>
      </c>
      <c r="C704" s="0" t="n">
        <f aca="true">RAND()</f>
        <v>0.0293783171706808</v>
      </c>
      <c r="D704" s="0" t="n">
        <f aca="true">RAND()</f>
        <v>0.466881602474839</v>
      </c>
      <c r="E704" s="0" t="n">
        <f aca="false">IF(C704&lt;=$C$10,1,2)</f>
        <v>1</v>
      </c>
      <c r="F704" s="0" t="n">
        <f aca="false">IF(E704=1,$C$4+SQRT(D704*($C$6-$C$4)*($C$5-$C$4)),$C$6-SQRT((1-D704)*($C$6-$C$4)*($C$6-$C$5)))</f>
        <v>8.96631423716599</v>
      </c>
    </row>
    <row r="705" customFormat="false" ht="15" hidden="false" customHeight="false" outlineLevel="0" collapsed="false">
      <c r="B705" s="0" t="n">
        <v>689</v>
      </c>
      <c r="C705" s="0" t="n">
        <f aca="true">RAND()</f>
        <v>0.264118272747696</v>
      </c>
      <c r="D705" s="0" t="n">
        <f aca="true">RAND()</f>
        <v>0.280934223344068</v>
      </c>
      <c r="E705" s="0" t="n">
        <f aca="false">IF(C705&lt;=$C$10,1,2)</f>
        <v>1</v>
      </c>
      <c r="F705" s="0" t="n">
        <f aca="false">IF(E705=1,$C$4+SQRT(D705*($C$6-$C$4)*($C$5-$C$4)),$C$6-SQRT((1-D705)*($C$6-$C$4)*($C$6-$C$5)))</f>
        <v>8.74957884621175</v>
      </c>
    </row>
    <row r="706" customFormat="false" ht="15" hidden="false" customHeight="false" outlineLevel="0" collapsed="false">
      <c r="B706" s="0" t="n">
        <v>690</v>
      </c>
      <c r="C706" s="0" t="n">
        <f aca="true">RAND()</f>
        <v>0.253405187159521</v>
      </c>
      <c r="D706" s="0" t="n">
        <f aca="true">RAND()</f>
        <v>0.421738593619201</v>
      </c>
      <c r="E706" s="0" t="n">
        <f aca="false">IF(C706&lt;=$C$10,1,2)</f>
        <v>1</v>
      </c>
      <c r="F706" s="0" t="n">
        <f aca="false">IF(E706=1,$C$4+SQRT(D706*($C$6-$C$4)*($C$5-$C$4)),$C$6-SQRT((1-D706)*($C$6-$C$4)*($C$6-$C$5)))</f>
        <v>8.9184101410799</v>
      </c>
    </row>
    <row r="707" customFormat="false" ht="15" hidden="false" customHeight="false" outlineLevel="0" collapsed="false">
      <c r="B707" s="0" t="n">
        <v>691</v>
      </c>
      <c r="C707" s="0" t="n">
        <f aca="true">RAND()</f>
        <v>0.700803727178437</v>
      </c>
      <c r="D707" s="0" t="n">
        <f aca="true">RAND()</f>
        <v>0.766819519059644</v>
      </c>
      <c r="E707" s="0" t="n">
        <f aca="false">IF(C707&lt;=$C$10,1,2)</f>
        <v>2</v>
      </c>
      <c r="F707" s="0" t="n">
        <f aca="false">IF(E707=1,$C$4+SQRT(D707*($C$6-$C$4)*($C$5-$C$4)),$C$6-SQRT((1-D707)*($C$6-$C$4)*($C$6-$C$5)))</f>
        <v>9.31709373858434</v>
      </c>
    </row>
    <row r="708" customFormat="false" ht="15" hidden="false" customHeight="false" outlineLevel="0" collapsed="false">
      <c r="B708" s="0" t="n">
        <v>692</v>
      </c>
      <c r="C708" s="0" t="n">
        <f aca="true">RAND()</f>
        <v>0.816548100264928</v>
      </c>
      <c r="D708" s="0" t="n">
        <f aca="true">RAND()</f>
        <v>0.680481753950067</v>
      </c>
      <c r="E708" s="0" t="n">
        <f aca="false">IF(C708&lt;=$C$10,1,2)</f>
        <v>2</v>
      </c>
      <c r="F708" s="0" t="n">
        <f aca="false">IF(E708=1,$C$4+SQRT(D708*($C$6-$C$4)*($C$5-$C$4)),$C$6-SQRT((1-D708)*($C$6-$C$4)*($C$6-$C$5)))</f>
        <v>9.20060241925568</v>
      </c>
    </row>
    <row r="709" customFormat="false" ht="15" hidden="false" customHeight="false" outlineLevel="0" collapsed="false">
      <c r="B709" s="0" t="n">
        <v>693</v>
      </c>
      <c r="C709" s="0" t="n">
        <f aca="true">RAND()</f>
        <v>0.11892757064815</v>
      </c>
      <c r="D709" s="0" t="n">
        <f aca="true">RAND()</f>
        <v>0.844828546641951</v>
      </c>
      <c r="E709" s="0" t="n">
        <f aca="false">IF(C709&lt;=$C$10,1,2)</f>
        <v>1</v>
      </c>
      <c r="F709" s="0" t="n">
        <f aca="false">IF(E709=1,$C$4+SQRT(D709*($C$6-$C$4)*($C$5-$C$4)),$C$6-SQRT((1-D709)*($C$6-$C$4)*($C$6-$C$5)))</f>
        <v>9.29986810611073</v>
      </c>
    </row>
    <row r="710" customFormat="false" ht="15" hidden="false" customHeight="false" outlineLevel="0" collapsed="false">
      <c r="B710" s="0" t="n">
        <v>694</v>
      </c>
      <c r="C710" s="0" t="n">
        <f aca="true">RAND()</f>
        <v>0.111281765950872</v>
      </c>
      <c r="D710" s="0" t="n">
        <f aca="true">RAND()</f>
        <v>0.21785373986588</v>
      </c>
      <c r="E710" s="0" t="n">
        <f aca="false">IF(C710&lt;=$C$10,1,2)</f>
        <v>1</v>
      </c>
      <c r="F710" s="0" t="n">
        <f aca="false">IF(E710=1,$C$4+SQRT(D710*($C$6-$C$4)*($C$5-$C$4)),$C$6-SQRT((1-D710)*($C$6-$C$4)*($C$6-$C$5)))</f>
        <v>8.6600814190172</v>
      </c>
    </row>
    <row r="711" customFormat="false" ht="15" hidden="false" customHeight="false" outlineLevel="0" collapsed="false">
      <c r="B711" s="0" t="n">
        <v>695</v>
      </c>
      <c r="C711" s="0" t="n">
        <f aca="true">RAND()</f>
        <v>0.0609983535311788</v>
      </c>
      <c r="D711" s="0" t="n">
        <f aca="true">RAND()</f>
        <v>0.647117835825811</v>
      </c>
      <c r="E711" s="0" t="n">
        <f aca="false">IF(C711&lt;=$C$10,1,2)</f>
        <v>1</v>
      </c>
      <c r="F711" s="0" t="n">
        <f aca="false">IF(E711=1,$C$4+SQRT(D711*($C$6-$C$4)*($C$5-$C$4)),$C$6-SQRT((1-D711)*($C$6-$C$4)*($C$6-$C$5)))</f>
        <v>9.13764479151079</v>
      </c>
    </row>
    <row r="712" customFormat="false" ht="15" hidden="false" customHeight="false" outlineLevel="0" collapsed="false">
      <c r="B712" s="0" t="n">
        <v>696</v>
      </c>
      <c r="C712" s="0" t="n">
        <f aca="true">RAND()</f>
        <v>0.392489577761639</v>
      </c>
      <c r="D712" s="0" t="n">
        <f aca="true">RAND()</f>
        <v>0.0670219985160175</v>
      </c>
      <c r="E712" s="0" t="n">
        <f aca="false">IF(C712&lt;=$C$10,1,2)</f>
        <v>1</v>
      </c>
      <c r="F712" s="0" t="n">
        <f aca="false">IF(E712=1,$C$4+SQRT(D712*($C$6-$C$4)*($C$5-$C$4)),$C$6-SQRT((1-D712)*($C$6-$C$4)*($C$6-$C$5)))</f>
        <v>8.36612019478859</v>
      </c>
    </row>
    <row r="713" customFormat="false" ht="15" hidden="false" customHeight="false" outlineLevel="0" collapsed="false">
      <c r="B713" s="0" t="n">
        <v>697</v>
      </c>
      <c r="C713" s="0" t="n">
        <f aca="true">RAND()</f>
        <v>0.846786473436295</v>
      </c>
      <c r="D713" s="0" t="n">
        <f aca="true">RAND()</f>
        <v>0.212698041681231</v>
      </c>
      <c r="E713" s="0" t="n">
        <f aca="false">IF(C713&lt;=$C$10,1,2)</f>
        <v>2</v>
      </c>
      <c r="F713" s="0" t="n">
        <f aca="false">IF(E713=1,$C$4+SQRT(D713*($C$6-$C$4)*($C$5-$C$4)),$C$6-SQRT((1-D713)*($C$6-$C$4)*($C$6-$C$5)))</f>
        <v>8.74516777351012</v>
      </c>
    </row>
    <row r="714" customFormat="false" ht="15" hidden="false" customHeight="false" outlineLevel="0" collapsed="false">
      <c r="B714" s="0" t="n">
        <v>698</v>
      </c>
      <c r="C714" s="0" t="n">
        <f aca="true">RAND()</f>
        <v>0.803187896132721</v>
      </c>
      <c r="D714" s="0" t="n">
        <f aca="true">RAND()</f>
        <v>0.770588530364283</v>
      </c>
      <c r="E714" s="0" t="n">
        <f aca="false">IF(C714&lt;=$C$10,1,2)</f>
        <v>2</v>
      </c>
      <c r="F714" s="0" t="n">
        <f aca="false">IF(E714=1,$C$4+SQRT(D714*($C$6-$C$4)*($C$5-$C$4)),$C$6-SQRT((1-D714)*($C$6-$C$4)*($C$6-$C$5)))</f>
        <v>9.3226352981802</v>
      </c>
    </row>
    <row r="715" customFormat="false" ht="15" hidden="false" customHeight="false" outlineLevel="0" collapsed="false">
      <c r="B715" s="0" t="n">
        <v>699</v>
      </c>
      <c r="C715" s="0" t="n">
        <f aca="true">RAND()</f>
        <v>0.140864956171751</v>
      </c>
      <c r="D715" s="0" t="n">
        <f aca="true">RAND()</f>
        <v>0.96152326466946</v>
      </c>
      <c r="E715" s="0" t="n">
        <f aca="false">IF(C715&lt;=$C$10,1,2)</f>
        <v>1</v>
      </c>
      <c r="F715" s="0" t="n">
        <f aca="false">IF(E715=1,$C$4+SQRT(D715*($C$6-$C$4)*($C$5-$C$4)),$C$6-SQRT((1-D715)*($C$6-$C$4)*($C$6-$C$5)))</f>
        <v>9.38673953190169</v>
      </c>
    </row>
    <row r="716" customFormat="false" ht="15" hidden="false" customHeight="false" outlineLevel="0" collapsed="false">
      <c r="B716" s="0" t="n">
        <v>700</v>
      </c>
      <c r="C716" s="0" t="n">
        <f aca="true">RAND()</f>
        <v>0.503185404944352</v>
      </c>
      <c r="D716" s="0" t="n">
        <f aca="true">RAND()</f>
        <v>0.235112574422697</v>
      </c>
      <c r="E716" s="0" t="n">
        <f aca="false">IF(C716&lt;=$C$10,1,2)</f>
        <v>2</v>
      </c>
      <c r="F716" s="0" t="n">
        <f aca="false">IF(E716=1,$C$4+SQRT(D716*($C$6-$C$4)*($C$5-$C$4)),$C$6-SQRT((1-D716)*($C$6-$C$4)*($C$6-$C$5)))</f>
        <v>8.76315932668973</v>
      </c>
    </row>
    <row r="717" customFormat="false" ht="15" hidden="false" customHeight="false" outlineLevel="0" collapsed="false">
      <c r="B717" s="0" t="n">
        <v>701</v>
      </c>
      <c r="C717" s="0" t="n">
        <f aca="true">RAND()</f>
        <v>0.258312107861599</v>
      </c>
      <c r="D717" s="0" t="n">
        <f aca="true">RAND()</f>
        <v>0.730959792270859</v>
      </c>
      <c r="E717" s="0" t="n">
        <f aca="false">IF(C717&lt;=$C$10,1,2)</f>
        <v>1</v>
      </c>
      <c r="F717" s="0" t="n">
        <f aca="false">IF(E717=1,$C$4+SQRT(D717*($C$6-$C$4)*($C$5-$C$4)),$C$6-SQRT((1-D717)*($C$6-$C$4)*($C$6-$C$5)))</f>
        <v>9.20909866617316</v>
      </c>
    </row>
    <row r="718" customFormat="false" ht="15" hidden="false" customHeight="false" outlineLevel="0" collapsed="false">
      <c r="B718" s="0" t="n">
        <v>702</v>
      </c>
      <c r="C718" s="0" t="n">
        <f aca="true">RAND()</f>
        <v>0.928830978331225</v>
      </c>
      <c r="D718" s="0" t="n">
        <f aca="true">RAND()</f>
        <v>0.326465574278962</v>
      </c>
      <c r="E718" s="0" t="n">
        <f aca="false">IF(C718&lt;=$C$10,1,2)</f>
        <v>2</v>
      </c>
      <c r="F718" s="0" t="n">
        <f aca="false">IF(E718=1,$C$4+SQRT(D718*($C$6-$C$4)*($C$5-$C$4)),$C$6-SQRT((1-D718)*($C$6-$C$4)*($C$6-$C$5)))</f>
        <v>8.83936704706351</v>
      </c>
    </row>
    <row r="719" customFormat="false" ht="15" hidden="false" customHeight="false" outlineLevel="0" collapsed="false">
      <c r="B719" s="0" t="n">
        <v>703</v>
      </c>
      <c r="C719" s="0" t="n">
        <f aca="true">RAND()</f>
        <v>0.791122876017716</v>
      </c>
      <c r="D719" s="0" t="n">
        <f aca="true">RAND()</f>
        <v>0.608251872478003</v>
      </c>
      <c r="E719" s="0" t="n">
        <f aca="false">IF(C719&lt;=$C$10,1,2)</f>
        <v>2</v>
      </c>
      <c r="F719" s="0" t="n">
        <f aca="false">IF(E719=1,$C$4+SQRT(D719*($C$6-$C$4)*($C$5-$C$4)),$C$6-SQRT((1-D719)*($C$6-$C$4)*($C$6-$C$5)))</f>
        <v>9.11484676182935</v>
      </c>
    </row>
    <row r="720" customFormat="false" ht="15" hidden="false" customHeight="false" outlineLevel="0" collapsed="false">
      <c r="B720" s="0" t="n">
        <v>704</v>
      </c>
      <c r="C720" s="0" t="n">
        <f aca="true">RAND()</f>
        <v>0.13988311856818</v>
      </c>
      <c r="D720" s="0" t="n">
        <f aca="true">RAND()</f>
        <v>0.0027982287545249</v>
      </c>
      <c r="E720" s="0" t="n">
        <f aca="false">IF(C720&lt;=$C$10,1,2)</f>
        <v>1</v>
      </c>
      <c r="F720" s="0" t="n">
        <f aca="false">IF(E720=1,$C$4+SQRT(D720*($C$6-$C$4)*($C$5-$C$4)),$C$6-SQRT((1-D720)*($C$6-$C$4)*($C$6-$C$5)))</f>
        <v>8.0748094747278</v>
      </c>
    </row>
    <row r="721" customFormat="false" ht="15" hidden="false" customHeight="false" outlineLevel="0" collapsed="false">
      <c r="B721" s="0" t="n">
        <v>705</v>
      </c>
      <c r="C721" s="0" t="n">
        <f aca="true">RAND()</f>
        <v>0.316602321857134</v>
      </c>
      <c r="D721" s="0" t="n">
        <f aca="true">RAND()</f>
        <v>0.32219424175123</v>
      </c>
      <c r="E721" s="0" t="n">
        <f aca="false">IF(C721&lt;=$C$10,1,2)</f>
        <v>1</v>
      </c>
      <c r="F721" s="0" t="n">
        <f aca="false">IF(E721=1,$C$4+SQRT(D721*($C$6-$C$4)*($C$5-$C$4)),$C$6-SQRT((1-D721)*($C$6-$C$4)*($C$6-$C$5)))</f>
        <v>8.80273811638819</v>
      </c>
    </row>
    <row r="722" customFormat="false" ht="15" hidden="false" customHeight="false" outlineLevel="0" collapsed="false">
      <c r="B722" s="0" t="n">
        <v>706</v>
      </c>
      <c r="C722" s="0" t="n">
        <f aca="true">RAND()</f>
        <v>0.83725797953123</v>
      </c>
      <c r="D722" s="0" t="n">
        <f aca="true">RAND()</f>
        <v>0.486824293227253</v>
      </c>
      <c r="E722" s="0" t="n">
        <f aca="false">IF(C722&lt;=$C$10,1,2)</f>
        <v>2</v>
      </c>
      <c r="F722" s="0" t="n">
        <f aca="false">IF(E722=1,$C$4+SQRT(D722*($C$6-$C$4)*($C$5-$C$4)),$C$6-SQRT((1-D722)*($C$6-$C$4)*($C$6-$C$5)))</f>
        <v>8.98690996770006</v>
      </c>
    </row>
    <row r="723" customFormat="false" ht="15" hidden="false" customHeight="false" outlineLevel="0" collapsed="false">
      <c r="B723" s="0" t="n">
        <v>707</v>
      </c>
      <c r="C723" s="0" t="n">
        <f aca="true">RAND()</f>
        <v>0.019509881593503</v>
      </c>
      <c r="D723" s="0" t="n">
        <f aca="true">RAND()</f>
        <v>0.469801977358642</v>
      </c>
      <c r="E723" s="0" t="n">
        <f aca="false">IF(C723&lt;=$C$10,1,2)</f>
        <v>1</v>
      </c>
      <c r="F723" s="0" t="n">
        <f aca="false">IF(E723=1,$C$4+SQRT(D723*($C$6-$C$4)*($C$5-$C$4)),$C$6-SQRT((1-D723)*($C$6-$C$4)*($C$6-$C$5)))</f>
        <v>8.96933170520585</v>
      </c>
    </row>
    <row r="724" customFormat="false" ht="15" hidden="false" customHeight="false" outlineLevel="0" collapsed="false">
      <c r="B724" s="0" t="n">
        <v>708</v>
      </c>
      <c r="C724" s="0" t="n">
        <f aca="true">RAND()</f>
        <v>0.4460249454521</v>
      </c>
      <c r="D724" s="0" t="n">
        <f aca="true">RAND()</f>
        <v>0.936136811408734</v>
      </c>
      <c r="E724" s="0" t="n">
        <f aca="false">IF(C724&lt;=$C$10,1,2)</f>
        <v>1</v>
      </c>
      <c r="F724" s="0" t="n">
        <f aca="false">IF(E724=1,$C$4+SQRT(D724*($C$6-$C$4)*($C$5-$C$4)),$C$6-SQRT((1-D724)*($C$6-$C$4)*($C$6-$C$5)))</f>
        <v>9.36831049941798</v>
      </c>
    </row>
    <row r="725" customFormat="false" ht="15" hidden="false" customHeight="false" outlineLevel="0" collapsed="false">
      <c r="B725" s="0" t="n">
        <v>709</v>
      </c>
      <c r="C725" s="0" t="n">
        <f aca="true">RAND()</f>
        <v>0.860039567002746</v>
      </c>
      <c r="D725" s="0" t="n">
        <f aca="true">RAND()</f>
        <v>0.239490515320311</v>
      </c>
      <c r="E725" s="0" t="n">
        <f aca="false">IF(C725&lt;=$C$10,1,2)</f>
        <v>2</v>
      </c>
      <c r="F725" s="0" t="n">
        <f aca="false">IF(E725=1,$C$4+SQRT(D725*($C$6-$C$4)*($C$5-$C$4)),$C$6-SQRT((1-D725)*($C$6-$C$4)*($C$6-$C$5)))</f>
        <v>8.76670402199659</v>
      </c>
    </row>
    <row r="726" customFormat="false" ht="15" hidden="false" customHeight="false" outlineLevel="0" collapsed="false">
      <c r="B726" s="0" t="n">
        <v>710</v>
      </c>
      <c r="C726" s="0" t="n">
        <f aca="true">RAND()</f>
        <v>0.84266358375509</v>
      </c>
      <c r="D726" s="0" t="n">
        <f aca="true">RAND()</f>
        <v>0.163708420069624</v>
      </c>
      <c r="E726" s="0" t="n">
        <f aca="false">IF(C726&lt;=$C$10,1,2)</f>
        <v>2</v>
      </c>
      <c r="F726" s="0" t="n">
        <f aca="false">IF(E726=1,$C$4+SQRT(D726*($C$6-$C$4)*($C$5-$C$4)),$C$6-SQRT((1-D726)*($C$6-$C$4)*($C$6-$C$5)))</f>
        <v>8.70671613330222</v>
      </c>
    </row>
    <row r="727" customFormat="false" ht="15" hidden="false" customHeight="false" outlineLevel="0" collapsed="false">
      <c r="B727" s="0" t="n">
        <v>711</v>
      </c>
      <c r="C727" s="0" t="n">
        <f aca="true">RAND()</f>
        <v>0.0691900684162172</v>
      </c>
      <c r="D727" s="0" t="n">
        <f aca="true">RAND()</f>
        <v>0.574928094764768</v>
      </c>
      <c r="E727" s="0" t="n">
        <f aca="false">IF(C727&lt;=$C$10,1,2)</f>
        <v>1</v>
      </c>
      <c r="F727" s="0" t="n">
        <f aca="false">IF(E727=1,$C$4+SQRT(D727*($C$6-$C$4)*($C$5-$C$4)),$C$6-SQRT((1-D727)*($C$6-$C$4)*($C$6-$C$5)))</f>
        <v>9.07231347540238</v>
      </c>
    </row>
    <row r="728" customFormat="false" ht="15" hidden="false" customHeight="false" outlineLevel="0" collapsed="false">
      <c r="B728" s="0" t="n">
        <v>712</v>
      </c>
      <c r="C728" s="0" t="n">
        <f aca="true">RAND()</f>
        <v>0.899540231200325</v>
      </c>
      <c r="D728" s="0" t="n">
        <f aca="true">RAND()</f>
        <v>0.658649406722793</v>
      </c>
      <c r="E728" s="0" t="n">
        <f aca="false">IF(C728&lt;=$C$10,1,2)</f>
        <v>2</v>
      </c>
      <c r="F728" s="0" t="n">
        <f aca="false">IF(E728=1,$C$4+SQRT(D728*($C$6-$C$4)*($C$5-$C$4)),$C$6-SQRT((1-D728)*($C$6-$C$4)*($C$6-$C$5)))</f>
        <v>9.17374266323716</v>
      </c>
    </row>
    <row r="729" customFormat="false" ht="15" hidden="false" customHeight="false" outlineLevel="0" collapsed="false">
      <c r="B729" s="0" t="n">
        <v>713</v>
      </c>
      <c r="C729" s="0" t="n">
        <f aca="true">RAND()</f>
        <v>0.0622834282882183</v>
      </c>
      <c r="D729" s="0" t="n">
        <f aca="true">RAND()</f>
        <v>0.89192794635135</v>
      </c>
      <c r="E729" s="0" t="n">
        <f aca="false">IF(C729&lt;=$C$10,1,2)</f>
        <v>1</v>
      </c>
      <c r="F729" s="0" t="n">
        <f aca="false">IF(E729=1,$C$4+SQRT(D729*($C$6-$C$4)*($C$5-$C$4)),$C$6-SQRT((1-D729)*($C$6-$C$4)*($C$6-$C$5)))</f>
        <v>9.33561068156207</v>
      </c>
    </row>
    <row r="730" customFormat="false" ht="15" hidden="false" customHeight="false" outlineLevel="0" collapsed="false">
      <c r="B730" s="0" t="n">
        <v>714</v>
      </c>
      <c r="C730" s="0" t="n">
        <f aca="true">RAND()</f>
        <v>0.718918234119645</v>
      </c>
      <c r="D730" s="0" t="n">
        <f aca="true">RAND()</f>
        <v>0.278607029678199</v>
      </c>
      <c r="E730" s="0" t="n">
        <f aca="false">IF(C730&lt;=$C$10,1,2)</f>
        <v>2</v>
      </c>
      <c r="F730" s="0" t="n">
        <f aca="false">IF(E730=1,$C$4+SQRT(D730*($C$6-$C$4)*($C$5-$C$4)),$C$6-SQRT((1-D730)*($C$6-$C$4)*($C$6-$C$5)))</f>
        <v>8.79883975230463</v>
      </c>
    </row>
    <row r="731" customFormat="false" ht="15" hidden="false" customHeight="false" outlineLevel="0" collapsed="false">
      <c r="B731" s="0" t="n">
        <v>715</v>
      </c>
      <c r="C731" s="0" t="n">
        <f aca="true">RAND()</f>
        <v>0.268335720073215</v>
      </c>
      <c r="D731" s="0" t="n">
        <f aca="true">RAND()</f>
        <v>0.332301905344613</v>
      </c>
      <c r="E731" s="0" t="n">
        <f aca="false">IF(C731&lt;=$C$10,1,2)</f>
        <v>1</v>
      </c>
      <c r="F731" s="0" t="n">
        <f aca="false">IF(E731=1,$C$4+SQRT(D731*($C$6-$C$4)*($C$5-$C$4)),$C$6-SQRT((1-D731)*($C$6-$C$4)*($C$6-$C$5)))</f>
        <v>8.8152323660707</v>
      </c>
    </row>
    <row r="732" customFormat="false" ht="15" hidden="false" customHeight="false" outlineLevel="0" collapsed="false">
      <c r="B732" s="0" t="n">
        <v>716</v>
      </c>
      <c r="C732" s="0" t="n">
        <f aca="true">RAND()</f>
        <v>0.983387713171587</v>
      </c>
      <c r="D732" s="0" t="n">
        <f aca="true">RAND()</f>
        <v>0.20500356021707</v>
      </c>
      <c r="E732" s="0" t="n">
        <f aca="false">IF(C732&lt;=$C$10,1,2)</f>
        <v>2</v>
      </c>
      <c r="F732" s="0" t="n">
        <f aca="false">IF(E732=1,$C$4+SQRT(D732*($C$6-$C$4)*($C$5-$C$4)),$C$6-SQRT((1-D732)*($C$6-$C$4)*($C$6-$C$5)))</f>
        <v>8.73905080214711</v>
      </c>
    </row>
    <row r="733" customFormat="false" ht="15" hidden="false" customHeight="false" outlineLevel="0" collapsed="false">
      <c r="B733" s="0" t="n">
        <v>717</v>
      </c>
      <c r="C733" s="0" t="n">
        <f aca="true">RAND()</f>
        <v>0.605668188027526</v>
      </c>
      <c r="D733" s="0" t="n">
        <f aca="true">RAND()</f>
        <v>0.712764798595869</v>
      </c>
      <c r="E733" s="0" t="n">
        <f aca="false">IF(C733&lt;=$C$10,1,2)</f>
        <v>2</v>
      </c>
      <c r="F733" s="0" t="n">
        <f aca="false">IF(E733=1,$C$4+SQRT(D733*($C$6-$C$4)*($C$5-$C$4)),$C$6-SQRT((1-D733)*($C$6-$C$4)*($C$6-$C$5)))</f>
        <v>9.24206174208696</v>
      </c>
    </row>
    <row r="734" customFormat="false" ht="15" hidden="false" customHeight="false" outlineLevel="0" collapsed="false">
      <c r="B734" s="0" t="n">
        <v>718</v>
      </c>
      <c r="C734" s="0" t="n">
        <f aca="true">RAND()</f>
        <v>0.483885564007341</v>
      </c>
      <c r="D734" s="0" t="n">
        <f aca="true">RAND()</f>
        <v>0.734400521546391</v>
      </c>
      <c r="E734" s="0" t="n">
        <f aca="false">IF(C734&lt;=$C$10,1,2)</f>
        <v>1</v>
      </c>
      <c r="F734" s="0" t="n">
        <f aca="false">IF(E734=1,$C$4+SQRT(D734*($C$6-$C$4)*($C$5-$C$4)),$C$6-SQRT((1-D734)*($C$6-$C$4)*($C$6-$C$5)))</f>
        <v>9.21194102294327</v>
      </c>
    </row>
    <row r="735" customFormat="false" ht="15" hidden="false" customHeight="false" outlineLevel="0" collapsed="false">
      <c r="B735" s="0" t="n">
        <v>719</v>
      </c>
      <c r="C735" s="0" t="n">
        <f aca="true">RAND()</f>
        <v>0.343780927134899</v>
      </c>
      <c r="D735" s="0" t="n">
        <f aca="true">RAND()</f>
        <v>0.53800935993818</v>
      </c>
      <c r="E735" s="0" t="n">
        <f aca="false">IF(C735&lt;=$C$10,1,2)</f>
        <v>1</v>
      </c>
      <c r="F735" s="0" t="n">
        <f aca="false">IF(E735=1,$C$4+SQRT(D735*($C$6-$C$4)*($C$5-$C$4)),$C$6-SQRT((1-D735)*($C$6-$C$4)*($C$6-$C$5)))</f>
        <v>9.03731322168203</v>
      </c>
    </row>
    <row r="736" customFormat="false" ht="15" hidden="false" customHeight="false" outlineLevel="0" collapsed="false">
      <c r="B736" s="0" t="n">
        <v>720</v>
      </c>
      <c r="C736" s="0" t="n">
        <f aca="true">RAND()</f>
        <v>0.95594005906265</v>
      </c>
      <c r="D736" s="0" t="n">
        <f aca="true">RAND()</f>
        <v>0.839655461743095</v>
      </c>
      <c r="E736" s="0" t="n">
        <f aca="false">IF(C736&lt;=$C$10,1,2)</f>
        <v>2</v>
      </c>
      <c r="F736" s="0" t="n">
        <f aca="false">IF(E736=1,$C$4+SQRT(D736*($C$6-$C$4)*($C$5-$C$4)),$C$6-SQRT((1-D736)*($C$6-$C$4)*($C$6-$C$5)))</f>
        <v>9.43370583923741</v>
      </c>
    </row>
    <row r="737" customFormat="false" ht="15" hidden="false" customHeight="false" outlineLevel="0" collapsed="false">
      <c r="B737" s="0" t="n">
        <v>721</v>
      </c>
      <c r="C737" s="0" t="n">
        <f aca="true">RAND()</f>
        <v>0.953902385629533</v>
      </c>
      <c r="D737" s="0" t="n">
        <f aca="true">RAND()</f>
        <v>0.474336223532817</v>
      </c>
      <c r="E737" s="0" t="n">
        <f aca="false">IF(C737&lt;=$C$10,1,2)</f>
        <v>2</v>
      </c>
      <c r="F737" s="0" t="n">
        <f aca="false">IF(E737=1,$C$4+SQRT(D737*($C$6-$C$4)*($C$5-$C$4)),$C$6-SQRT((1-D737)*($C$6-$C$4)*($C$6-$C$5)))</f>
        <v>8.97465734852472</v>
      </c>
    </row>
    <row r="738" customFormat="false" ht="15" hidden="false" customHeight="false" outlineLevel="0" collapsed="false">
      <c r="B738" s="0" t="n">
        <v>722</v>
      </c>
      <c r="C738" s="0" t="n">
        <f aca="true">RAND()</f>
        <v>0.849513470416338</v>
      </c>
      <c r="D738" s="0" t="n">
        <f aca="true">RAND()</f>
        <v>0.447199429494665</v>
      </c>
      <c r="E738" s="0" t="n">
        <f aca="false">IF(C738&lt;=$C$10,1,2)</f>
        <v>2</v>
      </c>
      <c r="F738" s="0" t="n">
        <f aca="false">IF(E738=1,$C$4+SQRT(D738*($C$6-$C$4)*($C$5-$C$4)),$C$6-SQRT((1-D738)*($C$6-$C$4)*($C$6-$C$5)))</f>
        <v>8.9485243031764</v>
      </c>
    </row>
    <row r="739" customFormat="false" ht="15" hidden="false" customHeight="false" outlineLevel="0" collapsed="false">
      <c r="B739" s="0" t="n">
        <v>723</v>
      </c>
      <c r="C739" s="0" t="n">
        <f aca="true">RAND()</f>
        <v>0.0591950440078159</v>
      </c>
      <c r="D739" s="0" t="n">
        <f aca="true">RAND()</f>
        <v>0.395203503581373</v>
      </c>
      <c r="E739" s="0" t="n">
        <f aca="false">IF(C739&lt;=$C$10,1,2)</f>
        <v>1</v>
      </c>
      <c r="F739" s="0" t="n">
        <f aca="false">IF(E739=1,$C$4+SQRT(D739*($C$6-$C$4)*($C$5-$C$4)),$C$6-SQRT((1-D739)*($C$6-$C$4)*($C$6-$C$5)))</f>
        <v>8.88904837166644</v>
      </c>
    </row>
    <row r="740" customFormat="false" ht="15" hidden="false" customHeight="false" outlineLevel="0" collapsed="false">
      <c r="B740" s="0" t="n">
        <v>724</v>
      </c>
      <c r="C740" s="0" t="n">
        <f aca="true">RAND()</f>
        <v>0.0818533832751727</v>
      </c>
      <c r="D740" s="0" t="n">
        <f aca="true">RAND()</f>
        <v>0.567335940523743</v>
      </c>
      <c r="E740" s="0" t="n">
        <f aca="false">IF(C740&lt;=$C$10,1,2)</f>
        <v>1</v>
      </c>
      <c r="F740" s="0" t="n">
        <f aca="false">IF(E740=1,$C$4+SQRT(D740*($C$6-$C$4)*($C$5-$C$4)),$C$6-SQRT((1-D740)*($C$6-$C$4)*($C$6-$C$5)))</f>
        <v>9.06520978264729</v>
      </c>
    </row>
    <row r="741" customFormat="false" ht="15" hidden="false" customHeight="false" outlineLevel="0" collapsed="false">
      <c r="B741" s="0" t="n">
        <v>725</v>
      </c>
      <c r="C741" s="0" t="n">
        <f aca="true">RAND()</f>
        <v>0.255736911770421</v>
      </c>
      <c r="D741" s="0" t="n">
        <f aca="true">RAND()</f>
        <v>0.0261074152687137</v>
      </c>
      <c r="E741" s="0" t="n">
        <f aca="false">IF(C741&lt;=$C$10,1,2)</f>
        <v>1</v>
      </c>
      <c r="F741" s="0" t="n">
        <f aca="false">IF(E741=1,$C$4+SQRT(D741*($C$6-$C$4)*($C$5-$C$4)),$C$6-SQRT((1-D741)*($C$6-$C$4)*($C$6-$C$5)))</f>
        <v>8.22850564662044</v>
      </c>
    </row>
    <row r="742" customFormat="false" ht="15" hidden="false" customHeight="false" outlineLevel="0" collapsed="false">
      <c r="B742" s="0" t="n">
        <v>726</v>
      </c>
      <c r="C742" s="0" t="n">
        <f aca="true">RAND()</f>
        <v>0.926625658823131</v>
      </c>
      <c r="D742" s="0" t="n">
        <f aca="true">RAND()</f>
        <v>0.578384099496598</v>
      </c>
      <c r="E742" s="0" t="n">
        <f aca="false">IF(C742&lt;=$C$10,1,2)</f>
        <v>2</v>
      </c>
      <c r="F742" s="0" t="n">
        <f aca="false">IF(E742=1,$C$4+SQRT(D742*($C$6-$C$4)*($C$5-$C$4)),$C$6-SQRT((1-D742)*($C$6-$C$4)*($C$6-$C$5)))</f>
        <v>9.08172346158317</v>
      </c>
    </row>
    <row r="743" customFormat="false" ht="15" hidden="false" customHeight="false" outlineLevel="0" collapsed="false">
      <c r="B743" s="0" t="n">
        <v>727</v>
      </c>
      <c r="C743" s="0" t="n">
        <f aca="true">RAND()</f>
        <v>0.661383062983952</v>
      </c>
      <c r="D743" s="0" t="n">
        <f aca="true">RAND()</f>
        <v>0.255377221387893</v>
      </c>
      <c r="E743" s="0" t="n">
        <f aca="false">IF(C743&lt;=$C$10,1,2)</f>
        <v>2</v>
      </c>
      <c r="F743" s="0" t="n">
        <f aca="false">IF(E743=1,$C$4+SQRT(D743*($C$6-$C$4)*($C$5-$C$4)),$C$6-SQRT((1-D743)*($C$6-$C$4)*($C$6-$C$5)))</f>
        <v>8.77965350935719</v>
      </c>
    </row>
    <row r="744" customFormat="false" ht="15" hidden="false" customHeight="false" outlineLevel="0" collapsed="false">
      <c r="B744" s="0" t="n">
        <v>728</v>
      </c>
      <c r="C744" s="0" t="n">
        <f aca="true">RAND()</f>
        <v>0.330281064916336</v>
      </c>
      <c r="D744" s="0" t="n">
        <f aca="true">RAND()</f>
        <v>0.790369210760449</v>
      </c>
      <c r="E744" s="0" t="n">
        <f aca="false">IF(C744&lt;=$C$10,1,2)</f>
        <v>1</v>
      </c>
      <c r="F744" s="0" t="n">
        <f aca="false">IF(E744=1,$C$4+SQRT(D744*($C$6-$C$4)*($C$5-$C$4)),$C$6-SQRT((1-D744)*($C$6-$C$4)*($C$6-$C$5)))</f>
        <v>9.25727420299666</v>
      </c>
    </row>
    <row r="745" customFormat="false" ht="15" hidden="false" customHeight="false" outlineLevel="0" collapsed="false">
      <c r="B745" s="0" t="n">
        <v>729</v>
      </c>
      <c r="C745" s="0" t="n">
        <f aca="true">RAND()</f>
        <v>0.405320834704851</v>
      </c>
      <c r="D745" s="0" t="n">
        <f aca="true">RAND()</f>
        <v>0.940930831862959</v>
      </c>
      <c r="E745" s="0" t="n">
        <f aca="false">IF(C745&lt;=$C$10,1,2)</f>
        <v>1</v>
      </c>
      <c r="F745" s="0" t="n">
        <f aca="false">IF(E745=1,$C$4+SQRT(D745*($C$6-$C$4)*($C$5-$C$4)),$C$6-SQRT((1-D745)*($C$6-$C$4)*($C$6-$C$5)))</f>
        <v>9.37180963100786</v>
      </c>
    </row>
    <row r="746" customFormat="false" ht="15" hidden="false" customHeight="false" outlineLevel="0" collapsed="false">
      <c r="B746" s="0" t="n">
        <v>730</v>
      </c>
      <c r="C746" s="0" t="n">
        <f aca="true">RAND()</f>
        <v>0.862055607138174</v>
      </c>
      <c r="D746" s="0" t="n">
        <f aca="true">RAND()</f>
        <v>0.355065895391626</v>
      </c>
      <c r="E746" s="0" t="n">
        <f aca="false">IF(C746&lt;=$C$10,1,2)</f>
        <v>2</v>
      </c>
      <c r="F746" s="0" t="n">
        <f aca="false">IF(E746=1,$C$4+SQRT(D746*($C$6-$C$4)*($C$5-$C$4)),$C$6-SQRT((1-D746)*($C$6-$C$4)*($C$6-$C$5)))</f>
        <v>8.86427634997912</v>
      </c>
    </row>
    <row r="747" customFormat="false" ht="15" hidden="false" customHeight="false" outlineLevel="0" collapsed="false">
      <c r="B747" s="0" t="n">
        <v>731</v>
      </c>
      <c r="C747" s="0" t="n">
        <f aca="true">RAND()</f>
        <v>0.00810604610430434</v>
      </c>
      <c r="D747" s="0" t="n">
        <f aca="true">RAND()</f>
        <v>0.822781774055909</v>
      </c>
      <c r="E747" s="0" t="n">
        <f aca="false">IF(C747&lt;=$C$10,1,2)</f>
        <v>1</v>
      </c>
      <c r="F747" s="0" t="n">
        <f aca="false">IF(E747=1,$C$4+SQRT(D747*($C$6-$C$4)*($C$5-$C$4)),$C$6-SQRT((1-D747)*($C$6-$C$4)*($C$6-$C$5)))</f>
        <v>9.28279520895263</v>
      </c>
    </row>
    <row r="748" customFormat="false" ht="15" hidden="false" customHeight="false" outlineLevel="0" collapsed="false">
      <c r="B748" s="0" t="n">
        <v>732</v>
      </c>
      <c r="C748" s="0" t="n">
        <f aca="true">RAND()</f>
        <v>0.180122650040025</v>
      </c>
      <c r="D748" s="0" t="n">
        <f aca="true">RAND()</f>
        <v>0.312226689263998</v>
      </c>
      <c r="E748" s="0" t="n">
        <f aca="false">IF(C748&lt;=$C$10,1,2)</f>
        <v>1</v>
      </c>
      <c r="F748" s="0" t="n">
        <f aca="false">IF(E748=1,$C$4+SQRT(D748*($C$6-$C$4)*($C$5-$C$4)),$C$6-SQRT((1-D748)*($C$6-$C$4)*($C$6-$C$5)))</f>
        <v>8.7902236256453</v>
      </c>
    </row>
    <row r="749" customFormat="false" ht="15" hidden="false" customHeight="false" outlineLevel="0" collapsed="false">
      <c r="B749" s="0" t="n">
        <v>733</v>
      </c>
      <c r="C749" s="0" t="n">
        <f aca="true">RAND()</f>
        <v>0.49836100547763</v>
      </c>
      <c r="D749" s="0" t="n">
        <f aca="true">RAND()</f>
        <v>0.334801746001847</v>
      </c>
      <c r="E749" s="0" t="n">
        <f aca="false">IF(C749&lt;=$C$10,1,2)</f>
        <v>1</v>
      </c>
      <c r="F749" s="0" t="n">
        <f aca="false">IF(E749=1,$C$4+SQRT(D749*($C$6-$C$4)*($C$5-$C$4)),$C$6-SQRT((1-D749)*($C$6-$C$4)*($C$6-$C$5)))</f>
        <v>8.81829303553415</v>
      </c>
    </row>
    <row r="750" customFormat="false" ht="15" hidden="false" customHeight="false" outlineLevel="0" collapsed="false">
      <c r="B750" s="0" t="n">
        <v>734</v>
      </c>
      <c r="C750" s="0" t="n">
        <f aca="true">RAND()</f>
        <v>0.242272486073247</v>
      </c>
      <c r="D750" s="0" t="n">
        <f aca="true">RAND()</f>
        <v>0.385034746707734</v>
      </c>
      <c r="E750" s="0" t="n">
        <f aca="false">IF(C750&lt;=$C$10,1,2)</f>
        <v>1</v>
      </c>
      <c r="F750" s="0" t="n">
        <f aca="false">IF(E750=1,$C$4+SQRT(D750*($C$6-$C$4)*($C$5-$C$4)),$C$6-SQRT((1-D750)*($C$6-$C$4)*($C$6-$C$5)))</f>
        <v>8.87753603539426</v>
      </c>
    </row>
    <row r="751" customFormat="false" ht="15" hidden="false" customHeight="false" outlineLevel="0" collapsed="false">
      <c r="B751" s="0" t="n">
        <v>735</v>
      </c>
      <c r="C751" s="0" t="n">
        <f aca="true">RAND()</f>
        <v>0.148211405838195</v>
      </c>
      <c r="D751" s="0" t="n">
        <f aca="true">RAND()</f>
        <v>0.0944319453050098</v>
      </c>
      <c r="E751" s="0" t="n">
        <f aca="false">IF(C751&lt;=$C$10,1,2)</f>
        <v>1</v>
      </c>
      <c r="F751" s="0" t="n">
        <f aca="false">IF(E751=1,$C$4+SQRT(D751*($C$6-$C$4)*($C$5-$C$4)),$C$6-SQRT((1-D751)*($C$6-$C$4)*($C$6-$C$5)))</f>
        <v>8.43458473352158</v>
      </c>
    </row>
    <row r="752" customFormat="false" ht="15" hidden="false" customHeight="false" outlineLevel="0" collapsed="false">
      <c r="B752" s="0" t="n">
        <v>736</v>
      </c>
      <c r="C752" s="0" t="n">
        <f aca="true">RAND()</f>
        <v>0.576785847183664</v>
      </c>
      <c r="D752" s="0" t="n">
        <f aca="true">RAND()</f>
        <v>0.0298350179566954</v>
      </c>
      <c r="E752" s="0" t="n">
        <f aca="false">IF(C752&lt;=$C$10,1,2)</f>
        <v>2</v>
      </c>
      <c r="F752" s="0" t="n">
        <f aca="false">IF(E752=1,$C$4+SQRT(D752*($C$6-$C$4)*($C$5-$C$4)),$C$6-SQRT((1-D752)*($C$6-$C$4)*($C$6-$C$5)))</f>
        <v>8.60704272711378</v>
      </c>
    </row>
    <row r="753" customFormat="false" ht="15" hidden="false" customHeight="false" outlineLevel="0" collapsed="false">
      <c r="B753" s="0" t="n">
        <v>737</v>
      </c>
      <c r="C753" s="0" t="n">
        <f aca="true">RAND()</f>
        <v>0.561140405031289</v>
      </c>
      <c r="D753" s="0" t="n">
        <f aca="true">RAND()</f>
        <v>0.907829259602186</v>
      </c>
      <c r="E753" s="0" t="n">
        <f aca="false">IF(C753&lt;=$C$10,1,2)</f>
        <v>2</v>
      </c>
      <c r="F753" s="0" t="n">
        <f aca="false">IF(E753=1,$C$4+SQRT(D753*($C$6-$C$4)*($C$5-$C$4)),$C$6-SQRT((1-D753)*($C$6-$C$4)*($C$6-$C$5)))</f>
        <v>9.57064993211177</v>
      </c>
    </row>
    <row r="754" customFormat="false" ht="15" hidden="false" customHeight="false" outlineLevel="0" collapsed="false">
      <c r="B754" s="0" t="n">
        <v>738</v>
      </c>
      <c r="C754" s="0" t="n">
        <f aca="true">RAND()</f>
        <v>0.41012224040695</v>
      </c>
      <c r="D754" s="0" t="n">
        <f aca="true">RAND()</f>
        <v>0.215458470954797</v>
      </c>
      <c r="E754" s="0" t="n">
        <f aca="false">IF(C754&lt;=$C$10,1,2)</f>
        <v>1</v>
      </c>
      <c r="F754" s="0" t="n">
        <f aca="false">IF(E754=1,$C$4+SQRT(D754*($C$6-$C$4)*($C$5-$C$4)),$C$6-SQRT((1-D754)*($C$6-$C$4)*($C$6-$C$5)))</f>
        <v>8.65644264175143</v>
      </c>
    </row>
    <row r="755" customFormat="false" ht="15" hidden="false" customHeight="false" outlineLevel="0" collapsed="false">
      <c r="B755" s="0" t="n">
        <v>739</v>
      </c>
      <c r="C755" s="0" t="n">
        <f aca="true">RAND()</f>
        <v>0.239469614370556</v>
      </c>
      <c r="D755" s="0" t="n">
        <f aca="true">RAND()</f>
        <v>0.561115473865554</v>
      </c>
      <c r="E755" s="0" t="n">
        <f aca="false">IF(C755&lt;=$C$10,1,2)</f>
        <v>1</v>
      </c>
      <c r="F755" s="0" t="n">
        <f aca="false">IF(E755=1,$C$4+SQRT(D755*($C$6-$C$4)*($C$5-$C$4)),$C$6-SQRT((1-D755)*($C$6-$C$4)*($C$6-$C$5)))</f>
        <v>9.05935402379521</v>
      </c>
    </row>
    <row r="756" customFormat="false" ht="15" hidden="false" customHeight="false" outlineLevel="0" collapsed="false">
      <c r="B756" s="0" t="n">
        <v>740</v>
      </c>
      <c r="C756" s="0" t="n">
        <f aca="true">RAND()</f>
        <v>0.517247044591824</v>
      </c>
      <c r="D756" s="0" t="n">
        <f aca="true">RAND()</f>
        <v>0.324421534086383</v>
      </c>
      <c r="E756" s="0" t="n">
        <f aca="false">IF(C756&lt;=$C$10,1,2)</f>
        <v>2</v>
      </c>
      <c r="F756" s="0" t="n">
        <f aca="false">IF(E756=1,$C$4+SQRT(D756*($C$6-$C$4)*($C$5-$C$4)),$C$6-SQRT((1-D756)*($C$6-$C$4)*($C$6-$C$5)))</f>
        <v>8.83760723856898</v>
      </c>
    </row>
    <row r="757" customFormat="false" ht="15" hidden="false" customHeight="false" outlineLevel="0" collapsed="false">
      <c r="B757" s="0" t="n">
        <v>741</v>
      </c>
      <c r="C757" s="0" t="n">
        <f aca="true">RAND()</f>
        <v>0.677746403653006</v>
      </c>
      <c r="D757" s="0" t="n">
        <f aca="true">RAND()</f>
        <v>0.379466351984974</v>
      </c>
      <c r="E757" s="0" t="n">
        <f aca="false">IF(C757&lt;=$C$10,1,2)</f>
        <v>2</v>
      </c>
      <c r="F757" s="0" t="n">
        <f aca="false">IF(E757=1,$C$4+SQRT(D757*($C$6-$C$4)*($C$5-$C$4)),$C$6-SQRT((1-D757)*($C$6-$C$4)*($C$6-$C$5)))</f>
        <v>8.8859680004461</v>
      </c>
    </row>
    <row r="758" customFormat="false" ht="15" hidden="false" customHeight="false" outlineLevel="0" collapsed="false">
      <c r="B758" s="0" t="n">
        <v>742</v>
      </c>
      <c r="C758" s="0" t="n">
        <f aca="true">RAND()</f>
        <v>0.106654697467908</v>
      </c>
      <c r="D758" s="0" t="n">
        <f aca="true">RAND()</f>
        <v>0.362462395485531</v>
      </c>
      <c r="E758" s="0" t="n">
        <f aca="false">IF(C758&lt;=$C$10,1,2)</f>
        <v>1</v>
      </c>
      <c r="F758" s="0" t="n">
        <f aca="false">IF(E758=1,$C$4+SQRT(D758*($C$6-$C$4)*($C$5-$C$4)),$C$6-SQRT((1-D758)*($C$6-$C$4)*($C$6-$C$5)))</f>
        <v>8.85142515288842</v>
      </c>
    </row>
    <row r="759" customFormat="false" ht="15" hidden="false" customHeight="false" outlineLevel="0" collapsed="false">
      <c r="B759" s="0" t="n">
        <v>743</v>
      </c>
      <c r="C759" s="0" t="n">
        <f aca="true">RAND()</f>
        <v>0.38973842603878</v>
      </c>
      <c r="D759" s="0" t="n">
        <f aca="true">RAND()</f>
        <v>0.894552026178778</v>
      </c>
      <c r="E759" s="0" t="n">
        <f aca="false">IF(C759&lt;=$C$10,1,2)</f>
        <v>1</v>
      </c>
      <c r="F759" s="0" t="n">
        <f aca="false">IF(E759=1,$C$4+SQRT(D759*($C$6-$C$4)*($C$5-$C$4)),$C$6-SQRT((1-D759)*($C$6-$C$4)*($C$6-$C$5)))</f>
        <v>9.33757394276263</v>
      </c>
    </row>
    <row r="760" customFormat="false" ht="15" hidden="false" customHeight="false" outlineLevel="0" collapsed="false">
      <c r="B760" s="0" t="n">
        <v>744</v>
      </c>
      <c r="C760" s="0" t="n">
        <f aca="true">RAND()</f>
        <v>0.840735470798054</v>
      </c>
      <c r="D760" s="0" t="n">
        <f aca="true">RAND()</f>
        <v>0.751686772424233</v>
      </c>
      <c r="E760" s="0" t="n">
        <f aca="false">IF(C760&lt;=$C$10,1,2)</f>
        <v>2</v>
      </c>
      <c r="F760" s="0" t="n">
        <f aca="false">IF(E760=1,$C$4+SQRT(D760*($C$6-$C$4)*($C$5-$C$4)),$C$6-SQRT((1-D760)*($C$6-$C$4)*($C$6-$C$5)))</f>
        <v>9.2952827126063</v>
      </c>
    </row>
    <row r="761" customFormat="false" ht="15" hidden="false" customHeight="false" outlineLevel="0" collapsed="false">
      <c r="B761" s="0" t="n">
        <v>745</v>
      </c>
      <c r="C761" s="0" t="n">
        <f aca="true">RAND()</f>
        <v>0.669115676694878</v>
      </c>
      <c r="D761" s="0" t="n">
        <f aca="true">RAND()</f>
        <v>0.67059060537619</v>
      </c>
      <c r="E761" s="0" t="n">
        <f aca="false">IF(C761&lt;=$C$10,1,2)</f>
        <v>2</v>
      </c>
      <c r="F761" s="0" t="n">
        <f aca="false">IF(E761=1,$C$4+SQRT(D761*($C$6-$C$4)*($C$5-$C$4)),$C$6-SQRT((1-D761)*($C$6-$C$4)*($C$6-$C$5)))</f>
        <v>9.18832347006482</v>
      </c>
    </row>
    <row r="762" customFormat="false" ht="15" hidden="false" customHeight="false" outlineLevel="0" collapsed="false">
      <c r="B762" s="0" t="n">
        <v>746</v>
      </c>
      <c r="C762" s="0" t="n">
        <f aca="true">RAND()</f>
        <v>0.615053335249453</v>
      </c>
      <c r="D762" s="0" t="n">
        <f aca="true">RAND()</f>
        <v>0.314700402315161</v>
      </c>
      <c r="E762" s="0" t="n">
        <f aca="false">IF(C762&lt;=$C$10,1,2)</f>
        <v>2</v>
      </c>
      <c r="F762" s="0" t="n">
        <f aca="false">IF(E762=1,$C$4+SQRT(D762*($C$6-$C$4)*($C$5-$C$4)),$C$6-SQRT((1-D762)*($C$6-$C$4)*($C$6-$C$5)))</f>
        <v>8.82927407333327</v>
      </c>
    </row>
    <row r="763" customFormat="false" ht="15" hidden="false" customHeight="false" outlineLevel="0" collapsed="false">
      <c r="B763" s="0" t="n">
        <v>747</v>
      </c>
      <c r="C763" s="0" t="n">
        <f aca="true">RAND()</f>
        <v>0.432761565510884</v>
      </c>
      <c r="D763" s="0" t="n">
        <f aca="true">RAND()</f>
        <v>0.860658060076858</v>
      </c>
      <c r="E763" s="0" t="n">
        <f aca="false">IF(C763&lt;=$C$10,1,2)</f>
        <v>1</v>
      </c>
      <c r="F763" s="0" t="n">
        <f aca="false">IF(E763=1,$C$4+SQRT(D763*($C$6-$C$4)*($C$5-$C$4)),$C$6-SQRT((1-D763)*($C$6-$C$4)*($C$6-$C$5)))</f>
        <v>9.31198937501556</v>
      </c>
    </row>
    <row r="764" customFormat="false" ht="15" hidden="false" customHeight="false" outlineLevel="0" collapsed="false">
      <c r="B764" s="0" t="n">
        <v>748</v>
      </c>
      <c r="C764" s="0" t="n">
        <f aca="true">RAND()</f>
        <v>0.387511932101798</v>
      </c>
      <c r="D764" s="0" t="n">
        <f aca="true">RAND()</f>
        <v>0.240928060764299</v>
      </c>
      <c r="E764" s="0" t="n">
        <f aca="false">IF(C764&lt;=$C$10,1,2)</f>
        <v>1</v>
      </c>
      <c r="F764" s="0" t="n">
        <f aca="false">IF(E764=1,$C$4+SQRT(D764*($C$6-$C$4)*($C$5-$C$4)),$C$6-SQRT((1-D764)*($C$6-$C$4)*($C$6-$C$5)))</f>
        <v>8.69415857088175</v>
      </c>
    </row>
    <row r="765" customFormat="false" ht="15" hidden="false" customHeight="false" outlineLevel="0" collapsed="false">
      <c r="B765" s="0" t="n">
        <v>749</v>
      </c>
      <c r="C765" s="0" t="n">
        <f aca="true">RAND()</f>
        <v>0.813471985719283</v>
      </c>
      <c r="D765" s="0" t="n">
        <f aca="true">RAND()</f>
        <v>0.577319927300475</v>
      </c>
      <c r="E765" s="0" t="n">
        <f aca="false">IF(C765&lt;=$C$10,1,2)</f>
        <v>2</v>
      </c>
      <c r="F765" s="0" t="n">
        <f aca="false">IF(E765=1,$C$4+SQRT(D765*($C$6-$C$4)*($C$5-$C$4)),$C$6-SQRT((1-D765)*($C$6-$C$4)*($C$6-$C$5)))</f>
        <v>9.08056531205362</v>
      </c>
    </row>
    <row r="766" customFormat="false" ht="15" hidden="false" customHeight="false" outlineLevel="0" collapsed="false">
      <c r="B766" s="0" t="n">
        <v>750</v>
      </c>
      <c r="C766" s="0" t="n">
        <f aca="true">RAND()</f>
        <v>0.379577709200428</v>
      </c>
      <c r="D766" s="0" t="n">
        <f aca="true">RAND()</f>
        <v>0.500193834254787</v>
      </c>
      <c r="E766" s="0" t="n">
        <f aca="false">IF(C766&lt;=$C$10,1,2)</f>
        <v>1</v>
      </c>
      <c r="F766" s="0" t="n">
        <f aca="false">IF(E766=1,$C$4+SQRT(D766*($C$6-$C$4)*($C$5-$C$4)),$C$6-SQRT((1-D766)*($C$6-$C$4)*($C$6-$C$5)))</f>
        <v>9.00019381547257</v>
      </c>
    </row>
    <row r="767" customFormat="false" ht="15" hidden="false" customHeight="false" outlineLevel="0" collapsed="false">
      <c r="B767" s="0" t="n">
        <v>751</v>
      </c>
      <c r="C767" s="0" t="n">
        <f aca="true">RAND()</f>
        <v>0.0330648924477486</v>
      </c>
      <c r="D767" s="0" t="n">
        <f aca="true">RAND()</f>
        <v>0.379976867962871</v>
      </c>
      <c r="E767" s="0" t="n">
        <f aca="false">IF(C767&lt;=$C$10,1,2)</f>
        <v>1</v>
      </c>
      <c r="F767" s="0" t="n">
        <f aca="false">IF(E767=1,$C$4+SQRT(D767*($C$6-$C$4)*($C$5-$C$4)),$C$6-SQRT((1-D767)*($C$6-$C$4)*($C$6-$C$5)))</f>
        <v>8.87175325403794</v>
      </c>
    </row>
    <row r="768" customFormat="false" ht="15" hidden="false" customHeight="false" outlineLevel="0" collapsed="false">
      <c r="B768" s="0" t="n">
        <v>752</v>
      </c>
      <c r="C768" s="0" t="n">
        <f aca="true">RAND()</f>
        <v>0.553260974432454</v>
      </c>
      <c r="D768" s="0" t="n">
        <f aca="true">RAND()</f>
        <v>0.0328216107254785</v>
      </c>
      <c r="E768" s="0" t="n">
        <f aca="false">IF(C768&lt;=$C$10,1,2)</f>
        <v>2</v>
      </c>
      <c r="F768" s="0" t="n">
        <f aca="false">IF(E768=1,$C$4+SQRT(D768*($C$6-$C$4)*($C$5-$C$4)),$C$6-SQRT((1-D768)*($C$6-$C$4)*($C$6-$C$5)))</f>
        <v>8.60918844606861</v>
      </c>
    </row>
    <row r="769" customFormat="false" ht="15" hidden="false" customHeight="false" outlineLevel="0" collapsed="false">
      <c r="B769" s="0" t="n">
        <v>753</v>
      </c>
      <c r="C769" s="0" t="n">
        <f aca="true">RAND()</f>
        <v>0.583522801202836</v>
      </c>
      <c r="D769" s="0" t="n">
        <f aca="true">RAND()</f>
        <v>0.131357170420926</v>
      </c>
      <c r="E769" s="0" t="n">
        <f aca="false">IF(C769&lt;=$C$10,1,2)</f>
        <v>2</v>
      </c>
      <c r="F769" s="0" t="n">
        <f aca="false">IF(E769=1,$C$4+SQRT(D769*($C$6-$C$4)*($C$5-$C$4)),$C$6-SQRT((1-D769)*($C$6-$C$4)*($C$6-$C$5)))</f>
        <v>8.68193867397676</v>
      </c>
    </row>
    <row r="770" customFormat="false" ht="15" hidden="false" customHeight="false" outlineLevel="0" collapsed="false">
      <c r="B770" s="0" t="n">
        <v>754</v>
      </c>
      <c r="C770" s="0" t="n">
        <f aca="true">RAND()</f>
        <v>0.317979038927646</v>
      </c>
      <c r="D770" s="0" t="n">
        <f aca="true">RAND()</f>
        <v>0.107469637711649</v>
      </c>
      <c r="E770" s="0" t="n">
        <f aca="false">IF(C770&lt;=$C$10,1,2)</f>
        <v>1</v>
      </c>
      <c r="F770" s="0" t="n">
        <f aca="false">IF(E770=1,$C$4+SQRT(D770*($C$6-$C$4)*($C$5-$C$4)),$C$6-SQRT((1-D770)*($C$6-$C$4)*($C$6-$C$5)))</f>
        <v>8.46361543915545</v>
      </c>
    </row>
    <row r="771" customFormat="false" ht="15" hidden="false" customHeight="false" outlineLevel="0" collapsed="false">
      <c r="B771" s="0" t="n">
        <v>755</v>
      </c>
      <c r="C771" s="0" t="n">
        <f aca="true">RAND()</f>
        <v>0.39484004425448</v>
      </c>
      <c r="D771" s="0" t="n">
        <f aca="true">RAND()</f>
        <v>0.411114722351979</v>
      </c>
      <c r="E771" s="0" t="n">
        <f aca="false">IF(C771&lt;=$C$10,1,2)</f>
        <v>1</v>
      </c>
      <c r="F771" s="0" t="n">
        <f aca="false">IF(E771=1,$C$4+SQRT(D771*($C$6-$C$4)*($C$5-$C$4)),$C$6-SQRT((1-D771)*($C$6-$C$4)*($C$6-$C$5)))</f>
        <v>8.90676868312925</v>
      </c>
    </row>
    <row r="772" customFormat="false" ht="15" hidden="false" customHeight="false" outlineLevel="0" collapsed="false">
      <c r="B772" s="0" t="n">
        <v>756</v>
      </c>
      <c r="C772" s="0" t="n">
        <f aca="true">RAND()</f>
        <v>0.92349660798972</v>
      </c>
      <c r="D772" s="0" t="n">
        <f aca="true">RAND()</f>
        <v>0.406714172859127</v>
      </c>
      <c r="E772" s="0" t="n">
        <f aca="false">IF(C772&lt;=$C$10,1,2)</f>
        <v>2</v>
      </c>
      <c r="F772" s="0" t="n">
        <f aca="false">IF(E772=1,$C$4+SQRT(D772*($C$6-$C$4)*($C$5-$C$4)),$C$6-SQRT((1-D772)*($C$6-$C$4)*($C$6-$C$5)))</f>
        <v>8.91070130162487</v>
      </c>
    </row>
    <row r="773" customFormat="false" ht="15" hidden="false" customHeight="false" outlineLevel="0" collapsed="false">
      <c r="B773" s="0" t="n">
        <v>757</v>
      </c>
      <c r="C773" s="0" t="n">
        <f aca="true">RAND()</f>
        <v>0.0684277062752293</v>
      </c>
      <c r="D773" s="0" t="n">
        <f aca="true">RAND()</f>
        <v>0.0907584860418088</v>
      </c>
      <c r="E773" s="0" t="n">
        <f aca="false">IF(C773&lt;=$C$10,1,2)</f>
        <v>1</v>
      </c>
      <c r="F773" s="0" t="n">
        <f aca="false">IF(E773=1,$C$4+SQRT(D773*($C$6-$C$4)*($C$5-$C$4)),$C$6-SQRT((1-D773)*($C$6-$C$4)*($C$6-$C$5)))</f>
        <v>8.42604808658603</v>
      </c>
    </row>
    <row r="774" customFormat="false" ht="15" hidden="false" customHeight="false" outlineLevel="0" collapsed="false">
      <c r="B774" s="0" t="n">
        <v>758</v>
      </c>
      <c r="C774" s="0" t="n">
        <f aca="true">RAND()</f>
        <v>0.126752697823211</v>
      </c>
      <c r="D774" s="0" t="n">
        <f aca="true">RAND()</f>
        <v>0.366791832775181</v>
      </c>
      <c r="E774" s="0" t="n">
        <f aca="false">IF(C774&lt;=$C$10,1,2)</f>
        <v>1</v>
      </c>
      <c r="F774" s="0" t="n">
        <f aca="false">IF(E774=1,$C$4+SQRT(D774*($C$6-$C$4)*($C$5-$C$4)),$C$6-SQRT((1-D774)*($C$6-$C$4)*($C$6-$C$5)))</f>
        <v>8.8564949886312</v>
      </c>
    </row>
    <row r="775" customFormat="false" ht="15" hidden="false" customHeight="false" outlineLevel="0" collapsed="false">
      <c r="B775" s="0" t="n">
        <v>759</v>
      </c>
      <c r="C775" s="0" t="n">
        <f aca="true">RAND()</f>
        <v>0.933757093422054</v>
      </c>
      <c r="D775" s="0" t="n">
        <f aca="true">RAND()</f>
        <v>0.658527064212251</v>
      </c>
      <c r="E775" s="0" t="n">
        <f aca="false">IF(C775&lt;=$C$10,1,2)</f>
        <v>2</v>
      </c>
      <c r="F775" s="0" t="n">
        <f aca="false">IF(E775=1,$C$4+SQRT(D775*($C$6-$C$4)*($C$5-$C$4)),$C$6-SQRT((1-D775)*($C$6-$C$4)*($C$6-$C$5)))</f>
        <v>9.17359460821247</v>
      </c>
    </row>
    <row r="776" customFormat="false" ht="15" hidden="false" customHeight="false" outlineLevel="0" collapsed="false">
      <c r="B776" s="0" t="n">
        <v>760</v>
      </c>
      <c r="C776" s="0" t="n">
        <f aca="true">RAND()</f>
        <v>0.780845236370159</v>
      </c>
      <c r="D776" s="0" t="n">
        <f aca="true">RAND()</f>
        <v>0.464980401973389</v>
      </c>
      <c r="E776" s="0" t="n">
        <f aca="false">IF(C776&lt;=$C$10,1,2)</f>
        <v>2</v>
      </c>
      <c r="F776" s="0" t="n">
        <f aca="false">IF(E776=1,$C$4+SQRT(D776*($C$6-$C$4)*($C$5-$C$4)),$C$6-SQRT((1-D776)*($C$6-$C$4)*($C$6-$C$5)))</f>
        <v>8.96557301076721</v>
      </c>
    </row>
    <row r="777" customFormat="false" ht="15" hidden="false" customHeight="false" outlineLevel="0" collapsed="false">
      <c r="B777" s="0" t="n">
        <v>761</v>
      </c>
      <c r="C777" s="0" t="n">
        <f aca="true">RAND()</f>
        <v>0.557980624666667</v>
      </c>
      <c r="D777" s="0" t="n">
        <f aca="true">RAND()</f>
        <v>0.819224680698224</v>
      </c>
      <c r="E777" s="0" t="n">
        <f aca="false">IF(C777&lt;=$C$10,1,2)</f>
        <v>2</v>
      </c>
      <c r="F777" s="0" t="n">
        <f aca="false">IF(E777=1,$C$4+SQRT(D777*($C$6-$C$4)*($C$5-$C$4)),$C$6-SQRT((1-D777)*($C$6-$C$4)*($C$6-$C$5)))</f>
        <v>9.39870918965649</v>
      </c>
    </row>
    <row r="778" customFormat="false" ht="15" hidden="false" customHeight="false" outlineLevel="0" collapsed="false">
      <c r="B778" s="0" t="n">
        <v>762</v>
      </c>
      <c r="C778" s="0" t="n">
        <f aca="true">RAND()</f>
        <v>0.46433729119754</v>
      </c>
      <c r="D778" s="0" t="n">
        <f aca="true">RAND()</f>
        <v>0.72598527929606</v>
      </c>
      <c r="E778" s="0" t="n">
        <f aca="false">IF(C778&lt;=$C$10,1,2)</f>
        <v>1</v>
      </c>
      <c r="F778" s="0" t="n">
        <f aca="false">IF(E778=1,$C$4+SQRT(D778*($C$6-$C$4)*($C$5-$C$4)),$C$6-SQRT((1-D778)*($C$6-$C$4)*($C$6-$C$5)))</f>
        <v>9.20497740999245</v>
      </c>
    </row>
    <row r="779" customFormat="false" ht="15" hidden="false" customHeight="false" outlineLevel="0" collapsed="false">
      <c r="B779" s="0" t="n">
        <v>763</v>
      </c>
      <c r="C779" s="0" t="n">
        <f aca="true">RAND()</f>
        <v>0.00811967026878765</v>
      </c>
      <c r="D779" s="0" t="n">
        <f aca="true">RAND()</f>
        <v>0.344410886871593</v>
      </c>
      <c r="E779" s="0" t="n">
        <f aca="false">IF(C779&lt;=$C$10,1,2)</f>
        <v>1</v>
      </c>
      <c r="F779" s="0" t="n">
        <f aca="false">IF(E779=1,$C$4+SQRT(D779*($C$6-$C$4)*($C$5-$C$4)),$C$6-SQRT((1-D779)*($C$6-$C$4)*($C$6-$C$5)))</f>
        <v>8.82995287441106</v>
      </c>
    </row>
    <row r="780" customFormat="false" ht="15" hidden="false" customHeight="false" outlineLevel="0" collapsed="false">
      <c r="B780" s="0" t="n">
        <v>764</v>
      </c>
      <c r="C780" s="0" t="n">
        <f aca="true">RAND()</f>
        <v>0.0664439672136385</v>
      </c>
      <c r="D780" s="0" t="n">
        <f aca="true">RAND()</f>
        <v>0.865312701259726</v>
      </c>
      <c r="E780" s="0" t="n">
        <f aca="false">IF(C780&lt;=$C$10,1,2)</f>
        <v>1</v>
      </c>
      <c r="F780" s="0" t="n">
        <f aca="false">IF(E780=1,$C$4+SQRT(D780*($C$6-$C$4)*($C$5-$C$4)),$C$6-SQRT((1-D780)*($C$6-$C$4)*($C$6-$C$5)))</f>
        <v>9.31553236467958</v>
      </c>
    </row>
    <row r="781" customFormat="false" ht="15" hidden="false" customHeight="false" outlineLevel="0" collapsed="false">
      <c r="B781" s="0" t="n">
        <v>765</v>
      </c>
      <c r="C781" s="0" t="n">
        <f aca="true">RAND()</f>
        <v>0.174406819541685</v>
      </c>
      <c r="D781" s="0" t="n">
        <f aca="true">RAND()</f>
        <v>0.601840065831462</v>
      </c>
      <c r="E781" s="0" t="n">
        <f aca="false">IF(C781&lt;=$C$10,1,2)</f>
        <v>1</v>
      </c>
      <c r="F781" s="0" t="n">
        <f aca="false">IF(E781=1,$C$4+SQRT(D781*($C$6-$C$4)*($C$5-$C$4)),$C$6-SQRT((1-D781)*($C$6-$C$4)*($C$6-$C$5)))</f>
        <v>9.0971235717379</v>
      </c>
    </row>
    <row r="782" customFormat="false" ht="15" hidden="false" customHeight="false" outlineLevel="0" collapsed="false">
      <c r="B782" s="0" t="n">
        <v>766</v>
      </c>
      <c r="C782" s="0" t="n">
        <f aca="true">RAND()</f>
        <v>0.599164998122049</v>
      </c>
      <c r="D782" s="0" t="n">
        <f aca="true">RAND()</f>
        <v>0.0209065254805158</v>
      </c>
      <c r="E782" s="0" t="n">
        <f aca="false">IF(C782&lt;=$C$10,1,2)</f>
        <v>2</v>
      </c>
      <c r="F782" s="0" t="n">
        <f aca="false">IF(E782=1,$C$4+SQRT(D782*($C$6-$C$4)*($C$5-$C$4)),$C$6-SQRT((1-D782)*($C$6-$C$4)*($C$6-$C$5)))</f>
        <v>8.60064766801246</v>
      </c>
    </row>
    <row r="783" customFormat="false" ht="15" hidden="false" customHeight="false" outlineLevel="0" collapsed="false">
      <c r="B783" s="0" t="n">
        <v>767</v>
      </c>
      <c r="C783" s="0" t="n">
        <f aca="true">RAND()</f>
        <v>0.633875476541467</v>
      </c>
      <c r="D783" s="0" t="n">
        <f aca="true">RAND()</f>
        <v>0.0165217643813164</v>
      </c>
      <c r="E783" s="0" t="n">
        <f aca="false">IF(C783&lt;=$C$10,1,2)</f>
        <v>2</v>
      </c>
      <c r="F783" s="0" t="n">
        <f aca="false">IF(E783=1,$C$4+SQRT(D783*($C$6-$C$4)*($C$5-$C$4)),$C$6-SQRT((1-D783)*($C$6-$C$4)*($C$6-$C$5)))</f>
        <v>8.59751774655172</v>
      </c>
    </row>
    <row r="784" customFormat="false" ht="15" hidden="false" customHeight="false" outlineLevel="0" collapsed="false">
      <c r="B784" s="0" t="n">
        <v>768</v>
      </c>
      <c r="C784" s="0" t="n">
        <f aca="true">RAND()</f>
        <v>0.432250789643108</v>
      </c>
      <c r="D784" s="0" t="n">
        <f aca="true">RAND()</f>
        <v>0.395229202444405</v>
      </c>
      <c r="E784" s="0" t="n">
        <f aca="false">IF(C784&lt;=$C$10,1,2)</f>
        <v>1</v>
      </c>
      <c r="F784" s="0" t="n">
        <f aca="false">IF(E784=1,$C$4+SQRT(D784*($C$6-$C$4)*($C$5-$C$4)),$C$6-SQRT((1-D784)*($C$6-$C$4)*($C$6-$C$5)))</f>
        <v>8.88907727723118</v>
      </c>
    </row>
    <row r="785" customFormat="false" ht="15" hidden="false" customHeight="false" outlineLevel="0" collapsed="false">
      <c r="B785" s="0" t="n">
        <v>769</v>
      </c>
      <c r="C785" s="0" t="n">
        <f aca="true">RAND()</f>
        <v>0.031655897764492</v>
      </c>
      <c r="D785" s="0" t="n">
        <f aca="true">RAND()</f>
        <v>0.0315350396989406</v>
      </c>
      <c r="E785" s="0" t="n">
        <f aca="false">IF(C785&lt;=$C$10,1,2)</f>
        <v>1</v>
      </c>
      <c r="F785" s="0" t="n">
        <f aca="false">IF(E785=1,$C$4+SQRT(D785*($C$6-$C$4)*($C$5-$C$4)),$C$6-SQRT((1-D785)*($C$6-$C$4)*($C$6-$C$5)))</f>
        <v>8.25113757066174</v>
      </c>
    </row>
    <row r="786" customFormat="false" ht="15" hidden="false" customHeight="false" outlineLevel="0" collapsed="false">
      <c r="B786" s="0" t="n">
        <v>770</v>
      </c>
      <c r="C786" s="0" t="n">
        <f aca="true">RAND()</f>
        <v>0.240060844821389</v>
      </c>
      <c r="D786" s="0" t="n">
        <f aca="true">RAND()</f>
        <v>0.343151793145157</v>
      </c>
      <c r="E786" s="0" t="n">
        <f aca="false">IF(C786&lt;=$C$10,1,2)</f>
        <v>1</v>
      </c>
      <c r="F786" s="0" t="n">
        <f aca="false">IF(E786=1,$C$4+SQRT(D786*($C$6-$C$4)*($C$5-$C$4)),$C$6-SQRT((1-D786)*($C$6-$C$4)*($C$6-$C$5)))</f>
        <v>8.82843441882283</v>
      </c>
    </row>
    <row r="787" customFormat="false" ht="15" hidden="false" customHeight="false" outlineLevel="0" collapsed="false">
      <c r="B787" s="0" t="n">
        <v>771</v>
      </c>
      <c r="C787" s="0" t="n">
        <f aca="true">RAND()</f>
        <v>0.321175541008626</v>
      </c>
      <c r="D787" s="0" t="n">
        <f aca="true">RAND()</f>
        <v>0.306475026334453</v>
      </c>
      <c r="E787" s="0" t="n">
        <f aca="false">IF(C787&lt;=$C$10,1,2)</f>
        <v>1</v>
      </c>
      <c r="F787" s="0" t="n">
        <f aca="false">IF(E787=1,$C$4+SQRT(D787*($C$6-$C$4)*($C$5-$C$4)),$C$6-SQRT((1-D787)*($C$6-$C$4)*($C$6-$C$5)))</f>
        <v>8.78291126743004</v>
      </c>
    </row>
    <row r="788" customFormat="false" ht="15" hidden="false" customHeight="false" outlineLevel="0" collapsed="false">
      <c r="B788" s="0" t="n">
        <v>772</v>
      </c>
      <c r="C788" s="0" t="n">
        <f aca="true">RAND()</f>
        <v>0.78063419772007</v>
      </c>
      <c r="D788" s="0" t="n">
        <f aca="true">RAND()</f>
        <v>0.27132011026241</v>
      </c>
      <c r="E788" s="0" t="n">
        <f aca="false">IF(C788&lt;=$C$10,1,2)</f>
        <v>2</v>
      </c>
      <c r="F788" s="0" t="n">
        <f aca="false">IF(E788=1,$C$4+SQRT(D788*($C$6-$C$4)*($C$5-$C$4)),$C$6-SQRT((1-D788)*($C$6-$C$4)*($C$6-$C$5)))</f>
        <v>8.79278842803957</v>
      </c>
    </row>
    <row r="789" customFormat="false" ht="15" hidden="false" customHeight="false" outlineLevel="0" collapsed="false">
      <c r="B789" s="0" t="n">
        <v>773</v>
      </c>
      <c r="C789" s="0" t="n">
        <f aca="true">RAND()</f>
        <v>0.849037015359982</v>
      </c>
      <c r="D789" s="0" t="n">
        <f aca="true">RAND()</f>
        <v>0.779631769125461</v>
      </c>
      <c r="E789" s="0" t="n">
        <f aca="false">IF(C789&lt;=$C$10,1,2)</f>
        <v>2</v>
      </c>
      <c r="F789" s="0" t="n">
        <f aca="false">IF(E789=1,$C$4+SQRT(D789*($C$6-$C$4)*($C$5-$C$4)),$C$6-SQRT((1-D789)*($C$6-$C$4)*($C$6-$C$5)))</f>
        <v>9.3361201450947</v>
      </c>
    </row>
    <row r="790" customFormat="false" ht="15" hidden="false" customHeight="false" outlineLevel="0" collapsed="false">
      <c r="B790" s="0" t="n">
        <v>774</v>
      </c>
      <c r="C790" s="0" t="n">
        <f aca="true">RAND()</f>
        <v>0.368858966290737</v>
      </c>
      <c r="D790" s="0" t="n">
        <f aca="true">RAND()</f>
        <v>0.43049043342343</v>
      </c>
      <c r="E790" s="0" t="n">
        <f aca="false">IF(C790&lt;=$C$10,1,2)</f>
        <v>1</v>
      </c>
      <c r="F790" s="0" t="n">
        <f aca="false">IF(E790=1,$C$4+SQRT(D790*($C$6-$C$4)*($C$5-$C$4)),$C$6-SQRT((1-D790)*($C$6-$C$4)*($C$6-$C$5)))</f>
        <v>8.92789054680326</v>
      </c>
    </row>
    <row r="791" customFormat="false" ht="15" hidden="false" customHeight="false" outlineLevel="0" collapsed="false">
      <c r="B791" s="0" t="n">
        <v>775</v>
      </c>
      <c r="C791" s="0" t="n">
        <f aca="true">RAND()</f>
        <v>0.931852123133891</v>
      </c>
      <c r="D791" s="0" t="n">
        <f aca="true">RAND()</f>
        <v>0.187177329761219</v>
      </c>
      <c r="E791" s="0" t="n">
        <f aca="false">IF(C791&lt;=$C$10,1,2)</f>
        <v>2</v>
      </c>
      <c r="F791" s="0" t="n">
        <f aca="false">IF(E791=1,$C$4+SQRT(D791*($C$6-$C$4)*($C$5-$C$4)),$C$6-SQRT((1-D791)*($C$6-$C$4)*($C$6-$C$5)))</f>
        <v>8.72499202336709</v>
      </c>
    </row>
    <row r="792" customFormat="false" ht="15" hidden="false" customHeight="false" outlineLevel="0" collapsed="false">
      <c r="B792" s="0" t="n">
        <v>776</v>
      </c>
      <c r="C792" s="0" t="n">
        <f aca="true">RAND()</f>
        <v>0.177944702831097</v>
      </c>
      <c r="D792" s="0" t="n">
        <f aca="true">RAND()</f>
        <v>0.399678466340497</v>
      </c>
      <c r="E792" s="0" t="n">
        <f aca="false">IF(C792&lt;=$C$10,1,2)</f>
        <v>1</v>
      </c>
      <c r="F792" s="0" t="n">
        <f aca="false">IF(E792=1,$C$4+SQRT(D792*($C$6-$C$4)*($C$5-$C$4)),$C$6-SQRT((1-D792)*($C$6-$C$4)*($C$6-$C$5)))</f>
        <v>8.89406763316932</v>
      </c>
    </row>
    <row r="793" customFormat="false" ht="15" hidden="false" customHeight="false" outlineLevel="0" collapsed="false">
      <c r="B793" s="0" t="n">
        <v>777</v>
      </c>
      <c r="C793" s="0" t="n">
        <f aca="true">RAND()</f>
        <v>0.345542859615738</v>
      </c>
      <c r="D793" s="0" t="n">
        <f aca="true">RAND()</f>
        <v>0.535603797135357</v>
      </c>
      <c r="E793" s="0" t="n">
        <f aca="false">IF(C793&lt;=$C$10,1,2)</f>
        <v>1</v>
      </c>
      <c r="F793" s="0" t="n">
        <f aca="false">IF(E793=1,$C$4+SQRT(D793*($C$6-$C$4)*($C$5-$C$4)),$C$6-SQRT((1-D793)*($C$6-$C$4)*($C$6-$C$5)))</f>
        <v>9.03499159140097</v>
      </c>
    </row>
    <row r="794" customFormat="false" ht="15" hidden="false" customHeight="false" outlineLevel="0" collapsed="false">
      <c r="B794" s="0" t="n">
        <v>778</v>
      </c>
      <c r="C794" s="0" t="n">
        <f aca="true">RAND()</f>
        <v>0.384355919625622</v>
      </c>
      <c r="D794" s="0" t="n">
        <f aca="true">RAND()</f>
        <v>0.21521370918461</v>
      </c>
      <c r="E794" s="0" t="n">
        <f aca="false">IF(C794&lt;=$C$10,1,2)</f>
        <v>1</v>
      </c>
      <c r="F794" s="0" t="n">
        <f aca="false">IF(E794=1,$C$4+SQRT(D794*($C$6-$C$4)*($C$5-$C$4)),$C$6-SQRT((1-D794)*($C$6-$C$4)*($C$6-$C$5)))</f>
        <v>8.65606967493493</v>
      </c>
    </row>
    <row r="795" customFormat="false" ht="15" hidden="false" customHeight="false" outlineLevel="0" collapsed="false">
      <c r="B795" s="0" t="n">
        <v>779</v>
      </c>
      <c r="C795" s="0" t="n">
        <f aca="true">RAND()</f>
        <v>0.315839906434425</v>
      </c>
      <c r="D795" s="0" t="n">
        <f aca="true">RAND()</f>
        <v>0.660944552993746</v>
      </c>
      <c r="E795" s="0" t="n">
        <f aca="false">IF(C795&lt;=$C$10,1,2)</f>
        <v>1</v>
      </c>
      <c r="F795" s="0" t="n">
        <f aca="false">IF(E795=1,$C$4+SQRT(D795*($C$6-$C$4)*($C$5-$C$4)),$C$6-SQRT((1-D795)*($C$6-$C$4)*($C$6-$C$5)))</f>
        <v>9.14973436322809</v>
      </c>
    </row>
    <row r="796" customFormat="false" ht="15" hidden="false" customHeight="false" outlineLevel="0" collapsed="false">
      <c r="B796" s="0" t="n">
        <v>780</v>
      </c>
      <c r="C796" s="0" t="n">
        <f aca="true">RAND()</f>
        <v>0.1790407065744</v>
      </c>
      <c r="D796" s="0" t="n">
        <f aca="true">RAND()</f>
        <v>0.338046695652419</v>
      </c>
      <c r="E796" s="0" t="n">
        <f aca="false">IF(C796&lt;=$C$10,1,2)</f>
        <v>1</v>
      </c>
      <c r="F796" s="0" t="n">
        <f aca="false">IF(E796=1,$C$4+SQRT(D796*($C$6-$C$4)*($C$5-$C$4)),$C$6-SQRT((1-D796)*($C$6-$C$4)*($C$6-$C$5)))</f>
        <v>8.82224898376638</v>
      </c>
    </row>
    <row r="797" customFormat="false" ht="15" hidden="false" customHeight="false" outlineLevel="0" collapsed="false">
      <c r="B797" s="0" t="n">
        <v>781</v>
      </c>
      <c r="C797" s="0" t="n">
        <f aca="true">RAND()</f>
        <v>0.0139097660133765</v>
      </c>
      <c r="D797" s="0" t="n">
        <f aca="true">RAND()</f>
        <v>0.799108414643686</v>
      </c>
      <c r="E797" s="0" t="n">
        <f aca="false">IF(C797&lt;=$C$10,1,2)</f>
        <v>1</v>
      </c>
      <c r="F797" s="0" t="n">
        <f aca="false">IF(E797=1,$C$4+SQRT(D797*($C$6-$C$4)*($C$5-$C$4)),$C$6-SQRT((1-D797)*($C$6-$C$4)*($C$6-$C$5)))</f>
        <v>9.26420600745582</v>
      </c>
    </row>
    <row r="798" customFormat="false" ht="15" hidden="false" customHeight="false" outlineLevel="0" collapsed="false">
      <c r="B798" s="0" t="n">
        <v>782</v>
      </c>
      <c r="C798" s="0" t="n">
        <f aca="true">RAND()</f>
        <v>0.825499705188118</v>
      </c>
      <c r="D798" s="0" t="n">
        <f aca="true">RAND()</f>
        <v>0.0127021582208561</v>
      </c>
      <c r="E798" s="0" t="n">
        <f aca="false">IF(C798&lt;=$C$10,1,2)</f>
        <v>2</v>
      </c>
      <c r="F798" s="0" t="n">
        <f aca="false">IF(E798=1,$C$4+SQRT(D798*($C$6-$C$4)*($C$5-$C$4)),$C$6-SQRT((1-D798)*($C$6-$C$4)*($C$6-$C$5)))</f>
        <v>8.59479692444178</v>
      </c>
    </row>
    <row r="799" customFormat="false" ht="15" hidden="false" customHeight="false" outlineLevel="0" collapsed="false">
      <c r="B799" s="0" t="n">
        <v>783</v>
      </c>
      <c r="C799" s="0" t="n">
        <f aca="true">RAND()</f>
        <v>0.393461868519948</v>
      </c>
      <c r="D799" s="0" t="n">
        <f aca="true">RAND()</f>
        <v>0.0793653598869149</v>
      </c>
      <c r="E799" s="0" t="n">
        <f aca="false">IF(C799&lt;=$C$10,1,2)</f>
        <v>1</v>
      </c>
      <c r="F799" s="0" t="n">
        <f aca="false">IF(E799=1,$C$4+SQRT(D799*($C$6-$C$4)*($C$5-$C$4)),$C$6-SQRT((1-D799)*($C$6-$C$4)*($C$6-$C$5)))</f>
        <v>8.3984102405484</v>
      </c>
    </row>
    <row r="800" customFormat="false" ht="15" hidden="false" customHeight="false" outlineLevel="0" collapsed="false">
      <c r="B800" s="0" t="n">
        <v>784</v>
      </c>
      <c r="C800" s="0" t="n">
        <f aca="true">RAND()</f>
        <v>0.996722016091261</v>
      </c>
      <c r="D800" s="0" t="n">
        <f aca="true">RAND()</f>
        <v>0.291248970174553</v>
      </c>
      <c r="E800" s="0" t="n">
        <f aca="false">IF(C800&lt;=$C$10,1,2)</f>
        <v>2</v>
      </c>
      <c r="F800" s="0" t="n">
        <f aca="false">IF(E800=1,$C$4+SQRT(D800*($C$6-$C$4)*($C$5-$C$4)),$C$6-SQRT((1-D800)*($C$6-$C$4)*($C$6-$C$5)))</f>
        <v>8.80941104504918</v>
      </c>
    </row>
    <row r="801" customFormat="false" ht="15" hidden="false" customHeight="false" outlineLevel="0" collapsed="false">
      <c r="B801" s="0" t="n">
        <v>785</v>
      </c>
      <c r="C801" s="0" t="n">
        <f aca="true">RAND()</f>
        <v>0.635479175773789</v>
      </c>
      <c r="D801" s="0" t="n">
        <f aca="true">RAND()</f>
        <v>0.193055678562364</v>
      </c>
      <c r="E801" s="0" t="n">
        <f aca="false">IF(C801&lt;=$C$10,1,2)</f>
        <v>2</v>
      </c>
      <c r="F801" s="0" t="n">
        <f aca="false">IF(E801=1,$C$4+SQRT(D801*($C$6-$C$4)*($C$5-$C$4)),$C$6-SQRT((1-D801)*($C$6-$C$4)*($C$6-$C$5)))</f>
        <v>8.72961083014878</v>
      </c>
    </row>
    <row r="802" customFormat="false" ht="15" hidden="false" customHeight="false" outlineLevel="0" collapsed="false">
      <c r="B802" s="0" t="n">
        <v>786</v>
      </c>
      <c r="C802" s="0" t="n">
        <f aca="true">RAND()</f>
        <v>0.398164434572353</v>
      </c>
      <c r="D802" s="0" t="n">
        <f aca="true">RAND()</f>
        <v>0.227067456151119</v>
      </c>
      <c r="E802" s="0" t="n">
        <f aca="false">IF(C802&lt;=$C$10,1,2)</f>
        <v>1</v>
      </c>
      <c r="F802" s="0" t="n">
        <f aca="false">IF(E802=1,$C$4+SQRT(D802*($C$6-$C$4)*($C$5-$C$4)),$C$6-SQRT((1-D802)*($C$6-$C$4)*($C$6-$C$5)))</f>
        <v>8.67389532740793</v>
      </c>
    </row>
    <row r="803" customFormat="false" ht="15" hidden="false" customHeight="false" outlineLevel="0" collapsed="false">
      <c r="B803" s="0" t="n">
        <v>787</v>
      </c>
      <c r="C803" s="0" t="n">
        <f aca="true">RAND()</f>
        <v>0.538492761706311</v>
      </c>
      <c r="D803" s="0" t="n">
        <f aca="true">RAND()</f>
        <v>0.251063385254674</v>
      </c>
      <c r="E803" s="0" t="n">
        <f aca="false">IF(C803&lt;=$C$10,1,2)</f>
        <v>2</v>
      </c>
      <c r="F803" s="0" t="n">
        <f aca="false">IF(E803=1,$C$4+SQRT(D803*($C$6-$C$4)*($C$5-$C$4)),$C$6-SQRT((1-D803)*($C$6-$C$4)*($C$6-$C$5)))</f>
        <v>8.776123687013</v>
      </c>
    </row>
    <row r="804" customFormat="false" ht="15" hidden="false" customHeight="false" outlineLevel="0" collapsed="false">
      <c r="B804" s="0" t="n">
        <v>788</v>
      </c>
      <c r="C804" s="0" t="n">
        <f aca="true">RAND()</f>
        <v>0.676006718573694</v>
      </c>
      <c r="D804" s="0" t="n">
        <f aca="true">RAND()</f>
        <v>0.063154643296682</v>
      </c>
      <c r="E804" s="0" t="n">
        <f aca="false">IF(C804&lt;=$C$10,1,2)</f>
        <v>2</v>
      </c>
      <c r="F804" s="0" t="n">
        <f aca="false">IF(E804=1,$C$4+SQRT(D804*($C$6-$C$4)*($C$5-$C$4)),$C$6-SQRT((1-D804)*($C$6-$C$4)*($C$6-$C$5)))</f>
        <v>8.63117177359369</v>
      </c>
    </row>
    <row r="805" customFormat="false" ht="15" hidden="false" customHeight="false" outlineLevel="0" collapsed="false">
      <c r="B805" s="0" t="n">
        <v>789</v>
      </c>
      <c r="C805" s="0" t="n">
        <f aca="true">RAND()</f>
        <v>0.704078433673497</v>
      </c>
      <c r="D805" s="0" t="n">
        <f aca="true">RAND()</f>
        <v>0.661967284555708</v>
      </c>
      <c r="E805" s="0" t="n">
        <f aca="false">IF(C805&lt;=$C$10,1,2)</f>
        <v>2</v>
      </c>
      <c r="F805" s="0" t="n">
        <f aca="false">IF(E805=1,$C$4+SQRT(D805*($C$6-$C$4)*($C$5-$C$4)),$C$6-SQRT((1-D805)*($C$6-$C$4)*($C$6-$C$5)))</f>
        <v>9.17776801881185</v>
      </c>
    </row>
    <row r="806" customFormat="false" ht="15" hidden="false" customHeight="false" outlineLevel="0" collapsed="false">
      <c r="B806" s="0" t="n">
        <v>790</v>
      </c>
      <c r="C806" s="0" t="n">
        <f aca="true">RAND()</f>
        <v>0.661943251193873</v>
      </c>
      <c r="D806" s="0" t="n">
        <f aca="true">RAND()</f>
        <v>0.535471778139192</v>
      </c>
      <c r="E806" s="0" t="n">
        <f aca="false">IF(C806&lt;=$C$10,1,2)</f>
        <v>2</v>
      </c>
      <c r="F806" s="0" t="n">
        <f aca="false">IF(E806=1,$C$4+SQRT(D806*($C$6-$C$4)*($C$5-$C$4)),$C$6-SQRT((1-D806)*($C$6-$C$4)*($C$6-$C$5)))</f>
        <v>9.03612425919021</v>
      </c>
    </row>
    <row r="807" customFormat="false" ht="15" hidden="false" customHeight="false" outlineLevel="0" collapsed="false">
      <c r="B807" s="0" t="n">
        <v>791</v>
      </c>
      <c r="C807" s="0" t="n">
        <f aca="true">RAND()</f>
        <v>0.724310760143868</v>
      </c>
      <c r="D807" s="0" t="n">
        <f aca="true">RAND()</f>
        <v>0.711874022709656</v>
      </c>
      <c r="E807" s="0" t="n">
        <f aca="false">IF(C807&lt;=$C$10,1,2)</f>
        <v>2</v>
      </c>
      <c r="F807" s="0" t="n">
        <f aca="false">IF(E807=1,$C$4+SQRT(D807*($C$6-$C$4)*($C$5-$C$4)),$C$6-SQRT((1-D807)*($C$6-$C$4)*($C$6-$C$5)))</f>
        <v>9.24088739005291</v>
      </c>
    </row>
    <row r="808" customFormat="false" ht="15" hidden="false" customHeight="false" outlineLevel="0" collapsed="false">
      <c r="B808" s="0" t="n">
        <v>792</v>
      </c>
      <c r="C808" s="0" t="n">
        <f aca="true">RAND()</f>
        <v>0.552490520040265</v>
      </c>
      <c r="D808" s="0" t="n">
        <f aca="true">RAND()</f>
        <v>0.479203330999133</v>
      </c>
      <c r="E808" s="0" t="n">
        <f aca="false">IF(C808&lt;=$C$10,1,2)</f>
        <v>2</v>
      </c>
      <c r="F808" s="0" t="n">
        <f aca="false">IF(E808=1,$C$4+SQRT(D808*($C$6-$C$4)*($C$5-$C$4)),$C$6-SQRT((1-D808)*($C$6-$C$4)*($C$6-$C$5)))</f>
        <v>8.9794151980351</v>
      </c>
    </row>
    <row r="809" customFormat="false" ht="15" hidden="false" customHeight="false" outlineLevel="0" collapsed="false">
      <c r="B809" s="0" t="n">
        <v>793</v>
      </c>
      <c r="C809" s="0" t="n">
        <f aca="true">RAND()</f>
        <v>0.0434068088870071</v>
      </c>
      <c r="D809" s="0" t="n">
        <f aca="true">RAND()</f>
        <v>0.561047960342706</v>
      </c>
      <c r="E809" s="0" t="n">
        <f aca="false">IF(C809&lt;=$C$10,1,2)</f>
        <v>1</v>
      </c>
      <c r="F809" s="0" t="n">
        <f aca="false">IF(E809=1,$C$4+SQRT(D809*($C$6-$C$4)*($C$5-$C$4)),$C$6-SQRT((1-D809)*($C$6-$C$4)*($C$6-$C$5)))</f>
        <v>9.05929029103708</v>
      </c>
    </row>
    <row r="810" customFormat="false" ht="15" hidden="false" customHeight="false" outlineLevel="0" collapsed="false">
      <c r="B810" s="0" t="n">
        <v>794</v>
      </c>
      <c r="C810" s="0" t="n">
        <f aca="true">RAND()</f>
        <v>0.661958863257924</v>
      </c>
      <c r="D810" s="0" t="n">
        <f aca="true">RAND()</f>
        <v>0.680125490400413</v>
      </c>
      <c r="E810" s="0" t="n">
        <f aca="false">IF(C810&lt;=$C$10,1,2)</f>
        <v>2</v>
      </c>
      <c r="F810" s="0" t="n">
        <f aca="false">IF(E810=1,$C$4+SQRT(D810*($C$6-$C$4)*($C$5-$C$4)),$C$6-SQRT((1-D810)*($C$6-$C$4)*($C$6-$C$5)))</f>
        <v>9.20015687838228</v>
      </c>
    </row>
    <row r="811" customFormat="false" ht="15" hidden="false" customHeight="false" outlineLevel="0" collapsed="false">
      <c r="B811" s="0" t="n">
        <v>795</v>
      </c>
      <c r="C811" s="0" t="n">
        <f aca="true">RAND()</f>
        <v>0.962718782230586</v>
      </c>
      <c r="D811" s="0" t="n">
        <f aca="true">RAND()</f>
        <v>0.172722379432743</v>
      </c>
      <c r="E811" s="0" t="n">
        <f aca="false">IF(C811&lt;=$C$10,1,2)</f>
        <v>2</v>
      </c>
      <c r="F811" s="0" t="n">
        <f aca="false">IF(E811=1,$C$4+SQRT(D811*($C$6-$C$4)*($C$5-$C$4)),$C$6-SQRT((1-D811)*($C$6-$C$4)*($C$6-$C$5)))</f>
        <v>8.71370483903013</v>
      </c>
    </row>
    <row r="812" customFormat="false" ht="15" hidden="false" customHeight="false" outlineLevel="0" collapsed="false">
      <c r="B812" s="0" t="n">
        <v>796</v>
      </c>
      <c r="C812" s="0" t="n">
        <f aca="true">RAND()</f>
        <v>0.466865578693803</v>
      </c>
      <c r="D812" s="0" t="n">
        <f aca="true">RAND()</f>
        <v>0.78156867231701</v>
      </c>
      <c r="E812" s="0" t="n">
        <f aca="false">IF(C812&lt;=$C$10,1,2)</f>
        <v>1</v>
      </c>
      <c r="F812" s="0" t="n">
        <f aca="false">IF(E812=1,$C$4+SQRT(D812*($C$6-$C$4)*($C$5-$C$4)),$C$6-SQRT((1-D812)*($C$6-$C$4)*($C$6-$C$5)))</f>
        <v>9.25025491186159</v>
      </c>
    </row>
    <row r="813" customFormat="false" ht="15" hidden="false" customHeight="false" outlineLevel="0" collapsed="false">
      <c r="B813" s="0" t="n">
        <v>797</v>
      </c>
      <c r="C813" s="0" t="n">
        <f aca="true">RAND()</f>
        <v>0.946813822403234</v>
      </c>
      <c r="D813" s="0" t="n">
        <f aca="true">RAND()</f>
        <v>0.22976901080021</v>
      </c>
      <c r="E813" s="0" t="n">
        <f aca="false">IF(C813&lt;=$C$10,1,2)</f>
        <v>2</v>
      </c>
      <c r="F813" s="0" t="n">
        <f aca="false">IF(E813=1,$C$4+SQRT(D813*($C$6-$C$4)*($C$5-$C$4)),$C$6-SQRT((1-D813)*($C$6-$C$4)*($C$6-$C$5)))</f>
        <v>8.75884651295677</v>
      </c>
    </row>
    <row r="814" customFormat="false" ht="15" hidden="false" customHeight="false" outlineLevel="0" collapsed="false">
      <c r="B814" s="0" t="n">
        <v>798</v>
      </c>
      <c r="C814" s="0" t="n">
        <f aca="true">RAND()</f>
        <v>0.449406899555947</v>
      </c>
      <c r="D814" s="0" t="n">
        <f aca="true">RAND()</f>
        <v>0.401444592829464</v>
      </c>
      <c r="E814" s="0" t="n">
        <f aca="false">IF(C814&lt;=$C$10,1,2)</f>
        <v>1</v>
      </c>
      <c r="F814" s="0" t="n">
        <f aca="false">IF(E814=1,$C$4+SQRT(D814*($C$6-$C$4)*($C$5-$C$4)),$C$6-SQRT((1-D814)*($C$6-$C$4)*($C$6-$C$5)))</f>
        <v>8.89604083928074</v>
      </c>
    </row>
    <row r="815" customFormat="false" ht="15" hidden="false" customHeight="false" outlineLevel="0" collapsed="false">
      <c r="B815" s="0" t="n">
        <v>799</v>
      </c>
      <c r="C815" s="0" t="n">
        <f aca="true">RAND()</f>
        <v>0.572770495280702</v>
      </c>
      <c r="D815" s="0" t="n">
        <f aca="true">RAND()</f>
        <v>0.879059274901002</v>
      </c>
      <c r="E815" s="0" t="n">
        <f aca="false">IF(C815&lt;=$C$10,1,2)</f>
        <v>2</v>
      </c>
      <c r="F815" s="0" t="n">
        <f aca="false">IF(E815=1,$C$4+SQRT(D815*($C$6-$C$4)*($C$5-$C$4)),$C$6-SQRT((1-D815)*($C$6-$C$4)*($C$6-$C$5)))</f>
        <v>9.50818555308125</v>
      </c>
    </row>
    <row r="816" customFormat="false" ht="15" hidden="false" customHeight="false" outlineLevel="0" collapsed="false">
      <c r="B816" s="0" t="n">
        <v>800</v>
      </c>
      <c r="C816" s="0" t="n">
        <f aca="true">RAND()</f>
        <v>0.601599738941048</v>
      </c>
      <c r="D816" s="0" t="n">
        <f aca="true">RAND()</f>
        <v>0.285890313804601</v>
      </c>
      <c r="E816" s="0" t="n">
        <f aca="false">IF(C816&lt;=$C$10,1,2)</f>
        <v>2</v>
      </c>
      <c r="F816" s="0" t="n">
        <f aca="false">IF(E816=1,$C$4+SQRT(D816*($C$6-$C$4)*($C$5-$C$4)),$C$6-SQRT((1-D816)*($C$6-$C$4)*($C$6-$C$5)))</f>
        <v>8.80491867540707</v>
      </c>
    </row>
    <row r="817" customFormat="false" ht="15" hidden="false" customHeight="false" outlineLevel="0" collapsed="false">
      <c r="B817" s="0" t="n">
        <v>801</v>
      </c>
      <c r="C817" s="0" t="n">
        <f aca="true">RAND()</f>
        <v>0.473003283424219</v>
      </c>
      <c r="D817" s="0" t="n">
        <f aca="true">RAND()</f>
        <v>0.305865294636478</v>
      </c>
      <c r="E817" s="0" t="n">
        <f aca="false">IF(C817&lt;=$C$10,1,2)</f>
        <v>1</v>
      </c>
      <c r="F817" s="0" t="n">
        <f aca="false">IF(E817=1,$C$4+SQRT(D817*($C$6-$C$4)*($C$5-$C$4)),$C$6-SQRT((1-D817)*($C$6-$C$4)*($C$6-$C$5)))</f>
        <v>8.78213207917394</v>
      </c>
    </row>
    <row r="818" customFormat="false" ht="15" hidden="false" customHeight="false" outlineLevel="0" collapsed="false">
      <c r="B818" s="0" t="n">
        <v>802</v>
      </c>
      <c r="C818" s="0" t="n">
        <f aca="true">RAND()</f>
        <v>0.631760055380932</v>
      </c>
      <c r="D818" s="0" t="n">
        <f aca="true">RAND()</f>
        <v>0.147880670513318</v>
      </c>
      <c r="E818" s="0" t="n">
        <f aca="false">IF(C818&lt;=$C$10,1,2)</f>
        <v>2</v>
      </c>
      <c r="F818" s="0" t="n">
        <f aca="false">IF(E818=1,$C$4+SQRT(D818*($C$6-$C$4)*($C$5-$C$4)),$C$6-SQRT((1-D818)*($C$6-$C$4)*($C$6-$C$5)))</f>
        <v>8.69453507937848</v>
      </c>
    </row>
    <row r="819" customFormat="false" ht="15" hidden="false" customHeight="false" outlineLevel="0" collapsed="false">
      <c r="B819" s="0" t="n">
        <v>803</v>
      </c>
      <c r="C819" s="0" t="n">
        <f aca="true">RAND()</f>
        <v>0.348289195070565</v>
      </c>
      <c r="D819" s="0" t="n">
        <f aca="true">RAND()</f>
        <v>0.0290103253503567</v>
      </c>
      <c r="E819" s="0" t="n">
        <f aca="false">IF(C819&lt;=$C$10,1,2)</f>
        <v>1</v>
      </c>
      <c r="F819" s="0" t="n">
        <f aca="false">IF(E819=1,$C$4+SQRT(D819*($C$6-$C$4)*($C$5-$C$4)),$C$6-SQRT((1-D819)*($C$6-$C$4)*($C$6-$C$5)))</f>
        <v>8.24087476144402</v>
      </c>
    </row>
    <row r="820" customFormat="false" ht="15" hidden="false" customHeight="false" outlineLevel="0" collapsed="false">
      <c r="B820" s="0" t="n">
        <v>804</v>
      </c>
      <c r="C820" s="0" t="n">
        <f aca="true">RAND()</f>
        <v>0.969471420220956</v>
      </c>
      <c r="D820" s="0" t="n">
        <f aca="true">RAND()</f>
        <v>0.407712517902959</v>
      </c>
      <c r="E820" s="0" t="n">
        <f aca="false">IF(C820&lt;=$C$10,1,2)</f>
        <v>2</v>
      </c>
      <c r="F820" s="0" t="n">
        <f aca="false">IF(E820=1,$C$4+SQRT(D820*($C$6-$C$4)*($C$5-$C$4)),$C$6-SQRT((1-D820)*($C$6-$C$4)*($C$6-$C$5)))</f>
        <v>8.91161819006652</v>
      </c>
    </row>
    <row r="821" customFormat="false" ht="15" hidden="false" customHeight="false" outlineLevel="0" collapsed="false">
      <c r="B821" s="0" t="n">
        <v>805</v>
      </c>
      <c r="C821" s="0" t="n">
        <f aca="true">RAND()</f>
        <v>0.487388874163611</v>
      </c>
      <c r="D821" s="0" t="n">
        <f aca="true">RAND()</f>
        <v>0.561779925687543</v>
      </c>
      <c r="E821" s="0" t="n">
        <f aca="false">IF(C821&lt;=$C$10,1,2)</f>
        <v>1</v>
      </c>
      <c r="F821" s="0" t="n">
        <f aca="false">IF(E821=1,$C$4+SQRT(D821*($C$6-$C$4)*($C$5-$C$4)),$C$6-SQRT((1-D821)*($C$6-$C$4)*($C$6-$C$5)))</f>
        <v>9.0599810618002</v>
      </c>
    </row>
    <row r="822" customFormat="false" ht="15" hidden="false" customHeight="false" outlineLevel="0" collapsed="false">
      <c r="B822" s="0" t="n">
        <v>806</v>
      </c>
      <c r="C822" s="0" t="n">
        <f aca="true">RAND()</f>
        <v>0.681998395172747</v>
      </c>
      <c r="D822" s="0" t="n">
        <f aca="true">RAND()</f>
        <v>0.0400590201468025</v>
      </c>
      <c r="E822" s="0" t="n">
        <f aca="false">IF(C822&lt;=$C$10,1,2)</f>
        <v>2</v>
      </c>
      <c r="F822" s="0" t="n">
        <f aca="false">IF(E822=1,$C$4+SQRT(D822*($C$6-$C$4)*($C$5-$C$4)),$C$6-SQRT((1-D822)*($C$6-$C$4)*($C$6-$C$5)))</f>
        <v>8.61440194872164</v>
      </c>
    </row>
    <row r="823" customFormat="false" ht="15" hidden="false" customHeight="false" outlineLevel="0" collapsed="false">
      <c r="B823" s="0" t="n">
        <v>807</v>
      </c>
      <c r="C823" s="0" t="n">
        <f aca="true">RAND()</f>
        <v>0.556169115019531</v>
      </c>
      <c r="D823" s="0" t="n">
        <f aca="true">RAND()</f>
        <v>0.763847852335974</v>
      </c>
      <c r="E823" s="0" t="n">
        <f aca="false">IF(C823&lt;=$C$10,1,2)</f>
        <v>2</v>
      </c>
      <c r="F823" s="0" t="n">
        <f aca="false">IF(E823=1,$C$4+SQRT(D823*($C$6-$C$4)*($C$5-$C$4)),$C$6-SQRT((1-D823)*($C$6-$C$4)*($C$6-$C$5)))</f>
        <v>9.31275601470216</v>
      </c>
    </row>
    <row r="824" customFormat="false" ht="15" hidden="false" customHeight="false" outlineLevel="0" collapsed="false">
      <c r="B824" s="0" t="n">
        <v>808</v>
      </c>
      <c r="C824" s="0" t="n">
        <f aca="true">RAND()</f>
        <v>0.803332358619325</v>
      </c>
      <c r="D824" s="0" t="n">
        <f aca="true">RAND()</f>
        <v>0.531105484203813</v>
      </c>
      <c r="E824" s="0" t="n">
        <f aca="false">IF(C824&lt;=$C$10,1,2)</f>
        <v>2</v>
      </c>
      <c r="F824" s="0" t="n">
        <f aca="false">IF(E824=1,$C$4+SQRT(D824*($C$6-$C$4)*($C$5-$C$4)),$C$6-SQRT((1-D824)*($C$6-$C$4)*($C$6-$C$5)))</f>
        <v>9.03160491967773</v>
      </c>
    </row>
    <row r="825" customFormat="false" ht="15" hidden="false" customHeight="false" outlineLevel="0" collapsed="false">
      <c r="B825" s="0" t="n">
        <v>809</v>
      </c>
      <c r="C825" s="0" t="n">
        <f aca="true">RAND()</f>
        <v>0.717601848982227</v>
      </c>
      <c r="D825" s="0" t="n">
        <f aca="true">RAND()</f>
        <v>0.472197260917658</v>
      </c>
      <c r="E825" s="0" t="n">
        <f aca="false">IF(C825&lt;=$C$10,1,2)</f>
        <v>2</v>
      </c>
      <c r="F825" s="0" t="n">
        <f aca="false">IF(E825=1,$C$4+SQRT(D825*($C$6-$C$4)*($C$5-$C$4)),$C$6-SQRT((1-D825)*($C$6-$C$4)*($C$6-$C$5)))</f>
        <v>8.9725733709093</v>
      </c>
    </row>
    <row r="826" customFormat="false" ht="15" hidden="false" customHeight="false" outlineLevel="0" collapsed="false">
      <c r="B826" s="0" t="n">
        <v>810</v>
      </c>
      <c r="C826" s="0" t="n">
        <f aca="true">RAND()</f>
        <v>0.575643058739074</v>
      </c>
      <c r="D826" s="0" t="n">
        <f aca="true">RAND()</f>
        <v>0.850385012403224</v>
      </c>
      <c r="E826" s="0" t="n">
        <f aca="false">IF(C826&lt;=$C$10,1,2)</f>
        <v>2</v>
      </c>
      <c r="F826" s="0" t="n">
        <f aca="false">IF(E826=1,$C$4+SQRT(D826*($C$6-$C$4)*($C$5-$C$4)),$C$6-SQRT((1-D826)*($C$6-$C$4)*($C$6-$C$5)))</f>
        <v>9.45298082739857</v>
      </c>
    </row>
    <row r="827" customFormat="false" ht="15" hidden="false" customHeight="false" outlineLevel="0" collapsed="false">
      <c r="B827" s="0" t="n">
        <v>811</v>
      </c>
      <c r="C827" s="0" t="n">
        <f aca="true">RAND()</f>
        <v>0.837727956565655</v>
      </c>
      <c r="D827" s="0" t="n">
        <f aca="true">RAND()</f>
        <v>0.185976398566566</v>
      </c>
      <c r="E827" s="0" t="n">
        <f aca="false">IF(C827&lt;=$C$10,1,2)</f>
        <v>2</v>
      </c>
      <c r="F827" s="0" t="n">
        <f aca="false">IF(E827=1,$C$4+SQRT(D827*($C$6-$C$4)*($C$5-$C$4)),$C$6-SQRT((1-D827)*($C$6-$C$4)*($C$6-$C$5)))</f>
        <v>8.72405047009419</v>
      </c>
    </row>
    <row r="828" customFormat="false" ht="15" hidden="false" customHeight="false" outlineLevel="0" collapsed="false">
      <c r="B828" s="0" t="n">
        <v>812</v>
      </c>
      <c r="C828" s="0" t="n">
        <f aca="true">RAND()</f>
        <v>0.30785412394003</v>
      </c>
      <c r="D828" s="0" t="n">
        <f aca="true">RAND()</f>
        <v>0.229281630433253</v>
      </c>
      <c r="E828" s="0" t="n">
        <f aca="false">IF(C828&lt;=$C$10,1,2)</f>
        <v>1</v>
      </c>
      <c r="F828" s="0" t="n">
        <f aca="false">IF(E828=1,$C$4+SQRT(D828*($C$6-$C$4)*($C$5-$C$4)),$C$6-SQRT((1-D828)*($C$6-$C$4)*($C$6-$C$5)))</f>
        <v>8.67717299183186</v>
      </c>
    </row>
    <row r="829" customFormat="false" ht="15" hidden="false" customHeight="false" outlineLevel="0" collapsed="false">
      <c r="B829" s="0" t="n">
        <v>813</v>
      </c>
      <c r="C829" s="0" t="n">
        <f aca="true">RAND()</f>
        <v>0.27975536482333</v>
      </c>
      <c r="D829" s="0" t="n">
        <f aca="true">RAND()</f>
        <v>0.832645974780847</v>
      </c>
      <c r="E829" s="0" t="n">
        <f aca="false">IF(C829&lt;=$C$10,1,2)</f>
        <v>1</v>
      </c>
      <c r="F829" s="0" t="n">
        <f aca="false">IF(E829=1,$C$4+SQRT(D829*($C$6-$C$4)*($C$5-$C$4)),$C$6-SQRT((1-D829)*($C$6-$C$4)*($C$6-$C$5)))</f>
        <v>9.29046191325498</v>
      </c>
    </row>
    <row r="830" customFormat="false" ht="15" hidden="false" customHeight="false" outlineLevel="0" collapsed="false">
      <c r="B830" s="0" t="n">
        <v>814</v>
      </c>
      <c r="C830" s="0" t="n">
        <f aca="true">RAND()</f>
        <v>0.465975273175336</v>
      </c>
      <c r="D830" s="0" t="n">
        <f aca="true">RAND()</f>
        <v>0.386282186250265</v>
      </c>
      <c r="E830" s="0" t="n">
        <f aca="false">IF(C830&lt;=$C$10,1,2)</f>
        <v>1</v>
      </c>
      <c r="F830" s="0" t="n">
        <f aca="false">IF(E830=1,$C$4+SQRT(D830*($C$6-$C$4)*($C$5-$C$4)),$C$6-SQRT((1-D830)*($C$6-$C$4)*($C$6-$C$5)))</f>
        <v>8.87895641103557</v>
      </c>
    </row>
    <row r="831" customFormat="false" ht="15" hidden="false" customHeight="false" outlineLevel="0" collapsed="false">
      <c r="B831" s="0" t="n">
        <v>815</v>
      </c>
      <c r="C831" s="0" t="n">
        <f aca="true">RAND()</f>
        <v>0.925470421248484</v>
      </c>
      <c r="D831" s="0" t="n">
        <f aca="true">RAND()</f>
        <v>0.171403665700718</v>
      </c>
      <c r="E831" s="0" t="n">
        <f aca="false">IF(C831&lt;=$C$10,1,2)</f>
        <v>2</v>
      </c>
      <c r="F831" s="0" t="n">
        <f aca="false">IF(E831=1,$C$4+SQRT(D831*($C$6-$C$4)*($C$5-$C$4)),$C$6-SQRT((1-D831)*($C$6-$C$4)*($C$6-$C$5)))</f>
        <v>8.71268004420091</v>
      </c>
    </row>
    <row r="832" customFormat="false" ht="15" hidden="false" customHeight="false" outlineLevel="0" collapsed="false">
      <c r="B832" s="0" t="n">
        <v>816</v>
      </c>
      <c r="C832" s="0" t="n">
        <f aca="true">RAND()</f>
        <v>0.895002995366021</v>
      </c>
      <c r="D832" s="0" t="n">
        <f aca="true">RAND()</f>
        <v>0.47353079697284</v>
      </c>
      <c r="E832" s="0" t="n">
        <f aca="false">IF(C832&lt;=$C$10,1,2)</f>
        <v>2</v>
      </c>
      <c r="F832" s="0" t="n">
        <f aca="false">IF(E832=1,$C$4+SQRT(D832*($C$6-$C$4)*($C$5-$C$4)),$C$6-SQRT((1-D832)*($C$6-$C$4)*($C$6-$C$5)))</f>
        <v>8.97387212977411</v>
      </c>
    </row>
    <row r="833" customFormat="false" ht="15" hidden="false" customHeight="false" outlineLevel="0" collapsed="false">
      <c r="B833" s="0" t="n">
        <v>817</v>
      </c>
      <c r="C833" s="0" t="n">
        <f aca="true">RAND()</f>
        <v>0.991304476641617</v>
      </c>
      <c r="D833" s="0" t="n">
        <f aca="true">RAND()</f>
        <v>0.443548002150989</v>
      </c>
      <c r="E833" s="0" t="n">
        <f aca="false">IF(C833&lt;=$C$10,1,2)</f>
        <v>2</v>
      </c>
      <c r="F833" s="0" t="n">
        <f aca="false">IF(E833=1,$C$4+SQRT(D833*($C$6-$C$4)*($C$5-$C$4)),$C$6-SQRT((1-D833)*($C$6-$C$4)*($C$6-$C$5)))</f>
        <v>8.94505734956917</v>
      </c>
    </row>
    <row r="834" customFormat="false" ht="15" hidden="false" customHeight="false" outlineLevel="0" collapsed="false">
      <c r="B834" s="0" t="n">
        <v>818</v>
      </c>
      <c r="C834" s="0" t="n">
        <f aca="true">RAND()</f>
        <v>0.113004512344067</v>
      </c>
      <c r="D834" s="0" t="n">
        <f aca="true">RAND()</f>
        <v>0.871153680252795</v>
      </c>
      <c r="E834" s="0" t="n">
        <f aca="false">IF(C834&lt;=$C$10,1,2)</f>
        <v>1</v>
      </c>
      <c r="F834" s="0" t="n">
        <f aca="false">IF(E834=1,$C$4+SQRT(D834*($C$6-$C$4)*($C$5-$C$4)),$C$6-SQRT((1-D834)*($C$6-$C$4)*($C$6-$C$5)))</f>
        <v>9.31996490881599</v>
      </c>
    </row>
    <row r="835" customFormat="false" ht="15" hidden="false" customHeight="false" outlineLevel="0" collapsed="false">
      <c r="B835" s="0" t="n">
        <v>819</v>
      </c>
      <c r="C835" s="0" t="n">
        <f aca="true">RAND()</f>
        <v>0.34967100399849</v>
      </c>
      <c r="D835" s="0" t="n">
        <f aca="true">RAND()</f>
        <v>0.0112138864001969</v>
      </c>
      <c r="E835" s="0" t="n">
        <f aca="false">IF(C835&lt;=$C$10,1,2)</f>
        <v>1</v>
      </c>
      <c r="F835" s="0" t="n">
        <f aca="false">IF(E835=1,$C$4+SQRT(D835*($C$6-$C$4)*($C$5-$C$4)),$C$6-SQRT((1-D835)*($C$6-$C$4)*($C$6-$C$5)))</f>
        <v>8.1497590491436</v>
      </c>
    </row>
    <row r="836" customFormat="false" ht="15" hidden="false" customHeight="false" outlineLevel="0" collapsed="false">
      <c r="B836" s="0" t="n">
        <v>820</v>
      </c>
      <c r="C836" s="0" t="n">
        <f aca="true">RAND()</f>
        <v>0.619247863405519</v>
      </c>
      <c r="D836" s="0" t="n">
        <f aca="true">RAND()</f>
        <v>0.277512279903777</v>
      </c>
      <c r="E836" s="0" t="n">
        <f aca="false">IF(C836&lt;=$C$10,1,2)</f>
        <v>2</v>
      </c>
      <c r="F836" s="0" t="n">
        <f aca="false">IF(E836=1,$C$4+SQRT(D836*($C$6-$C$4)*($C$5-$C$4)),$C$6-SQRT((1-D836)*($C$6-$C$4)*($C$6-$C$5)))</f>
        <v>8.79792868755949</v>
      </c>
    </row>
    <row r="837" customFormat="false" ht="15" hidden="false" customHeight="false" outlineLevel="0" collapsed="false">
      <c r="B837" s="0" t="n">
        <v>821</v>
      </c>
      <c r="C837" s="0" t="n">
        <f aca="true">RAND()</f>
        <v>0.589064292723558</v>
      </c>
      <c r="D837" s="0" t="n">
        <f aca="true">RAND()</f>
        <v>0.154724196537183</v>
      </c>
      <c r="E837" s="0" t="n">
        <f aca="false">IF(C837&lt;=$C$10,1,2)</f>
        <v>2</v>
      </c>
      <c r="F837" s="0" t="n">
        <f aca="false">IF(E837=1,$C$4+SQRT(D837*($C$6-$C$4)*($C$5-$C$4)),$C$6-SQRT((1-D837)*($C$6-$C$4)*($C$6-$C$5)))</f>
        <v>8.699787860799</v>
      </c>
    </row>
    <row r="838" customFormat="false" ht="15" hidden="false" customHeight="false" outlineLevel="0" collapsed="false">
      <c r="B838" s="0" t="n">
        <v>822</v>
      </c>
      <c r="C838" s="0" t="n">
        <f aca="true">RAND()</f>
        <v>0.343893869482395</v>
      </c>
      <c r="D838" s="0" t="n">
        <f aca="true">RAND()</f>
        <v>0.967965766283126</v>
      </c>
      <c r="E838" s="0" t="n">
        <f aca="false">IF(C838&lt;=$C$10,1,2)</f>
        <v>1</v>
      </c>
      <c r="F838" s="0" t="n">
        <f aca="false">IF(E838=1,$C$4+SQRT(D838*($C$6-$C$4)*($C$5-$C$4)),$C$6-SQRT((1-D838)*($C$6-$C$4)*($C$6-$C$5)))</f>
        <v>9.39137756650244</v>
      </c>
    </row>
    <row r="839" customFormat="false" ht="15" hidden="false" customHeight="false" outlineLevel="0" collapsed="false">
      <c r="B839" s="0" t="n">
        <v>823</v>
      </c>
      <c r="C839" s="0" t="n">
        <f aca="true">RAND()</f>
        <v>0.413640154146365</v>
      </c>
      <c r="D839" s="0" t="n">
        <f aca="true">RAND()</f>
        <v>0.709307145766337</v>
      </c>
      <c r="E839" s="0" t="n">
        <f aca="false">IF(C839&lt;=$C$10,1,2)</f>
        <v>1</v>
      </c>
      <c r="F839" s="0" t="n">
        <f aca="false">IF(E839=1,$C$4+SQRT(D839*($C$6-$C$4)*($C$5-$C$4)),$C$6-SQRT((1-D839)*($C$6-$C$4)*($C$6-$C$5)))</f>
        <v>9.19105595650779</v>
      </c>
    </row>
    <row r="840" customFormat="false" ht="15" hidden="false" customHeight="false" outlineLevel="0" collapsed="false">
      <c r="B840" s="0" t="n">
        <v>824</v>
      </c>
      <c r="C840" s="0" t="n">
        <f aca="true">RAND()</f>
        <v>0.970725897514364</v>
      </c>
      <c r="D840" s="0" t="n">
        <f aca="true">RAND()</f>
        <v>0.691213307019517</v>
      </c>
      <c r="E840" s="0" t="n">
        <f aca="false">IF(C840&lt;=$C$10,1,2)</f>
        <v>2</v>
      </c>
      <c r="F840" s="0" t="n">
        <f aca="false">IF(E840=1,$C$4+SQRT(D840*($C$6-$C$4)*($C$5-$C$4)),$C$6-SQRT((1-D840)*($C$6-$C$4)*($C$6-$C$5)))</f>
        <v>9.21414162474339</v>
      </c>
    </row>
    <row r="841" customFormat="false" ht="15" hidden="false" customHeight="false" outlineLevel="0" collapsed="false">
      <c r="B841" s="0" t="n">
        <v>825</v>
      </c>
      <c r="C841" s="0" t="n">
        <f aca="true">RAND()</f>
        <v>0.448525934094986</v>
      </c>
      <c r="D841" s="0" t="n">
        <f aca="true">RAND()</f>
        <v>0.99078813084163</v>
      </c>
      <c r="E841" s="0" t="n">
        <f aca="false">IF(C841&lt;=$C$10,1,2)</f>
        <v>1</v>
      </c>
      <c r="F841" s="0" t="n">
        <f aca="false">IF(E841=1,$C$4+SQRT(D841*($C$6-$C$4)*($C$5-$C$4)),$C$6-SQRT((1-D841)*($C$6-$C$4)*($C$6-$C$5)))</f>
        <v>9.40768471671865</v>
      </c>
    </row>
    <row r="842" customFormat="false" ht="15" hidden="false" customHeight="false" outlineLevel="0" collapsed="false">
      <c r="B842" s="0" t="n">
        <v>826</v>
      </c>
      <c r="C842" s="0" t="n">
        <f aca="true">RAND()</f>
        <v>0.980784690842635</v>
      </c>
      <c r="D842" s="0" t="n">
        <f aca="true">RAND()</f>
        <v>0.728072315936729</v>
      </c>
      <c r="E842" s="0" t="n">
        <f aca="false">IF(C842&lt;=$C$10,1,2)</f>
        <v>2</v>
      </c>
      <c r="F842" s="0" t="n">
        <f aca="false">IF(E842=1,$C$4+SQRT(D842*($C$6-$C$4)*($C$5-$C$4)),$C$6-SQRT((1-D842)*($C$6-$C$4)*($C$6-$C$5)))</f>
        <v>9.2625344969922</v>
      </c>
    </row>
    <row r="843" customFormat="false" ht="15" hidden="false" customHeight="false" outlineLevel="0" collapsed="false">
      <c r="B843" s="0" t="n">
        <v>827</v>
      </c>
      <c r="C843" s="0" t="n">
        <f aca="true">RAND()</f>
        <v>0.425735132133088</v>
      </c>
      <c r="D843" s="0" t="n">
        <f aca="true">RAND()</f>
        <v>0.83674229964491</v>
      </c>
      <c r="E843" s="0" t="n">
        <f aca="false">IF(C843&lt;=$C$10,1,2)</f>
        <v>1</v>
      </c>
      <c r="F843" s="0" t="n">
        <f aca="false">IF(E843=1,$C$4+SQRT(D843*($C$6-$C$4)*($C$5-$C$4)),$C$6-SQRT((1-D843)*($C$6-$C$4)*($C$6-$C$5)))</f>
        <v>9.29363232770746</v>
      </c>
    </row>
    <row r="844" customFormat="false" ht="15" hidden="false" customHeight="false" outlineLevel="0" collapsed="false">
      <c r="B844" s="0" t="n">
        <v>828</v>
      </c>
      <c r="C844" s="0" t="n">
        <f aca="true">RAND()</f>
        <v>0.206871446310787</v>
      </c>
      <c r="D844" s="0" t="n">
        <f aca="true">RAND()</f>
        <v>0.486336208556345</v>
      </c>
      <c r="E844" s="0" t="n">
        <f aca="false">IF(C844&lt;=$C$10,1,2)</f>
        <v>1</v>
      </c>
      <c r="F844" s="0" t="n">
        <f aca="false">IF(E844=1,$C$4+SQRT(D844*($C$6-$C$4)*($C$5-$C$4)),$C$6-SQRT((1-D844)*($C$6-$C$4)*($C$6-$C$5)))</f>
        <v>8.98624156123776</v>
      </c>
    </row>
    <row r="845" customFormat="false" ht="15" hidden="false" customHeight="false" outlineLevel="0" collapsed="false">
      <c r="B845" s="0" t="n">
        <v>829</v>
      </c>
      <c r="C845" s="0" t="n">
        <f aca="true">RAND()</f>
        <v>0.291456725214403</v>
      </c>
      <c r="D845" s="0" t="n">
        <f aca="true">RAND()</f>
        <v>0.71519735489922</v>
      </c>
      <c r="E845" s="0" t="n">
        <f aca="false">IF(C845&lt;=$C$10,1,2)</f>
        <v>1</v>
      </c>
      <c r="F845" s="0" t="n">
        <f aca="false">IF(E845=1,$C$4+SQRT(D845*($C$6-$C$4)*($C$5-$C$4)),$C$6-SQRT((1-D845)*($C$6-$C$4)*($C$6-$C$5)))</f>
        <v>9.19599109938094</v>
      </c>
    </row>
    <row r="846" customFormat="false" ht="15" hidden="false" customHeight="false" outlineLevel="0" collapsed="false">
      <c r="B846" s="0" t="n">
        <v>830</v>
      </c>
      <c r="C846" s="0" t="n">
        <f aca="true">RAND()</f>
        <v>0.596101251032885</v>
      </c>
      <c r="D846" s="0" t="n">
        <f aca="true">RAND()</f>
        <v>0.148770122147065</v>
      </c>
      <c r="E846" s="0" t="n">
        <f aca="false">IF(C846&lt;=$C$10,1,2)</f>
        <v>2</v>
      </c>
      <c r="F846" s="0" t="n">
        <f aca="false">IF(E846=1,$C$4+SQRT(D846*($C$6-$C$4)*($C$5-$C$4)),$C$6-SQRT((1-D846)*($C$6-$C$4)*($C$6-$C$5)))</f>
        <v>8.69521658666817</v>
      </c>
    </row>
    <row r="847" customFormat="false" ht="15" hidden="false" customHeight="false" outlineLevel="0" collapsed="false">
      <c r="B847" s="0" t="n">
        <v>831</v>
      </c>
      <c r="C847" s="0" t="n">
        <f aca="true">RAND()</f>
        <v>0.296833633284647</v>
      </c>
      <c r="D847" s="0" t="n">
        <f aca="true">RAND()</f>
        <v>0.719278854851808</v>
      </c>
      <c r="E847" s="0" t="n">
        <f aca="false">IF(C847&lt;=$C$10,1,2)</f>
        <v>1</v>
      </c>
      <c r="F847" s="0" t="n">
        <f aca="false">IF(E847=1,$C$4+SQRT(D847*($C$6-$C$4)*($C$5-$C$4)),$C$6-SQRT((1-D847)*($C$6-$C$4)*($C$6-$C$5)))</f>
        <v>9.19939889515691</v>
      </c>
    </row>
    <row r="848" customFormat="false" ht="15" hidden="false" customHeight="false" outlineLevel="0" collapsed="false">
      <c r="B848" s="0" t="n">
        <v>832</v>
      </c>
      <c r="C848" s="0" t="n">
        <f aca="true">RAND()</f>
        <v>0.540613348061588</v>
      </c>
      <c r="D848" s="0" t="n">
        <f aca="true">RAND()</f>
        <v>0.512554574032748</v>
      </c>
      <c r="E848" s="0" t="n">
        <f aca="false">IF(C848&lt;=$C$10,1,2)</f>
        <v>2</v>
      </c>
      <c r="F848" s="0" t="n">
        <f aca="false">IF(E848=1,$C$4+SQRT(D848*($C$6-$C$4)*($C$5-$C$4)),$C$6-SQRT((1-D848)*($C$6-$C$4)*($C$6-$C$5)))</f>
        <v>9.0126343879117</v>
      </c>
    </row>
    <row r="849" customFormat="false" ht="15" hidden="false" customHeight="false" outlineLevel="0" collapsed="false">
      <c r="B849" s="0" t="n">
        <v>833</v>
      </c>
      <c r="C849" s="0" t="n">
        <f aca="true">RAND()</f>
        <v>0.206671112320594</v>
      </c>
      <c r="D849" s="0" t="n">
        <f aca="true">RAND()</f>
        <v>0.425828093110311</v>
      </c>
      <c r="E849" s="0" t="n">
        <f aca="false">IF(C849&lt;=$C$10,1,2)</f>
        <v>1</v>
      </c>
      <c r="F849" s="0" t="n">
        <f aca="false">IF(E849=1,$C$4+SQRT(D849*($C$6-$C$4)*($C$5-$C$4)),$C$6-SQRT((1-D849)*($C$6-$C$4)*($C$6-$C$5)))</f>
        <v>8.92285220172063</v>
      </c>
    </row>
    <row r="850" customFormat="false" ht="15" hidden="false" customHeight="false" outlineLevel="0" collapsed="false">
      <c r="B850" s="0" t="n">
        <v>834</v>
      </c>
      <c r="C850" s="0" t="n">
        <f aca="true">RAND()</f>
        <v>0.344575255680798</v>
      </c>
      <c r="D850" s="0" t="n">
        <f aca="true">RAND()</f>
        <v>0.740511964434644</v>
      </c>
      <c r="E850" s="0" t="n">
        <f aca="false">IF(C850&lt;=$C$10,1,2)</f>
        <v>1</v>
      </c>
      <c r="F850" s="0" t="n">
        <f aca="false">IF(E850=1,$C$4+SQRT(D850*($C$6-$C$4)*($C$5-$C$4)),$C$6-SQRT((1-D850)*($C$6-$C$4)*($C$6-$C$5)))</f>
        <v>9.21697326547024</v>
      </c>
    </row>
    <row r="851" customFormat="false" ht="15" hidden="false" customHeight="false" outlineLevel="0" collapsed="false">
      <c r="B851" s="0" t="n">
        <v>835</v>
      </c>
      <c r="C851" s="0" t="n">
        <f aca="true">RAND()</f>
        <v>0.392558561453147</v>
      </c>
      <c r="D851" s="0" t="n">
        <f aca="true">RAND()</f>
        <v>0.0187713981338616</v>
      </c>
      <c r="E851" s="0" t="n">
        <f aca="false">IF(C851&lt;=$C$10,1,2)</f>
        <v>1</v>
      </c>
      <c r="F851" s="0" t="n">
        <f aca="false">IF(E851=1,$C$4+SQRT(D851*($C$6-$C$4)*($C$5-$C$4)),$C$6-SQRT((1-D851)*($C$6-$C$4)*($C$6-$C$5)))</f>
        <v>8.19375963529003</v>
      </c>
    </row>
    <row r="852" customFormat="false" ht="15" hidden="false" customHeight="false" outlineLevel="0" collapsed="false">
      <c r="B852" s="0" t="n">
        <v>836</v>
      </c>
      <c r="C852" s="0" t="n">
        <f aca="true">RAND()</f>
        <v>0.381899013160482</v>
      </c>
      <c r="D852" s="0" t="n">
        <f aca="true">RAND()</f>
        <v>0.793377196767142</v>
      </c>
      <c r="E852" s="0" t="n">
        <f aca="false">IF(C852&lt;=$C$10,1,2)</f>
        <v>1</v>
      </c>
      <c r="F852" s="0" t="n">
        <f aca="false">IF(E852=1,$C$4+SQRT(D852*($C$6-$C$4)*($C$5-$C$4)),$C$6-SQRT((1-D852)*($C$6-$C$4)*($C$6-$C$5)))</f>
        <v>9.25966439718454</v>
      </c>
    </row>
    <row r="853" customFormat="false" ht="15" hidden="false" customHeight="false" outlineLevel="0" collapsed="false">
      <c r="B853" s="0" t="n">
        <v>837</v>
      </c>
      <c r="C853" s="0" t="n">
        <f aca="true">RAND()</f>
        <v>0.628894296786152</v>
      </c>
      <c r="D853" s="0" t="n">
        <f aca="true">RAND()</f>
        <v>0.182821691454915</v>
      </c>
      <c r="E853" s="0" t="n">
        <f aca="false">IF(C853&lt;=$C$10,1,2)</f>
        <v>2</v>
      </c>
      <c r="F853" s="0" t="n">
        <f aca="false">IF(E853=1,$C$4+SQRT(D853*($C$6-$C$4)*($C$5-$C$4)),$C$6-SQRT((1-D853)*($C$6-$C$4)*($C$6-$C$5)))</f>
        <v>8.72158042212653</v>
      </c>
    </row>
    <row r="854" customFormat="false" ht="15" hidden="false" customHeight="false" outlineLevel="0" collapsed="false">
      <c r="B854" s="0" t="n">
        <v>838</v>
      </c>
      <c r="C854" s="0" t="n">
        <f aca="true">RAND()</f>
        <v>0.648771191036859</v>
      </c>
      <c r="D854" s="0" t="n">
        <f aca="true">RAND()</f>
        <v>0.582315455492316</v>
      </c>
      <c r="E854" s="0" t="n">
        <f aca="false">IF(C854&lt;=$C$10,1,2)</f>
        <v>2</v>
      </c>
      <c r="F854" s="0" t="n">
        <f aca="false">IF(E854=1,$C$4+SQRT(D854*($C$6-$C$4)*($C$5-$C$4)),$C$6-SQRT((1-D854)*($C$6-$C$4)*($C$6-$C$5)))</f>
        <v>9.08601472166376</v>
      </c>
    </row>
    <row r="855" customFormat="false" ht="15" hidden="false" customHeight="false" outlineLevel="0" collapsed="false">
      <c r="B855" s="0" t="n">
        <v>839</v>
      </c>
      <c r="C855" s="0" t="n">
        <f aca="true">RAND()</f>
        <v>0.393417233496015</v>
      </c>
      <c r="D855" s="0" t="n">
        <f aca="true">RAND()</f>
        <v>0.959070531239909</v>
      </c>
      <c r="E855" s="0" t="n">
        <f aca="false">IF(C855&lt;=$C$10,1,2)</f>
        <v>1</v>
      </c>
      <c r="F855" s="0" t="n">
        <f aca="false">IF(E855=1,$C$4+SQRT(D855*($C$6-$C$4)*($C$5-$C$4)),$C$6-SQRT((1-D855)*($C$6-$C$4)*($C$6-$C$5)))</f>
        <v>9.38496969731465</v>
      </c>
    </row>
    <row r="856" customFormat="false" ht="15" hidden="false" customHeight="false" outlineLevel="0" collapsed="false">
      <c r="B856" s="0" t="n">
        <v>840</v>
      </c>
      <c r="C856" s="0" t="n">
        <f aca="true">RAND()</f>
        <v>0.23546259536366</v>
      </c>
      <c r="D856" s="0" t="n">
        <f aca="true">RAND()</f>
        <v>0.406003573231021</v>
      </c>
      <c r="E856" s="0" t="n">
        <f aca="false">IF(C856&lt;=$C$10,1,2)</f>
        <v>1</v>
      </c>
      <c r="F856" s="0" t="n">
        <f aca="false">IF(E856=1,$C$4+SQRT(D856*($C$6-$C$4)*($C$5-$C$4)),$C$6-SQRT((1-D856)*($C$6-$C$4)*($C$6-$C$5)))</f>
        <v>8.90111439144098</v>
      </c>
    </row>
    <row r="857" customFormat="false" ht="15" hidden="false" customHeight="false" outlineLevel="0" collapsed="false">
      <c r="B857" s="0" t="n">
        <v>841</v>
      </c>
      <c r="C857" s="0" t="n">
        <f aca="true">RAND()</f>
        <v>0.213820024374887</v>
      </c>
      <c r="D857" s="0" t="n">
        <f aca="true">RAND()</f>
        <v>0.770486467054556</v>
      </c>
      <c r="E857" s="0" t="n">
        <f aca="false">IF(C857&lt;=$C$10,1,2)</f>
        <v>1</v>
      </c>
      <c r="F857" s="0" t="n">
        <f aca="false">IF(E857=1,$C$4+SQRT(D857*($C$6-$C$4)*($C$5-$C$4)),$C$6-SQRT((1-D857)*($C$6-$C$4)*($C$6-$C$5)))</f>
        <v>9.24135930902745</v>
      </c>
    </row>
    <row r="858" customFormat="false" ht="15" hidden="false" customHeight="false" outlineLevel="0" collapsed="false">
      <c r="B858" s="0" t="n">
        <v>842</v>
      </c>
      <c r="C858" s="0" t="n">
        <f aca="true">RAND()</f>
        <v>0.585555880565568</v>
      </c>
      <c r="D858" s="0" t="n">
        <f aca="true">RAND()</f>
        <v>0.572717207541836</v>
      </c>
      <c r="E858" s="0" t="n">
        <f aca="false">IF(C858&lt;=$C$10,1,2)</f>
        <v>2</v>
      </c>
      <c r="F858" s="0" t="n">
        <f aca="false">IF(E858=1,$C$4+SQRT(D858*($C$6-$C$4)*($C$5-$C$4)),$C$6-SQRT((1-D858)*($C$6-$C$4)*($C$6-$C$5)))</f>
        <v>9.07557283417441</v>
      </c>
    </row>
    <row r="859" customFormat="false" ht="15" hidden="false" customHeight="false" outlineLevel="0" collapsed="false">
      <c r="B859" s="0" t="n">
        <v>843</v>
      </c>
      <c r="C859" s="0" t="n">
        <f aca="true">RAND()</f>
        <v>0.483707991718192</v>
      </c>
      <c r="D859" s="0" t="n">
        <f aca="true">RAND()</f>
        <v>0.391089990231089</v>
      </c>
      <c r="E859" s="0" t="n">
        <f aca="false">IF(C859&lt;=$C$10,1,2)</f>
        <v>1</v>
      </c>
      <c r="F859" s="0" t="n">
        <f aca="false">IF(E859=1,$C$4+SQRT(D859*($C$6-$C$4)*($C$5-$C$4)),$C$6-SQRT((1-D859)*($C$6-$C$4)*($C$6-$C$5)))</f>
        <v>8.88440939641219</v>
      </c>
    </row>
    <row r="860" customFormat="false" ht="15" hidden="false" customHeight="false" outlineLevel="0" collapsed="false">
      <c r="B860" s="0" t="n">
        <v>844</v>
      </c>
      <c r="C860" s="0" t="n">
        <f aca="true">RAND()</f>
        <v>0.694721917589609</v>
      </c>
      <c r="D860" s="0" t="n">
        <f aca="true">RAND()</f>
        <v>0.499778998845743</v>
      </c>
      <c r="E860" s="0" t="n">
        <f aca="false">IF(C860&lt;=$C$10,1,2)</f>
        <v>2</v>
      </c>
      <c r="F860" s="0" t="n">
        <f aca="false">IF(E860=1,$C$4+SQRT(D860*($C$6-$C$4)*($C$5-$C$4)),$C$6-SQRT((1-D860)*($C$6-$C$4)*($C$6-$C$5)))</f>
        <v>8.9997790232611</v>
      </c>
    </row>
    <row r="861" customFormat="false" ht="15" hidden="false" customHeight="false" outlineLevel="0" collapsed="false">
      <c r="B861" s="0" t="n">
        <v>845</v>
      </c>
      <c r="C861" s="0" t="n">
        <f aca="true">RAND()</f>
        <v>0.484907245837581</v>
      </c>
      <c r="D861" s="0" t="n">
        <f aca="true">RAND()</f>
        <v>0.0220829346926238</v>
      </c>
      <c r="E861" s="0" t="n">
        <f aca="false">IF(C861&lt;=$C$10,1,2)</f>
        <v>1</v>
      </c>
      <c r="F861" s="0" t="n">
        <f aca="false">IF(E861=1,$C$4+SQRT(D861*($C$6-$C$4)*($C$5-$C$4)),$C$6-SQRT((1-D861)*($C$6-$C$4)*($C$6-$C$5)))</f>
        <v>8.21015677335087</v>
      </c>
    </row>
    <row r="862" customFormat="false" ht="15" hidden="false" customHeight="false" outlineLevel="0" collapsed="false">
      <c r="B862" s="0" t="n">
        <v>846</v>
      </c>
      <c r="C862" s="0" t="n">
        <f aca="true">RAND()</f>
        <v>0.938919183276409</v>
      </c>
      <c r="D862" s="0" t="n">
        <f aca="true">RAND()</f>
        <v>0.217885262777331</v>
      </c>
      <c r="E862" s="0" t="n">
        <f aca="false">IF(C862&lt;=$C$10,1,2)</f>
        <v>2</v>
      </c>
      <c r="F862" s="0" t="n">
        <f aca="false">IF(E862=1,$C$4+SQRT(D862*($C$6-$C$4)*($C$5-$C$4)),$C$6-SQRT((1-D862)*($C$6-$C$4)*($C$6-$C$5)))</f>
        <v>8.74930840154523</v>
      </c>
    </row>
    <row r="863" customFormat="false" ht="15" hidden="false" customHeight="false" outlineLevel="0" collapsed="false">
      <c r="B863" s="0" t="n">
        <v>847</v>
      </c>
      <c r="C863" s="0" t="n">
        <f aca="true">RAND()</f>
        <v>0.466295035918854</v>
      </c>
      <c r="D863" s="0" t="n">
        <f aca="true">RAND()</f>
        <v>0.0185831348842479</v>
      </c>
      <c r="E863" s="0" t="n">
        <f aca="false">IF(C863&lt;=$C$10,1,2)</f>
        <v>1</v>
      </c>
      <c r="F863" s="0" t="n">
        <f aca="false">IF(E863=1,$C$4+SQRT(D863*($C$6-$C$4)*($C$5-$C$4)),$C$6-SQRT((1-D863)*($C$6-$C$4)*($C$6-$C$5)))</f>
        <v>8.19278555383767</v>
      </c>
    </row>
    <row r="864" customFormat="false" ht="15" hidden="false" customHeight="false" outlineLevel="0" collapsed="false">
      <c r="B864" s="0" t="n">
        <v>848</v>
      </c>
      <c r="C864" s="0" t="n">
        <f aca="true">RAND()</f>
        <v>0.54039722384165</v>
      </c>
      <c r="D864" s="0" t="n">
        <f aca="true">RAND()</f>
        <v>0.423342069673351</v>
      </c>
      <c r="E864" s="0" t="n">
        <f aca="false">IF(C864&lt;=$C$10,1,2)</f>
        <v>2</v>
      </c>
      <c r="F864" s="0" t="n">
        <f aca="false">IF(E864=1,$C$4+SQRT(D864*($C$6-$C$4)*($C$5-$C$4)),$C$6-SQRT((1-D864)*($C$6-$C$4)*($C$6-$C$5)))</f>
        <v>8.92607455535624</v>
      </c>
    </row>
    <row r="865" customFormat="false" ht="15" hidden="false" customHeight="false" outlineLevel="0" collapsed="false">
      <c r="B865" s="0" t="n">
        <v>849</v>
      </c>
      <c r="C865" s="0" t="n">
        <f aca="true">RAND()</f>
        <v>0.401665879955628</v>
      </c>
      <c r="D865" s="0" t="n">
        <f aca="true">RAND()</f>
        <v>0.13042276055118</v>
      </c>
      <c r="E865" s="0" t="n">
        <f aca="false">IF(C865&lt;=$C$10,1,2)</f>
        <v>1</v>
      </c>
      <c r="F865" s="0" t="n">
        <f aca="false">IF(E865=1,$C$4+SQRT(D865*($C$6-$C$4)*($C$5-$C$4)),$C$6-SQRT((1-D865)*($C$6-$C$4)*($C$6-$C$5)))</f>
        <v>8.51073038004642</v>
      </c>
    </row>
    <row r="866" customFormat="false" ht="15" hidden="false" customHeight="false" outlineLevel="0" collapsed="false">
      <c r="B866" s="0" t="n">
        <v>850</v>
      </c>
      <c r="C866" s="0" t="n">
        <f aca="true">RAND()</f>
        <v>0.344611443412247</v>
      </c>
      <c r="D866" s="0" t="n">
        <f aca="true">RAND()</f>
        <v>0.628131220259183</v>
      </c>
      <c r="E866" s="0" t="n">
        <f aca="false">IF(C866&lt;=$C$10,1,2)</f>
        <v>1</v>
      </c>
      <c r="F866" s="0" t="n">
        <f aca="false">IF(E866=1,$C$4+SQRT(D866*($C$6-$C$4)*($C$5-$C$4)),$C$6-SQRT((1-D866)*($C$6-$C$4)*($C$6-$C$5)))</f>
        <v>9.12083113827123</v>
      </c>
    </row>
    <row r="867" customFormat="false" ht="15" hidden="false" customHeight="false" outlineLevel="0" collapsed="false">
      <c r="B867" s="0" t="n">
        <v>851</v>
      </c>
      <c r="C867" s="0" t="n">
        <f aca="true">RAND()</f>
        <v>0.468248511725754</v>
      </c>
      <c r="D867" s="0" t="n">
        <f aca="true">RAND()</f>
        <v>0.418936312624295</v>
      </c>
      <c r="E867" s="0" t="n">
        <f aca="false">IF(C867&lt;=$C$10,1,2)</f>
        <v>1</v>
      </c>
      <c r="F867" s="0" t="n">
        <f aca="false">IF(E867=1,$C$4+SQRT(D867*($C$6-$C$4)*($C$5-$C$4)),$C$6-SQRT((1-D867)*($C$6-$C$4)*($C$6-$C$5)))</f>
        <v>8.9153538251674</v>
      </c>
    </row>
    <row r="868" customFormat="false" ht="15" hidden="false" customHeight="false" outlineLevel="0" collapsed="false">
      <c r="B868" s="0" t="n">
        <v>852</v>
      </c>
      <c r="C868" s="0" t="n">
        <f aca="true">RAND()</f>
        <v>0.489964394107867</v>
      </c>
      <c r="D868" s="0" t="n">
        <f aca="true">RAND()</f>
        <v>0.611224018563759</v>
      </c>
      <c r="E868" s="0" t="n">
        <f aca="false">IF(C868&lt;=$C$10,1,2)</f>
        <v>1</v>
      </c>
      <c r="F868" s="0" t="n">
        <f aca="false">IF(E868=1,$C$4+SQRT(D868*($C$6-$C$4)*($C$5-$C$4)),$C$6-SQRT((1-D868)*($C$6-$C$4)*($C$6-$C$5)))</f>
        <v>9.10564372070189</v>
      </c>
    </row>
    <row r="869" customFormat="false" ht="15" hidden="false" customHeight="false" outlineLevel="0" collapsed="false">
      <c r="B869" s="0" t="n">
        <v>853</v>
      </c>
      <c r="C869" s="0" t="n">
        <f aca="true">RAND()</f>
        <v>0.94624115181717</v>
      </c>
      <c r="D869" s="0" t="n">
        <f aca="true">RAND()</f>
        <v>0.66464535603393</v>
      </c>
      <c r="E869" s="0" t="n">
        <f aca="false">IF(C869&lt;=$C$10,1,2)</f>
        <v>2</v>
      </c>
      <c r="F869" s="0" t="n">
        <f aca="false">IF(E869=1,$C$4+SQRT(D869*($C$6-$C$4)*($C$5-$C$4)),$C$6-SQRT((1-D869)*($C$6-$C$4)*($C$6-$C$5)))</f>
        <v>9.1810315708575</v>
      </c>
    </row>
    <row r="870" customFormat="false" ht="15" hidden="false" customHeight="false" outlineLevel="0" collapsed="false">
      <c r="B870" s="0" t="n">
        <v>854</v>
      </c>
      <c r="C870" s="0" t="n">
        <f aca="true">RAND()</f>
        <v>0.46356971825762</v>
      </c>
      <c r="D870" s="0" t="n">
        <f aca="true">RAND()</f>
        <v>0.149290879726176</v>
      </c>
      <c r="E870" s="0" t="n">
        <f aca="false">IF(C870&lt;=$C$10,1,2)</f>
        <v>1</v>
      </c>
      <c r="F870" s="0" t="n">
        <f aca="false">IF(E870=1,$C$4+SQRT(D870*($C$6-$C$4)*($C$5-$C$4)),$C$6-SQRT((1-D870)*($C$6-$C$4)*($C$6-$C$5)))</f>
        <v>8.54642635318252</v>
      </c>
    </row>
    <row r="871" customFormat="false" ht="15" hidden="false" customHeight="false" outlineLevel="0" collapsed="false">
      <c r="B871" s="0" t="n">
        <v>855</v>
      </c>
      <c r="C871" s="0" t="n">
        <f aca="true">RAND()</f>
        <v>0.0969465297248451</v>
      </c>
      <c r="D871" s="0" t="n">
        <f aca="true">RAND()</f>
        <v>0.203091837259549</v>
      </c>
      <c r="E871" s="0" t="n">
        <f aca="false">IF(C871&lt;=$C$10,1,2)</f>
        <v>1</v>
      </c>
      <c r="F871" s="0" t="n">
        <f aca="false">IF(E871=1,$C$4+SQRT(D871*($C$6-$C$4)*($C$5-$C$4)),$C$6-SQRT((1-D871)*($C$6-$C$4)*($C$6-$C$5)))</f>
        <v>8.63732540708738</v>
      </c>
    </row>
    <row r="872" customFormat="false" ht="15" hidden="false" customHeight="false" outlineLevel="0" collapsed="false">
      <c r="B872" s="0" t="n">
        <v>856</v>
      </c>
      <c r="C872" s="0" t="n">
        <f aca="true">RAND()</f>
        <v>0.709989288820432</v>
      </c>
      <c r="D872" s="0" t="n">
        <f aca="true">RAND()</f>
        <v>0.654845262487903</v>
      </c>
      <c r="E872" s="0" t="n">
        <f aca="false">IF(C872&lt;=$C$10,1,2)</f>
        <v>2</v>
      </c>
      <c r="F872" s="0" t="n">
        <f aca="false">IF(E872=1,$C$4+SQRT(D872*($C$6-$C$4)*($C$5-$C$4)),$C$6-SQRT((1-D872)*($C$6-$C$4)*($C$6-$C$5)))</f>
        <v>9.16915135251708</v>
      </c>
    </row>
    <row r="873" customFormat="false" ht="15" hidden="false" customHeight="false" outlineLevel="0" collapsed="false">
      <c r="B873" s="0" t="n">
        <v>857</v>
      </c>
      <c r="C873" s="0" t="n">
        <f aca="true">RAND()</f>
        <v>0.68282063417702</v>
      </c>
      <c r="D873" s="0" t="n">
        <f aca="true">RAND()</f>
        <v>0.314806928420126</v>
      </c>
      <c r="E873" s="0" t="n">
        <f aca="false">IF(C873&lt;=$C$10,1,2)</f>
        <v>2</v>
      </c>
      <c r="F873" s="0" t="n">
        <f aca="false">IF(E873=1,$C$4+SQRT(D873*($C$6-$C$4)*($C$5-$C$4)),$C$6-SQRT((1-D873)*($C$6-$C$4)*($C$6-$C$5)))</f>
        <v>8.82936506836685</v>
      </c>
    </row>
    <row r="874" customFormat="false" ht="15" hidden="false" customHeight="false" outlineLevel="0" collapsed="false">
      <c r="B874" s="0" t="n">
        <v>858</v>
      </c>
      <c r="C874" s="0" t="n">
        <f aca="true">RAND()</f>
        <v>0.84428338347253</v>
      </c>
      <c r="D874" s="0" t="n">
        <f aca="true">RAND()</f>
        <v>0.968030076057995</v>
      </c>
      <c r="E874" s="0" t="n">
        <f aca="false">IF(C874&lt;=$C$10,1,2)</f>
        <v>2</v>
      </c>
      <c r="F874" s="0" t="n">
        <f aca="false">IF(E874=1,$C$4+SQRT(D874*($C$6-$C$4)*($C$5-$C$4)),$C$6-SQRT((1-D874)*($C$6-$C$4)*($C$6-$C$5)))</f>
        <v>9.74713670119211</v>
      </c>
    </row>
    <row r="875" customFormat="false" ht="15" hidden="false" customHeight="false" outlineLevel="0" collapsed="false">
      <c r="B875" s="0" t="n">
        <v>859</v>
      </c>
      <c r="C875" s="0" t="n">
        <f aca="true">RAND()</f>
        <v>0.51184614490452</v>
      </c>
      <c r="D875" s="0" t="n">
        <f aca="true">RAND()</f>
        <v>0.156345950277028</v>
      </c>
      <c r="E875" s="0" t="n">
        <f aca="false">IF(C875&lt;=$C$10,1,2)</f>
        <v>2</v>
      </c>
      <c r="F875" s="0" t="n">
        <f aca="false">IF(E875=1,$C$4+SQRT(D875*($C$6-$C$4)*($C$5-$C$4)),$C$6-SQRT((1-D875)*($C$6-$C$4)*($C$6-$C$5)))</f>
        <v>8.70103575898105</v>
      </c>
    </row>
    <row r="876" customFormat="false" ht="15" hidden="false" customHeight="false" outlineLevel="0" collapsed="false">
      <c r="B876" s="0" t="n">
        <v>860</v>
      </c>
      <c r="C876" s="0" t="n">
        <f aca="true">RAND()</f>
        <v>0.103942213768777</v>
      </c>
      <c r="D876" s="0" t="n">
        <f aca="true">RAND()</f>
        <v>0.833678985695248</v>
      </c>
      <c r="E876" s="0" t="n">
        <f aca="false">IF(C876&lt;=$C$10,1,2)</f>
        <v>1</v>
      </c>
      <c r="F876" s="0" t="n">
        <f aca="false">IF(E876=1,$C$4+SQRT(D876*($C$6-$C$4)*($C$5-$C$4)),$C$6-SQRT((1-D876)*($C$6-$C$4)*($C$6-$C$5)))</f>
        <v>9.29126216214621</v>
      </c>
    </row>
    <row r="877" customFormat="false" ht="15" hidden="false" customHeight="false" outlineLevel="0" collapsed="false">
      <c r="B877" s="0" t="n">
        <v>861</v>
      </c>
      <c r="C877" s="0" t="n">
        <f aca="true">RAND()</f>
        <v>0.427420677759672</v>
      </c>
      <c r="D877" s="0" t="n">
        <f aca="true">RAND()</f>
        <v>0.840308606501422</v>
      </c>
      <c r="E877" s="0" t="n">
        <f aca="false">IF(C877&lt;=$C$10,1,2)</f>
        <v>1</v>
      </c>
      <c r="F877" s="0" t="n">
        <f aca="false">IF(E877=1,$C$4+SQRT(D877*($C$6-$C$4)*($C$5-$C$4)),$C$6-SQRT((1-D877)*($C$6-$C$4)*($C$6-$C$5)))</f>
        <v>9.29638621290218</v>
      </c>
    </row>
    <row r="878" customFormat="false" ht="15" hidden="false" customHeight="false" outlineLevel="0" collapsed="false">
      <c r="B878" s="0" t="n">
        <v>862</v>
      </c>
      <c r="C878" s="0" t="n">
        <f aca="true">RAND()</f>
        <v>0.2914319965758</v>
      </c>
      <c r="D878" s="0" t="n">
        <f aca="true">RAND()</f>
        <v>0.581847605359245</v>
      </c>
      <c r="E878" s="0" t="n">
        <f aca="false">IF(C878&lt;=$C$10,1,2)</f>
        <v>1</v>
      </c>
      <c r="F878" s="0" t="n">
        <f aca="false">IF(E878=1,$C$4+SQRT(D878*($C$6-$C$4)*($C$5-$C$4)),$C$6-SQRT((1-D878)*($C$6-$C$4)*($C$6-$C$5)))</f>
        <v>9.07874705594893</v>
      </c>
    </row>
    <row r="879" customFormat="false" ht="15" hidden="false" customHeight="false" outlineLevel="0" collapsed="false">
      <c r="B879" s="0" t="n">
        <v>863</v>
      </c>
      <c r="C879" s="0" t="n">
        <f aca="true">RAND()</f>
        <v>0.467616025934048</v>
      </c>
      <c r="D879" s="0" t="n">
        <f aca="true">RAND()</f>
        <v>0.325163192982143</v>
      </c>
      <c r="E879" s="0" t="n">
        <f aca="false">IF(C879&lt;=$C$10,1,2)</f>
        <v>1</v>
      </c>
      <c r="F879" s="0" t="n">
        <f aca="false">IF(E879=1,$C$4+SQRT(D879*($C$6-$C$4)*($C$5-$C$4)),$C$6-SQRT((1-D879)*($C$6-$C$4)*($C$6-$C$5)))</f>
        <v>8.8064281654086</v>
      </c>
    </row>
    <row r="880" customFormat="false" ht="15" hidden="false" customHeight="false" outlineLevel="0" collapsed="false">
      <c r="B880" s="0" t="n">
        <v>864</v>
      </c>
      <c r="C880" s="0" t="n">
        <f aca="true">RAND()</f>
        <v>0.51506201717061</v>
      </c>
      <c r="D880" s="0" t="n">
        <f aca="true">RAND()</f>
        <v>0.935983146691098</v>
      </c>
      <c r="E880" s="0" t="n">
        <f aca="false">IF(C880&lt;=$C$10,1,2)</f>
        <v>2</v>
      </c>
      <c r="F880" s="0" t="n">
        <f aca="false">IF(E880=1,$C$4+SQRT(D880*($C$6-$C$4)*($C$5-$C$4)),$C$6-SQRT((1-D880)*($C$6-$C$4)*($C$6-$C$5)))</f>
        <v>9.64218202027036</v>
      </c>
    </row>
    <row r="881" customFormat="false" ht="15" hidden="false" customHeight="false" outlineLevel="0" collapsed="false">
      <c r="B881" s="0" t="n">
        <v>865</v>
      </c>
      <c r="C881" s="0" t="n">
        <f aca="true">RAND()</f>
        <v>0.77582917437947</v>
      </c>
      <c r="D881" s="0" t="n">
        <f aca="true">RAND()</f>
        <v>0.889012870134736</v>
      </c>
      <c r="E881" s="0" t="n">
        <f aca="false">IF(C881&lt;=$C$10,1,2)</f>
        <v>2</v>
      </c>
      <c r="F881" s="0" t="n">
        <f aca="false">IF(E881=1,$C$4+SQRT(D881*($C$6-$C$4)*($C$5-$C$4)),$C$6-SQRT((1-D881)*($C$6-$C$4)*($C$6-$C$5)))</f>
        <v>9.52885855655597</v>
      </c>
    </row>
    <row r="882" customFormat="false" ht="15" hidden="false" customHeight="false" outlineLevel="0" collapsed="false">
      <c r="B882" s="0" t="n">
        <v>866</v>
      </c>
      <c r="C882" s="0" t="n">
        <f aca="true">RAND()</f>
        <v>0.997871179233326</v>
      </c>
      <c r="D882" s="0" t="n">
        <f aca="true">RAND()</f>
        <v>0.858596694116237</v>
      </c>
      <c r="E882" s="0" t="n">
        <f aca="false">IF(C882&lt;=$C$10,1,2)</f>
        <v>2</v>
      </c>
      <c r="F882" s="0" t="n">
        <f aca="false">IF(E882=1,$C$4+SQRT(D882*($C$6-$C$4)*($C$5-$C$4)),$C$6-SQRT((1-D882)*($C$6-$C$4)*($C$6-$C$5)))</f>
        <v>9.46820435149625</v>
      </c>
    </row>
    <row r="883" customFormat="false" ht="15" hidden="false" customHeight="false" outlineLevel="0" collapsed="false">
      <c r="B883" s="0" t="n">
        <v>867</v>
      </c>
      <c r="C883" s="0" t="n">
        <f aca="true">RAND()</f>
        <v>0.226547536662802</v>
      </c>
      <c r="D883" s="0" t="n">
        <f aca="true">RAND()</f>
        <v>0.809106174208953</v>
      </c>
      <c r="E883" s="0" t="n">
        <f aca="false">IF(C883&lt;=$C$10,1,2)</f>
        <v>1</v>
      </c>
      <c r="F883" s="0" t="n">
        <f aca="false">IF(E883=1,$C$4+SQRT(D883*($C$6-$C$4)*($C$5-$C$4)),$C$6-SQRT((1-D883)*($C$6-$C$4)*($C$6-$C$5)))</f>
        <v>9.27208975643148</v>
      </c>
    </row>
    <row r="884" customFormat="false" ht="15" hidden="false" customHeight="false" outlineLevel="0" collapsed="false">
      <c r="B884" s="0" t="n">
        <v>868</v>
      </c>
      <c r="C884" s="0" t="n">
        <f aca="true">RAND()</f>
        <v>0.0713417193370593</v>
      </c>
      <c r="D884" s="0" t="n">
        <f aca="true">RAND()</f>
        <v>0.0488050157184048</v>
      </c>
      <c r="E884" s="0" t="n">
        <f aca="false">IF(C884&lt;=$C$10,1,2)</f>
        <v>1</v>
      </c>
      <c r="F884" s="0" t="n">
        <f aca="false">IF(E884=1,$C$4+SQRT(D884*($C$6-$C$4)*($C$5-$C$4)),$C$6-SQRT((1-D884)*($C$6-$C$4)*($C$6-$C$5)))</f>
        <v>8.31242604154713</v>
      </c>
    </row>
    <row r="885" customFormat="false" ht="15" hidden="false" customHeight="false" outlineLevel="0" collapsed="false">
      <c r="B885" s="0" t="n">
        <v>869</v>
      </c>
      <c r="C885" s="0" t="n">
        <f aca="true">RAND()</f>
        <v>0.282287382808849</v>
      </c>
      <c r="D885" s="0" t="n">
        <f aca="true">RAND()</f>
        <v>0.0861742659515105</v>
      </c>
      <c r="E885" s="0" t="n">
        <f aca="false">IF(C885&lt;=$C$10,1,2)</f>
        <v>1</v>
      </c>
      <c r="F885" s="0" t="n">
        <f aca="false">IF(E885=1,$C$4+SQRT(D885*($C$6-$C$4)*($C$5-$C$4)),$C$6-SQRT((1-D885)*($C$6-$C$4)*($C$6-$C$5)))</f>
        <v>8.41514880693918</v>
      </c>
    </row>
    <row r="886" customFormat="false" ht="15" hidden="false" customHeight="false" outlineLevel="0" collapsed="false">
      <c r="B886" s="0" t="n">
        <v>870</v>
      </c>
      <c r="C886" s="0" t="n">
        <f aca="true">RAND()</f>
        <v>0.836593757752538</v>
      </c>
      <c r="D886" s="0" t="n">
        <f aca="true">RAND()</f>
        <v>0.0741742024829925</v>
      </c>
      <c r="E886" s="0" t="n">
        <f aca="false">IF(C886&lt;=$C$10,1,2)</f>
        <v>2</v>
      </c>
      <c r="F886" s="0" t="n">
        <f aca="false">IF(E886=1,$C$4+SQRT(D886*($C$6-$C$4)*($C$5-$C$4)),$C$6-SQRT((1-D886)*($C$6-$C$4)*($C$6-$C$5)))</f>
        <v>8.63924594616293</v>
      </c>
    </row>
    <row r="887" customFormat="false" ht="15" hidden="false" customHeight="false" outlineLevel="0" collapsed="false">
      <c r="B887" s="0" t="n">
        <v>871</v>
      </c>
      <c r="C887" s="0" t="n">
        <f aca="true">RAND()</f>
        <v>0.716241306662412</v>
      </c>
      <c r="D887" s="0" t="n">
        <f aca="true">RAND()</f>
        <v>0.0125671747645975</v>
      </c>
      <c r="E887" s="0" t="n">
        <f aca="false">IF(C887&lt;=$C$10,1,2)</f>
        <v>2</v>
      </c>
      <c r="F887" s="0" t="n">
        <f aca="false">IF(E887=1,$C$4+SQRT(D887*($C$6-$C$4)*($C$5-$C$4)),$C$6-SQRT((1-D887)*($C$6-$C$4)*($C$6-$C$5)))</f>
        <v>8.59470086797479</v>
      </c>
    </row>
    <row r="888" customFormat="false" ht="15" hidden="false" customHeight="false" outlineLevel="0" collapsed="false">
      <c r="B888" s="0" t="n">
        <v>872</v>
      </c>
      <c r="C888" s="0" t="n">
        <f aca="true">RAND()</f>
        <v>0.384240336771609</v>
      </c>
      <c r="D888" s="0" t="n">
        <f aca="true">RAND()</f>
        <v>0.0614771399800557</v>
      </c>
      <c r="E888" s="0" t="n">
        <f aca="false">IF(C888&lt;=$C$10,1,2)</f>
        <v>1</v>
      </c>
      <c r="F888" s="0" t="n">
        <f aca="false">IF(E888=1,$C$4+SQRT(D888*($C$6-$C$4)*($C$5-$C$4)),$C$6-SQRT((1-D888)*($C$6-$C$4)*($C$6-$C$5)))</f>
        <v>8.35064837082198</v>
      </c>
    </row>
    <row r="889" customFormat="false" ht="15" hidden="false" customHeight="false" outlineLevel="0" collapsed="false">
      <c r="B889" s="0" t="n">
        <v>873</v>
      </c>
      <c r="C889" s="0" t="n">
        <f aca="true">RAND()</f>
        <v>0.643364156005903</v>
      </c>
      <c r="D889" s="0" t="n">
        <f aca="true">RAND()</f>
        <v>0.454457488423687</v>
      </c>
      <c r="E889" s="0" t="n">
        <f aca="false">IF(C889&lt;=$C$10,1,2)</f>
        <v>2</v>
      </c>
      <c r="F889" s="0" t="n">
        <f aca="false">IF(E889=1,$C$4+SQRT(D889*($C$6-$C$4)*($C$5-$C$4)),$C$6-SQRT((1-D889)*($C$6-$C$4)*($C$6-$C$5)))</f>
        <v>8.95544984651161</v>
      </c>
    </row>
    <row r="890" customFormat="false" ht="15" hidden="false" customHeight="false" outlineLevel="0" collapsed="false">
      <c r="B890" s="0" t="n">
        <v>874</v>
      </c>
      <c r="C890" s="0" t="n">
        <f aca="true">RAND()</f>
        <v>0.380198825664091</v>
      </c>
      <c r="D890" s="0" t="n">
        <f aca="true">RAND()</f>
        <v>0.105747874782312</v>
      </c>
      <c r="E890" s="0" t="n">
        <f aca="false">IF(C890&lt;=$C$10,1,2)</f>
        <v>1</v>
      </c>
      <c r="F890" s="0" t="n">
        <f aca="false">IF(E890=1,$C$4+SQRT(D890*($C$6-$C$4)*($C$5-$C$4)),$C$6-SQRT((1-D890)*($C$6-$C$4)*($C$6-$C$5)))</f>
        <v>8.45988667034893</v>
      </c>
    </row>
    <row r="891" customFormat="false" ht="15" hidden="false" customHeight="false" outlineLevel="0" collapsed="false">
      <c r="B891" s="0" t="n">
        <v>875</v>
      </c>
      <c r="C891" s="0" t="n">
        <f aca="true">RAND()</f>
        <v>0.806052507606306</v>
      </c>
      <c r="D891" s="0" t="n">
        <f aca="true">RAND()</f>
        <v>0.847742747298341</v>
      </c>
      <c r="E891" s="0" t="n">
        <f aca="false">IF(C891&lt;=$C$10,1,2)</f>
        <v>2</v>
      </c>
      <c r="F891" s="0" t="n">
        <f aca="false">IF(E891=1,$C$4+SQRT(D891*($C$6-$C$4)*($C$5-$C$4)),$C$6-SQRT((1-D891)*($C$6-$C$4)*($C$6-$C$5)))</f>
        <v>9.4481716703509</v>
      </c>
    </row>
    <row r="892" customFormat="false" ht="15" hidden="false" customHeight="false" outlineLevel="0" collapsed="false">
      <c r="B892" s="0" t="n">
        <v>876</v>
      </c>
      <c r="C892" s="0" t="n">
        <f aca="true">RAND()</f>
        <v>0.915000823417748</v>
      </c>
      <c r="D892" s="0" t="n">
        <f aca="true">RAND()</f>
        <v>0.331624423127764</v>
      </c>
      <c r="E892" s="0" t="n">
        <f aca="false">IF(C892&lt;=$C$10,1,2)</f>
        <v>2</v>
      </c>
      <c r="F892" s="0" t="n">
        <f aca="false">IF(E892=1,$C$4+SQRT(D892*($C$6-$C$4)*($C$5-$C$4)),$C$6-SQRT((1-D892)*($C$6-$C$4)*($C$6-$C$5)))</f>
        <v>8.84382044917562</v>
      </c>
    </row>
    <row r="893" customFormat="false" ht="15" hidden="false" customHeight="false" outlineLevel="0" collapsed="false">
      <c r="B893" s="0" t="n">
        <v>877</v>
      </c>
      <c r="C893" s="0" t="n">
        <f aca="true">RAND()</f>
        <v>0.686833712368491</v>
      </c>
      <c r="D893" s="0" t="n">
        <f aca="true">RAND()</f>
        <v>0.9164141781915</v>
      </c>
      <c r="E893" s="0" t="n">
        <f aca="false">IF(C893&lt;=$C$10,1,2)</f>
        <v>2</v>
      </c>
      <c r="F893" s="0" t="n">
        <f aca="false">IF(E893=1,$C$4+SQRT(D893*($C$6-$C$4)*($C$5-$C$4)),$C$6-SQRT((1-D893)*($C$6-$C$4)*($C$6-$C$5)))</f>
        <v>9.59113370936576</v>
      </c>
    </row>
    <row r="894" customFormat="false" ht="15" hidden="false" customHeight="false" outlineLevel="0" collapsed="false">
      <c r="B894" s="0" t="n">
        <v>878</v>
      </c>
      <c r="C894" s="0" t="n">
        <f aca="true">RAND()</f>
        <v>0.251021434528103</v>
      </c>
      <c r="D894" s="0" t="n">
        <f aca="true">RAND()</f>
        <v>0.763253530158094</v>
      </c>
      <c r="E894" s="0" t="n">
        <f aca="false">IF(C894&lt;=$C$10,1,2)</f>
        <v>1</v>
      </c>
      <c r="F894" s="0" t="n">
        <f aca="false">IF(E894=1,$C$4+SQRT(D894*($C$6-$C$4)*($C$5-$C$4)),$C$6-SQRT((1-D894)*($C$6-$C$4)*($C$6-$C$5)))</f>
        <v>9.2355189437302</v>
      </c>
    </row>
    <row r="895" customFormat="false" ht="15" hidden="false" customHeight="false" outlineLevel="0" collapsed="false">
      <c r="B895" s="0" t="n">
        <v>879</v>
      </c>
      <c r="C895" s="0" t="n">
        <f aca="true">RAND()</f>
        <v>0.13628758943168</v>
      </c>
      <c r="D895" s="0" t="n">
        <f aca="true">RAND()</f>
        <v>0.603394212524841</v>
      </c>
      <c r="E895" s="0" t="n">
        <f aca="false">IF(C895&lt;=$C$10,1,2)</f>
        <v>1</v>
      </c>
      <c r="F895" s="0" t="n">
        <f aca="false">IF(E895=1,$C$4+SQRT(D895*($C$6-$C$4)*($C$5-$C$4)),$C$6-SQRT((1-D895)*($C$6-$C$4)*($C$6-$C$5)))</f>
        <v>9.0985392232641</v>
      </c>
    </row>
    <row r="896" customFormat="false" ht="15" hidden="false" customHeight="false" outlineLevel="0" collapsed="false">
      <c r="B896" s="0" t="n">
        <v>880</v>
      </c>
      <c r="C896" s="0" t="n">
        <f aca="true">RAND()</f>
        <v>0.265636793230796</v>
      </c>
      <c r="D896" s="0" t="n">
        <f aca="true">RAND()</f>
        <v>0.722689311179655</v>
      </c>
      <c r="E896" s="0" t="n">
        <f aca="false">IF(C896&lt;=$C$10,1,2)</f>
        <v>1</v>
      </c>
      <c r="F896" s="0" t="n">
        <f aca="false">IF(E896=1,$C$4+SQRT(D896*($C$6-$C$4)*($C$5-$C$4)),$C$6-SQRT((1-D896)*($C$6-$C$4)*($C$6-$C$5)))</f>
        <v>9.20223900384213</v>
      </c>
    </row>
    <row r="897" customFormat="false" ht="15" hidden="false" customHeight="false" outlineLevel="0" collapsed="false">
      <c r="B897" s="0" t="n">
        <v>881</v>
      </c>
      <c r="C897" s="0" t="n">
        <f aca="true">RAND()</f>
        <v>0.816158980208513</v>
      </c>
      <c r="D897" s="0" t="n">
        <f aca="true">RAND()</f>
        <v>0.430244446313455</v>
      </c>
      <c r="E897" s="0" t="n">
        <f aca="false">IF(C897&lt;=$C$10,1,2)</f>
        <v>2</v>
      </c>
      <c r="F897" s="0" t="n">
        <f aca="false">IF(E897=1,$C$4+SQRT(D897*($C$6-$C$4)*($C$5-$C$4)),$C$6-SQRT((1-D897)*($C$6-$C$4)*($C$6-$C$5)))</f>
        <v>8.93252114429695</v>
      </c>
    </row>
    <row r="898" customFormat="false" ht="15" hidden="false" customHeight="false" outlineLevel="0" collapsed="false">
      <c r="B898" s="0" t="n">
        <v>882</v>
      </c>
      <c r="C898" s="0" t="n">
        <f aca="true">RAND()</f>
        <v>0.817914074304156</v>
      </c>
      <c r="D898" s="0" t="n">
        <f aca="true">RAND()</f>
        <v>0.135182197894543</v>
      </c>
      <c r="E898" s="0" t="n">
        <f aca="false">IF(C898&lt;=$C$10,1,2)</f>
        <v>2</v>
      </c>
      <c r="F898" s="0" t="n">
        <f aca="false">IF(E898=1,$C$4+SQRT(D898*($C$6-$C$4)*($C$5-$C$4)),$C$6-SQRT((1-D898)*($C$6-$C$4)*($C$6-$C$5)))</f>
        <v>8.68484388599265</v>
      </c>
    </row>
    <row r="899" customFormat="false" ht="15" hidden="false" customHeight="false" outlineLevel="0" collapsed="false">
      <c r="B899" s="0" t="n">
        <v>883</v>
      </c>
      <c r="C899" s="0" t="n">
        <f aca="true">RAND()</f>
        <v>0.679343627106479</v>
      </c>
      <c r="D899" s="0" t="n">
        <f aca="true">RAND()</f>
        <v>0.143706013724754</v>
      </c>
      <c r="E899" s="0" t="n">
        <f aca="false">IF(C899&lt;=$C$10,1,2)</f>
        <v>2</v>
      </c>
      <c r="F899" s="0" t="n">
        <f aca="false">IF(E899=1,$C$4+SQRT(D899*($C$6-$C$4)*($C$5-$C$4)),$C$6-SQRT((1-D899)*($C$6-$C$4)*($C$6-$C$5)))</f>
        <v>8.69134115501767</v>
      </c>
    </row>
    <row r="900" customFormat="false" ht="15" hidden="false" customHeight="false" outlineLevel="0" collapsed="false">
      <c r="B900" s="0" t="n">
        <v>884</v>
      </c>
      <c r="C900" s="0" t="n">
        <f aca="true">RAND()</f>
        <v>0.728055543021619</v>
      </c>
      <c r="D900" s="0" t="n">
        <f aca="true">RAND()</f>
        <v>0.146024905788616</v>
      </c>
      <c r="E900" s="0" t="n">
        <f aca="false">IF(C900&lt;=$C$10,1,2)</f>
        <v>2</v>
      </c>
      <c r="F900" s="0" t="n">
        <f aca="false">IF(E900=1,$C$4+SQRT(D900*($C$6-$C$4)*($C$5-$C$4)),$C$6-SQRT((1-D900)*($C$6-$C$4)*($C$6-$C$5)))</f>
        <v>8.69311431700291</v>
      </c>
    </row>
    <row r="901" customFormat="false" ht="15" hidden="false" customHeight="false" outlineLevel="0" collapsed="false">
      <c r="B901" s="0" t="n">
        <v>885</v>
      </c>
      <c r="C901" s="0" t="n">
        <f aca="true">RAND()</f>
        <v>0.782353538691309</v>
      </c>
      <c r="D901" s="0" t="n">
        <f aca="true">RAND()</f>
        <v>0.509002542919218</v>
      </c>
      <c r="E901" s="0" t="n">
        <f aca="false">IF(C901&lt;=$C$10,1,2)</f>
        <v>2</v>
      </c>
      <c r="F901" s="0" t="n">
        <f aca="false">IF(E901=1,$C$4+SQRT(D901*($C$6-$C$4)*($C$5-$C$4)),$C$6-SQRT((1-D901)*($C$6-$C$4)*($C$6-$C$5)))</f>
        <v>9.00904343477549</v>
      </c>
    </row>
    <row r="902" customFormat="false" ht="15" hidden="false" customHeight="false" outlineLevel="0" collapsed="false">
      <c r="B902" s="0" t="n">
        <v>886</v>
      </c>
      <c r="C902" s="0" t="n">
        <f aca="true">RAND()</f>
        <v>0.375885737573432</v>
      </c>
      <c r="D902" s="0" t="n">
        <f aca="true">RAND()</f>
        <v>0.819976233175657</v>
      </c>
      <c r="E902" s="0" t="n">
        <f aca="false">IF(C902&lt;=$C$10,1,2)</f>
        <v>1</v>
      </c>
      <c r="F902" s="0" t="n">
        <f aca="false">IF(E902=1,$C$4+SQRT(D902*($C$6-$C$4)*($C$5-$C$4)),$C$6-SQRT((1-D902)*($C$6-$C$4)*($C$6-$C$5)))</f>
        <v>9.28060628858026</v>
      </c>
    </row>
    <row r="903" customFormat="false" ht="15" hidden="false" customHeight="false" outlineLevel="0" collapsed="false">
      <c r="B903" s="0" t="n">
        <v>887</v>
      </c>
      <c r="C903" s="0" t="n">
        <f aca="true">RAND()</f>
        <v>0.28810441496834</v>
      </c>
      <c r="D903" s="0" t="n">
        <f aca="true">RAND()</f>
        <v>0.336607054874886</v>
      </c>
      <c r="E903" s="0" t="n">
        <f aca="false">IF(C903&lt;=$C$10,1,2)</f>
        <v>1</v>
      </c>
      <c r="F903" s="0" t="n">
        <f aca="false">IF(E903=1,$C$4+SQRT(D903*($C$6-$C$4)*($C$5-$C$4)),$C$6-SQRT((1-D903)*($C$6-$C$4)*($C$6-$C$5)))</f>
        <v>8.82049625821802</v>
      </c>
    </row>
    <row r="904" customFormat="false" ht="15" hidden="false" customHeight="false" outlineLevel="0" collapsed="false">
      <c r="B904" s="0" t="n">
        <v>888</v>
      </c>
      <c r="C904" s="0" t="n">
        <f aca="true">RAND()</f>
        <v>0.0335734719863191</v>
      </c>
      <c r="D904" s="0" t="n">
        <f aca="true">RAND()</f>
        <v>0.548573178405556</v>
      </c>
      <c r="E904" s="0" t="n">
        <f aca="false">IF(C904&lt;=$C$10,1,2)</f>
        <v>1</v>
      </c>
      <c r="F904" s="0" t="n">
        <f aca="false">IF(E904=1,$C$4+SQRT(D904*($C$6-$C$4)*($C$5-$C$4)),$C$6-SQRT((1-D904)*($C$6-$C$4)*($C$6-$C$5)))</f>
        <v>9.0474475437038</v>
      </c>
    </row>
    <row r="905" customFormat="false" ht="15" hidden="false" customHeight="false" outlineLevel="0" collapsed="false">
      <c r="B905" s="0" t="n">
        <v>889</v>
      </c>
      <c r="C905" s="0" t="n">
        <f aca="true">RAND()</f>
        <v>0.839967484498425</v>
      </c>
      <c r="D905" s="0" t="n">
        <f aca="true">RAND()</f>
        <v>0.226329161348485</v>
      </c>
      <c r="E905" s="0" t="n">
        <f aca="false">IF(C905&lt;=$C$10,1,2)</f>
        <v>2</v>
      </c>
      <c r="F905" s="0" t="n">
        <f aca="false">IF(E905=1,$C$4+SQRT(D905*($C$6-$C$4)*($C$5-$C$4)),$C$6-SQRT((1-D905)*($C$6-$C$4)*($C$6-$C$5)))</f>
        <v>8.7560781064299</v>
      </c>
    </row>
    <row r="906" customFormat="false" ht="15" hidden="false" customHeight="false" outlineLevel="0" collapsed="false">
      <c r="B906" s="0" t="n">
        <v>890</v>
      </c>
      <c r="C906" s="0" t="n">
        <f aca="true">RAND()</f>
        <v>0.200291382882593</v>
      </c>
      <c r="D906" s="0" t="n">
        <f aca="true">RAND()</f>
        <v>0.745726417942336</v>
      </c>
      <c r="E906" s="0" t="n">
        <f aca="false">IF(C906&lt;=$C$10,1,2)</f>
        <v>1</v>
      </c>
      <c r="F906" s="0" t="n">
        <f aca="false">IF(E906=1,$C$4+SQRT(D906*($C$6-$C$4)*($C$5-$C$4)),$C$6-SQRT((1-D906)*($C$6-$C$4)*($C$6-$C$5)))</f>
        <v>9.22125052134469</v>
      </c>
    </row>
    <row r="907" customFormat="false" ht="15" hidden="false" customHeight="false" outlineLevel="0" collapsed="false">
      <c r="B907" s="0" t="n">
        <v>891</v>
      </c>
      <c r="C907" s="0" t="n">
        <f aca="true">RAND()</f>
        <v>0.243161978118044</v>
      </c>
      <c r="D907" s="0" t="n">
        <f aca="true">RAND()</f>
        <v>0.29370074292293</v>
      </c>
      <c r="E907" s="0" t="n">
        <f aca="false">IF(C907&lt;=$C$10,1,2)</f>
        <v>1</v>
      </c>
      <c r="F907" s="0" t="n">
        <f aca="false">IF(E907=1,$C$4+SQRT(D907*($C$6-$C$4)*($C$5-$C$4)),$C$6-SQRT((1-D907)*($C$6-$C$4)*($C$6-$C$5)))</f>
        <v>8.76642121959524</v>
      </c>
    </row>
    <row r="908" customFormat="false" ht="15" hidden="false" customHeight="false" outlineLevel="0" collapsed="false">
      <c r="B908" s="0" t="n">
        <v>892</v>
      </c>
      <c r="C908" s="0" t="n">
        <f aca="true">RAND()</f>
        <v>0.982552243797223</v>
      </c>
      <c r="D908" s="0" t="n">
        <f aca="true">RAND()</f>
        <v>0.875124881246613</v>
      </c>
      <c r="E908" s="0" t="n">
        <f aca="false">IF(C908&lt;=$C$10,1,2)</f>
        <v>2</v>
      </c>
      <c r="F908" s="0" t="n">
        <f aca="false">IF(E908=1,$C$4+SQRT(D908*($C$6-$C$4)*($C$5-$C$4)),$C$6-SQRT((1-D908)*($C$6-$C$4)*($C$6-$C$5)))</f>
        <v>9.50024982490571</v>
      </c>
    </row>
    <row r="909" customFormat="false" ht="15" hidden="false" customHeight="false" outlineLevel="0" collapsed="false">
      <c r="B909" s="0" t="n">
        <v>893</v>
      </c>
      <c r="C909" s="0" t="n">
        <f aca="true">RAND()</f>
        <v>0.947169584819107</v>
      </c>
      <c r="D909" s="0" t="n">
        <f aca="true">RAND()</f>
        <v>0.650985448833924</v>
      </c>
      <c r="E909" s="0" t="n">
        <f aca="false">IF(C909&lt;=$C$10,1,2)</f>
        <v>2</v>
      </c>
      <c r="F909" s="0" t="n">
        <f aca="false">IF(E909=1,$C$4+SQRT(D909*($C$6-$C$4)*($C$5-$C$4)),$C$6-SQRT((1-D909)*($C$6-$C$4)*($C$6-$C$5)))</f>
        <v>9.16451864034429</v>
      </c>
    </row>
    <row r="910" customFormat="false" ht="15" hidden="false" customHeight="false" outlineLevel="0" collapsed="false">
      <c r="B910" s="0" t="n">
        <v>894</v>
      </c>
      <c r="C910" s="0" t="n">
        <f aca="true">RAND()</f>
        <v>0.796733694718509</v>
      </c>
      <c r="D910" s="0" t="n">
        <f aca="true">RAND()</f>
        <v>0.145094600052096</v>
      </c>
      <c r="E910" s="0" t="n">
        <f aca="false">IF(C910&lt;=$C$10,1,2)</f>
        <v>2</v>
      </c>
      <c r="F910" s="0" t="n">
        <f aca="false">IF(E910=1,$C$4+SQRT(D910*($C$6-$C$4)*($C$5-$C$4)),$C$6-SQRT((1-D910)*($C$6-$C$4)*($C$6-$C$5)))</f>
        <v>8.69240266140688</v>
      </c>
    </row>
    <row r="911" customFormat="false" ht="15" hidden="false" customHeight="false" outlineLevel="0" collapsed="false">
      <c r="B911" s="0" t="n">
        <v>895</v>
      </c>
      <c r="C911" s="0" t="n">
        <f aca="true">RAND()</f>
        <v>0.0936544269349948</v>
      </c>
      <c r="D911" s="0" t="n">
        <f aca="true">RAND()</f>
        <v>0.440412849162844</v>
      </c>
      <c r="E911" s="0" t="n">
        <f aca="false">IF(C911&lt;=$C$10,1,2)</f>
        <v>1</v>
      </c>
      <c r="F911" s="0" t="n">
        <f aca="false">IF(E911=1,$C$4+SQRT(D911*($C$6-$C$4)*($C$5-$C$4)),$C$6-SQRT((1-D911)*($C$6-$C$4)*($C$6-$C$5)))</f>
        <v>8.93852314746398</v>
      </c>
    </row>
    <row r="912" customFormat="false" ht="15" hidden="false" customHeight="false" outlineLevel="0" collapsed="false">
      <c r="B912" s="0" t="n">
        <v>896</v>
      </c>
      <c r="C912" s="0" t="n">
        <f aca="true">RAND()</f>
        <v>0.0191418058893752</v>
      </c>
      <c r="D912" s="0" t="n">
        <f aca="true">RAND()</f>
        <v>0.548066565309354</v>
      </c>
      <c r="E912" s="0" t="n">
        <f aca="false">IF(C912&lt;=$C$10,1,2)</f>
        <v>1</v>
      </c>
      <c r="F912" s="0" t="n">
        <f aca="false">IF(E912=1,$C$4+SQRT(D912*($C$6-$C$4)*($C$5-$C$4)),$C$6-SQRT((1-D912)*($C$6-$C$4)*($C$6-$C$5)))</f>
        <v>9.04696376757685</v>
      </c>
    </row>
    <row r="913" customFormat="false" ht="15" hidden="false" customHeight="false" outlineLevel="0" collapsed="false">
      <c r="B913" s="0" t="n">
        <v>897</v>
      </c>
      <c r="C913" s="0" t="n">
        <f aca="true">RAND()</f>
        <v>0.823323753250437</v>
      </c>
      <c r="D913" s="0" t="n">
        <f aca="true">RAND()</f>
        <v>0.663709305660864</v>
      </c>
      <c r="E913" s="0" t="n">
        <f aca="false">IF(C913&lt;=$C$10,1,2)</f>
        <v>2</v>
      </c>
      <c r="F913" s="0" t="n">
        <f aca="false">IF(E913=1,$C$4+SQRT(D913*($C$6-$C$4)*($C$5-$C$4)),$C$6-SQRT((1-D913)*($C$6-$C$4)*($C$6-$C$5)))</f>
        <v>9.17988940460553</v>
      </c>
    </row>
    <row r="914" customFormat="false" ht="15" hidden="false" customHeight="false" outlineLevel="0" collapsed="false">
      <c r="B914" s="0" t="n">
        <v>898</v>
      </c>
      <c r="C914" s="0" t="n">
        <f aca="true">RAND()</f>
        <v>0.0715084152436913</v>
      </c>
      <c r="D914" s="0" t="n">
        <f aca="true">RAND()</f>
        <v>0.348242613192485</v>
      </c>
      <c r="E914" s="0" t="n">
        <f aca="false">IF(C914&lt;=$C$10,1,2)</f>
        <v>1</v>
      </c>
      <c r="F914" s="0" t="n">
        <f aca="false">IF(E914=1,$C$4+SQRT(D914*($C$6-$C$4)*($C$5-$C$4)),$C$6-SQRT((1-D914)*($C$6-$C$4)*($C$6-$C$5)))</f>
        <v>8.83455690422222</v>
      </c>
    </row>
    <row r="915" customFormat="false" ht="15" hidden="false" customHeight="false" outlineLevel="0" collapsed="false">
      <c r="B915" s="0" t="n">
        <v>899</v>
      </c>
      <c r="C915" s="0" t="n">
        <f aca="true">RAND()</f>
        <v>0.403920725918295</v>
      </c>
      <c r="D915" s="0" t="n">
        <f aca="true">RAND()</f>
        <v>0.590951954180949</v>
      </c>
      <c r="E915" s="0" t="n">
        <f aca="false">IF(C915&lt;=$C$10,1,2)</f>
        <v>1</v>
      </c>
      <c r="F915" s="0" t="n">
        <f aca="false">IF(E915=1,$C$4+SQRT(D915*($C$6-$C$4)*($C$5-$C$4)),$C$6-SQRT((1-D915)*($C$6-$C$4)*($C$6-$C$5)))</f>
        <v>9.08715404076971</v>
      </c>
    </row>
    <row r="916" customFormat="false" ht="15" hidden="false" customHeight="false" outlineLevel="0" collapsed="false">
      <c r="B916" s="0" t="n">
        <v>900</v>
      </c>
      <c r="C916" s="0" t="n">
        <f aca="true">RAND()</f>
        <v>0.757049853221091</v>
      </c>
      <c r="D916" s="0" t="n">
        <f aca="true">RAND()</f>
        <v>0.166883359854183</v>
      </c>
      <c r="E916" s="0" t="n">
        <f aca="false">IF(C916&lt;=$C$10,1,2)</f>
        <v>2</v>
      </c>
      <c r="F916" s="0" t="n">
        <f aca="false">IF(E916=1,$C$4+SQRT(D916*($C$6-$C$4)*($C$5-$C$4)),$C$6-SQRT((1-D916)*($C$6-$C$4)*($C$6-$C$5)))</f>
        <v>8.70917341199849</v>
      </c>
    </row>
    <row r="917" customFormat="false" ht="15" hidden="false" customHeight="false" outlineLevel="0" collapsed="false">
      <c r="B917" s="0" t="n">
        <v>901</v>
      </c>
      <c r="C917" s="0" t="n">
        <f aca="true">RAND()</f>
        <v>0.653464223856068</v>
      </c>
      <c r="D917" s="0" t="n">
        <f aca="true">RAND()</f>
        <v>0.980472056124187</v>
      </c>
      <c r="E917" s="0" t="n">
        <f aca="false">IF(C917&lt;=$C$10,1,2)</f>
        <v>2</v>
      </c>
      <c r="F917" s="0" t="n">
        <f aca="false">IF(E917=1,$C$4+SQRT(D917*($C$6-$C$4)*($C$5-$C$4)),$C$6-SQRT((1-D917)*($C$6-$C$4)*($C$6-$C$5)))</f>
        <v>9.80237437475968</v>
      </c>
    </row>
    <row r="918" customFormat="false" ht="15" hidden="false" customHeight="false" outlineLevel="0" collapsed="false">
      <c r="B918" s="0" t="n">
        <v>902</v>
      </c>
      <c r="C918" s="0" t="n">
        <f aca="true">RAND()</f>
        <v>0.926012610778069</v>
      </c>
      <c r="D918" s="0" t="n">
        <f aca="true">RAND()</f>
        <v>0.540836170486213</v>
      </c>
      <c r="E918" s="0" t="n">
        <f aca="false">IF(C918&lt;=$C$10,1,2)</f>
        <v>2</v>
      </c>
      <c r="F918" s="0" t="n">
        <f aca="false">IF(E918=1,$C$4+SQRT(D918*($C$6-$C$4)*($C$5-$C$4)),$C$6-SQRT((1-D918)*($C$6-$C$4)*($C$6-$C$5)))</f>
        <v>9.04170585985952</v>
      </c>
    </row>
    <row r="919" customFormat="false" ht="15" hidden="false" customHeight="false" outlineLevel="0" collapsed="false">
      <c r="B919" s="0" t="n">
        <v>903</v>
      </c>
      <c r="C919" s="0" t="n">
        <f aca="true">RAND()</f>
        <v>0.723364837740664</v>
      </c>
      <c r="D919" s="0" t="n">
        <f aca="true">RAND()</f>
        <v>0.120888664138337</v>
      </c>
      <c r="E919" s="0" t="n">
        <f aca="false">IF(C919&lt;=$C$10,1,2)</f>
        <v>2</v>
      </c>
      <c r="F919" s="0" t="n">
        <f aca="false">IF(E919=1,$C$4+SQRT(D919*($C$6-$C$4)*($C$5-$C$4)),$C$6-SQRT((1-D919)*($C$6-$C$4)*($C$6-$C$5)))</f>
        <v>8.67402010885409</v>
      </c>
    </row>
    <row r="920" customFormat="false" ht="15" hidden="false" customHeight="false" outlineLevel="0" collapsed="false">
      <c r="B920" s="0" t="n">
        <v>904</v>
      </c>
      <c r="C920" s="0" t="n">
        <f aca="true">RAND()</f>
        <v>0.181271325278254</v>
      </c>
      <c r="D920" s="0" t="n">
        <f aca="true">RAND()</f>
        <v>0.816026802683461</v>
      </c>
      <c r="E920" s="0" t="n">
        <f aca="false">IF(C920&lt;=$C$10,1,2)</f>
        <v>1</v>
      </c>
      <c r="F920" s="0" t="n">
        <f aca="false">IF(E920=1,$C$4+SQRT(D920*($C$6-$C$4)*($C$5-$C$4)),$C$6-SQRT((1-D920)*($C$6-$C$4)*($C$6-$C$5)))</f>
        <v>9.27751853425574</v>
      </c>
    </row>
    <row r="921" customFormat="false" ht="15" hidden="false" customHeight="false" outlineLevel="0" collapsed="false">
      <c r="B921" s="0" t="n">
        <v>905</v>
      </c>
      <c r="C921" s="0" t="n">
        <f aca="true">RAND()</f>
        <v>0.67522006573822</v>
      </c>
      <c r="D921" s="0" t="n">
        <f aca="true">RAND()</f>
        <v>0.230917279794071</v>
      </c>
      <c r="E921" s="0" t="n">
        <f aca="false">IF(C921&lt;=$C$10,1,2)</f>
        <v>2</v>
      </c>
      <c r="F921" s="0" t="n">
        <f aca="false">IF(E921=1,$C$4+SQRT(D921*($C$6-$C$4)*($C$5-$C$4)),$C$6-SQRT((1-D921)*($C$6-$C$4)*($C$6-$C$5)))</f>
        <v>8.7597720207914</v>
      </c>
    </row>
    <row r="922" customFormat="false" ht="15" hidden="false" customHeight="false" outlineLevel="0" collapsed="false">
      <c r="B922" s="0" t="n">
        <v>906</v>
      </c>
      <c r="C922" s="0" t="n">
        <f aca="true">RAND()</f>
        <v>0.00110475398105246</v>
      </c>
      <c r="D922" s="0" t="n">
        <f aca="true">RAND()</f>
        <v>0.852177078147732</v>
      </c>
      <c r="E922" s="0" t="n">
        <f aca="false">IF(C922&lt;=$C$10,1,2)</f>
        <v>1</v>
      </c>
      <c r="F922" s="0" t="n">
        <f aca="false">IF(E922=1,$C$4+SQRT(D922*($C$6-$C$4)*($C$5-$C$4)),$C$6-SQRT((1-D922)*($C$6-$C$4)*($C$6-$C$5)))</f>
        <v>9.30550915596003</v>
      </c>
    </row>
    <row r="923" customFormat="false" ht="15" hidden="false" customHeight="false" outlineLevel="0" collapsed="false">
      <c r="B923" s="0" t="n">
        <v>907</v>
      </c>
      <c r="C923" s="0" t="n">
        <f aca="true">RAND()</f>
        <v>0.0157528151083856</v>
      </c>
      <c r="D923" s="0" t="n">
        <f aca="true">RAND()</f>
        <v>0.22405757067515</v>
      </c>
      <c r="E923" s="0" t="n">
        <f aca="false">IF(C923&lt;=$C$10,1,2)</f>
        <v>1</v>
      </c>
      <c r="F923" s="0" t="n">
        <f aca="false">IF(E923=1,$C$4+SQRT(D923*($C$6-$C$4)*($C$5-$C$4)),$C$6-SQRT((1-D923)*($C$6-$C$4)*($C$6-$C$5)))</f>
        <v>8.6694140283489</v>
      </c>
    </row>
    <row r="924" customFormat="false" ht="15" hidden="false" customHeight="false" outlineLevel="0" collapsed="false">
      <c r="B924" s="0" t="n">
        <v>908</v>
      </c>
      <c r="C924" s="0" t="n">
        <f aca="true">RAND()</f>
        <v>0.123277080517346</v>
      </c>
      <c r="D924" s="0" t="n">
        <f aca="true">RAND()</f>
        <v>0.0286297112789858</v>
      </c>
      <c r="E924" s="0" t="n">
        <f aca="false">IF(C924&lt;=$C$10,1,2)</f>
        <v>1</v>
      </c>
      <c r="F924" s="0" t="n">
        <f aca="false">IF(E924=1,$C$4+SQRT(D924*($C$6-$C$4)*($C$5-$C$4)),$C$6-SQRT((1-D924)*($C$6-$C$4)*($C$6-$C$5)))</f>
        <v>8.23928941171304</v>
      </c>
    </row>
    <row r="925" customFormat="false" ht="15" hidden="false" customHeight="false" outlineLevel="0" collapsed="false">
      <c r="B925" s="0" t="n">
        <v>909</v>
      </c>
      <c r="C925" s="0" t="n">
        <f aca="true">RAND()</f>
        <v>0.710403270784116</v>
      </c>
      <c r="D925" s="0" t="n">
        <f aca="true">RAND()</f>
        <v>0.272447066543551</v>
      </c>
      <c r="E925" s="0" t="n">
        <f aca="false">IF(C925&lt;=$C$10,1,2)</f>
        <v>2</v>
      </c>
      <c r="F925" s="0" t="n">
        <f aca="false">IF(E925=1,$C$4+SQRT(D925*($C$6-$C$4)*($C$5-$C$4)),$C$6-SQRT((1-D925)*($C$6-$C$4)*($C$6-$C$5)))</f>
        <v>8.79372230936948</v>
      </c>
    </row>
    <row r="926" customFormat="false" ht="15" hidden="false" customHeight="false" outlineLevel="0" collapsed="false">
      <c r="B926" s="0" t="n">
        <v>910</v>
      </c>
      <c r="C926" s="0" t="n">
        <f aca="true">RAND()</f>
        <v>0.451004062047842</v>
      </c>
      <c r="D926" s="0" t="n">
        <f aca="true">RAND()</f>
        <v>0.546520243920973</v>
      </c>
      <c r="E926" s="0" t="n">
        <f aca="false">IF(C926&lt;=$C$10,1,2)</f>
        <v>1</v>
      </c>
      <c r="F926" s="0" t="n">
        <f aca="false">IF(E926=1,$C$4+SQRT(D926*($C$6-$C$4)*($C$5-$C$4)),$C$6-SQRT((1-D926)*($C$6-$C$4)*($C$6-$C$5)))</f>
        <v>9.04548576644637</v>
      </c>
    </row>
    <row r="927" customFormat="false" ht="15" hidden="false" customHeight="false" outlineLevel="0" collapsed="false">
      <c r="B927" s="0" t="n">
        <v>911</v>
      </c>
      <c r="C927" s="0" t="n">
        <f aca="true">RAND()</f>
        <v>0.00989976889164857</v>
      </c>
      <c r="D927" s="0" t="n">
        <f aca="true">RAND()</f>
        <v>0.116531457258245</v>
      </c>
      <c r="E927" s="0" t="n">
        <f aca="false">IF(C927&lt;=$C$10,1,2)</f>
        <v>1</v>
      </c>
      <c r="F927" s="0" t="n">
        <f aca="false">IF(E927=1,$C$4+SQRT(D927*($C$6-$C$4)*($C$5-$C$4)),$C$6-SQRT((1-D927)*($C$6-$C$4)*($C$6-$C$5)))</f>
        <v>8.48276590032488</v>
      </c>
    </row>
    <row r="928" customFormat="false" ht="15" hidden="false" customHeight="false" outlineLevel="0" collapsed="false">
      <c r="B928" s="0" t="n">
        <v>912</v>
      </c>
      <c r="C928" s="0" t="n">
        <f aca="true">RAND()</f>
        <v>0.583537253652984</v>
      </c>
      <c r="D928" s="0" t="n">
        <f aca="true">RAND()</f>
        <v>0.228781332208224</v>
      </c>
      <c r="E928" s="0" t="n">
        <f aca="false">IF(C928&lt;=$C$10,1,2)</f>
        <v>2</v>
      </c>
      <c r="F928" s="0" t="n">
        <f aca="false">IF(E928=1,$C$4+SQRT(D928*($C$6-$C$4)*($C$5-$C$4)),$C$6-SQRT((1-D928)*($C$6-$C$4)*($C$6-$C$5)))</f>
        <v>8.75805099316294</v>
      </c>
    </row>
    <row r="929" customFormat="false" ht="15" hidden="false" customHeight="false" outlineLevel="0" collapsed="false">
      <c r="B929" s="0" t="n">
        <v>913</v>
      </c>
      <c r="C929" s="0" t="n">
        <f aca="true">RAND()</f>
        <v>0.937256742179978</v>
      </c>
      <c r="D929" s="0" t="n">
        <f aca="true">RAND()</f>
        <v>0.779925841846873</v>
      </c>
      <c r="E929" s="0" t="n">
        <f aca="false">IF(C929&lt;=$C$10,1,2)</f>
        <v>2</v>
      </c>
      <c r="F929" s="0" t="n">
        <f aca="false">IF(E929=1,$C$4+SQRT(D929*($C$6-$C$4)*($C$5-$C$4)),$C$6-SQRT((1-D929)*($C$6-$C$4)*($C$6-$C$5)))</f>
        <v>9.33656325372628</v>
      </c>
    </row>
    <row r="930" customFormat="false" ht="15" hidden="false" customHeight="false" outlineLevel="0" collapsed="false">
      <c r="B930" s="0" t="n">
        <v>914</v>
      </c>
      <c r="C930" s="0" t="n">
        <f aca="true">RAND()</f>
        <v>0.255437642392695</v>
      </c>
      <c r="D930" s="0" t="n">
        <f aca="true">RAND()</f>
        <v>0.145550610126272</v>
      </c>
      <c r="E930" s="0" t="n">
        <f aca="false">IF(C930&lt;=$C$10,1,2)</f>
        <v>1</v>
      </c>
      <c r="F930" s="0" t="n">
        <f aca="false">IF(E930=1,$C$4+SQRT(D930*($C$6-$C$4)*($C$5-$C$4)),$C$6-SQRT((1-D930)*($C$6-$C$4)*($C$6-$C$5)))</f>
        <v>8.53953796924085</v>
      </c>
    </row>
    <row r="931" customFormat="false" ht="15" hidden="false" customHeight="false" outlineLevel="0" collapsed="false">
      <c r="B931" s="0" t="n">
        <v>915</v>
      </c>
      <c r="C931" s="0" t="n">
        <f aca="true">RAND()</f>
        <v>0.156835379637677</v>
      </c>
      <c r="D931" s="0" t="n">
        <f aca="true">RAND()</f>
        <v>0.428997753207187</v>
      </c>
      <c r="E931" s="0" t="n">
        <f aca="false">IF(C931&lt;=$C$10,1,2)</f>
        <v>1</v>
      </c>
      <c r="F931" s="0" t="n">
        <f aca="false">IF(E931=1,$C$4+SQRT(D931*($C$6-$C$4)*($C$5-$C$4)),$C$6-SQRT((1-D931)*($C$6-$C$4)*($C$6-$C$5)))</f>
        <v>8.92628046854847</v>
      </c>
    </row>
    <row r="932" customFormat="false" ht="15" hidden="false" customHeight="false" outlineLevel="0" collapsed="false">
      <c r="B932" s="0" t="n">
        <v>916</v>
      </c>
      <c r="C932" s="0" t="n">
        <f aca="true">RAND()</f>
        <v>0.584108545886079</v>
      </c>
      <c r="D932" s="0" t="n">
        <f aca="true">RAND()</f>
        <v>0.19229153894823</v>
      </c>
      <c r="E932" s="0" t="n">
        <f aca="false">IF(C932&lt;=$C$10,1,2)</f>
        <v>2</v>
      </c>
      <c r="F932" s="0" t="n">
        <f aca="false">IF(E932=1,$C$4+SQRT(D932*($C$6-$C$4)*($C$5-$C$4)),$C$6-SQRT((1-D932)*($C$6-$C$4)*($C$6-$C$5)))</f>
        <v>8.7290094720638</v>
      </c>
    </row>
    <row r="933" customFormat="false" ht="15" hidden="false" customHeight="false" outlineLevel="0" collapsed="false">
      <c r="B933" s="0" t="n">
        <v>917</v>
      </c>
      <c r="C933" s="0" t="n">
        <f aca="true">RAND()</f>
        <v>0.834875154369535</v>
      </c>
      <c r="D933" s="0" t="n">
        <f aca="true">RAND()</f>
        <v>0.0642997846891569</v>
      </c>
      <c r="E933" s="0" t="n">
        <f aca="false">IF(C933&lt;=$C$10,1,2)</f>
        <v>2</v>
      </c>
      <c r="F933" s="0" t="n">
        <f aca="false">IF(E933=1,$C$4+SQRT(D933*($C$6-$C$4)*($C$5-$C$4)),$C$6-SQRT((1-D933)*($C$6-$C$4)*($C$6-$C$5)))</f>
        <v>8.63200861456598</v>
      </c>
    </row>
    <row r="934" customFormat="false" ht="15" hidden="false" customHeight="false" outlineLevel="0" collapsed="false">
      <c r="B934" s="0" t="n">
        <v>918</v>
      </c>
      <c r="C934" s="0" t="n">
        <f aca="true">RAND()</f>
        <v>0.0699056126102618</v>
      </c>
      <c r="D934" s="0" t="n">
        <f aca="true">RAND()</f>
        <v>0.156081622287637</v>
      </c>
      <c r="E934" s="0" t="n">
        <f aca="false">IF(C934&lt;=$C$10,1,2)</f>
        <v>1</v>
      </c>
      <c r="F934" s="0" t="n">
        <f aca="false">IF(E934=1,$C$4+SQRT(D934*($C$6-$C$4)*($C$5-$C$4)),$C$6-SQRT((1-D934)*($C$6-$C$4)*($C$6-$C$5)))</f>
        <v>8.55871570997715</v>
      </c>
    </row>
    <row r="935" customFormat="false" ht="15" hidden="false" customHeight="false" outlineLevel="0" collapsed="false">
      <c r="B935" s="0" t="n">
        <v>919</v>
      </c>
      <c r="C935" s="0" t="n">
        <f aca="true">RAND()</f>
        <v>0.916847241283027</v>
      </c>
      <c r="D935" s="0" t="n">
        <f aca="true">RAND()</f>
        <v>0.512238201107628</v>
      </c>
      <c r="E935" s="0" t="n">
        <f aca="false">IF(C935&lt;=$C$10,1,2)</f>
        <v>2</v>
      </c>
      <c r="F935" s="0" t="n">
        <f aca="false">IF(E935=1,$C$4+SQRT(D935*($C$6-$C$4)*($C$5-$C$4)),$C$6-SQRT((1-D935)*($C$6-$C$4)*($C$6-$C$5)))</f>
        <v>9.0123140186351</v>
      </c>
    </row>
    <row r="936" customFormat="false" ht="15" hidden="false" customHeight="false" outlineLevel="0" collapsed="false">
      <c r="B936" s="0" t="n">
        <v>920</v>
      </c>
      <c r="C936" s="0" t="n">
        <f aca="true">RAND()</f>
        <v>0.378633996358929</v>
      </c>
      <c r="D936" s="0" t="n">
        <f aca="true">RAND()</f>
        <v>0.76634188201545</v>
      </c>
      <c r="E936" s="0" t="n">
        <f aca="false">IF(C936&lt;=$C$10,1,2)</f>
        <v>1</v>
      </c>
      <c r="F936" s="0" t="n">
        <f aca="false">IF(E936=1,$C$4+SQRT(D936*($C$6-$C$4)*($C$5-$C$4)),$C$6-SQRT((1-D936)*($C$6-$C$4)*($C$6-$C$5)))</f>
        <v>9.23801605968214</v>
      </c>
    </row>
    <row r="937" customFormat="false" ht="15" hidden="false" customHeight="false" outlineLevel="0" collapsed="false">
      <c r="B937" s="0" t="n">
        <v>921</v>
      </c>
      <c r="C937" s="0" t="n">
        <f aca="true">RAND()</f>
        <v>0.635806390749392</v>
      </c>
      <c r="D937" s="0" t="n">
        <f aca="true">RAND()</f>
        <v>0.654236356003895</v>
      </c>
      <c r="E937" s="0" t="n">
        <f aca="false">IF(C937&lt;=$C$10,1,2)</f>
        <v>2</v>
      </c>
      <c r="F937" s="0" t="n">
        <f aca="false">IF(E937=1,$C$4+SQRT(D937*($C$6-$C$4)*($C$5-$C$4)),$C$6-SQRT((1-D937)*($C$6-$C$4)*($C$6-$C$5)))</f>
        <v>9.16841880252605</v>
      </c>
    </row>
    <row r="938" customFormat="false" ht="15" hidden="false" customHeight="false" outlineLevel="0" collapsed="false">
      <c r="B938" s="0" t="n">
        <v>922</v>
      </c>
      <c r="C938" s="0" t="n">
        <f aca="true">RAND()</f>
        <v>0.535266172163429</v>
      </c>
      <c r="D938" s="0" t="n">
        <f aca="true">RAND()</f>
        <v>0.956646617381234</v>
      </c>
      <c r="E938" s="0" t="n">
        <f aca="false">IF(C938&lt;=$C$10,1,2)</f>
        <v>2</v>
      </c>
      <c r="F938" s="0" t="n">
        <f aca="false">IF(E938=1,$C$4+SQRT(D938*($C$6-$C$4)*($C$5-$C$4)),$C$6-SQRT((1-D938)*($C$6-$C$4)*($C$6-$C$5)))</f>
        <v>9.70553987496177</v>
      </c>
    </row>
    <row r="939" customFormat="false" ht="15" hidden="false" customHeight="false" outlineLevel="0" collapsed="false">
      <c r="B939" s="0" t="n">
        <v>923</v>
      </c>
      <c r="C939" s="0" t="n">
        <f aca="true">RAND()</f>
        <v>0.262519446394052</v>
      </c>
      <c r="D939" s="0" t="n">
        <f aca="true">RAND()</f>
        <v>0.0159376516032008</v>
      </c>
      <c r="E939" s="0" t="n">
        <f aca="false">IF(C939&lt;=$C$10,1,2)</f>
        <v>1</v>
      </c>
      <c r="F939" s="0" t="n">
        <f aca="false">IF(E939=1,$C$4+SQRT(D939*($C$6-$C$4)*($C$5-$C$4)),$C$6-SQRT((1-D939)*($C$6-$C$4)*($C$6-$C$5)))</f>
        <v>8.17853655985932</v>
      </c>
    </row>
    <row r="940" customFormat="false" ht="15" hidden="false" customHeight="false" outlineLevel="0" collapsed="false">
      <c r="B940" s="0" t="n">
        <v>924</v>
      </c>
      <c r="C940" s="0" t="n">
        <f aca="true">RAND()</f>
        <v>0.526360629721334</v>
      </c>
      <c r="D940" s="0" t="n">
        <f aca="true">RAND()</f>
        <v>0.945409234909909</v>
      </c>
      <c r="E940" s="0" t="n">
        <f aca="false">IF(C940&lt;=$C$10,1,2)</f>
        <v>2</v>
      </c>
      <c r="F940" s="0" t="n">
        <f aca="false">IF(E940=1,$C$4+SQRT(D940*($C$6-$C$4)*($C$5-$C$4)),$C$6-SQRT((1-D940)*($C$6-$C$4)*($C$6-$C$5)))</f>
        <v>9.66957371445331</v>
      </c>
    </row>
    <row r="941" customFormat="false" ht="15" hidden="false" customHeight="false" outlineLevel="0" collapsed="false">
      <c r="B941" s="0" t="n">
        <v>925</v>
      </c>
      <c r="C941" s="0" t="n">
        <f aca="true">RAND()</f>
        <v>0.801479789086684</v>
      </c>
      <c r="D941" s="0" t="n">
        <f aca="true">RAND()</f>
        <v>0.399138683336861</v>
      </c>
      <c r="E941" s="0" t="n">
        <f aca="false">IF(C941&lt;=$C$10,1,2)</f>
        <v>2</v>
      </c>
      <c r="F941" s="0" t="n">
        <f aca="false">IF(E941=1,$C$4+SQRT(D941*($C$6-$C$4)*($C$5-$C$4)),$C$6-SQRT((1-D941)*($C$6-$C$4)*($C$6-$C$5)))</f>
        <v>8.90376889602316</v>
      </c>
    </row>
    <row r="942" customFormat="false" ht="15" hidden="false" customHeight="false" outlineLevel="0" collapsed="false">
      <c r="B942" s="0" t="n">
        <v>926</v>
      </c>
      <c r="C942" s="0" t="n">
        <f aca="true">RAND()</f>
        <v>0.669861508907372</v>
      </c>
      <c r="D942" s="0" t="n">
        <f aca="true">RAND()</f>
        <v>0.579213169541048</v>
      </c>
      <c r="E942" s="0" t="n">
        <f aca="false">IF(C942&lt;=$C$10,1,2)</f>
        <v>2</v>
      </c>
      <c r="F942" s="0" t="n">
        <f aca="false">IF(E942=1,$C$4+SQRT(D942*($C$6-$C$4)*($C$5-$C$4)),$C$6-SQRT((1-D942)*($C$6-$C$4)*($C$6-$C$5)))</f>
        <v>9.08262676029987</v>
      </c>
    </row>
    <row r="943" customFormat="false" ht="15" hidden="false" customHeight="false" outlineLevel="0" collapsed="false">
      <c r="B943" s="0" t="n">
        <v>927</v>
      </c>
      <c r="C943" s="0" t="n">
        <f aca="true">RAND()</f>
        <v>0.41208930140469</v>
      </c>
      <c r="D943" s="0" t="n">
        <f aca="true">RAND()</f>
        <v>0.170646861490055</v>
      </c>
      <c r="E943" s="0" t="n">
        <f aca="false">IF(C943&lt;=$C$10,1,2)</f>
        <v>1</v>
      </c>
      <c r="F943" s="0" t="n">
        <f aca="false">IF(E943=1,$C$4+SQRT(D943*($C$6-$C$4)*($C$5-$C$4)),$C$6-SQRT((1-D943)*($C$6-$C$4)*($C$6-$C$5)))</f>
        <v>8.58420349449495</v>
      </c>
    </row>
    <row r="944" customFormat="false" ht="15" hidden="false" customHeight="false" outlineLevel="0" collapsed="false">
      <c r="B944" s="0" t="n">
        <v>928</v>
      </c>
      <c r="C944" s="0" t="n">
        <f aca="true">RAND()</f>
        <v>0.637050252732681</v>
      </c>
      <c r="D944" s="0" t="n">
        <f aca="true">RAND()</f>
        <v>0.20048706438454</v>
      </c>
      <c r="E944" s="0" t="n">
        <f aca="false">IF(C944&lt;=$C$10,1,2)</f>
        <v>2</v>
      </c>
      <c r="F944" s="0" t="n">
        <f aca="false">IF(E944=1,$C$4+SQRT(D944*($C$6-$C$4)*($C$5-$C$4)),$C$6-SQRT((1-D944)*($C$6-$C$4)*($C$6-$C$5)))</f>
        <v>8.73547405276486</v>
      </c>
    </row>
    <row r="945" customFormat="false" ht="15" hidden="false" customHeight="false" outlineLevel="0" collapsed="false">
      <c r="B945" s="0" t="n">
        <v>929</v>
      </c>
      <c r="C945" s="0" t="n">
        <f aca="true">RAND()</f>
        <v>0.117654087365673</v>
      </c>
      <c r="D945" s="0" t="n">
        <f aca="true">RAND()</f>
        <v>0.993411745870032</v>
      </c>
      <c r="E945" s="0" t="n">
        <f aca="false">IF(C945&lt;=$C$10,1,2)</f>
        <v>1</v>
      </c>
      <c r="F945" s="0" t="n">
        <f aca="false">IF(E945=1,$C$4+SQRT(D945*($C$6-$C$4)*($C$5-$C$4)),$C$6-SQRT((1-D945)*($C$6-$C$4)*($C$6-$C$5)))</f>
        <v>9.40954726481238</v>
      </c>
    </row>
    <row r="946" customFormat="false" ht="15" hidden="false" customHeight="false" outlineLevel="0" collapsed="false">
      <c r="B946" s="0" t="n">
        <v>930</v>
      </c>
      <c r="C946" s="0" t="n">
        <f aca="true">RAND()</f>
        <v>0.382341500795779</v>
      </c>
      <c r="D946" s="0" t="n">
        <f aca="true">RAND()</f>
        <v>0.94211304706874</v>
      </c>
      <c r="E946" s="0" t="n">
        <f aca="false">IF(C946&lt;=$C$10,1,2)</f>
        <v>1</v>
      </c>
      <c r="F946" s="0" t="n">
        <f aca="false">IF(E946=1,$C$4+SQRT(D946*($C$6-$C$4)*($C$5-$C$4)),$C$6-SQRT((1-D946)*($C$6-$C$4)*($C$6-$C$5)))</f>
        <v>9.37267115294869</v>
      </c>
    </row>
    <row r="947" customFormat="false" ht="15" hidden="false" customHeight="false" outlineLevel="0" collapsed="false">
      <c r="B947" s="0" t="n">
        <v>931</v>
      </c>
      <c r="C947" s="0" t="n">
        <f aca="true">RAND()</f>
        <v>0.920914328924103</v>
      </c>
      <c r="D947" s="0" t="n">
        <f aca="true">RAND()</f>
        <v>0.34354543663711</v>
      </c>
      <c r="E947" s="0" t="n">
        <f aca="false">IF(C947&lt;=$C$10,1,2)</f>
        <v>2</v>
      </c>
      <c r="F947" s="0" t="n">
        <f aca="false">IF(E947=1,$C$4+SQRT(D947*($C$6-$C$4)*($C$5-$C$4)),$C$6-SQRT((1-D947)*($C$6-$C$4)*($C$6-$C$5)))</f>
        <v>8.85417753263179</v>
      </c>
    </row>
    <row r="948" customFormat="false" ht="15" hidden="false" customHeight="false" outlineLevel="0" collapsed="false">
      <c r="B948" s="0" t="n">
        <v>932</v>
      </c>
      <c r="C948" s="0" t="n">
        <f aca="true">RAND()</f>
        <v>0.919332753097362</v>
      </c>
      <c r="D948" s="0" t="n">
        <f aca="true">RAND()</f>
        <v>0.120106620299381</v>
      </c>
      <c r="E948" s="0" t="n">
        <f aca="false">IF(C948&lt;=$C$10,1,2)</f>
        <v>2</v>
      </c>
      <c r="F948" s="0" t="n">
        <f aca="false">IF(E948=1,$C$4+SQRT(D948*($C$6-$C$4)*($C$5-$C$4)),$C$6-SQRT((1-D948)*($C$6-$C$4)*($C$6-$C$5)))</f>
        <v>8.67343045436689</v>
      </c>
    </row>
    <row r="949" customFormat="false" ht="15" hidden="false" customHeight="false" outlineLevel="0" collapsed="false">
      <c r="B949" s="0" t="n">
        <v>933</v>
      </c>
      <c r="C949" s="0" t="n">
        <f aca="true">RAND()</f>
        <v>0.733908027373832</v>
      </c>
      <c r="D949" s="0" t="n">
        <f aca="true">RAND()</f>
        <v>0.0530449005717622</v>
      </c>
      <c r="E949" s="0" t="n">
        <f aca="false">IF(C949&lt;=$C$10,1,2)</f>
        <v>2</v>
      </c>
      <c r="F949" s="0" t="n">
        <f aca="false">IF(E949=1,$C$4+SQRT(D949*($C$6-$C$4)*($C$5-$C$4)),$C$6-SQRT((1-D949)*($C$6-$C$4)*($C$6-$C$5)))</f>
        <v>8.6238059007333</v>
      </c>
    </row>
    <row r="950" customFormat="false" ht="15" hidden="false" customHeight="false" outlineLevel="0" collapsed="false">
      <c r="B950" s="0" t="n">
        <v>934</v>
      </c>
      <c r="C950" s="0" t="n">
        <f aca="true">RAND()</f>
        <v>0.0532917695907307</v>
      </c>
      <c r="D950" s="0" t="n">
        <f aca="true">RAND()</f>
        <v>0.702270926349807</v>
      </c>
      <c r="E950" s="0" t="n">
        <f aca="false">IF(C950&lt;=$C$10,1,2)</f>
        <v>1</v>
      </c>
      <c r="F950" s="0" t="n">
        <f aca="false">IF(E950=1,$C$4+SQRT(D950*($C$6-$C$4)*($C$5-$C$4)),$C$6-SQRT((1-D950)*($C$6-$C$4)*($C$6-$C$5)))</f>
        <v>9.18513368558134</v>
      </c>
    </row>
    <row r="951" customFormat="false" ht="15" hidden="false" customHeight="false" outlineLevel="0" collapsed="false">
      <c r="B951" s="0" t="n">
        <v>935</v>
      </c>
      <c r="C951" s="0" t="n">
        <f aca="true">RAND()</f>
        <v>0.134687445084028</v>
      </c>
      <c r="D951" s="0" t="n">
        <f aca="true">RAND()</f>
        <v>0.451324246316676</v>
      </c>
      <c r="E951" s="0" t="n">
        <f aca="false">IF(C951&lt;=$C$10,1,2)</f>
        <v>1</v>
      </c>
      <c r="F951" s="0" t="n">
        <f aca="false">IF(E951=1,$C$4+SQRT(D951*($C$6-$C$4)*($C$5-$C$4)),$C$6-SQRT((1-D951)*($C$6-$C$4)*($C$6-$C$5)))</f>
        <v>8.95007815080306</v>
      </c>
    </row>
    <row r="952" customFormat="false" ht="15" hidden="false" customHeight="false" outlineLevel="0" collapsed="false">
      <c r="B952" s="0" t="n">
        <v>936</v>
      </c>
      <c r="C952" s="0" t="n">
        <f aca="true">RAND()</f>
        <v>0.0833589806712889</v>
      </c>
      <c r="D952" s="0" t="n">
        <f aca="true">RAND()</f>
        <v>0.956863198784333</v>
      </c>
      <c r="E952" s="0" t="n">
        <f aca="false">IF(C952&lt;=$C$10,1,2)</f>
        <v>1</v>
      </c>
      <c r="F952" s="0" t="n">
        <f aca="false">IF(E952=1,$C$4+SQRT(D952*($C$6-$C$4)*($C$5-$C$4)),$C$6-SQRT((1-D952)*($C$6-$C$4)*($C$6-$C$5)))</f>
        <v>9.38337500250968</v>
      </c>
    </row>
    <row r="953" customFormat="false" ht="15" hidden="false" customHeight="false" outlineLevel="0" collapsed="false">
      <c r="B953" s="0" t="n">
        <v>937</v>
      </c>
      <c r="C953" s="0" t="n">
        <f aca="true">RAND()</f>
        <v>0.570449264734978</v>
      </c>
      <c r="D953" s="0" t="n">
        <f aca="true">RAND()</f>
        <v>0.53542257986969</v>
      </c>
      <c r="E953" s="0" t="n">
        <f aca="false">IF(C953&lt;=$C$10,1,2)</f>
        <v>2</v>
      </c>
      <c r="F953" s="0" t="n">
        <f aca="false">IF(E953=1,$C$4+SQRT(D953*($C$6-$C$4)*($C$5-$C$4)),$C$6-SQRT((1-D953)*($C$6-$C$4)*($C$6-$C$5)))</f>
        <v>9.03607321841303</v>
      </c>
    </row>
    <row r="954" customFormat="false" ht="15" hidden="false" customHeight="false" outlineLevel="0" collapsed="false">
      <c r="B954" s="0" t="n">
        <v>938</v>
      </c>
      <c r="C954" s="0" t="n">
        <f aca="true">RAND()</f>
        <v>0.0355470707215712</v>
      </c>
      <c r="D954" s="0" t="n">
        <f aca="true">RAND()</f>
        <v>0.701776809523297</v>
      </c>
      <c r="E954" s="0" t="n">
        <f aca="false">IF(C954&lt;=$C$10,1,2)</f>
        <v>1</v>
      </c>
      <c r="F954" s="0" t="n">
        <f aca="false">IF(E954=1,$C$4+SQRT(D954*($C$6-$C$4)*($C$5-$C$4)),$C$6-SQRT((1-D954)*($C$6-$C$4)*($C$6-$C$5)))</f>
        <v>9.18471668302873</v>
      </c>
    </row>
    <row r="955" customFormat="false" ht="15" hidden="false" customHeight="false" outlineLevel="0" collapsed="false">
      <c r="B955" s="0" t="n">
        <v>939</v>
      </c>
      <c r="C955" s="0" t="n">
        <f aca="true">RAND()</f>
        <v>0.635353829728787</v>
      </c>
      <c r="D955" s="0" t="n">
        <f aca="true">RAND()</f>
        <v>0.408296318729205</v>
      </c>
      <c r="E955" s="0" t="n">
        <f aca="false">IF(C955&lt;=$C$10,1,2)</f>
        <v>2</v>
      </c>
      <c r="F955" s="0" t="n">
        <f aca="false">IF(E955=1,$C$4+SQRT(D955*($C$6-$C$4)*($C$5-$C$4)),$C$6-SQRT((1-D955)*($C$6-$C$4)*($C$6-$C$5)))</f>
        <v>8.91215471571478</v>
      </c>
    </row>
    <row r="956" customFormat="false" ht="15" hidden="false" customHeight="false" outlineLevel="0" collapsed="false">
      <c r="B956" s="0" t="n">
        <v>940</v>
      </c>
      <c r="C956" s="0" t="n">
        <f aca="true">RAND()</f>
        <v>0.0221535832122403</v>
      </c>
      <c r="D956" s="0" t="n">
        <f aca="true">RAND()</f>
        <v>0.209207574814989</v>
      </c>
      <c r="E956" s="0" t="n">
        <f aca="false">IF(C956&lt;=$C$10,1,2)</f>
        <v>1</v>
      </c>
      <c r="F956" s="0" t="n">
        <f aca="false">IF(E956=1,$C$4+SQRT(D956*($C$6-$C$4)*($C$5-$C$4)),$C$6-SQRT((1-D956)*($C$6-$C$4)*($C$6-$C$5)))</f>
        <v>8.64685017556617</v>
      </c>
    </row>
    <row r="957" customFormat="false" ht="15" hidden="false" customHeight="false" outlineLevel="0" collapsed="false">
      <c r="B957" s="0" t="n">
        <v>941</v>
      </c>
      <c r="C957" s="0" t="n">
        <f aca="true">RAND()</f>
        <v>0.659757680374869</v>
      </c>
      <c r="D957" s="0" t="n">
        <f aca="true">RAND()</f>
        <v>0.559541426648223</v>
      </c>
      <c r="E957" s="0" t="n">
        <f aca="false">IF(C957&lt;=$C$10,1,2)</f>
        <v>2</v>
      </c>
      <c r="F957" s="0" t="n">
        <f aca="false">IF(E957=1,$C$4+SQRT(D957*($C$6-$C$4)*($C$5-$C$4)),$C$6-SQRT((1-D957)*($C$6-$C$4)*($C$6-$C$5)))</f>
        <v>9.06142813450245</v>
      </c>
    </row>
    <row r="958" customFormat="false" ht="15" hidden="false" customHeight="false" outlineLevel="0" collapsed="false">
      <c r="B958" s="0" t="n">
        <v>942</v>
      </c>
      <c r="C958" s="0" t="n">
        <f aca="true">RAND()</f>
        <v>0.159269004558877</v>
      </c>
      <c r="D958" s="0" t="n">
        <f aca="true">RAND()</f>
        <v>0.691631795261752</v>
      </c>
      <c r="E958" s="0" t="n">
        <f aca="false">IF(C958&lt;=$C$10,1,2)</f>
        <v>1</v>
      </c>
      <c r="F958" s="0" t="n">
        <f aca="false">IF(E958=1,$C$4+SQRT(D958*($C$6-$C$4)*($C$5-$C$4)),$C$6-SQRT((1-D958)*($C$6-$C$4)*($C$6-$C$5)))</f>
        <v>9.17612226852632</v>
      </c>
    </row>
    <row r="959" customFormat="false" ht="15" hidden="false" customHeight="false" outlineLevel="0" collapsed="false">
      <c r="B959" s="0" t="n">
        <v>943</v>
      </c>
      <c r="C959" s="0" t="n">
        <f aca="true">RAND()</f>
        <v>0.615129686875845</v>
      </c>
      <c r="D959" s="0" t="n">
        <f aca="true">RAND()</f>
        <v>0.948085880783038</v>
      </c>
      <c r="E959" s="0" t="n">
        <f aca="false">IF(C959&lt;=$C$10,1,2)</f>
        <v>2</v>
      </c>
      <c r="F959" s="0" t="n">
        <f aca="false">IF(E959=1,$C$4+SQRT(D959*($C$6-$C$4)*($C$5-$C$4)),$C$6-SQRT((1-D959)*($C$6-$C$4)*($C$6-$C$5)))</f>
        <v>9.67777610511645</v>
      </c>
    </row>
    <row r="960" customFormat="false" ht="15" hidden="false" customHeight="false" outlineLevel="0" collapsed="false">
      <c r="B960" s="0" t="n">
        <v>944</v>
      </c>
      <c r="C960" s="0" t="n">
        <f aca="true">RAND()</f>
        <v>0.268100519857798</v>
      </c>
      <c r="D960" s="0" t="n">
        <f aca="true">RAND()</f>
        <v>0.400180939301947</v>
      </c>
      <c r="E960" s="0" t="n">
        <f aca="false">IF(C960&lt;=$C$10,1,2)</f>
        <v>1</v>
      </c>
      <c r="F960" s="0" t="n">
        <f aca="false">IF(E960=1,$C$4+SQRT(D960*($C$6-$C$4)*($C$5-$C$4)),$C$6-SQRT((1-D960)*($C$6-$C$4)*($C$6-$C$5)))</f>
        <v>8.89462946441747</v>
      </c>
    </row>
    <row r="961" customFormat="false" ht="15" hidden="false" customHeight="false" outlineLevel="0" collapsed="false">
      <c r="B961" s="0" t="n">
        <v>945</v>
      </c>
      <c r="C961" s="0" t="n">
        <f aca="true">RAND()</f>
        <v>0.790663713502187</v>
      </c>
      <c r="D961" s="0" t="n">
        <f aca="true">RAND()</f>
        <v>0.214709448075479</v>
      </c>
      <c r="E961" s="0" t="n">
        <f aca="false">IF(C961&lt;=$C$10,1,2)</f>
        <v>2</v>
      </c>
      <c r="F961" s="0" t="n">
        <f aca="false">IF(E961=1,$C$4+SQRT(D961*($C$6-$C$4)*($C$5-$C$4)),$C$6-SQRT((1-D961)*($C$6-$C$4)*($C$6-$C$5)))</f>
        <v>8.7467717271586</v>
      </c>
    </row>
    <row r="962" customFormat="false" ht="15" hidden="false" customHeight="false" outlineLevel="0" collapsed="false">
      <c r="B962" s="0" t="n">
        <v>946</v>
      </c>
      <c r="C962" s="0" t="n">
        <f aca="true">RAND()</f>
        <v>0.867625459418603</v>
      </c>
      <c r="D962" s="0" t="n">
        <f aca="true">RAND()</f>
        <v>0.487071626207157</v>
      </c>
      <c r="E962" s="0" t="n">
        <f aca="false">IF(C962&lt;=$C$10,1,2)</f>
        <v>2</v>
      </c>
      <c r="F962" s="0" t="n">
        <f aca="false">IF(E962=1,$C$4+SQRT(D962*($C$6-$C$4)*($C$5-$C$4)),$C$6-SQRT((1-D962)*($C$6-$C$4)*($C$6-$C$5)))</f>
        <v>8.98715413433944</v>
      </c>
    </row>
    <row r="963" customFormat="false" ht="15" hidden="false" customHeight="false" outlineLevel="0" collapsed="false">
      <c r="B963" s="0" t="n">
        <v>947</v>
      </c>
      <c r="C963" s="0" t="n">
        <f aca="true">RAND()</f>
        <v>0.784489508098107</v>
      </c>
      <c r="D963" s="0" t="n">
        <f aca="true">RAND()</f>
        <v>0.637543408903328</v>
      </c>
      <c r="E963" s="0" t="n">
        <f aca="false">IF(C963&lt;=$C$10,1,2)</f>
        <v>2</v>
      </c>
      <c r="F963" s="0" t="n">
        <f aca="false">IF(E963=1,$C$4+SQRT(D963*($C$6-$C$4)*($C$5-$C$4)),$C$6-SQRT((1-D963)*($C$6-$C$4)*($C$6-$C$5)))</f>
        <v>9.14858166440149</v>
      </c>
    </row>
    <row r="964" customFormat="false" ht="15" hidden="false" customHeight="false" outlineLevel="0" collapsed="false">
      <c r="B964" s="0" t="n">
        <v>948</v>
      </c>
      <c r="C964" s="0" t="n">
        <f aca="true">RAND()</f>
        <v>0.154614976437178</v>
      </c>
      <c r="D964" s="0" t="n">
        <f aca="true">RAND()</f>
        <v>0.0808875016023427</v>
      </c>
      <c r="E964" s="0" t="n">
        <f aca="false">IF(C964&lt;=$C$10,1,2)</f>
        <v>1</v>
      </c>
      <c r="F964" s="0" t="n">
        <f aca="false">IF(E964=1,$C$4+SQRT(D964*($C$6-$C$4)*($C$5-$C$4)),$C$6-SQRT((1-D964)*($C$6-$C$4)*($C$6-$C$5)))</f>
        <v>8.40221263431758</v>
      </c>
    </row>
    <row r="965" customFormat="false" ht="15" hidden="false" customHeight="false" outlineLevel="0" collapsed="false">
      <c r="B965" s="0" t="n">
        <v>949</v>
      </c>
      <c r="C965" s="0" t="n">
        <f aca="true">RAND()</f>
        <v>0.592354151034564</v>
      </c>
      <c r="D965" s="0" t="n">
        <f aca="true">RAND()</f>
        <v>0.681651735859852</v>
      </c>
      <c r="E965" s="0" t="n">
        <f aca="false">IF(C965&lt;=$C$10,1,2)</f>
        <v>2</v>
      </c>
      <c r="F965" s="0" t="n">
        <f aca="false">IF(E965=1,$C$4+SQRT(D965*($C$6-$C$4)*($C$5-$C$4)),$C$6-SQRT((1-D965)*($C$6-$C$4)*($C$6-$C$5)))</f>
        <v>9.2020673410116</v>
      </c>
    </row>
    <row r="966" customFormat="false" ht="15" hidden="false" customHeight="false" outlineLevel="0" collapsed="false">
      <c r="B966" s="0" t="n">
        <v>950</v>
      </c>
      <c r="C966" s="0" t="n">
        <f aca="true">RAND()</f>
        <v>0.0428035425020868</v>
      </c>
      <c r="D966" s="0" t="n">
        <f aca="true">RAND()</f>
        <v>0.822219083011351</v>
      </c>
      <c r="E966" s="0" t="n">
        <f aca="false">IF(C966&lt;=$C$10,1,2)</f>
        <v>1</v>
      </c>
      <c r="F966" s="0" t="n">
        <f aca="false">IF(E966=1,$C$4+SQRT(D966*($C$6-$C$4)*($C$5-$C$4)),$C$6-SQRT((1-D966)*($C$6-$C$4)*($C$6-$C$5)))</f>
        <v>9.28235648944539</v>
      </c>
    </row>
    <row r="967" customFormat="false" ht="15" hidden="false" customHeight="false" outlineLevel="0" collapsed="false">
      <c r="B967" s="0" t="n">
        <v>951</v>
      </c>
      <c r="C967" s="0" t="n">
        <f aca="true">RAND()</f>
        <v>0.997649172367396</v>
      </c>
      <c r="D967" s="0" t="n">
        <f aca="true">RAND()</f>
        <v>0.300937690092633</v>
      </c>
      <c r="E967" s="0" t="n">
        <f aca="false">IF(C967&lt;=$C$10,1,2)</f>
        <v>2</v>
      </c>
      <c r="F967" s="0" t="n">
        <f aca="false">IF(E967=1,$C$4+SQRT(D967*($C$6-$C$4)*($C$5-$C$4)),$C$6-SQRT((1-D967)*($C$6-$C$4)*($C$6-$C$5)))</f>
        <v>8.81757680172675</v>
      </c>
    </row>
    <row r="968" customFormat="false" ht="15" hidden="false" customHeight="false" outlineLevel="0" collapsed="false">
      <c r="B968" s="0" t="n">
        <v>952</v>
      </c>
      <c r="C968" s="0" t="n">
        <f aca="true">RAND()</f>
        <v>0.565828630075954</v>
      </c>
      <c r="D968" s="0" t="n">
        <f aca="true">RAND()</f>
        <v>0.0585907992320556</v>
      </c>
      <c r="E968" s="0" t="n">
        <f aca="false">IF(C968&lt;=$C$10,1,2)</f>
        <v>2</v>
      </c>
      <c r="F968" s="0" t="n">
        <f aca="false">IF(E968=1,$C$4+SQRT(D968*($C$6-$C$4)*($C$5-$C$4)),$C$6-SQRT((1-D968)*($C$6-$C$4)*($C$6-$C$5)))</f>
        <v>8.62784169953468</v>
      </c>
    </row>
    <row r="969" customFormat="false" ht="15" hidden="false" customHeight="false" outlineLevel="0" collapsed="false">
      <c r="B969" s="0" t="n">
        <v>953</v>
      </c>
      <c r="C969" s="0" t="n">
        <f aca="true">RAND()</f>
        <v>0.0119906337291275</v>
      </c>
      <c r="D969" s="0" t="n">
        <f aca="true">RAND()</f>
        <v>0.697133957186539</v>
      </c>
      <c r="E969" s="0" t="n">
        <f aca="false">IF(C969&lt;=$C$10,1,2)</f>
        <v>1</v>
      </c>
      <c r="F969" s="0" t="n">
        <f aca="false">IF(E969=1,$C$4+SQRT(D969*($C$6-$C$4)*($C$5-$C$4)),$C$6-SQRT((1-D969)*($C$6-$C$4)*($C$6-$C$5)))</f>
        <v>9.18079122387197</v>
      </c>
    </row>
    <row r="970" customFormat="false" ht="15" hidden="false" customHeight="false" outlineLevel="0" collapsed="false">
      <c r="B970" s="0" t="n">
        <v>954</v>
      </c>
      <c r="C970" s="0" t="n">
        <f aca="true">RAND()</f>
        <v>0.00100903347068478</v>
      </c>
      <c r="D970" s="0" t="n">
        <f aca="true">RAND()</f>
        <v>0.83831193933753</v>
      </c>
      <c r="E970" s="0" t="n">
        <f aca="false">IF(C970&lt;=$C$10,1,2)</f>
        <v>1</v>
      </c>
      <c r="F970" s="0" t="n">
        <f aca="false">IF(E970=1,$C$4+SQRT(D970*($C$6-$C$4)*($C$5-$C$4)),$C$6-SQRT((1-D970)*($C$6-$C$4)*($C$6-$C$5)))</f>
        <v>9.29484511763958</v>
      </c>
    </row>
    <row r="971" customFormat="false" ht="15" hidden="false" customHeight="false" outlineLevel="0" collapsed="false">
      <c r="B971" s="0" t="n">
        <v>955</v>
      </c>
      <c r="C971" s="0" t="n">
        <f aca="true">RAND()</f>
        <v>0.718236517005391</v>
      </c>
      <c r="D971" s="0" t="n">
        <f aca="true">RAND()</f>
        <v>0.874451263071258</v>
      </c>
      <c r="E971" s="0" t="n">
        <f aca="false">IF(C971&lt;=$C$10,1,2)</f>
        <v>2</v>
      </c>
      <c r="F971" s="0" t="n">
        <f aca="false">IF(E971=1,$C$4+SQRT(D971*($C$6-$C$4)*($C$5-$C$4)),$C$6-SQRT((1-D971)*($C$6-$C$4)*($C$6-$C$5)))</f>
        <v>9.49890372795491</v>
      </c>
    </row>
    <row r="972" customFormat="false" ht="15" hidden="false" customHeight="false" outlineLevel="0" collapsed="false">
      <c r="B972" s="0" t="n">
        <v>956</v>
      </c>
      <c r="C972" s="0" t="n">
        <f aca="true">RAND()</f>
        <v>0.832266807570273</v>
      </c>
      <c r="D972" s="0" t="n">
        <f aca="true">RAND()</f>
        <v>0.522612644392512</v>
      </c>
      <c r="E972" s="0" t="n">
        <f aca="false">IF(C972&lt;=$C$10,1,2)</f>
        <v>2</v>
      </c>
      <c r="F972" s="0" t="n">
        <f aca="false">IF(E972=1,$C$4+SQRT(D972*($C$6-$C$4)*($C$5-$C$4)),$C$6-SQRT((1-D972)*($C$6-$C$4)*($C$6-$C$5)))</f>
        <v>9.02287426028429</v>
      </c>
    </row>
    <row r="973" customFormat="false" ht="15" hidden="false" customHeight="false" outlineLevel="0" collapsed="false">
      <c r="B973" s="0" t="n">
        <v>957</v>
      </c>
      <c r="C973" s="0" t="n">
        <f aca="true">RAND()</f>
        <v>0.859613625198796</v>
      </c>
      <c r="D973" s="0" t="n">
        <f aca="true">RAND()</f>
        <v>0.0582576693583741</v>
      </c>
      <c r="E973" s="0" t="n">
        <f aca="false">IF(C973&lt;=$C$10,1,2)</f>
        <v>2</v>
      </c>
      <c r="F973" s="0" t="n">
        <f aca="false">IF(E973=1,$C$4+SQRT(D973*($C$6-$C$4)*($C$5-$C$4)),$C$6-SQRT((1-D973)*($C$6-$C$4)*($C$6-$C$5)))</f>
        <v>8.6275989429896</v>
      </c>
    </row>
    <row r="974" customFormat="false" ht="15" hidden="false" customHeight="false" outlineLevel="0" collapsed="false">
      <c r="B974" s="0" t="n">
        <v>958</v>
      </c>
      <c r="C974" s="0" t="n">
        <f aca="true">RAND()</f>
        <v>0.359353496509531</v>
      </c>
      <c r="D974" s="0" t="n">
        <f aca="true">RAND()</f>
        <v>0.49843374435406</v>
      </c>
      <c r="E974" s="0" t="n">
        <f aca="false">IF(C974&lt;=$C$10,1,2)</f>
        <v>1</v>
      </c>
      <c r="F974" s="0" t="n">
        <f aca="false">IF(E974=1,$C$4+SQRT(D974*($C$6-$C$4)*($C$5-$C$4)),$C$6-SQRT((1-D974)*($C$6-$C$4)*($C$6-$C$5)))</f>
        <v>8.99843251585078</v>
      </c>
    </row>
    <row r="975" customFormat="false" ht="15" hidden="false" customHeight="false" outlineLevel="0" collapsed="false">
      <c r="B975" s="0" t="n">
        <v>959</v>
      </c>
      <c r="C975" s="0" t="n">
        <f aca="true">RAND()</f>
        <v>0.555962204788104</v>
      </c>
      <c r="D975" s="0" t="n">
        <f aca="true">RAND()</f>
        <v>0.625745289886084</v>
      </c>
      <c r="E975" s="0" t="n">
        <f aca="false">IF(C975&lt;=$C$10,1,2)</f>
        <v>2</v>
      </c>
      <c r="F975" s="0" t="n">
        <f aca="false">IF(E975=1,$C$4+SQRT(D975*($C$6-$C$4)*($C$5-$C$4)),$C$6-SQRT((1-D975)*($C$6-$C$4)*($C$6-$C$5)))</f>
        <v>9.13483561086471</v>
      </c>
    </row>
    <row r="976" customFormat="false" ht="15" hidden="false" customHeight="false" outlineLevel="0" collapsed="false">
      <c r="B976" s="0" t="n">
        <v>960</v>
      </c>
      <c r="C976" s="0" t="n">
        <f aca="true">RAND()</f>
        <v>0.244712873446228</v>
      </c>
      <c r="D976" s="0" t="n">
        <f aca="true">RAND()</f>
        <v>0.615918611712527</v>
      </c>
      <c r="E976" s="0" t="n">
        <f aca="false">IF(C976&lt;=$C$10,1,2)</f>
        <v>1</v>
      </c>
      <c r="F976" s="0" t="n">
        <f aca="false">IF(E976=1,$C$4+SQRT(D976*($C$6-$C$4)*($C$5-$C$4)),$C$6-SQRT((1-D976)*($C$6-$C$4)*($C$6-$C$5)))</f>
        <v>9.10988162586154</v>
      </c>
    </row>
    <row r="977" customFormat="false" ht="15" hidden="false" customHeight="false" outlineLevel="0" collapsed="false">
      <c r="B977" s="0" t="n">
        <v>961</v>
      </c>
      <c r="C977" s="0" t="n">
        <f aca="true">RAND()</f>
        <v>0.337684375862755</v>
      </c>
      <c r="D977" s="0" t="n">
        <f aca="true">RAND()</f>
        <v>0.869436213555114</v>
      </c>
      <c r="E977" s="0" t="n">
        <f aca="false">IF(C977&lt;=$C$10,1,2)</f>
        <v>1</v>
      </c>
      <c r="F977" s="0" t="n">
        <f aca="false">IF(E977=1,$C$4+SQRT(D977*($C$6-$C$4)*($C$5-$C$4)),$C$6-SQRT((1-D977)*($C$6-$C$4)*($C$6-$C$5)))</f>
        <v>9.31866312116106</v>
      </c>
    </row>
    <row r="978" customFormat="false" ht="15" hidden="false" customHeight="false" outlineLevel="0" collapsed="false">
      <c r="B978" s="0" t="n">
        <v>962</v>
      </c>
      <c r="C978" s="0" t="n">
        <f aca="true">RAND()</f>
        <v>0.947968328261852</v>
      </c>
      <c r="D978" s="0" t="n">
        <f aca="true">RAND()</f>
        <v>0.273250430598058</v>
      </c>
      <c r="E978" s="0" t="n">
        <f aca="false">IF(C978&lt;=$C$10,1,2)</f>
        <v>2</v>
      </c>
      <c r="F978" s="0" t="n">
        <f aca="false">IF(E978=1,$C$4+SQRT(D978*($C$6-$C$4)*($C$5-$C$4)),$C$6-SQRT((1-D978)*($C$6-$C$4)*($C$6-$C$5)))</f>
        <v>8.79438847931687</v>
      </c>
    </row>
    <row r="979" customFormat="false" ht="15" hidden="false" customHeight="false" outlineLevel="0" collapsed="false">
      <c r="B979" s="0" t="n">
        <v>963</v>
      </c>
      <c r="C979" s="0" t="n">
        <f aca="true">RAND()</f>
        <v>0.274085914053003</v>
      </c>
      <c r="D979" s="0" t="n">
        <f aca="true">RAND()</f>
        <v>0.497895093245122</v>
      </c>
      <c r="E979" s="0" t="n">
        <f aca="false">IF(C979&lt;=$C$10,1,2)</f>
        <v>1</v>
      </c>
      <c r="F979" s="0" t="n">
        <f aca="false">IF(E979=1,$C$4+SQRT(D979*($C$6-$C$4)*($C$5-$C$4)),$C$6-SQRT((1-D979)*($C$6-$C$4)*($C$6-$C$5)))</f>
        <v>8.99789287325356</v>
      </c>
    </row>
    <row r="980" customFormat="false" ht="15" hidden="false" customHeight="false" outlineLevel="0" collapsed="false">
      <c r="B980" s="0" t="n">
        <v>964</v>
      </c>
      <c r="C980" s="0" t="n">
        <f aca="true">RAND()</f>
        <v>0.621215849654196</v>
      </c>
      <c r="D980" s="0" t="n">
        <f aca="true">RAND()</f>
        <v>0.113503926317343</v>
      </c>
      <c r="E980" s="0" t="n">
        <f aca="false">IF(C980&lt;=$C$10,1,2)</f>
        <v>2</v>
      </c>
      <c r="F980" s="0" t="n">
        <f aca="false">IF(E980=1,$C$4+SQRT(D980*($C$6-$C$4)*($C$5-$C$4)),$C$6-SQRT((1-D980)*($C$6-$C$4)*($C$6-$C$5)))</f>
        <v>8.66846248743593</v>
      </c>
    </row>
    <row r="981" customFormat="false" ht="15" hidden="false" customHeight="false" outlineLevel="0" collapsed="false">
      <c r="B981" s="0" t="n">
        <v>965</v>
      </c>
      <c r="C981" s="0" t="n">
        <f aca="true">RAND()</f>
        <v>0.776070011261439</v>
      </c>
      <c r="D981" s="0" t="n">
        <f aca="true">RAND()</f>
        <v>0.0775182479071864</v>
      </c>
      <c r="E981" s="0" t="n">
        <f aca="false">IF(C981&lt;=$C$10,1,2)</f>
        <v>2</v>
      </c>
      <c r="F981" s="0" t="n">
        <f aca="false">IF(E981=1,$C$4+SQRT(D981*($C$6-$C$4)*($C$5-$C$4)),$C$6-SQRT((1-D981)*($C$6-$C$4)*($C$6-$C$5)))</f>
        <v>8.64170566364075</v>
      </c>
    </row>
    <row r="982" customFormat="false" ht="15" hidden="false" customHeight="false" outlineLevel="0" collapsed="false">
      <c r="B982" s="0" t="n">
        <v>966</v>
      </c>
      <c r="C982" s="0" t="n">
        <f aca="true">RAND()</f>
        <v>0.215530247758991</v>
      </c>
      <c r="D982" s="0" t="n">
        <f aca="true">RAND()</f>
        <v>0.310534678045175</v>
      </c>
      <c r="E982" s="0" t="n">
        <f aca="false">IF(C982&lt;=$C$10,1,2)</f>
        <v>1</v>
      </c>
      <c r="F982" s="0" t="n">
        <f aca="false">IF(E982=1,$C$4+SQRT(D982*($C$6-$C$4)*($C$5-$C$4)),$C$6-SQRT((1-D982)*($C$6-$C$4)*($C$6-$C$5)))</f>
        <v>8.78807953665246</v>
      </c>
    </row>
    <row r="983" customFormat="false" ht="15" hidden="false" customHeight="false" outlineLevel="0" collapsed="false">
      <c r="B983" s="0" t="n">
        <v>967</v>
      </c>
      <c r="C983" s="0" t="n">
        <f aca="true">RAND()</f>
        <v>0.30621135097545</v>
      </c>
      <c r="D983" s="0" t="n">
        <f aca="true">RAND()</f>
        <v>0.148574702708496</v>
      </c>
      <c r="E983" s="0" t="n">
        <f aca="false">IF(C983&lt;=$C$10,1,2)</f>
        <v>1</v>
      </c>
      <c r="F983" s="0" t="n">
        <f aca="false">IF(E983=1,$C$4+SQRT(D983*($C$6-$C$4)*($C$5-$C$4)),$C$6-SQRT((1-D983)*($C$6-$C$4)*($C$6-$C$5)))</f>
        <v>8.54511412146173</v>
      </c>
    </row>
    <row r="984" customFormat="false" ht="15" hidden="false" customHeight="false" outlineLevel="0" collapsed="false">
      <c r="B984" s="0" t="n">
        <v>968</v>
      </c>
      <c r="C984" s="0" t="n">
        <f aca="true">RAND()</f>
        <v>0.960450603357596</v>
      </c>
      <c r="D984" s="0" t="n">
        <f aca="true">RAND()</f>
        <v>0.487605394198557</v>
      </c>
      <c r="E984" s="0" t="n">
        <f aca="false">IF(C984&lt;=$C$10,1,2)</f>
        <v>2</v>
      </c>
      <c r="F984" s="0" t="n">
        <f aca="false">IF(E984=1,$C$4+SQRT(D984*($C$6-$C$4)*($C$5-$C$4)),$C$6-SQRT((1-D984)*($C$6-$C$4)*($C$6-$C$5)))</f>
        <v>8.98768126975597</v>
      </c>
    </row>
    <row r="985" customFormat="false" ht="15" hidden="false" customHeight="false" outlineLevel="0" collapsed="false">
      <c r="B985" s="0" t="n">
        <v>969</v>
      </c>
      <c r="C985" s="0" t="n">
        <f aca="true">RAND()</f>
        <v>0.222299657614749</v>
      </c>
      <c r="D985" s="0" t="n">
        <f aca="true">RAND()</f>
        <v>0.83194540412959</v>
      </c>
      <c r="E985" s="0" t="n">
        <f aca="false">IF(C985&lt;=$C$10,1,2)</f>
        <v>1</v>
      </c>
      <c r="F985" s="0" t="n">
        <f aca="false">IF(E985=1,$C$4+SQRT(D985*($C$6-$C$4)*($C$5-$C$4)),$C$6-SQRT((1-D985)*($C$6-$C$4)*($C$6-$C$5)))</f>
        <v>9.28991891538158</v>
      </c>
    </row>
    <row r="986" customFormat="false" ht="15" hidden="false" customHeight="false" outlineLevel="0" collapsed="false">
      <c r="B986" s="0" t="n">
        <v>970</v>
      </c>
      <c r="C986" s="0" t="n">
        <f aca="true">RAND()</f>
        <v>0.00571883211012908</v>
      </c>
      <c r="D986" s="0" t="n">
        <f aca="true">RAND()</f>
        <v>0.445688072713238</v>
      </c>
      <c r="E986" s="0" t="n">
        <f aca="false">IF(C986&lt;=$C$10,1,2)</f>
        <v>1</v>
      </c>
      <c r="F986" s="0" t="n">
        <f aca="false">IF(E986=1,$C$4+SQRT(D986*($C$6-$C$4)*($C$5-$C$4)),$C$6-SQRT((1-D986)*($C$6-$C$4)*($C$6-$C$5)))</f>
        <v>8.94412718710271</v>
      </c>
    </row>
    <row r="987" customFormat="false" ht="15" hidden="false" customHeight="false" outlineLevel="0" collapsed="false">
      <c r="B987" s="0" t="n">
        <v>971</v>
      </c>
      <c r="C987" s="0" t="n">
        <f aca="true">RAND()</f>
        <v>0.465615206142125</v>
      </c>
      <c r="D987" s="0" t="n">
        <f aca="true">RAND()</f>
        <v>0.800584503457925</v>
      </c>
      <c r="E987" s="0" t="n">
        <f aca="false">IF(C987&lt;=$C$10,1,2)</f>
        <v>1</v>
      </c>
      <c r="F987" s="0" t="n">
        <f aca="false">IF(E987=1,$C$4+SQRT(D987*($C$6-$C$4)*($C$5-$C$4)),$C$6-SQRT((1-D987)*($C$6-$C$4)*($C$6-$C$5)))</f>
        <v>9.26537307025077</v>
      </c>
    </row>
    <row r="988" customFormat="false" ht="15" hidden="false" customHeight="false" outlineLevel="0" collapsed="false">
      <c r="B988" s="0" t="n">
        <v>972</v>
      </c>
      <c r="C988" s="0" t="n">
        <f aca="true">RAND()</f>
        <v>0.326740921118394</v>
      </c>
      <c r="D988" s="0" t="n">
        <f aca="true">RAND()</f>
        <v>0.438171337994622</v>
      </c>
      <c r="E988" s="0" t="n">
        <f aca="false">IF(C988&lt;=$C$10,1,2)</f>
        <v>1</v>
      </c>
      <c r="F988" s="0" t="n">
        <f aca="false">IF(E988=1,$C$4+SQRT(D988*($C$6-$C$4)*($C$5-$C$4)),$C$6-SQRT((1-D988)*($C$6-$C$4)*($C$6-$C$5)))</f>
        <v>8.93613176208761</v>
      </c>
    </row>
    <row r="989" customFormat="false" ht="15" hidden="false" customHeight="false" outlineLevel="0" collapsed="false">
      <c r="B989" s="0" t="n">
        <v>973</v>
      </c>
      <c r="C989" s="0" t="n">
        <f aca="true">RAND()</f>
        <v>0.782906311110791</v>
      </c>
      <c r="D989" s="0" t="n">
        <f aca="true">RAND()</f>
        <v>0.206165755054492</v>
      </c>
      <c r="E989" s="0" t="n">
        <f aca="false">IF(C989&lt;=$C$10,1,2)</f>
        <v>2</v>
      </c>
      <c r="F989" s="0" t="n">
        <f aca="false">IF(E989=1,$C$4+SQRT(D989*($C$6-$C$4)*($C$5-$C$4)),$C$6-SQRT((1-D989)*($C$6-$C$4)*($C$6-$C$5)))</f>
        <v>8.73997282176494</v>
      </c>
    </row>
    <row r="990" customFormat="false" ht="15" hidden="false" customHeight="false" outlineLevel="0" collapsed="false">
      <c r="B990" s="0" t="n">
        <v>974</v>
      </c>
      <c r="C990" s="0" t="n">
        <f aca="true">RAND()</f>
        <v>0.563409789225789</v>
      </c>
      <c r="D990" s="0" t="n">
        <f aca="true">RAND()</f>
        <v>0.849008990670722</v>
      </c>
      <c r="E990" s="0" t="n">
        <f aca="false">IF(C990&lt;=$C$10,1,2)</f>
        <v>2</v>
      </c>
      <c r="F990" s="0" t="n">
        <f aca="false">IF(E990=1,$C$4+SQRT(D990*($C$6-$C$4)*($C$5-$C$4)),$C$6-SQRT((1-D990)*($C$6-$C$4)*($C$6-$C$5)))</f>
        <v>9.45047109388263</v>
      </c>
    </row>
    <row r="991" customFormat="false" ht="15" hidden="false" customHeight="false" outlineLevel="0" collapsed="false">
      <c r="B991" s="0" t="n">
        <v>975</v>
      </c>
      <c r="C991" s="0" t="n">
        <f aca="true">RAND()</f>
        <v>0.0733740314307967</v>
      </c>
      <c r="D991" s="0" t="n">
        <f aca="true">RAND()</f>
        <v>0.917975438501114</v>
      </c>
      <c r="E991" s="0" t="n">
        <f aca="false">IF(C991&lt;=$C$10,1,2)</f>
        <v>1</v>
      </c>
      <c r="F991" s="0" t="n">
        <f aca="false">IF(E991=1,$C$4+SQRT(D991*($C$6-$C$4)*($C$5-$C$4)),$C$6-SQRT((1-D991)*($C$6-$C$4)*($C$6-$C$5)))</f>
        <v>9.35497264806424</v>
      </c>
    </row>
    <row r="992" customFormat="false" ht="15" hidden="false" customHeight="false" outlineLevel="0" collapsed="false">
      <c r="B992" s="0" t="n">
        <v>976</v>
      </c>
      <c r="C992" s="0" t="n">
        <f aca="true">RAND()</f>
        <v>0.703420002664566</v>
      </c>
      <c r="D992" s="0" t="n">
        <f aca="true">RAND()</f>
        <v>0.634358091853766</v>
      </c>
      <c r="E992" s="0" t="n">
        <f aca="false">IF(C992&lt;=$C$10,1,2)</f>
        <v>2</v>
      </c>
      <c r="F992" s="0" t="n">
        <f aca="false">IF(E992=1,$C$4+SQRT(D992*($C$6-$C$4)*($C$5-$C$4)),$C$6-SQRT((1-D992)*($C$6-$C$4)*($C$6-$C$5)))</f>
        <v>9.14484865883724</v>
      </c>
    </row>
    <row r="993" customFormat="false" ht="15" hidden="false" customHeight="false" outlineLevel="0" collapsed="false">
      <c r="B993" s="0" t="n">
        <v>977</v>
      </c>
      <c r="C993" s="0" t="n">
        <f aca="true">RAND()</f>
        <v>0.463293092248802</v>
      </c>
      <c r="D993" s="0" t="n">
        <f aca="true">RAND()</f>
        <v>0.753747985401101</v>
      </c>
      <c r="E993" s="0" t="n">
        <f aca="false">IF(C993&lt;=$C$10,1,2)</f>
        <v>1</v>
      </c>
      <c r="F993" s="0" t="n">
        <f aca="false">IF(E993=1,$C$4+SQRT(D993*($C$6-$C$4)*($C$5-$C$4)),$C$6-SQRT((1-D993)*($C$6-$C$4)*($C$6-$C$5)))</f>
        <v>9.22780127496358</v>
      </c>
    </row>
    <row r="994" customFormat="false" ht="15" hidden="false" customHeight="false" outlineLevel="0" collapsed="false">
      <c r="B994" s="0" t="n">
        <v>978</v>
      </c>
      <c r="C994" s="0" t="n">
        <f aca="true">RAND()</f>
        <v>0.881632456046874</v>
      </c>
      <c r="D994" s="0" t="n">
        <f aca="true">RAND()</f>
        <v>0.44855472626136</v>
      </c>
      <c r="E994" s="0" t="n">
        <f aca="false">IF(C994&lt;=$C$10,1,2)</f>
        <v>2</v>
      </c>
      <c r="F994" s="0" t="n">
        <f aca="false">IF(E994=1,$C$4+SQRT(D994*($C$6-$C$4)*($C$5-$C$4)),$C$6-SQRT((1-D994)*($C$6-$C$4)*($C$6-$C$5)))</f>
        <v>8.94981404147776</v>
      </c>
    </row>
    <row r="995" customFormat="false" ht="15" hidden="false" customHeight="false" outlineLevel="0" collapsed="false">
      <c r="B995" s="0" t="n">
        <v>979</v>
      </c>
      <c r="C995" s="0" t="n">
        <f aca="true">RAND()</f>
        <v>0.333590757755348</v>
      </c>
      <c r="D995" s="0" t="n">
        <f aca="true">RAND()</f>
        <v>0.0335381821927443</v>
      </c>
      <c r="E995" s="0" t="n">
        <f aca="false">IF(C995&lt;=$C$10,1,2)</f>
        <v>1</v>
      </c>
      <c r="F995" s="0" t="n">
        <f aca="false">IF(E995=1,$C$4+SQRT(D995*($C$6-$C$4)*($C$5-$C$4)),$C$6-SQRT((1-D995)*($C$6-$C$4)*($C$6-$C$5)))</f>
        <v>8.25899105078263</v>
      </c>
    </row>
    <row r="996" customFormat="false" ht="15" hidden="false" customHeight="false" outlineLevel="0" collapsed="false">
      <c r="B996" s="0" t="n">
        <v>980</v>
      </c>
      <c r="C996" s="0" t="n">
        <f aca="true">RAND()</f>
        <v>0.286572915237457</v>
      </c>
      <c r="D996" s="0" t="n">
        <f aca="true">RAND()</f>
        <v>0.794362073060643</v>
      </c>
      <c r="E996" s="0" t="n">
        <f aca="false">IF(C996&lt;=$C$10,1,2)</f>
        <v>1</v>
      </c>
      <c r="F996" s="0" t="n">
        <f aca="false">IF(E996=1,$C$4+SQRT(D996*($C$6-$C$4)*($C$5-$C$4)),$C$6-SQRT((1-D996)*($C$6-$C$4)*($C$6-$C$5)))</f>
        <v>9.26044601079193</v>
      </c>
    </row>
    <row r="997" customFormat="false" ht="15" hidden="false" customHeight="false" outlineLevel="0" collapsed="false">
      <c r="B997" s="0" t="n">
        <v>981</v>
      </c>
      <c r="C997" s="0" t="n">
        <f aca="true">RAND()</f>
        <v>0.282654070338482</v>
      </c>
      <c r="D997" s="0" t="n">
        <f aca="true">RAND()</f>
        <v>0.50218097252541</v>
      </c>
      <c r="E997" s="0" t="n">
        <f aca="false">IF(C997&lt;=$C$10,1,2)</f>
        <v>1</v>
      </c>
      <c r="F997" s="0" t="n">
        <f aca="false">IF(E997=1,$C$4+SQRT(D997*($C$6-$C$4)*($C$5-$C$4)),$C$6-SQRT((1-D997)*($C$6-$C$4)*($C$6-$C$5)))</f>
        <v>9.00217859937779</v>
      </c>
    </row>
    <row r="998" customFormat="false" ht="15" hidden="false" customHeight="false" outlineLevel="0" collapsed="false">
      <c r="B998" s="0" t="n">
        <v>982</v>
      </c>
      <c r="C998" s="0" t="n">
        <f aca="true">RAND()</f>
        <v>0.296428027364488</v>
      </c>
      <c r="D998" s="0" t="n">
        <f aca="true">RAND()</f>
        <v>0.787704447018188</v>
      </c>
      <c r="E998" s="0" t="n">
        <f aca="false">IF(C998&lt;=$C$10,1,2)</f>
        <v>1</v>
      </c>
      <c r="F998" s="0" t="n">
        <f aca="false">IF(E998=1,$C$4+SQRT(D998*($C$6-$C$4)*($C$5-$C$4)),$C$6-SQRT((1-D998)*($C$6-$C$4)*($C$6-$C$5)))</f>
        <v>9.25515293651267</v>
      </c>
    </row>
    <row r="999" customFormat="false" ht="15" hidden="false" customHeight="false" outlineLevel="0" collapsed="false">
      <c r="B999" s="0" t="n">
        <v>983</v>
      </c>
      <c r="C999" s="0" t="n">
        <f aca="true">RAND()</f>
        <v>0.755313629906084</v>
      </c>
      <c r="D999" s="0" t="n">
        <f aca="true">RAND()</f>
        <v>0.0806705890742907</v>
      </c>
      <c r="E999" s="0" t="n">
        <f aca="false">IF(C999&lt;=$C$10,1,2)</f>
        <v>2</v>
      </c>
      <c r="F999" s="0" t="n">
        <f aca="false">IF(E999=1,$C$4+SQRT(D999*($C$6-$C$4)*($C$5-$C$4)),$C$6-SQRT((1-D999)*($C$6-$C$4)*($C$6-$C$5)))</f>
        <v>8.64402845831802</v>
      </c>
    </row>
    <row r="1000" customFormat="false" ht="15" hidden="false" customHeight="false" outlineLevel="0" collapsed="false">
      <c r="B1000" s="0" t="n">
        <v>984</v>
      </c>
      <c r="C1000" s="0" t="n">
        <f aca="true">RAND()</f>
        <v>0.763750547323565</v>
      </c>
      <c r="D1000" s="0" t="n">
        <f aca="true">RAND()</f>
        <v>0.455798881917765</v>
      </c>
      <c r="E1000" s="0" t="n">
        <f aca="false">IF(C1000&lt;=$C$10,1,2)</f>
        <v>2</v>
      </c>
      <c r="F1000" s="0" t="n">
        <f aca="false">IF(E1000=1,$C$4+SQRT(D1000*($C$6-$C$4)*($C$5-$C$4)),$C$6-SQRT((1-D1000)*($C$6-$C$4)*($C$6-$C$5)))</f>
        <v>8.95673481982553</v>
      </c>
    </row>
    <row r="1001" customFormat="false" ht="15" hidden="false" customHeight="false" outlineLevel="0" collapsed="false">
      <c r="B1001" s="0" t="n">
        <v>985</v>
      </c>
      <c r="C1001" s="0" t="n">
        <f aca="true">RAND()</f>
        <v>0.707639938188629</v>
      </c>
      <c r="D1001" s="0" t="n">
        <f aca="true">RAND()</f>
        <v>0.452946913777514</v>
      </c>
      <c r="E1001" s="0" t="n">
        <f aca="false">IF(C1001&lt;=$C$10,1,2)</f>
        <v>2</v>
      </c>
      <c r="F1001" s="0" t="n">
        <f aca="false">IF(E1001=1,$C$4+SQRT(D1001*($C$6-$C$4)*($C$5-$C$4)),$C$6-SQRT((1-D1001)*($C$6-$C$4)*($C$6-$C$5)))</f>
        <v>8.9540046976946</v>
      </c>
    </row>
    <row r="1002" customFormat="false" ht="15" hidden="false" customHeight="false" outlineLevel="0" collapsed="false">
      <c r="B1002" s="0" t="n">
        <v>986</v>
      </c>
      <c r="C1002" s="0" t="n">
        <f aca="true">RAND()</f>
        <v>0.669329332557068</v>
      </c>
      <c r="D1002" s="0" t="n">
        <f aca="true">RAND()</f>
        <v>0.141664095489254</v>
      </c>
      <c r="E1002" s="0" t="n">
        <f aca="false">IF(C1002&lt;=$C$10,1,2)</f>
        <v>2</v>
      </c>
      <c r="F1002" s="0" t="n">
        <f aca="false">IF(E1002=1,$C$4+SQRT(D1002*($C$6-$C$4)*($C$5-$C$4)),$C$6-SQRT((1-D1002)*($C$6-$C$4)*($C$6-$C$5)))</f>
        <v>8.68978177045902</v>
      </c>
    </row>
    <row r="1003" customFormat="false" ht="15" hidden="false" customHeight="false" outlineLevel="0" collapsed="false">
      <c r="B1003" s="0" t="n">
        <v>987</v>
      </c>
      <c r="C1003" s="0" t="n">
        <f aca="true">RAND()</f>
        <v>0.403662767068835</v>
      </c>
      <c r="D1003" s="0" t="n">
        <f aca="true">RAND()</f>
        <v>0.241196978903506</v>
      </c>
      <c r="E1003" s="0" t="n">
        <f aca="false">IF(C1003&lt;=$C$10,1,2)</f>
        <v>1</v>
      </c>
      <c r="F1003" s="0" t="n">
        <f aca="false">IF(E1003=1,$C$4+SQRT(D1003*($C$6-$C$4)*($C$5-$C$4)),$C$6-SQRT((1-D1003)*($C$6-$C$4)*($C$6-$C$5)))</f>
        <v>8.69454586443734</v>
      </c>
    </row>
    <row r="1004" customFormat="false" ht="15" hidden="false" customHeight="false" outlineLevel="0" collapsed="false">
      <c r="B1004" s="0" t="n">
        <v>988</v>
      </c>
      <c r="C1004" s="0" t="n">
        <f aca="true">RAND()</f>
        <v>0.169756557641607</v>
      </c>
      <c r="D1004" s="0" t="n">
        <f aca="true">RAND()</f>
        <v>0.660488773317438</v>
      </c>
      <c r="E1004" s="0" t="n">
        <f aca="false">IF(C1004&lt;=$C$10,1,2)</f>
        <v>1</v>
      </c>
      <c r="F1004" s="0" t="n">
        <f aca="false">IF(E1004=1,$C$4+SQRT(D1004*($C$6-$C$4)*($C$5-$C$4)),$C$6-SQRT((1-D1004)*($C$6-$C$4)*($C$6-$C$5)))</f>
        <v>9.14933787314039</v>
      </c>
    </row>
    <row r="1005" customFormat="false" ht="15" hidden="false" customHeight="false" outlineLevel="0" collapsed="false">
      <c r="B1005" s="0" t="n">
        <v>989</v>
      </c>
      <c r="C1005" s="0" t="n">
        <f aca="true">RAND()</f>
        <v>0.65320041970449</v>
      </c>
      <c r="D1005" s="0" t="n">
        <f aca="true">RAND()</f>
        <v>0.725103668610859</v>
      </c>
      <c r="E1005" s="0" t="n">
        <f aca="false">IF(C1005&lt;=$C$10,1,2)</f>
        <v>2</v>
      </c>
      <c r="F1005" s="0" t="n">
        <f aca="false">IF(E1005=1,$C$4+SQRT(D1005*($C$6-$C$4)*($C$5-$C$4)),$C$6-SQRT((1-D1005)*($C$6-$C$4)*($C$6-$C$5)))</f>
        <v>9.25851995119337</v>
      </c>
    </row>
    <row r="1006" customFormat="false" ht="15" hidden="false" customHeight="false" outlineLevel="0" collapsed="false">
      <c r="B1006" s="0" t="n">
        <v>990</v>
      </c>
      <c r="C1006" s="0" t="n">
        <f aca="true">RAND()</f>
        <v>0.904863813553331</v>
      </c>
      <c r="D1006" s="0" t="n">
        <f aca="true">RAND()</f>
        <v>0.407872868024046</v>
      </c>
      <c r="E1006" s="0" t="n">
        <f aca="false">IF(C1006&lt;=$C$10,1,2)</f>
        <v>2</v>
      </c>
      <c r="F1006" s="0" t="n">
        <f aca="false">IF(E1006=1,$C$4+SQRT(D1006*($C$6-$C$4)*($C$5-$C$4)),$C$6-SQRT((1-D1006)*($C$6-$C$4)*($C$6-$C$5)))</f>
        <v>8.91176552896359</v>
      </c>
    </row>
    <row r="1007" customFormat="false" ht="15" hidden="false" customHeight="false" outlineLevel="0" collapsed="false">
      <c r="B1007" s="0" t="n">
        <v>991</v>
      </c>
      <c r="C1007" s="0" t="n">
        <f aca="true">RAND()</f>
        <v>0.472860036562024</v>
      </c>
      <c r="D1007" s="0" t="n">
        <f aca="true">RAND()</f>
        <v>0.271820023498015</v>
      </c>
      <c r="E1007" s="0" t="n">
        <f aca="false">IF(C1007&lt;=$C$10,1,2)</f>
        <v>1</v>
      </c>
      <c r="F1007" s="0" t="n">
        <f aca="false">IF(E1007=1,$C$4+SQRT(D1007*($C$6-$C$4)*($C$5-$C$4)),$C$6-SQRT((1-D1007)*($C$6-$C$4)*($C$6-$C$5)))</f>
        <v>8.73731950129915</v>
      </c>
    </row>
    <row r="1008" customFormat="false" ht="15" hidden="false" customHeight="false" outlineLevel="0" collapsed="false">
      <c r="B1008" s="0" t="n">
        <v>992</v>
      </c>
      <c r="C1008" s="0" t="n">
        <f aca="true">RAND()</f>
        <v>0.503303741454904</v>
      </c>
      <c r="D1008" s="0" t="n">
        <f aca="true">RAND()</f>
        <v>0.453992988576335</v>
      </c>
      <c r="E1008" s="0" t="n">
        <f aca="false">IF(C1008&lt;=$C$10,1,2)</f>
        <v>2</v>
      </c>
      <c r="F1008" s="0" t="n">
        <f aca="false">IF(E1008=1,$C$4+SQRT(D1008*($C$6-$C$4)*($C$5-$C$4)),$C$6-SQRT((1-D1008)*($C$6-$C$4)*($C$6-$C$5)))</f>
        <v>8.95500525223936</v>
      </c>
    </row>
    <row r="1009" customFormat="false" ht="15" hidden="false" customHeight="false" outlineLevel="0" collapsed="false">
      <c r="B1009" s="0" t="n">
        <v>993</v>
      </c>
      <c r="C1009" s="0" t="n">
        <f aca="true">RAND()</f>
        <v>0.679058182910294</v>
      </c>
      <c r="D1009" s="0" t="n">
        <f aca="true">RAND()</f>
        <v>0.517784520034611</v>
      </c>
      <c r="E1009" s="0" t="n">
        <f aca="false">IF(C1009&lt;=$C$10,1,2)</f>
        <v>2</v>
      </c>
      <c r="F1009" s="0" t="n">
        <f aca="false">IF(E1009=1,$C$4+SQRT(D1009*($C$6-$C$4)*($C$5-$C$4)),$C$6-SQRT((1-D1009)*($C$6-$C$4)*($C$6-$C$5)))</f>
        <v>9.01794554126017</v>
      </c>
    </row>
    <row r="1010" customFormat="false" ht="15" hidden="false" customHeight="false" outlineLevel="0" collapsed="false">
      <c r="B1010" s="0" t="n">
        <v>994</v>
      </c>
      <c r="C1010" s="0" t="n">
        <f aca="true">RAND()</f>
        <v>0.147682512155181</v>
      </c>
      <c r="D1010" s="0" t="n">
        <f aca="true">RAND()</f>
        <v>0.54787415313492</v>
      </c>
      <c r="E1010" s="0" t="n">
        <f aca="false">IF(C1010&lt;=$C$10,1,2)</f>
        <v>1</v>
      </c>
      <c r="F1010" s="0" t="n">
        <f aca="false">IF(E1010=1,$C$4+SQRT(D1010*($C$6-$C$4)*($C$5-$C$4)),$C$6-SQRT((1-D1010)*($C$6-$C$4)*($C$6-$C$5)))</f>
        <v>9.0467799703232</v>
      </c>
    </row>
    <row r="1011" customFormat="false" ht="15" hidden="false" customHeight="false" outlineLevel="0" collapsed="false">
      <c r="B1011" s="0" t="n">
        <v>995</v>
      </c>
      <c r="C1011" s="0" t="n">
        <f aca="true">RAND()</f>
        <v>0.0346777206472887</v>
      </c>
      <c r="D1011" s="0" t="n">
        <f aca="true">RAND()</f>
        <v>0.184449592932063</v>
      </c>
      <c r="E1011" s="0" t="n">
        <f aca="false">IF(C1011&lt;=$C$10,1,2)</f>
        <v>1</v>
      </c>
      <c r="F1011" s="0" t="n">
        <f aca="false">IF(E1011=1,$C$4+SQRT(D1011*($C$6-$C$4)*($C$5-$C$4)),$C$6-SQRT((1-D1011)*($C$6-$C$4)*($C$6-$C$5)))</f>
        <v>8.60737071534947</v>
      </c>
    </row>
    <row r="1012" customFormat="false" ht="15" hidden="false" customHeight="false" outlineLevel="0" collapsed="false">
      <c r="B1012" s="0" t="n">
        <v>996</v>
      </c>
      <c r="C1012" s="0" t="n">
        <f aca="true">RAND()</f>
        <v>0.442918151291362</v>
      </c>
      <c r="D1012" s="0" t="n">
        <f aca="true">RAND()</f>
        <v>0.00877954838292991</v>
      </c>
      <c r="E1012" s="0" t="n">
        <f aca="false">IF(C1012&lt;=$C$10,1,2)</f>
        <v>1</v>
      </c>
      <c r="F1012" s="0" t="n">
        <f aca="false">IF(E1012=1,$C$4+SQRT(D1012*($C$6-$C$4)*($C$5-$C$4)),$C$6-SQRT((1-D1012)*($C$6-$C$4)*($C$6-$C$5)))</f>
        <v>8.13251074207724</v>
      </c>
    </row>
    <row r="1013" customFormat="false" ht="15" hidden="false" customHeight="false" outlineLevel="0" collapsed="false">
      <c r="B1013" s="0" t="n">
        <v>997</v>
      </c>
      <c r="C1013" s="0" t="n">
        <f aca="true">RAND()</f>
        <v>0.164242781291967</v>
      </c>
      <c r="D1013" s="0" t="n">
        <f aca="true">RAND()</f>
        <v>0.382460260262363</v>
      </c>
      <c r="E1013" s="0" t="n">
        <f aca="false">IF(C1013&lt;=$C$10,1,2)</f>
        <v>1</v>
      </c>
      <c r="F1013" s="0" t="n">
        <f aca="false">IF(E1013=1,$C$4+SQRT(D1013*($C$6-$C$4)*($C$5-$C$4)),$C$6-SQRT((1-D1013)*($C$6-$C$4)*($C$6-$C$5)))</f>
        <v>8.87459734765475</v>
      </c>
    </row>
    <row r="1014" customFormat="false" ht="15" hidden="false" customHeight="false" outlineLevel="0" collapsed="false">
      <c r="B1014" s="0" t="n">
        <v>998</v>
      </c>
      <c r="C1014" s="0" t="n">
        <f aca="true">RAND()</f>
        <v>0.406382687660008</v>
      </c>
      <c r="D1014" s="0" t="n">
        <f aca="true">RAND()</f>
        <v>0.959344972360753</v>
      </c>
      <c r="E1014" s="0" t="n">
        <f aca="false">IF(C1014&lt;=$C$10,1,2)</f>
        <v>1</v>
      </c>
      <c r="F1014" s="0" t="n">
        <f aca="false">IF(E1014=1,$C$4+SQRT(D1014*($C$6-$C$4)*($C$5-$C$4)),$C$6-SQRT((1-D1014)*($C$6-$C$4)*($C$6-$C$5)))</f>
        <v>9.38516783991021</v>
      </c>
    </row>
    <row r="1015" customFormat="false" ht="15" hidden="false" customHeight="false" outlineLevel="0" collapsed="false">
      <c r="B1015" s="0" t="n">
        <v>999</v>
      </c>
      <c r="C1015" s="0" t="n">
        <f aca="true">RAND()</f>
        <v>0.944922867148004</v>
      </c>
      <c r="D1015" s="0" t="n">
        <f aca="true">RAND()</f>
        <v>0.172705903191316</v>
      </c>
      <c r="E1015" s="0" t="n">
        <f aca="false">IF(C1015&lt;=$C$10,1,2)</f>
        <v>2</v>
      </c>
      <c r="F1015" s="0" t="n">
        <f aca="false">IF(E1015=1,$C$4+SQRT(D1015*($C$6-$C$4)*($C$5-$C$4)),$C$6-SQRT((1-D1015)*($C$6-$C$4)*($C$6-$C$5)))</f>
        <v>8.71369203002649</v>
      </c>
    </row>
    <row r="1016" customFormat="false" ht="15" hidden="false" customHeight="false" outlineLevel="0" collapsed="false">
      <c r="B1016" s="0" t="n">
        <v>1000</v>
      </c>
      <c r="C1016" s="0" t="n">
        <f aca="true">RAND()</f>
        <v>0.862122364865179</v>
      </c>
      <c r="D1016" s="0" t="n">
        <f aca="true">RAND()</f>
        <v>0.0993145466824571</v>
      </c>
      <c r="E1016" s="0" t="n">
        <f aca="false">IF(C1016&lt;=$C$10,1,2)</f>
        <v>2</v>
      </c>
      <c r="F1016" s="0" t="n">
        <f aca="false">IF(E1016=1,$C$4+SQRT(D1016*($C$6-$C$4)*($C$5-$C$4)),$C$6-SQRT((1-D1016)*($C$6-$C$4)*($C$6-$C$5)))</f>
        <v>8.65784840400382</v>
      </c>
    </row>
    <row r="1018" customFormat="false" ht="15" hidden="false" customHeight="false" outlineLevel="0" collapsed="false">
      <c r="B1018" s="3" t="s">
        <v>35</v>
      </c>
      <c r="C1018" s="22" t="n">
        <f aca="false">AVERAGE(F17:F1016)</f>
        <v>8.97927978233543</v>
      </c>
    </row>
    <row r="1019" customFormat="false" ht="15" hidden="false" customHeight="false" outlineLevel="0" collapsed="false">
      <c r="B1019" s="3" t="s">
        <v>36</v>
      </c>
      <c r="C1019" s="22" t="n">
        <f aca="false">MIN(F17:F1016)</f>
        <v>8.00946876972258</v>
      </c>
    </row>
    <row r="1020" customFormat="false" ht="15" hidden="false" customHeight="false" outlineLevel="0" collapsed="false">
      <c r="B1020" s="3" t="s">
        <v>37</v>
      </c>
      <c r="C1020" s="22" t="n">
        <f aca="false">MAX(F17:F1016)</f>
        <v>9.85270806657769</v>
      </c>
    </row>
    <row r="1023" customFormat="false" ht="15" hidden="false" customHeight="false" outlineLevel="0" collapsed="false">
      <c r="B1023" s="3" t="s">
        <v>55</v>
      </c>
    </row>
    <row r="1024" customFormat="false" ht="15" hidden="false" customHeight="false" outlineLevel="0" collapsed="false">
      <c r="B1024" s="23" t="s">
        <v>40</v>
      </c>
      <c r="C1024" s="23" t="s">
        <v>41</v>
      </c>
      <c r="D1024" s="23" t="s">
        <v>42</v>
      </c>
      <c r="E1024" s="23" t="s">
        <v>43</v>
      </c>
      <c r="F1024" s="23" t="s">
        <v>44</v>
      </c>
      <c r="G1024" s="23" t="s">
        <v>45</v>
      </c>
      <c r="H1024" s="23" t="s">
        <v>46</v>
      </c>
    </row>
    <row r="1025" customFormat="false" ht="15" hidden="false" customHeight="false" outlineLevel="0" collapsed="false">
      <c r="B1025" s="24" t="n">
        <v>1</v>
      </c>
      <c r="C1025" s="24" t="n">
        <f aca="false">$C$4+(($C$6-$C$4)/20)*0</f>
        <v>8</v>
      </c>
      <c r="D1025" s="24" t="n">
        <f aca="false">$C$4+(($C$6-$C$4)/20)*1</f>
        <v>8.1</v>
      </c>
      <c r="E1025" s="24" t="n">
        <f aca="false">(C1025+D1025)/2</f>
        <v>8.05</v>
      </c>
      <c r="F1025" s="24" t="n">
        <f aca="false">COUNTIFS($F$17:$F$1016,"&gt;="&amp;C1025,$F$17:$F$1016,"&lt;"&amp;D1025)</f>
        <v>3</v>
      </c>
      <c r="G1025" s="24" t="n">
        <f aca="false">F1025/($C$7*(D1025-C1025))</f>
        <v>0.0300000000000001</v>
      </c>
      <c r="H1025" s="24" t="n">
        <f aca="false">IF(E1025&lt;=$C$5,2*(E1025-$C$4)/(($C$6-$C$4)*($C$5-$C$4)),2*($C$6-E1025)/(($C$6-$C$4)*($C$6-$C$5)))</f>
        <v>0.0500000000000007</v>
      </c>
    </row>
    <row r="1026" customFormat="false" ht="15" hidden="false" customHeight="false" outlineLevel="0" collapsed="false">
      <c r="B1026" s="24" t="n">
        <v>2</v>
      </c>
      <c r="C1026" s="24" t="n">
        <f aca="false">$C$4+(($C$6-$C$4)/20)*1</f>
        <v>8.1</v>
      </c>
      <c r="D1026" s="24" t="n">
        <f aca="false">$C$4+(($C$6-$C$4)/20)*2</f>
        <v>8.2</v>
      </c>
      <c r="E1026" s="24" t="n">
        <f aca="false">(C1026+D1026)/2</f>
        <v>8.15</v>
      </c>
      <c r="F1026" s="24" t="n">
        <f aca="false">COUNTIFS($F$17:$F$1016,"&gt;="&amp;C1026,$F$17:$F$1016,"&lt;"&amp;D1026)</f>
        <v>10</v>
      </c>
      <c r="G1026" s="24" t="n">
        <f aca="false">F1026/($C$7*(D1026-C1026))</f>
        <v>0.1</v>
      </c>
      <c r="H1026" s="24" t="n">
        <f aca="false">IF(E1026&lt;=$C$5,2*(E1026-$C$4)/(($C$6-$C$4)*($C$5-$C$4)),2*($C$6-E1026)/(($C$6-$C$4)*($C$6-$C$5)))</f>
        <v>0.149999999999999</v>
      </c>
    </row>
    <row r="1027" customFormat="false" ht="15" hidden="false" customHeight="false" outlineLevel="0" collapsed="false">
      <c r="B1027" s="24" t="n">
        <v>3</v>
      </c>
      <c r="C1027" s="24" t="n">
        <f aca="false">$C$4+(($C$6-$C$4)/20)*2</f>
        <v>8.2</v>
      </c>
      <c r="D1027" s="24" t="n">
        <f aca="false">$C$4+(($C$6-$C$4)/20)*3</f>
        <v>8.3</v>
      </c>
      <c r="E1027" s="24" t="n">
        <f aca="false">(C1027+D1027)/2</f>
        <v>8.25</v>
      </c>
      <c r="F1027" s="24" t="n">
        <f aca="false">COUNTIFS($F$17:$F$1016,"&gt;="&amp;C1027,$F$17:$F$1016,"&lt;"&amp;D1027)</f>
        <v>16</v>
      </c>
      <c r="G1027" s="24" t="n">
        <f aca="false">F1027/($C$7*(D1027-C1027))</f>
        <v>0.159999999999998</v>
      </c>
      <c r="H1027" s="24" t="n">
        <f aca="false">IF(E1027&lt;=$C$5,2*(E1027-$C$4)/(($C$6-$C$4)*($C$5-$C$4)),2*($C$6-E1027)/(($C$6-$C$4)*($C$6-$C$5)))</f>
        <v>0.25</v>
      </c>
    </row>
    <row r="1028" customFormat="false" ht="15" hidden="false" customHeight="false" outlineLevel="0" collapsed="false">
      <c r="B1028" s="24" t="n">
        <v>4</v>
      </c>
      <c r="C1028" s="24" t="n">
        <f aca="false">$C$4+(($C$6-$C$4)/20)*3</f>
        <v>8.3</v>
      </c>
      <c r="D1028" s="24" t="n">
        <f aca="false">$C$4+(($C$6-$C$4)/20)*4</f>
        <v>8.4</v>
      </c>
      <c r="E1028" s="24" t="n">
        <f aca="false">(C1028+D1028)/2</f>
        <v>8.35</v>
      </c>
      <c r="F1028" s="24" t="n">
        <f aca="false">COUNTIFS($F$17:$F$1016,"&gt;="&amp;C1028,$F$17:$F$1016,"&lt;"&amp;D1028)</f>
        <v>14</v>
      </c>
      <c r="G1028" s="24" t="n">
        <f aca="false">F1028/($C$7*(D1028-C1028))</f>
        <v>0.14</v>
      </c>
      <c r="H1028" s="24" t="n">
        <f aca="false">IF(E1028&lt;=$C$5,2*(E1028-$C$4)/(($C$6-$C$4)*($C$5-$C$4)),2*($C$6-E1028)/(($C$6-$C$4)*($C$6-$C$5)))</f>
        <v>0.350000000000001</v>
      </c>
    </row>
    <row r="1029" customFormat="false" ht="15" hidden="false" customHeight="false" outlineLevel="0" collapsed="false">
      <c r="B1029" s="24" t="n">
        <v>5</v>
      </c>
      <c r="C1029" s="24" t="n">
        <f aca="false">$C$4+(($C$6-$C$4)/20)*4</f>
        <v>8.4</v>
      </c>
      <c r="D1029" s="24" t="n">
        <f aca="false">$C$4+(($C$6-$C$4)/20)*5</f>
        <v>8.5</v>
      </c>
      <c r="E1029" s="24" t="n">
        <f aca="false">(C1029+D1029)/2</f>
        <v>8.45</v>
      </c>
      <c r="F1029" s="24" t="n">
        <f aca="false">COUNTIFS($F$17:$F$1016,"&gt;="&amp;C1029,$F$17:$F$1016,"&lt;"&amp;D1029)</f>
        <v>24</v>
      </c>
      <c r="G1029" s="24" t="n">
        <f aca="false">F1029/($C$7*(D1029-C1029))</f>
        <v>0.240000000000001</v>
      </c>
      <c r="H1029" s="24" t="n">
        <f aca="false">IF(E1029&lt;=$C$5,2*(E1029-$C$4)/(($C$6-$C$4)*($C$5-$C$4)),2*($C$6-E1029)/(($C$6-$C$4)*($C$6-$C$5)))</f>
        <v>0.449999999999999</v>
      </c>
    </row>
    <row r="1030" customFormat="false" ht="15" hidden="false" customHeight="false" outlineLevel="0" collapsed="false">
      <c r="B1030" s="24" t="n">
        <v>6</v>
      </c>
      <c r="C1030" s="24" t="n">
        <f aca="false">$C$4+(($C$6-$C$4)/20)*5</f>
        <v>8.5</v>
      </c>
      <c r="D1030" s="24" t="n">
        <f aca="false">$C$4+(($C$6-$C$4)/20)*6</f>
        <v>8.6</v>
      </c>
      <c r="E1030" s="24" t="n">
        <f aca="false">(C1030+D1030)/2</f>
        <v>8.55</v>
      </c>
      <c r="F1030" s="24" t="n">
        <f aca="false">COUNTIFS($F$17:$F$1016,"&gt;="&amp;C1030,$F$17:$F$1016,"&lt;"&amp;D1030)</f>
        <v>37</v>
      </c>
      <c r="G1030" s="24" t="n">
        <f aca="false">F1030/($C$7*(D1030-C1030))</f>
        <v>0.370000000000001</v>
      </c>
      <c r="H1030" s="24" t="n">
        <f aca="false">IF(E1030&lt;=$C$5,2*(E1030-$C$4)/(($C$6-$C$4)*($C$5-$C$4)),2*($C$6-E1030)/(($C$6-$C$4)*($C$6-$C$5)))</f>
        <v>0.550000000000001</v>
      </c>
    </row>
    <row r="1031" customFormat="false" ht="15" hidden="false" customHeight="false" outlineLevel="0" collapsed="false">
      <c r="B1031" s="24" t="n">
        <v>7</v>
      </c>
      <c r="C1031" s="24" t="n">
        <f aca="false">$C$4+(($C$6-$C$4)/20)*6</f>
        <v>8.6</v>
      </c>
      <c r="D1031" s="24" t="n">
        <f aca="false">$C$4+(($C$6-$C$4)/20)*7</f>
        <v>8.7</v>
      </c>
      <c r="E1031" s="24" t="n">
        <f aca="false">(C1031+D1031)/2</f>
        <v>8.65</v>
      </c>
      <c r="F1031" s="24" t="n">
        <f aca="false">COUNTIFS($F$17:$F$1016,"&gt;="&amp;C1031,$F$17:$F$1016,"&lt;"&amp;D1031)</f>
        <v>107</v>
      </c>
      <c r="G1031" s="24" t="n">
        <f aca="false">F1031/($C$7*(D1031-C1031))</f>
        <v>1.07</v>
      </c>
      <c r="H1031" s="24" t="n">
        <f aca="false">IF(E1031&lt;=$C$5,2*(E1031-$C$4)/(($C$6-$C$4)*($C$5-$C$4)),2*($C$6-E1031)/(($C$6-$C$4)*($C$6-$C$5)))</f>
        <v>0.649999999999999</v>
      </c>
    </row>
    <row r="1032" customFormat="false" ht="15" hidden="false" customHeight="false" outlineLevel="0" collapsed="false">
      <c r="B1032" s="24" t="n">
        <v>8</v>
      </c>
      <c r="C1032" s="24" t="n">
        <f aca="false">$C$4+(($C$6-$C$4)/20)*7</f>
        <v>8.7</v>
      </c>
      <c r="D1032" s="24" t="n">
        <f aca="false">$C$4+(($C$6-$C$4)/20)*8</f>
        <v>8.8</v>
      </c>
      <c r="E1032" s="24" t="n">
        <f aca="false">(C1032+D1032)/2</f>
        <v>8.75</v>
      </c>
      <c r="F1032" s="24" t="n">
        <f aca="false">COUNTIFS($F$17:$F$1016,"&gt;="&amp;C1032,$F$17:$F$1016,"&lt;"&amp;D1032)</f>
        <v>111</v>
      </c>
      <c r="G1032" s="24" t="n">
        <f aca="false">F1032/($C$7*(D1032-C1032))</f>
        <v>1.10999999999998</v>
      </c>
      <c r="H1032" s="24" t="n">
        <f aca="false">IF(E1032&lt;=$C$5,2*(E1032-$C$4)/(($C$6-$C$4)*($C$5-$C$4)),2*($C$6-E1032)/(($C$6-$C$4)*($C$6-$C$5)))</f>
        <v>0.75</v>
      </c>
    </row>
    <row r="1033" customFormat="false" ht="15" hidden="false" customHeight="false" outlineLevel="0" collapsed="false">
      <c r="B1033" s="24" t="n">
        <v>9</v>
      </c>
      <c r="C1033" s="24" t="n">
        <f aca="false">$C$4+(($C$6-$C$4)/20)*8</f>
        <v>8.8</v>
      </c>
      <c r="D1033" s="24" t="n">
        <f aca="false">$C$4+(($C$6-$C$4)/20)*9</f>
        <v>8.9</v>
      </c>
      <c r="E1033" s="24" t="n">
        <f aca="false">(C1033+D1033)/2</f>
        <v>8.85</v>
      </c>
      <c r="F1033" s="24" t="n">
        <f aca="false">COUNTIFS($F$17:$F$1016,"&gt;="&amp;C1033,$F$17:$F$1016,"&lt;"&amp;D1033)</f>
        <v>101</v>
      </c>
      <c r="G1033" s="24" t="n">
        <f aca="false">F1033/($C$7*(D1033-C1033))</f>
        <v>1.01</v>
      </c>
      <c r="H1033" s="24" t="n">
        <f aca="false">IF(E1033&lt;=$C$5,2*(E1033-$C$4)/(($C$6-$C$4)*($C$5-$C$4)),2*($C$6-E1033)/(($C$6-$C$4)*($C$6-$C$5)))</f>
        <v>0.850000000000001</v>
      </c>
    </row>
    <row r="1034" customFormat="false" ht="15" hidden="false" customHeight="false" outlineLevel="0" collapsed="false">
      <c r="B1034" s="24" t="n">
        <v>10</v>
      </c>
      <c r="C1034" s="24" t="n">
        <f aca="false">$C$4+(($C$6-$C$4)/20)*9</f>
        <v>8.9</v>
      </c>
      <c r="D1034" s="24" t="n">
        <f aca="false">$C$4+(($C$6-$C$4)/20)*10</f>
        <v>9</v>
      </c>
      <c r="E1034" s="24" t="n">
        <f aca="false">(C1034+D1034)/2</f>
        <v>8.95</v>
      </c>
      <c r="F1034" s="24" t="n">
        <f aca="false">COUNTIFS($F$17:$F$1016,"&gt;="&amp;C1034,$F$17:$F$1016,"&lt;"&amp;D1034)</f>
        <v>104</v>
      </c>
      <c r="G1034" s="24" t="n">
        <f aca="false">F1034/($C$7*(D1034-C1034))</f>
        <v>1.04</v>
      </c>
      <c r="H1034" s="24" t="n">
        <f aca="false">IF(E1034&lt;=$C$5,2*(E1034-$C$4)/(($C$6-$C$4)*($C$5-$C$4)),2*($C$6-E1034)/(($C$6-$C$4)*($C$6-$C$5)))</f>
        <v>0.949999999999999</v>
      </c>
    </row>
    <row r="1035" customFormat="false" ht="15" hidden="false" customHeight="false" outlineLevel="0" collapsed="false">
      <c r="B1035" s="24" t="n">
        <v>11</v>
      </c>
      <c r="C1035" s="24" t="n">
        <f aca="false">$C$4+(($C$6-$C$4)/20)*10</f>
        <v>9</v>
      </c>
      <c r="D1035" s="24" t="n">
        <f aca="false">$C$4+(($C$6-$C$4)/20)*11</f>
        <v>9.1</v>
      </c>
      <c r="E1035" s="24" t="n">
        <f aca="false">(C1035+D1035)/2</f>
        <v>9.05</v>
      </c>
      <c r="F1035" s="24" t="n">
        <f aca="false">COUNTIFS($F$17:$F$1016,"&gt;="&amp;C1035,$F$17:$F$1016,"&lt;"&amp;D1035)</f>
        <v>112</v>
      </c>
      <c r="G1035" s="24" t="n">
        <f aca="false">F1035/($C$7*(D1035-C1035))</f>
        <v>1.12</v>
      </c>
      <c r="H1035" s="24" t="n">
        <f aca="false">IF(E1035&lt;=$C$5,2*(E1035-$C$4)/(($C$6-$C$4)*($C$5-$C$4)),2*($C$6-E1035)/(($C$6-$C$4)*($C$6-$C$5)))</f>
        <v>0.949999999999999</v>
      </c>
    </row>
    <row r="1036" customFormat="false" ht="15" hidden="false" customHeight="false" outlineLevel="0" collapsed="false">
      <c r="B1036" s="24" t="n">
        <v>12</v>
      </c>
      <c r="C1036" s="24" t="n">
        <f aca="false">$C$4+(($C$6-$C$4)/20)*11</f>
        <v>9.1</v>
      </c>
      <c r="D1036" s="24" t="n">
        <f aca="false">$C$4+(($C$6-$C$4)/20)*12</f>
        <v>9.2</v>
      </c>
      <c r="E1036" s="24" t="n">
        <f aca="false">(C1036+D1036)/2</f>
        <v>9.15</v>
      </c>
      <c r="F1036" s="24" t="n">
        <f aca="false">COUNTIFS($F$17:$F$1016,"&gt;="&amp;C1036,$F$17:$F$1016,"&lt;"&amp;D1036)</f>
        <v>79</v>
      </c>
      <c r="G1036" s="24" t="n">
        <f aca="false">F1036/($C$7*(D1036-C1036))</f>
        <v>0.790000000000003</v>
      </c>
      <c r="H1036" s="24" t="n">
        <f aca="false">IF(E1036&lt;=$C$5,2*(E1036-$C$4)/(($C$6-$C$4)*($C$5-$C$4)),2*($C$6-E1036)/(($C$6-$C$4)*($C$6-$C$5)))</f>
        <v>0.850000000000001</v>
      </c>
    </row>
    <row r="1037" customFormat="false" ht="15" hidden="false" customHeight="false" outlineLevel="0" collapsed="false">
      <c r="B1037" s="24" t="n">
        <v>13</v>
      </c>
      <c r="C1037" s="24" t="n">
        <f aca="false">$C$4+(($C$6-$C$4)/20)*12</f>
        <v>9.2</v>
      </c>
      <c r="D1037" s="24" t="n">
        <f aca="false">$C$4+(($C$6-$C$4)/20)*13</f>
        <v>9.3</v>
      </c>
      <c r="E1037" s="24" t="n">
        <f aca="false">(C1037+D1037)/2</f>
        <v>9.25</v>
      </c>
      <c r="F1037" s="24" t="n">
        <f aca="false">COUNTIFS($F$17:$F$1016,"&gt;="&amp;C1037,$F$17:$F$1016,"&lt;"&amp;D1037)</f>
        <v>102</v>
      </c>
      <c r="G1037" s="24" t="n">
        <f aca="false">F1037/($C$7*(D1037-C1037))</f>
        <v>1.01999999999999</v>
      </c>
      <c r="H1037" s="24" t="n">
        <f aca="false">IF(E1037&lt;=$C$5,2*(E1037-$C$4)/(($C$6-$C$4)*($C$5-$C$4)),2*($C$6-E1037)/(($C$6-$C$4)*($C$6-$C$5)))</f>
        <v>0.75</v>
      </c>
    </row>
    <row r="1038" customFormat="false" ht="15" hidden="false" customHeight="false" outlineLevel="0" collapsed="false">
      <c r="B1038" s="24" t="n">
        <v>14</v>
      </c>
      <c r="C1038" s="24" t="n">
        <f aca="false">$C$4+(($C$6-$C$4)/20)*13</f>
        <v>9.3</v>
      </c>
      <c r="D1038" s="24" t="n">
        <f aca="false">$C$4+(($C$6-$C$4)/20)*14</f>
        <v>9.4</v>
      </c>
      <c r="E1038" s="24" t="n">
        <f aca="false">(C1038+D1038)/2</f>
        <v>9.35</v>
      </c>
      <c r="F1038" s="24" t="n">
        <f aca="false">COUNTIFS($F$17:$F$1016,"&gt;="&amp;C1038,$F$17:$F$1016,"&lt;"&amp;D1038)</f>
        <v>93</v>
      </c>
      <c r="G1038" s="24" t="n">
        <f aca="false">F1038/($C$7*(D1038-C1038))</f>
        <v>0.930000000000003</v>
      </c>
      <c r="H1038" s="24" t="n">
        <f aca="false">IF(E1038&lt;=$C$5,2*(E1038-$C$4)/(($C$6-$C$4)*($C$5-$C$4)),2*($C$6-E1038)/(($C$6-$C$4)*($C$6-$C$5)))</f>
        <v>0.649999999999999</v>
      </c>
    </row>
    <row r="1039" customFormat="false" ht="15" hidden="false" customHeight="false" outlineLevel="0" collapsed="false">
      <c r="B1039" s="24" t="n">
        <v>15</v>
      </c>
      <c r="C1039" s="24" t="n">
        <f aca="false">$C$4+(($C$6-$C$4)/20)*14</f>
        <v>9.4</v>
      </c>
      <c r="D1039" s="24" t="n">
        <f aca="false">$C$4+(($C$6-$C$4)/20)*15</f>
        <v>9.5</v>
      </c>
      <c r="E1039" s="24" t="n">
        <f aca="false">(C1039+D1039)/2</f>
        <v>9.45</v>
      </c>
      <c r="F1039" s="24" t="n">
        <f aca="false">COUNTIFS($F$17:$F$1016,"&gt;="&amp;C1039,$F$17:$F$1016,"&lt;"&amp;D1039)</f>
        <v>38</v>
      </c>
      <c r="G1039" s="24" t="n">
        <f aca="false">F1039/($C$7*(D1039-C1039))</f>
        <v>0.380000000000001</v>
      </c>
      <c r="H1039" s="24" t="n">
        <f aca="false">IF(E1039&lt;=$C$5,2*(E1039-$C$4)/(($C$6-$C$4)*($C$5-$C$4)),2*($C$6-E1039)/(($C$6-$C$4)*($C$6-$C$5)))</f>
        <v>0.550000000000001</v>
      </c>
    </row>
    <row r="1040" customFormat="false" ht="15" hidden="false" customHeight="false" outlineLevel="0" collapsed="false">
      <c r="B1040" s="24" t="n">
        <v>16</v>
      </c>
      <c r="C1040" s="24" t="n">
        <f aca="false">$C$4+(($C$6-$C$4)/20)*15</f>
        <v>9.5</v>
      </c>
      <c r="D1040" s="24" t="n">
        <f aca="false">$C$4+(($C$6-$C$4)/20)*16</f>
        <v>9.6</v>
      </c>
      <c r="E1040" s="24" t="n">
        <f aca="false">(C1040+D1040)/2</f>
        <v>9.55</v>
      </c>
      <c r="F1040" s="24" t="n">
        <f aca="false">COUNTIFS($F$17:$F$1016,"&gt;="&amp;C1040,$F$17:$F$1016,"&lt;"&amp;D1040)</f>
        <v>15</v>
      </c>
      <c r="G1040" s="24" t="n">
        <f aca="false">F1040/($C$7*(D1040-C1040))</f>
        <v>0.150000000000001</v>
      </c>
      <c r="H1040" s="24" t="n">
        <f aca="false">IF(E1040&lt;=$C$5,2*(E1040-$C$4)/(($C$6-$C$4)*($C$5-$C$4)),2*($C$6-E1040)/(($C$6-$C$4)*($C$6-$C$5)))</f>
        <v>0.449999999999999</v>
      </c>
    </row>
    <row r="1041" customFormat="false" ht="15" hidden="false" customHeight="false" outlineLevel="0" collapsed="false">
      <c r="B1041" s="24" t="n">
        <v>17</v>
      </c>
      <c r="C1041" s="24" t="n">
        <f aca="false">$C$4+(($C$6-$C$4)/20)*16</f>
        <v>9.6</v>
      </c>
      <c r="D1041" s="24" t="n">
        <f aca="false">$C$4+(($C$6-$C$4)/20)*17</f>
        <v>9.7</v>
      </c>
      <c r="E1041" s="24" t="n">
        <f aca="false">(C1041+D1041)/2</f>
        <v>9.65</v>
      </c>
      <c r="F1041" s="24" t="n">
        <f aca="false">COUNTIFS($F$17:$F$1016,"&gt;="&amp;C1041,$F$17:$F$1016,"&lt;"&amp;D1041)</f>
        <v>16</v>
      </c>
      <c r="G1041" s="24" t="n">
        <f aca="false">F1041/($C$7*(D1041-C1041))</f>
        <v>0.160000000000001</v>
      </c>
      <c r="H1041" s="24" t="n">
        <f aca="false">IF(E1041&lt;=$C$5,2*(E1041-$C$4)/(($C$6-$C$4)*($C$5-$C$4)),2*($C$6-E1041)/(($C$6-$C$4)*($C$6-$C$5)))</f>
        <v>0.350000000000001</v>
      </c>
    </row>
    <row r="1042" customFormat="false" ht="15" hidden="false" customHeight="false" outlineLevel="0" collapsed="false">
      <c r="B1042" s="24" t="n">
        <v>18</v>
      </c>
      <c r="C1042" s="24" t="n">
        <f aca="false">$C$4+(($C$6-$C$4)/20)*17</f>
        <v>9.7</v>
      </c>
      <c r="D1042" s="24" t="n">
        <f aca="false">$C$4+(($C$6-$C$4)/20)*18</f>
        <v>9.8</v>
      </c>
      <c r="E1042" s="24" t="n">
        <f aca="false">(C1042+D1042)/2</f>
        <v>9.75</v>
      </c>
      <c r="F1042" s="24" t="n">
        <f aca="false">COUNTIFS($F$17:$F$1016,"&gt;="&amp;C1042,$F$17:$F$1016,"&lt;"&amp;D1042)</f>
        <v>9</v>
      </c>
      <c r="G1042" s="24" t="n">
        <f aca="false">F1042/($C$7*(D1042-C1042))</f>
        <v>0.0899999999999987</v>
      </c>
      <c r="H1042" s="24" t="n">
        <f aca="false">IF(E1042&lt;=$C$5,2*(E1042-$C$4)/(($C$6-$C$4)*($C$5-$C$4)),2*($C$6-E1042)/(($C$6-$C$4)*($C$6-$C$5)))</f>
        <v>0.25</v>
      </c>
    </row>
    <row r="1043" customFormat="false" ht="15" hidden="false" customHeight="false" outlineLevel="0" collapsed="false">
      <c r="B1043" s="24" t="n">
        <v>19</v>
      </c>
      <c r="C1043" s="24" t="n">
        <f aca="false">$C$4+(($C$6-$C$4)/20)*18</f>
        <v>9.8</v>
      </c>
      <c r="D1043" s="24" t="n">
        <f aca="false">$C$4+(($C$6-$C$4)/20)*19</f>
        <v>9.9</v>
      </c>
      <c r="E1043" s="24" t="n">
        <f aca="false">(C1043+D1043)/2</f>
        <v>9.85</v>
      </c>
      <c r="F1043" s="24" t="n">
        <f aca="false">COUNTIFS($F$17:$F$1016,"&gt;="&amp;C1043,$F$17:$F$1016,"&lt;"&amp;D1043)</f>
        <v>9</v>
      </c>
      <c r="G1043" s="24" t="n">
        <f aca="false">F1043/($C$7*(D1043-C1043))</f>
        <v>0.0900000000000003</v>
      </c>
      <c r="H1043" s="24" t="n">
        <f aca="false">IF(E1043&lt;=$C$5,2*(E1043-$C$4)/(($C$6-$C$4)*($C$5-$C$4)),2*($C$6-E1043)/(($C$6-$C$4)*($C$6-$C$5)))</f>
        <v>0.149999999999999</v>
      </c>
    </row>
    <row r="1044" customFormat="false" ht="15" hidden="false" customHeight="false" outlineLevel="0" collapsed="false">
      <c r="B1044" s="24" t="n">
        <v>20</v>
      </c>
      <c r="C1044" s="24" t="n">
        <f aca="false">$C$4+(($C$6-$C$4)/20)*19</f>
        <v>9.9</v>
      </c>
      <c r="D1044" s="24" t="n">
        <f aca="false">$C$4+(($C$6-$C$4)/20)*20</f>
        <v>10</v>
      </c>
      <c r="E1044" s="24" t="n">
        <f aca="false">(C1044+D1044)/2</f>
        <v>9.95</v>
      </c>
      <c r="F1044" s="24" t="n">
        <f aca="false">COUNTIFS($F$17:$F$1016,"&gt;="&amp;C1044,$F$17:$F$1016,"&lt;"&amp;D1044)</f>
        <v>0</v>
      </c>
      <c r="G1044" s="24" t="n">
        <f aca="false">F1044/($C$7*(D1044-C1044))</f>
        <v>0</v>
      </c>
      <c r="H1044" s="24" t="n">
        <f aca="false">IF(E1044&lt;=$C$5,2*(E1044-$C$4)/(($C$6-$C$4)*($C$5-$C$4)),2*($C$6-E1044)/(($C$6-$C$4)*($C$6-$C$5)))</f>
        <v>0.0500000000000007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.61"/>
    <col collapsed="false" customWidth="true" hidden="false" outlineLevel="0" max="2" min="2" style="0" width="16.48"/>
    <col collapsed="false" customWidth="true" hidden="false" outlineLevel="0" max="3" min="3" style="0" width="18.69"/>
    <col collapsed="false" customWidth="true" hidden="false" outlineLevel="0" max="4" min="4" style="0" width="17.49"/>
    <col collapsed="false" customWidth="true" hidden="false" outlineLevel="0" max="5" min="5" style="0" width="10"/>
    <col collapsed="false" customWidth="true" hidden="false" outlineLevel="0" max="6" min="6" style="0" width="18.03"/>
    <col collapsed="false" customWidth="true" hidden="false" outlineLevel="0" max="7" min="7" style="0" width="16.36"/>
    <col collapsed="false" customWidth="true" hidden="false" outlineLevel="0" max="8" min="8" style="0" width="17.59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5.25"/>
    <col collapsed="false" customWidth="true" hidden="false" outlineLevel="0" max="12" min="12" style="0" width="14.24"/>
    <col collapsed="false" customWidth="true" hidden="false" outlineLevel="0" max="13" min="13" style="0" width="15.81"/>
  </cols>
  <sheetData>
    <row r="1" customFormat="false" ht="17.35" hidden="false" customHeight="false" outlineLevel="0" collapsed="false">
      <c r="A1" s="1" t="s">
        <v>56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57</v>
      </c>
      <c r="B3" s="5" t="n">
        <v>12</v>
      </c>
      <c r="D3" s="29" t="s">
        <v>58</v>
      </c>
    </row>
    <row r="5" customFormat="false" ht="15" hidden="false" customHeight="false" outlineLevel="0" collapsed="false">
      <c r="A5" s="3" t="s">
        <v>59</v>
      </c>
      <c r="J5" s="3" t="s">
        <v>60</v>
      </c>
    </row>
    <row r="6" customFormat="false" ht="15" hidden="false" customHeight="false" outlineLevel="0" collapsed="false">
      <c r="F6" s="30" t="s">
        <v>61</v>
      </c>
      <c r="G6" s="30" t="s">
        <v>62</v>
      </c>
      <c r="H6" s="30" t="s">
        <v>63</v>
      </c>
      <c r="K6" s="30" t="s">
        <v>64</v>
      </c>
      <c r="L6" s="30" t="s">
        <v>65</v>
      </c>
      <c r="M6" s="30" t="s">
        <v>66</v>
      </c>
    </row>
    <row r="7" customFormat="false" ht="15" hidden="false" customHeight="false" outlineLevel="0" collapsed="false">
      <c r="F7" s="31" t="n">
        <v>0</v>
      </c>
      <c r="G7" s="31" t="n">
        <v>50</v>
      </c>
      <c r="H7" s="31" t="n">
        <v>55</v>
      </c>
      <c r="K7" s="31" t="n">
        <v>0</v>
      </c>
      <c r="L7" s="31" t="n">
        <v>4</v>
      </c>
      <c r="M7" s="31" t="n">
        <v>4.5</v>
      </c>
    </row>
    <row r="8" customFormat="false" ht="15" hidden="false" customHeight="false" outlineLevel="0" collapsed="false">
      <c r="F8" s="31" t="n">
        <v>0.1</v>
      </c>
      <c r="G8" s="31" t="n">
        <v>55</v>
      </c>
      <c r="H8" s="31" t="n">
        <v>60</v>
      </c>
      <c r="K8" s="31" t="n">
        <v>0.3</v>
      </c>
      <c r="L8" s="31" t="n">
        <v>4.5</v>
      </c>
      <c r="M8" s="31" t="n">
        <v>5</v>
      </c>
    </row>
    <row r="9" customFormat="false" ht="15" hidden="false" customHeight="false" outlineLevel="0" collapsed="false">
      <c r="F9" s="31" t="n">
        <v>0.25</v>
      </c>
      <c r="G9" s="31" t="n">
        <v>60</v>
      </c>
      <c r="H9" s="31" t="n">
        <v>65</v>
      </c>
      <c r="K9" s="31" t="n">
        <v>0.7</v>
      </c>
      <c r="L9" s="31" t="n">
        <v>5</v>
      </c>
      <c r="M9" s="31" t="n">
        <v>5.5</v>
      </c>
    </row>
    <row r="10" customFormat="false" ht="15" hidden="false" customHeight="false" outlineLevel="0" collapsed="false">
      <c r="F10" s="31" t="n">
        <v>0.55</v>
      </c>
      <c r="G10" s="31" t="n">
        <v>65</v>
      </c>
      <c r="H10" s="31" t="n">
        <v>70</v>
      </c>
      <c r="K10" s="31" t="n">
        <v>0.9</v>
      </c>
      <c r="L10" s="31" t="n">
        <v>5.5</v>
      </c>
      <c r="M10" s="31" t="n">
        <v>6</v>
      </c>
    </row>
    <row r="11" customFormat="false" ht="15" hidden="false" customHeight="false" outlineLevel="0" collapsed="false">
      <c r="F11" s="31" t="n">
        <v>0.9</v>
      </c>
      <c r="G11" s="31" t="n">
        <v>75</v>
      </c>
      <c r="H11" s="31" t="n">
        <v>80</v>
      </c>
    </row>
    <row r="12" customFormat="false" ht="15" hidden="false" customHeight="false" outlineLevel="0" collapsed="false">
      <c r="F12" s="31" t="n">
        <v>0.98</v>
      </c>
      <c r="G12" s="31" t="n">
        <v>80</v>
      </c>
      <c r="H12" s="31" t="n">
        <v>85</v>
      </c>
    </row>
    <row r="14" customFormat="false" ht="15" hidden="false" customHeight="false" outlineLevel="0" collapsed="false">
      <c r="A14" s="30" t="s">
        <v>67</v>
      </c>
      <c r="B14" s="30" t="s">
        <v>68</v>
      </c>
      <c r="C14" s="30" t="s">
        <v>69</v>
      </c>
      <c r="D14" s="30" t="s">
        <v>70</v>
      </c>
      <c r="E14" s="30" t="s">
        <v>71</v>
      </c>
      <c r="F14" s="30" t="s">
        <v>72</v>
      </c>
      <c r="G14" s="30" t="s">
        <v>73</v>
      </c>
      <c r="H14" s="30" t="s">
        <v>74</v>
      </c>
    </row>
    <row r="15" customFormat="false" ht="15" hidden="false" customHeight="false" outlineLevel="0" collapsed="false">
      <c r="A15" s="32" t="n">
        <v>1</v>
      </c>
      <c r="B15" s="32" t="n">
        <f aca="true">RAND()</f>
        <v>0.644375326183909</v>
      </c>
      <c r="C15" s="32" t="n">
        <f aca="true">VLOOKUP(B15,$F$7:$H$12,2,TRUE())+(RAND()*(VLOOKUP(B15,$F$7:$H$12,3,TRUE())-VLOOKUP(B15,$F$7:$H$12,2,TRUE())))</f>
        <v>68.3347844166182</v>
      </c>
      <c r="D15" s="32" t="n">
        <f aca="true">RAND()</f>
        <v>0.327805748816964</v>
      </c>
      <c r="E15" s="32" t="n">
        <f aca="true">VLOOKUP(D15,$K$7:$M$10,2,TRUE())+(RAND()*(VLOOKUP(D15,$K$7:$M$10,3,TRUE())-VLOOKUP(D15,$K$7:$M$10,2,TRUE())))</f>
        <v>4.56872676694454</v>
      </c>
      <c r="F15" s="32" t="n">
        <f aca="false">E15*$B$3</f>
        <v>54.8247212033344</v>
      </c>
      <c r="G15" s="32" t="n">
        <f aca="false">MAX(C15-F15,0)</f>
        <v>13.5100632132838</v>
      </c>
      <c r="H15" s="32" t="n">
        <f aca="false">G15*100</f>
        <v>1351.00632132838</v>
      </c>
    </row>
    <row r="16" customFormat="false" ht="15" hidden="false" customHeight="false" outlineLevel="0" collapsed="false">
      <c r="A16" s="32" t="n">
        <f aca="false">A15+1</f>
        <v>2</v>
      </c>
      <c r="B16" s="32" t="n">
        <f aca="true">RAND()</f>
        <v>0.43743870840847</v>
      </c>
      <c r="C16" s="32" t="n">
        <f aca="true">VLOOKUP(B16,$F$7:$H$12,2,TRUE())+(RAND()*(VLOOKUP(B16,$F$7:$H$12,3,TRUE())-VLOOKUP(B16,$F$7:$H$12,2,TRUE())))</f>
        <v>60.0464163916215</v>
      </c>
      <c r="D16" s="32" t="n">
        <f aca="true">RAND()</f>
        <v>0.906469662523457</v>
      </c>
      <c r="E16" s="32" t="n">
        <f aca="true">VLOOKUP(D16,$K$7:$M$10,2,TRUE())+(RAND()*(VLOOKUP(D16,$K$7:$M$10,3,TRUE())-VLOOKUP(D16,$K$7:$M$10,2,TRUE())))</f>
        <v>5.53447899157086</v>
      </c>
      <c r="F16" s="32" t="n">
        <f aca="false">E16*$B$3</f>
        <v>66.4137478988503</v>
      </c>
      <c r="G16" s="32" t="n">
        <f aca="false">MAX(C16-F16,0)</f>
        <v>0</v>
      </c>
      <c r="H16" s="32" t="n">
        <f aca="false">G16*100</f>
        <v>0</v>
      </c>
    </row>
    <row r="17" customFormat="false" ht="15" hidden="false" customHeight="false" outlineLevel="0" collapsed="false">
      <c r="A17" s="32" t="n">
        <f aca="false">A16+1</f>
        <v>3</v>
      </c>
      <c r="B17" s="32" t="n">
        <f aca="true">RAND()</f>
        <v>0.385441505907852</v>
      </c>
      <c r="C17" s="32" t="n">
        <f aca="true">VLOOKUP(B17,$F$7:$H$12,2,TRUE())+(RAND()*(VLOOKUP(B17,$F$7:$H$12,3,TRUE())-VLOOKUP(B17,$F$7:$H$12,2,TRUE())))</f>
        <v>62.3898912112008</v>
      </c>
      <c r="D17" s="32" t="n">
        <f aca="true">RAND()</f>
        <v>0.425702681645117</v>
      </c>
      <c r="E17" s="32" t="n">
        <f aca="true">VLOOKUP(D17,$K$7:$M$10,2,TRUE())+(RAND()*(VLOOKUP(D17,$K$7:$M$10,3,TRUE())-VLOOKUP(D17,$K$7:$M$10,2,TRUE())))</f>
        <v>4.95405391244158</v>
      </c>
      <c r="F17" s="32" t="n">
        <f aca="false">E17*$B$3</f>
        <v>59.448646949299</v>
      </c>
      <c r="G17" s="32" t="n">
        <f aca="false">MAX(C17-F17,0)</f>
        <v>2.94124426190185</v>
      </c>
      <c r="H17" s="32" t="n">
        <f aca="false">G17*100</f>
        <v>294.124426190185</v>
      </c>
    </row>
    <row r="18" customFormat="false" ht="15" hidden="false" customHeight="false" outlineLevel="0" collapsed="false">
      <c r="A18" s="32" t="n">
        <f aca="false">A17+1</f>
        <v>4</v>
      </c>
      <c r="B18" s="32" t="n">
        <f aca="true">RAND()</f>
        <v>0.337336373048494</v>
      </c>
      <c r="C18" s="32" t="n">
        <f aca="true">VLOOKUP(B18,$F$7:$H$12,2,TRUE())+(RAND()*(VLOOKUP(B18,$F$7:$H$12,3,TRUE())-VLOOKUP(B18,$F$7:$H$12,2,TRUE())))</f>
        <v>63.111973378925</v>
      </c>
      <c r="D18" s="32" t="n">
        <f aca="true">RAND()</f>
        <v>0.251544633481188</v>
      </c>
      <c r="E18" s="32" t="n">
        <f aca="true">VLOOKUP(D18,$K$7:$M$10,2,TRUE())+(RAND()*(VLOOKUP(D18,$K$7:$M$10,3,TRUE())-VLOOKUP(D18,$K$7:$M$10,2,TRUE())))</f>
        <v>4.22352123934003</v>
      </c>
      <c r="F18" s="32" t="n">
        <f aca="false">E18*$B$3</f>
        <v>50.6822548720803</v>
      </c>
      <c r="G18" s="32" t="n">
        <f aca="false">MAX(C18-F18,0)</f>
        <v>12.4297185068447</v>
      </c>
      <c r="H18" s="32" t="n">
        <f aca="false">G18*100</f>
        <v>1242.97185068447</v>
      </c>
    </row>
    <row r="19" customFormat="false" ht="15" hidden="false" customHeight="false" outlineLevel="0" collapsed="false">
      <c r="A19" s="32" t="n">
        <f aca="false">A18+1</f>
        <v>5</v>
      </c>
      <c r="B19" s="32" t="n">
        <f aca="true">RAND()</f>
        <v>0.99527163138318</v>
      </c>
      <c r="C19" s="32" t="n">
        <f aca="true">VLOOKUP(B19,$F$7:$H$12,2,TRUE())+(RAND()*(VLOOKUP(B19,$F$7:$H$12,3,TRUE())-VLOOKUP(B19,$F$7:$H$12,2,TRUE())))</f>
        <v>82.6685185672486</v>
      </c>
      <c r="D19" s="32" t="n">
        <f aca="true">RAND()</f>
        <v>0.589814983612724</v>
      </c>
      <c r="E19" s="32" t="n">
        <f aca="true">VLOOKUP(D19,$K$7:$M$10,2,TRUE())+(RAND()*(VLOOKUP(D19,$K$7:$M$10,3,TRUE())-VLOOKUP(D19,$K$7:$M$10,2,TRUE())))</f>
        <v>4.89851076087371</v>
      </c>
      <c r="F19" s="32" t="n">
        <f aca="false">E19*$B$3</f>
        <v>58.7821291304846</v>
      </c>
      <c r="G19" s="32" t="n">
        <f aca="false">MAX(C19-F19,0)</f>
        <v>23.8863894367641</v>
      </c>
      <c r="H19" s="32" t="n">
        <f aca="false">G19*100</f>
        <v>2388.63894367641</v>
      </c>
    </row>
    <row r="20" customFormat="false" ht="15" hidden="false" customHeight="false" outlineLevel="0" collapsed="false">
      <c r="A20" s="32" t="n">
        <f aca="false">A19+1</f>
        <v>6</v>
      </c>
      <c r="B20" s="32" t="n">
        <f aca="true">RAND()</f>
        <v>0.886215810354616</v>
      </c>
      <c r="C20" s="32" t="n">
        <f aca="true">VLOOKUP(B20,$F$7:$H$12,2,TRUE())+(RAND()*(VLOOKUP(B20,$F$7:$H$12,3,TRUE())-VLOOKUP(B20,$F$7:$H$12,2,TRUE())))</f>
        <v>68.9292252826635</v>
      </c>
      <c r="D20" s="32" t="n">
        <f aca="true">RAND()</f>
        <v>0.914361933532059</v>
      </c>
      <c r="E20" s="32" t="n">
        <f aca="true">VLOOKUP(D20,$K$7:$M$10,2,TRUE())+(RAND()*(VLOOKUP(D20,$K$7:$M$10,3,TRUE())-VLOOKUP(D20,$K$7:$M$10,2,TRUE())))</f>
        <v>5.87835573474479</v>
      </c>
      <c r="F20" s="32" t="n">
        <f aca="false">E20*$B$3</f>
        <v>70.5402688169375</v>
      </c>
      <c r="G20" s="32" t="n">
        <f aca="false">MAX(C20-F20,0)</f>
        <v>0</v>
      </c>
      <c r="H20" s="32" t="n">
        <f aca="false">G20*100</f>
        <v>0</v>
      </c>
    </row>
    <row r="21" customFormat="false" ht="15" hidden="false" customHeight="false" outlineLevel="0" collapsed="false">
      <c r="A21" s="32" t="n">
        <f aca="false">A20+1</f>
        <v>7</v>
      </c>
      <c r="B21" s="32" t="n">
        <f aca="true">RAND()</f>
        <v>0.610965794616884</v>
      </c>
      <c r="C21" s="32" t="n">
        <f aca="true">VLOOKUP(B21,$F$7:$H$12,2,TRUE())+(RAND()*(VLOOKUP(B21,$F$7:$H$12,3,TRUE())-VLOOKUP(B21,$F$7:$H$12,2,TRUE())))</f>
        <v>67.2394944544256</v>
      </c>
      <c r="D21" s="32" t="n">
        <f aca="true">RAND()</f>
        <v>0.749874105075809</v>
      </c>
      <c r="E21" s="32" t="n">
        <f aca="true">VLOOKUP(D21,$K$7:$M$10,2,TRUE())+(RAND()*(VLOOKUP(D21,$K$7:$M$10,3,TRUE())-VLOOKUP(D21,$K$7:$M$10,2,TRUE())))</f>
        <v>5.3167769578507</v>
      </c>
      <c r="F21" s="32" t="n">
        <f aca="false">E21*$B$3</f>
        <v>63.8013234942084</v>
      </c>
      <c r="G21" s="32" t="n">
        <f aca="false">MAX(C21-F21,0)</f>
        <v>3.43817096021722</v>
      </c>
      <c r="H21" s="32" t="n">
        <f aca="false">G21*100</f>
        <v>343.817096021722</v>
      </c>
    </row>
    <row r="22" customFormat="false" ht="15" hidden="false" customHeight="false" outlineLevel="0" collapsed="false">
      <c r="A22" s="32" t="n">
        <f aca="false">A21+1</f>
        <v>8</v>
      </c>
      <c r="B22" s="32" t="n">
        <f aca="true">RAND()</f>
        <v>0.500853679868772</v>
      </c>
      <c r="C22" s="32" t="n">
        <f aca="true">VLOOKUP(B22,$F$7:$H$12,2,TRUE())+(RAND()*(VLOOKUP(B22,$F$7:$H$12,3,TRUE())-VLOOKUP(B22,$F$7:$H$12,2,TRUE())))</f>
        <v>62.5380642295966</v>
      </c>
      <c r="D22" s="32" t="n">
        <f aca="true">RAND()</f>
        <v>0.622412256441654</v>
      </c>
      <c r="E22" s="32" t="n">
        <f aca="true">VLOOKUP(D22,$K$7:$M$10,2,TRUE())+(RAND()*(VLOOKUP(D22,$K$7:$M$10,3,TRUE())-VLOOKUP(D22,$K$7:$M$10,2,TRUE())))</f>
        <v>4.88920918602938</v>
      </c>
      <c r="F22" s="32" t="n">
        <f aca="false">E22*$B$3</f>
        <v>58.6705102323526</v>
      </c>
      <c r="G22" s="32" t="n">
        <f aca="false">MAX(C22-F22,0)</f>
        <v>3.86755399724403</v>
      </c>
      <c r="H22" s="32" t="n">
        <f aca="false">G22*100</f>
        <v>386.755399724403</v>
      </c>
    </row>
    <row r="23" customFormat="false" ht="15" hidden="false" customHeight="false" outlineLevel="0" collapsed="false">
      <c r="A23" s="32" t="n">
        <f aca="false">A22+1</f>
        <v>9</v>
      </c>
      <c r="B23" s="32" t="n">
        <f aca="true">RAND()</f>
        <v>0.16984433670233</v>
      </c>
      <c r="C23" s="32" t="n">
        <f aca="true">VLOOKUP(B23,$F$7:$H$12,2,TRUE())+(RAND()*(VLOOKUP(B23,$F$7:$H$12,3,TRUE())-VLOOKUP(B23,$F$7:$H$12,2,TRUE())))</f>
        <v>56.573059858051</v>
      </c>
      <c r="D23" s="32" t="n">
        <f aca="true">RAND()</f>
        <v>0.353904559277103</v>
      </c>
      <c r="E23" s="32" t="n">
        <f aca="true">VLOOKUP(D23,$K$7:$M$10,2,TRUE())+(RAND()*(VLOOKUP(D23,$K$7:$M$10,3,TRUE())-VLOOKUP(D23,$K$7:$M$10,2,TRUE())))</f>
        <v>4.77179368423686</v>
      </c>
      <c r="F23" s="32" t="n">
        <f aca="false">E23*$B$3</f>
        <v>57.2615242108424</v>
      </c>
      <c r="G23" s="32" t="n">
        <f aca="false">MAX(C23-F23,0)</f>
        <v>0</v>
      </c>
      <c r="H23" s="32" t="n">
        <f aca="false">G23*100</f>
        <v>0</v>
      </c>
    </row>
    <row r="24" customFormat="false" ht="15" hidden="false" customHeight="false" outlineLevel="0" collapsed="false">
      <c r="A24" s="32" t="n">
        <f aca="false">A23+1</f>
        <v>10</v>
      </c>
      <c r="B24" s="32" t="n">
        <f aca="true">RAND()</f>
        <v>0.321996951113282</v>
      </c>
      <c r="C24" s="32" t="n">
        <f aca="true">VLOOKUP(B24,$F$7:$H$12,2,TRUE())+(RAND()*(VLOOKUP(B24,$F$7:$H$12,3,TRUE())-VLOOKUP(B24,$F$7:$H$12,2,TRUE())))</f>
        <v>61.7016940050735</v>
      </c>
      <c r="D24" s="32" t="n">
        <f aca="true">RAND()</f>
        <v>0.807680143233698</v>
      </c>
      <c r="E24" s="32" t="n">
        <f aca="true">VLOOKUP(D24,$K$7:$M$10,2,TRUE())+(RAND()*(VLOOKUP(D24,$K$7:$M$10,3,TRUE())-VLOOKUP(D24,$K$7:$M$10,2,TRUE())))</f>
        <v>5.11148057609515</v>
      </c>
      <c r="F24" s="32" t="n">
        <f aca="false">E24*$B$3</f>
        <v>61.3377669131418</v>
      </c>
      <c r="G24" s="32" t="n">
        <f aca="false">MAX(C24-F24,0)</f>
        <v>0.363927091931679</v>
      </c>
      <c r="H24" s="32" t="n">
        <f aca="false">G24*100</f>
        <v>36.3927091931679</v>
      </c>
    </row>
    <row r="25" customFormat="false" ht="15" hidden="false" customHeight="false" outlineLevel="0" collapsed="false">
      <c r="A25" s="32" t="n">
        <f aca="false">A24+1</f>
        <v>11</v>
      </c>
      <c r="B25" s="32" t="n">
        <f aca="true">RAND()</f>
        <v>0.747107179141899</v>
      </c>
      <c r="C25" s="32" t="n">
        <f aca="true">VLOOKUP(B25,$F$7:$H$12,2,TRUE())+(RAND()*(VLOOKUP(B25,$F$7:$H$12,3,TRUE())-VLOOKUP(B25,$F$7:$H$12,2,TRUE())))</f>
        <v>69.8858503823</v>
      </c>
      <c r="D25" s="32" t="n">
        <f aca="true">RAND()</f>
        <v>0.128833688525148</v>
      </c>
      <c r="E25" s="32" t="n">
        <f aca="true">VLOOKUP(D25,$K$7:$M$10,2,TRUE())+(RAND()*(VLOOKUP(D25,$K$7:$M$10,3,TRUE())-VLOOKUP(D25,$K$7:$M$10,2,TRUE())))</f>
        <v>4.32477942622588</v>
      </c>
      <c r="F25" s="32" t="n">
        <f aca="false">E25*$B$3</f>
        <v>51.8973531147106</v>
      </c>
      <c r="G25" s="32" t="n">
        <f aca="false">MAX(C25-F25,0)</f>
        <v>17.9884972675894</v>
      </c>
      <c r="H25" s="32" t="n">
        <f aca="false">G25*100</f>
        <v>1798.84972675894</v>
      </c>
    </row>
    <row r="26" customFormat="false" ht="15" hidden="false" customHeight="false" outlineLevel="0" collapsed="false">
      <c r="A26" s="32" t="n">
        <f aca="false">A25+1</f>
        <v>12</v>
      </c>
      <c r="B26" s="32" t="n">
        <f aca="true">RAND()</f>
        <v>0.793063161665454</v>
      </c>
      <c r="C26" s="32" t="n">
        <f aca="true">VLOOKUP(B26,$F$7:$H$12,2,TRUE())+(RAND()*(VLOOKUP(B26,$F$7:$H$12,3,TRUE())-VLOOKUP(B26,$F$7:$H$12,2,TRUE())))</f>
        <v>66.3483999955462</v>
      </c>
      <c r="D26" s="32" t="n">
        <f aca="true">RAND()</f>
        <v>0.561102775363601</v>
      </c>
      <c r="E26" s="32" t="n">
        <f aca="true">VLOOKUP(D26,$K$7:$M$10,2,TRUE())+(RAND()*(VLOOKUP(D26,$K$7:$M$10,3,TRUE())-VLOOKUP(D26,$K$7:$M$10,2,TRUE())))</f>
        <v>4.61092416764586</v>
      </c>
      <c r="F26" s="32" t="n">
        <f aca="false">E26*$B$3</f>
        <v>55.3310900117503</v>
      </c>
      <c r="G26" s="32" t="n">
        <f aca="false">MAX(C26-F26,0)</f>
        <v>11.0173099837959</v>
      </c>
      <c r="H26" s="32" t="n">
        <f aca="false">G26*100</f>
        <v>1101.73099837959</v>
      </c>
    </row>
    <row r="27" customFormat="false" ht="15" hidden="false" customHeight="false" outlineLevel="0" collapsed="false">
      <c r="A27" s="32" t="n">
        <f aca="false">A26+1</f>
        <v>13</v>
      </c>
      <c r="B27" s="32" t="n">
        <f aca="true">RAND()</f>
        <v>0.323203353654418</v>
      </c>
      <c r="C27" s="32" t="n">
        <f aca="true">VLOOKUP(B27,$F$7:$H$12,2,TRUE())+(RAND()*(VLOOKUP(B27,$F$7:$H$12,3,TRUE())-VLOOKUP(B27,$F$7:$H$12,2,TRUE())))</f>
        <v>60.0548700310813</v>
      </c>
      <c r="D27" s="32" t="n">
        <f aca="true">RAND()</f>
        <v>0.504686663933882</v>
      </c>
      <c r="E27" s="32" t="n">
        <f aca="true">VLOOKUP(D27,$K$7:$M$10,2,TRUE())+(RAND()*(VLOOKUP(D27,$K$7:$M$10,3,TRUE())-VLOOKUP(D27,$K$7:$M$10,2,TRUE())))</f>
        <v>4.57373204184636</v>
      </c>
      <c r="F27" s="32" t="n">
        <f aca="false">E27*$B$3</f>
        <v>54.8847845021563</v>
      </c>
      <c r="G27" s="32" t="n">
        <f aca="false">MAX(C27-F27,0)</f>
        <v>5.17008552892499</v>
      </c>
      <c r="H27" s="32" t="n">
        <f aca="false">G27*100</f>
        <v>517.008552892499</v>
      </c>
    </row>
    <row r="28" customFormat="false" ht="15" hidden="false" customHeight="false" outlineLevel="0" collapsed="false">
      <c r="A28" s="32" t="n">
        <f aca="false">A27+1</f>
        <v>14</v>
      </c>
      <c r="B28" s="32" t="n">
        <f aca="true">RAND()</f>
        <v>0.52877205667829</v>
      </c>
      <c r="C28" s="32" t="n">
        <f aca="true">VLOOKUP(B28,$F$7:$H$12,2,TRUE())+(RAND()*(VLOOKUP(B28,$F$7:$H$12,3,TRUE())-VLOOKUP(B28,$F$7:$H$12,2,TRUE())))</f>
        <v>64.1766144997999</v>
      </c>
      <c r="D28" s="32" t="n">
        <f aca="true">RAND()</f>
        <v>0.461527076093913</v>
      </c>
      <c r="E28" s="32" t="n">
        <f aca="true">VLOOKUP(D28,$K$7:$M$10,2,TRUE())+(RAND()*(VLOOKUP(D28,$K$7:$M$10,3,TRUE())-VLOOKUP(D28,$K$7:$M$10,2,TRUE())))</f>
        <v>4.71516802380809</v>
      </c>
      <c r="F28" s="32" t="n">
        <f aca="false">E28*$B$3</f>
        <v>56.5820162856971</v>
      </c>
      <c r="G28" s="32" t="n">
        <f aca="false">MAX(C28-F28,0)</f>
        <v>7.59459821410286</v>
      </c>
      <c r="H28" s="32" t="n">
        <f aca="false">G28*100</f>
        <v>759.459821410286</v>
      </c>
    </row>
    <row r="29" customFormat="false" ht="15" hidden="false" customHeight="false" outlineLevel="0" collapsed="false">
      <c r="A29" s="32" t="n">
        <f aca="false">A28+1</f>
        <v>15</v>
      </c>
      <c r="B29" s="32" t="n">
        <f aca="true">RAND()</f>
        <v>0.871639603659231</v>
      </c>
      <c r="C29" s="32" t="n">
        <f aca="true">VLOOKUP(B29,$F$7:$H$12,2,TRUE())+(RAND()*(VLOOKUP(B29,$F$7:$H$12,3,TRUE())-VLOOKUP(B29,$F$7:$H$12,2,TRUE())))</f>
        <v>66.6707511999022</v>
      </c>
      <c r="D29" s="32" t="n">
        <f aca="true">RAND()</f>
        <v>0.0883047415297568</v>
      </c>
      <c r="E29" s="32" t="n">
        <f aca="true">VLOOKUP(D29,$K$7:$M$10,2,TRUE())+(RAND()*(VLOOKUP(D29,$K$7:$M$10,3,TRUE())-VLOOKUP(D29,$K$7:$M$10,2,TRUE())))</f>
        <v>4.16441139260617</v>
      </c>
      <c r="F29" s="32" t="n">
        <f aca="false">E29*$B$3</f>
        <v>49.972936711274</v>
      </c>
      <c r="G29" s="32" t="n">
        <f aca="false">MAX(C29-F29,0)</f>
        <v>16.6978144886281</v>
      </c>
      <c r="H29" s="32" t="n">
        <f aca="false">G29*100</f>
        <v>1669.78144886281</v>
      </c>
    </row>
    <row r="30" customFormat="false" ht="15" hidden="false" customHeight="false" outlineLevel="0" collapsed="false">
      <c r="A30" s="32" t="n">
        <f aca="false">A29+1</f>
        <v>16</v>
      </c>
      <c r="B30" s="32" t="n">
        <f aca="true">RAND()</f>
        <v>0.479481406254495</v>
      </c>
      <c r="C30" s="32" t="n">
        <f aca="true">VLOOKUP(B30,$F$7:$H$12,2,TRUE())+(RAND()*(VLOOKUP(B30,$F$7:$H$12,3,TRUE())-VLOOKUP(B30,$F$7:$H$12,2,TRUE())))</f>
        <v>63.1880717139168</v>
      </c>
      <c r="D30" s="32" t="n">
        <f aca="true">RAND()</f>
        <v>0.343451373468038</v>
      </c>
      <c r="E30" s="32" t="n">
        <f aca="true">VLOOKUP(D30,$K$7:$M$10,2,TRUE())+(RAND()*(VLOOKUP(D30,$K$7:$M$10,3,TRUE())-VLOOKUP(D30,$K$7:$M$10,2,TRUE())))</f>
        <v>4.77831847377533</v>
      </c>
      <c r="F30" s="32" t="n">
        <f aca="false">E30*$B$3</f>
        <v>57.3398216853039</v>
      </c>
      <c r="G30" s="32" t="n">
        <f aca="false">MAX(C30-F30,0)</f>
        <v>5.84825002861285</v>
      </c>
      <c r="H30" s="32" t="n">
        <f aca="false">G30*100</f>
        <v>584.825002861285</v>
      </c>
    </row>
    <row r="31" customFormat="false" ht="15" hidden="false" customHeight="false" outlineLevel="0" collapsed="false">
      <c r="A31" s="32" t="n">
        <f aca="false">A30+1</f>
        <v>17</v>
      </c>
      <c r="B31" s="32" t="n">
        <f aca="true">RAND()</f>
        <v>0.803083467023405</v>
      </c>
      <c r="C31" s="32" t="n">
        <f aca="true">VLOOKUP(B31,$F$7:$H$12,2,TRUE())+(RAND()*(VLOOKUP(B31,$F$7:$H$12,3,TRUE())-VLOOKUP(B31,$F$7:$H$12,2,TRUE())))</f>
        <v>65.6384570681819</v>
      </c>
      <c r="D31" s="32" t="n">
        <f aca="true">RAND()</f>
        <v>0.37440566055113</v>
      </c>
      <c r="E31" s="32" t="n">
        <f aca="true">VLOOKUP(D31,$K$7:$M$10,2,TRUE())+(RAND()*(VLOOKUP(D31,$K$7:$M$10,3,TRUE())-VLOOKUP(D31,$K$7:$M$10,2,TRUE())))</f>
        <v>4.79912991370044</v>
      </c>
      <c r="F31" s="32" t="n">
        <f aca="false">E31*$B$3</f>
        <v>57.5895589644053</v>
      </c>
      <c r="G31" s="32" t="n">
        <f aca="false">MAX(C31-F31,0)</f>
        <v>8.04889810377657</v>
      </c>
      <c r="H31" s="32" t="n">
        <f aca="false">G31*100</f>
        <v>804.889810377657</v>
      </c>
    </row>
    <row r="32" customFormat="false" ht="15" hidden="false" customHeight="false" outlineLevel="0" collapsed="false">
      <c r="A32" s="32" t="n">
        <f aca="false">A31+1</f>
        <v>18</v>
      </c>
      <c r="B32" s="32" t="n">
        <f aca="true">RAND()</f>
        <v>0.908977692130317</v>
      </c>
      <c r="C32" s="32" t="n">
        <f aca="true">VLOOKUP(B32,$F$7:$H$12,2,TRUE())+(RAND()*(VLOOKUP(B32,$F$7:$H$12,3,TRUE())-VLOOKUP(B32,$F$7:$H$12,2,TRUE())))</f>
        <v>78.2672737440908</v>
      </c>
      <c r="D32" s="32" t="n">
        <f aca="true">RAND()</f>
        <v>0.958007893969397</v>
      </c>
      <c r="E32" s="32" t="n">
        <f aca="true">VLOOKUP(D32,$K$7:$M$10,2,TRUE())+(RAND()*(VLOOKUP(D32,$K$7:$M$10,3,TRUE())-VLOOKUP(D32,$K$7:$M$10,2,TRUE())))</f>
        <v>5.57333769692122</v>
      </c>
      <c r="F32" s="32" t="n">
        <f aca="false">E32*$B$3</f>
        <v>66.8800523630546</v>
      </c>
      <c r="G32" s="32" t="n">
        <f aca="false">MAX(C32-F32,0)</f>
        <v>11.3872213810362</v>
      </c>
      <c r="H32" s="32" t="n">
        <f aca="false">G32*100</f>
        <v>1138.72213810362</v>
      </c>
    </row>
    <row r="33" customFormat="false" ht="15" hidden="false" customHeight="false" outlineLevel="0" collapsed="false">
      <c r="A33" s="32" t="n">
        <f aca="false">A32+1</f>
        <v>19</v>
      </c>
      <c r="B33" s="32" t="n">
        <f aca="true">RAND()</f>
        <v>0.675817720849888</v>
      </c>
      <c r="C33" s="32" t="n">
        <f aca="true">VLOOKUP(B33,$F$7:$H$12,2,TRUE())+(RAND()*(VLOOKUP(B33,$F$7:$H$12,3,TRUE())-VLOOKUP(B33,$F$7:$H$12,2,TRUE())))</f>
        <v>69.5407545764753</v>
      </c>
      <c r="D33" s="32" t="n">
        <f aca="true">RAND()</f>
        <v>0.970286024794709</v>
      </c>
      <c r="E33" s="32" t="n">
        <f aca="true">VLOOKUP(D33,$K$7:$M$10,2,TRUE())+(RAND()*(VLOOKUP(D33,$K$7:$M$10,3,TRUE())-VLOOKUP(D33,$K$7:$M$10,2,TRUE())))</f>
        <v>5.73145012545519</v>
      </c>
      <c r="F33" s="32" t="n">
        <f aca="false">E33*$B$3</f>
        <v>68.7774015054623</v>
      </c>
      <c r="G33" s="32" t="n">
        <f aca="false">MAX(C33-F33,0)</f>
        <v>0.763353071012915</v>
      </c>
      <c r="H33" s="32" t="n">
        <f aca="false">G33*100</f>
        <v>76.3353071012915</v>
      </c>
    </row>
    <row r="34" customFormat="false" ht="15" hidden="false" customHeight="false" outlineLevel="0" collapsed="false">
      <c r="A34" s="32" t="n">
        <f aca="false">A33+1</f>
        <v>20</v>
      </c>
      <c r="B34" s="32" t="n">
        <f aca="true">RAND()</f>
        <v>0.12446971092411</v>
      </c>
      <c r="C34" s="32" t="n">
        <f aca="true">VLOOKUP(B34,$F$7:$H$12,2,TRUE())+(RAND()*(VLOOKUP(B34,$F$7:$H$12,3,TRUE())-VLOOKUP(B34,$F$7:$H$12,2,TRUE())))</f>
        <v>57.5587655325738</v>
      </c>
      <c r="D34" s="32" t="n">
        <f aca="true">RAND()</f>
        <v>0.647254980331092</v>
      </c>
      <c r="E34" s="32" t="n">
        <f aca="true">VLOOKUP(D34,$K$7:$M$10,2,TRUE())+(RAND()*(VLOOKUP(D34,$K$7:$M$10,3,TRUE())-VLOOKUP(D34,$K$7:$M$10,2,TRUE())))</f>
        <v>4.86773904696492</v>
      </c>
      <c r="F34" s="32" t="n">
        <f aca="false">E34*$B$3</f>
        <v>58.412868563579</v>
      </c>
      <c r="G34" s="32" t="n">
        <f aca="false">MAX(C34-F34,0)</f>
        <v>0</v>
      </c>
      <c r="H34" s="32" t="n">
        <f aca="false">G34*100</f>
        <v>0</v>
      </c>
    </row>
    <row r="35" customFormat="false" ht="15" hidden="false" customHeight="false" outlineLevel="0" collapsed="false">
      <c r="A35" s="32" t="n">
        <f aca="false">A34+1</f>
        <v>21</v>
      </c>
      <c r="B35" s="32" t="n">
        <f aca="true">RAND()</f>
        <v>0.798394466059471</v>
      </c>
      <c r="C35" s="32" t="n">
        <f aca="true">VLOOKUP(B35,$F$7:$H$12,2,TRUE())+(RAND()*(VLOOKUP(B35,$F$7:$H$12,3,TRUE())-VLOOKUP(B35,$F$7:$H$12,2,TRUE())))</f>
        <v>66.3545194720763</v>
      </c>
      <c r="D35" s="32" t="n">
        <f aca="true">RAND()</f>
        <v>0.117544587351128</v>
      </c>
      <c r="E35" s="32" t="n">
        <f aca="true">VLOOKUP(D35,$K$7:$M$10,2,TRUE())+(RAND()*(VLOOKUP(D35,$K$7:$M$10,3,TRUE())-VLOOKUP(D35,$K$7:$M$10,2,TRUE())))</f>
        <v>4.30163680011588</v>
      </c>
      <c r="F35" s="32" t="n">
        <f aca="false">E35*$B$3</f>
        <v>51.6196416013906</v>
      </c>
      <c r="G35" s="32" t="n">
        <f aca="false">MAX(C35-F35,0)</f>
        <v>14.7348778706857</v>
      </c>
      <c r="H35" s="32" t="n">
        <f aca="false">G35*100</f>
        <v>1473.48778706857</v>
      </c>
    </row>
    <row r="36" customFormat="false" ht="15" hidden="false" customHeight="false" outlineLevel="0" collapsed="false">
      <c r="A36" s="32" t="n">
        <f aca="false">A35+1</f>
        <v>22</v>
      </c>
      <c r="B36" s="32" t="n">
        <f aca="true">RAND()</f>
        <v>0.357348157017119</v>
      </c>
      <c r="C36" s="32" t="n">
        <f aca="true">VLOOKUP(B36,$F$7:$H$12,2,TRUE())+(RAND()*(VLOOKUP(B36,$F$7:$H$12,3,TRUE())-VLOOKUP(B36,$F$7:$H$12,2,TRUE())))</f>
        <v>60.2013312219687</v>
      </c>
      <c r="D36" s="32" t="n">
        <f aca="true">RAND()</f>
        <v>0.223560897500117</v>
      </c>
      <c r="E36" s="32" t="n">
        <f aca="true">VLOOKUP(D36,$K$7:$M$10,2,TRUE())+(RAND()*(VLOOKUP(D36,$K$7:$M$10,3,TRUE())-VLOOKUP(D36,$K$7:$M$10,2,TRUE())))</f>
        <v>4.30629783469177</v>
      </c>
      <c r="F36" s="32" t="n">
        <f aca="false">E36*$B$3</f>
        <v>51.6755740163012</v>
      </c>
      <c r="G36" s="32" t="n">
        <f aca="false">MAX(C36-F36,0)</f>
        <v>8.52575720566745</v>
      </c>
      <c r="H36" s="32" t="n">
        <f aca="false">G36*100</f>
        <v>852.575720566745</v>
      </c>
    </row>
    <row r="37" customFormat="false" ht="15" hidden="false" customHeight="false" outlineLevel="0" collapsed="false">
      <c r="A37" s="32" t="n">
        <f aca="false">A36+1</f>
        <v>23</v>
      </c>
      <c r="B37" s="32" t="n">
        <f aca="true">RAND()</f>
        <v>0.951620422507344</v>
      </c>
      <c r="C37" s="32" t="n">
        <f aca="true">VLOOKUP(B37,$F$7:$H$12,2,TRUE())+(RAND()*(VLOOKUP(B37,$F$7:$H$12,3,TRUE())-VLOOKUP(B37,$F$7:$H$12,2,TRUE())))</f>
        <v>77.920278512989</v>
      </c>
      <c r="D37" s="32" t="n">
        <f aca="true">RAND()</f>
        <v>0.989771145147528</v>
      </c>
      <c r="E37" s="32" t="n">
        <f aca="true">VLOOKUP(D37,$K$7:$M$10,2,TRUE())+(RAND()*(VLOOKUP(D37,$K$7:$M$10,3,TRUE())-VLOOKUP(D37,$K$7:$M$10,2,TRUE())))</f>
        <v>5.75012470782061</v>
      </c>
      <c r="F37" s="32" t="n">
        <f aca="false">E37*$B$3</f>
        <v>69.0014964938473</v>
      </c>
      <c r="G37" s="32" t="n">
        <f aca="false">MAX(C37-F37,0)</f>
        <v>8.91878201914166</v>
      </c>
      <c r="H37" s="32" t="n">
        <f aca="false">G37*100</f>
        <v>891.878201914166</v>
      </c>
    </row>
    <row r="38" customFormat="false" ht="15" hidden="false" customHeight="false" outlineLevel="0" collapsed="false">
      <c r="A38" s="32" t="n">
        <f aca="false">A37+1</f>
        <v>24</v>
      </c>
      <c r="B38" s="32" t="n">
        <f aca="true">RAND()</f>
        <v>0.430543085898429</v>
      </c>
      <c r="C38" s="32" t="n">
        <f aca="true">VLOOKUP(B38,$F$7:$H$12,2,TRUE())+(RAND()*(VLOOKUP(B38,$F$7:$H$12,3,TRUE())-VLOOKUP(B38,$F$7:$H$12,2,TRUE())))</f>
        <v>60.1957237378313</v>
      </c>
      <c r="D38" s="32" t="n">
        <f aca="true">RAND()</f>
        <v>0.407906687342369</v>
      </c>
      <c r="E38" s="32" t="n">
        <f aca="true">VLOOKUP(D38,$K$7:$M$10,2,TRUE())+(RAND()*(VLOOKUP(D38,$K$7:$M$10,3,TRUE())-VLOOKUP(D38,$K$7:$M$10,2,TRUE())))</f>
        <v>4.96059501761344</v>
      </c>
      <c r="F38" s="32" t="n">
        <f aca="false">E38*$B$3</f>
        <v>59.5271402113613</v>
      </c>
      <c r="G38" s="32" t="n">
        <f aca="false">MAX(C38-F38,0)</f>
        <v>0.668583526470037</v>
      </c>
      <c r="H38" s="32" t="n">
        <f aca="false">G38*100</f>
        <v>66.8583526470037</v>
      </c>
    </row>
    <row r="39" customFormat="false" ht="15" hidden="false" customHeight="false" outlineLevel="0" collapsed="false">
      <c r="A39" s="32" t="n">
        <f aca="false">A38+1</f>
        <v>25</v>
      </c>
      <c r="B39" s="32" t="n">
        <f aca="true">RAND()</f>
        <v>0.0221083426804912</v>
      </c>
      <c r="C39" s="32" t="n">
        <f aca="true">VLOOKUP(B39,$F$7:$H$12,2,TRUE())+(RAND()*(VLOOKUP(B39,$F$7:$H$12,3,TRUE())-VLOOKUP(B39,$F$7:$H$12,2,TRUE())))</f>
        <v>51.5700782065273</v>
      </c>
      <c r="D39" s="32" t="n">
        <f aca="true">RAND()</f>
        <v>0.87620256960766</v>
      </c>
      <c r="E39" s="32" t="n">
        <f aca="true">VLOOKUP(D39,$K$7:$M$10,2,TRUE())+(RAND()*(VLOOKUP(D39,$K$7:$M$10,3,TRUE())-VLOOKUP(D39,$K$7:$M$10,2,TRUE())))</f>
        <v>5.43412187959172</v>
      </c>
      <c r="F39" s="32" t="n">
        <f aca="false">E39*$B$3</f>
        <v>65.2094625551006</v>
      </c>
      <c r="G39" s="32" t="n">
        <f aca="false">MAX(C39-F39,0)</f>
        <v>0</v>
      </c>
      <c r="H39" s="32" t="n">
        <f aca="false">G39*100</f>
        <v>0</v>
      </c>
    </row>
    <row r="40" customFormat="false" ht="15" hidden="false" customHeight="false" outlineLevel="0" collapsed="false">
      <c r="A40" s="32" t="n">
        <f aca="false">A39+1</f>
        <v>26</v>
      </c>
      <c r="B40" s="32" t="n">
        <f aca="true">RAND()</f>
        <v>0.203813565971518</v>
      </c>
      <c r="C40" s="32" t="n">
        <f aca="true">VLOOKUP(B40,$F$7:$H$12,2,TRUE())+(RAND()*(VLOOKUP(B40,$F$7:$H$12,3,TRUE())-VLOOKUP(B40,$F$7:$H$12,2,TRUE())))</f>
        <v>57.2823713323399</v>
      </c>
      <c r="D40" s="32" t="n">
        <f aca="true">RAND()</f>
        <v>0.418964099156975</v>
      </c>
      <c r="E40" s="32" t="n">
        <f aca="true">VLOOKUP(D40,$K$7:$M$10,2,TRUE())+(RAND()*(VLOOKUP(D40,$K$7:$M$10,3,TRUE())-VLOOKUP(D40,$K$7:$M$10,2,TRUE())))</f>
        <v>4.93028336255572</v>
      </c>
      <c r="F40" s="32" t="n">
        <f aca="false">E40*$B$3</f>
        <v>59.1634003506687</v>
      </c>
      <c r="G40" s="32" t="n">
        <f aca="false">MAX(C40-F40,0)</f>
        <v>0</v>
      </c>
      <c r="H40" s="32" t="n">
        <f aca="false">G40*100</f>
        <v>0</v>
      </c>
    </row>
    <row r="41" customFormat="false" ht="15" hidden="false" customHeight="false" outlineLevel="0" collapsed="false">
      <c r="A41" s="32" t="n">
        <f aca="false">A40+1</f>
        <v>27</v>
      </c>
      <c r="B41" s="32" t="n">
        <f aca="true">RAND()</f>
        <v>0.853171824805913</v>
      </c>
      <c r="C41" s="32" t="n">
        <f aca="true">VLOOKUP(B41,$F$7:$H$12,2,TRUE())+(RAND()*(VLOOKUP(B41,$F$7:$H$12,3,TRUE())-VLOOKUP(B41,$F$7:$H$12,2,TRUE())))</f>
        <v>67.5759156352599</v>
      </c>
      <c r="D41" s="32" t="n">
        <f aca="true">RAND()</f>
        <v>0.502649406187256</v>
      </c>
      <c r="E41" s="32" t="n">
        <f aca="true">VLOOKUP(D41,$K$7:$M$10,2,TRUE())+(RAND()*(VLOOKUP(D41,$K$7:$M$10,3,TRUE())-VLOOKUP(D41,$K$7:$M$10,2,TRUE())))</f>
        <v>4.53857184426352</v>
      </c>
      <c r="F41" s="32" t="n">
        <f aca="false">E41*$B$3</f>
        <v>54.4628621311622</v>
      </c>
      <c r="G41" s="32" t="n">
        <f aca="false">MAX(C41-F41,0)</f>
        <v>13.1130535040977</v>
      </c>
      <c r="H41" s="32" t="n">
        <f aca="false">G41*100</f>
        <v>1311.30535040977</v>
      </c>
    </row>
    <row r="42" customFormat="false" ht="15" hidden="false" customHeight="false" outlineLevel="0" collapsed="false">
      <c r="A42" s="32" t="n">
        <f aca="false">A41+1</f>
        <v>28</v>
      </c>
      <c r="B42" s="32" t="n">
        <f aca="true">RAND()</f>
        <v>0.704423212171995</v>
      </c>
      <c r="C42" s="32" t="n">
        <f aca="true">VLOOKUP(B42,$F$7:$H$12,2,TRUE())+(RAND()*(VLOOKUP(B42,$F$7:$H$12,3,TRUE())-VLOOKUP(B42,$F$7:$H$12,2,TRUE())))</f>
        <v>66.348518197652</v>
      </c>
      <c r="D42" s="32" t="n">
        <f aca="true">RAND()</f>
        <v>0.284572502027433</v>
      </c>
      <c r="E42" s="32" t="n">
        <f aca="true">VLOOKUP(D42,$K$7:$M$10,2,TRUE())+(RAND()*(VLOOKUP(D42,$K$7:$M$10,3,TRUE())-VLOOKUP(D42,$K$7:$M$10,2,TRUE())))</f>
        <v>4.42814616905815</v>
      </c>
      <c r="F42" s="32" t="n">
        <f aca="false">E42*$B$3</f>
        <v>53.1377540286978</v>
      </c>
      <c r="G42" s="32" t="n">
        <f aca="false">MAX(C42-F42,0)</f>
        <v>13.2107641689542</v>
      </c>
      <c r="H42" s="32" t="n">
        <f aca="false">G42*100</f>
        <v>1321.07641689542</v>
      </c>
    </row>
    <row r="43" customFormat="false" ht="15" hidden="false" customHeight="false" outlineLevel="0" collapsed="false">
      <c r="A43" s="32" t="n">
        <f aca="false">A42+1</f>
        <v>29</v>
      </c>
      <c r="B43" s="32" t="n">
        <f aca="true">RAND()</f>
        <v>0.393493100084081</v>
      </c>
      <c r="C43" s="32" t="n">
        <f aca="true">VLOOKUP(B43,$F$7:$H$12,2,TRUE())+(RAND()*(VLOOKUP(B43,$F$7:$H$12,3,TRUE())-VLOOKUP(B43,$F$7:$H$12,2,TRUE())))</f>
        <v>60.2992996995138</v>
      </c>
      <c r="D43" s="32" t="n">
        <f aca="true">RAND()</f>
        <v>0.40495736666849</v>
      </c>
      <c r="E43" s="32" t="n">
        <f aca="true">VLOOKUP(D43,$K$7:$M$10,2,TRUE())+(RAND()*(VLOOKUP(D43,$K$7:$M$10,3,TRUE())-VLOOKUP(D43,$K$7:$M$10,2,TRUE())))</f>
        <v>4.96635425029199</v>
      </c>
      <c r="F43" s="32" t="n">
        <f aca="false">E43*$B$3</f>
        <v>59.5962510035039</v>
      </c>
      <c r="G43" s="32" t="n">
        <f aca="false">MAX(C43-F43,0)</f>
        <v>0.703048696009887</v>
      </c>
      <c r="H43" s="32" t="n">
        <f aca="false">G43*100</f>
        <v>70.3048696009887</v>
      </c>
    </row>
    <row r="44" customFormat="false" ht="15" hidden="false" customHeight="false" outlineLevel="0" collapsed="false">
      <c r="A44" s="32" t="n">
        <f aca="false">A43+1</f>
        <v>30</v>
      </c>
      <c r="B44" s="32" t="n">
        <f aca="true">RAND()</f>
        <v>0.727756567659823</v>
      </c>
      <c r="C44" s="32" t="n">
        <f aca="true">VLOOKUP(B44,$F$7:$H$12,2,TRUE())+(RAND()*(VLOOKUP(B44,$F$7:$H$12,3,TRUE())-VLOOKUP(B44,$F$7:$H$12,2,TRUE())))</f>
        <v>65.7656762938814</v>
      </c>
      <c r="D44" s="32" t="n">
        <f aca="true">RAND()</f>
        <v>0.448312481819044</v>
      </c>
      <c r="E44" s="32" t="n">
        <f aca="true">VLOOKUP(D44,$K$7:$M$10,2,TRUE())+(RAND()*(VLOOKUP(D44,$K$7:$M$10,3,TRUE())-VLOOKUP(D44,$K$7:$M$10,2,TRUE())))</f>
        <v>4.71135066774099</v>
      </c>
      <c r="F44" s="32" t="n">
        <f aca="false">E44*$B$3</f>
        <v>56.5362080128919</v>
      </c>
      <c r="G44" s="32" t="n">
        <f aca="false">MAX(C44-F44,0)</f>
        <v>9.22946828098955</v>
      </c>
      <c r="H44" s="32" t="n">
        <f aca="false">G44*100</f>
        <v>922.946828098955</v>
      </c>
    </row>
    <row r="45" customFormat="false" ht="15" hidden="false" customHeight="false" outlineLevel="0" collapsed="false">
      <c r="A45" s="32" t="n">
        <f aca="false">A44+1</f>
        <v>31</v>
      </c>
      <c r="B45" s="32" t="n">
        <f aca="true">RAND()</f>
        <v>0.985036340465082</v>
      </c>
      <c r="C45" s="32" t="n">
        <f aca="true">VLOOKUP(B45,$F$7:$H$12,2,TRUE())+(RAND()*(VLOOKUP(B45,$F$7:$H$12,3,TRUE())-VLOOKUP(B45,$F$7:$H$12,2,TRUE())))</f>
        <v>81.4423949717173</v>
      </c>
      <c r="D45" s="32" t="n">
        <f aca="true">RAND()</f>
        <v>0.544357802686191</v>
      </c>
      <c r="E45" s="32" t="n">
        <f aca="true">VLOOKUP(D45,$K$7:$M$10,2,TRUE())+(RAND()*(VLOOKUP(D45,$K$7:$M$10,3,TRUE())-VLOOKUP(D45,$K$7:$M$10,2,TRUE())))</f>
        <v>4.81126811042576</v>
      </c>
      <c r="F45" s="32" t="n">
        <f aca="false">E45*$B$3</f>
        <v>57.7352173251091</v>
      </c>
      <c r="G45" s="32" t="n">
        <f aca="false">MAX(C45-F45,0)</f>
        <v>23.7071776466082</v>
      </c>
      <c r="H45" s="32" t="n">
        <f aca="false">G45*100</f>
        <v>2370.71776466082</v>
      </c>
    </row>
    <row r="46" customFormat="false" ht="15" hidden="false" customHeight="false" outlineLevel="0" collapsed="false">
      <c r="A46" s="32" t="n">
        <f aca="false">A45+1</f>
        <v>32</v>
      </c>
      <c r="B46" s="32" t="n">
        <f aca="true">RAND()</f>
        <v>0.23270415426079</v>
      </c>
      <c r="C46" s="32" t="n">
        <f aca="true">VLOOKUP(B46,$F$7:$H$12,2,TRUE())+(RAND()*(VLOOKUP(B46,$F$7:$H$12,3,TRUE())-VLOOKUP(B46,$F$7:$H$12,2,TRUE())))</f>
        <v>59.1165972473805</v>
      </c>
      <c r="D46" s="32" t="n">
        <f aca="true">RAND()</f>
        <v>0.802885484414733</v>
      </c>
      <c r="E46" s="32" t="n">
        <f aca="true">VLOOKUP(D46,$K$7:$M$10,2,TRUE())+(RAND()*(VLOOKUP(D46,$K$7:$M$10,3,TRUE())-VLOOKUP(D46,$K$7:$M$10,2,TRUE())))</f>
        <v>5.0773144969877</v>
      </c>
      <c r="F46" s="32" t="n">
        <f aca="false">E46*$B$3</f>
        <v>60.9277739638524</v>
      </c>
      <c r="G46" s="32" t="n">
        <f aca="false">MAX(C46-F46,0)</f>
        <v>0</v>
      </c>
      <c r="H46" s="32" t="n">
        <f aca="false">G46*100</f>
        <v>0</v>
      </c>
    </row>
    <row r="47" customFormat="false" ht="15" hidden="false" customHeight="false" outlineLevel="0" collapsed="false">
      <c r="A47" s="32" t="n">
        <f aca="false">A46+1</f>
        <v>33</v>
      </c>
      <c r="B47" s="32" t="n">
        <f aca="true">RAND()</f>
        <v>0.0271119174881545</v>
      </c>
      <c r="C47" s="32" t="n">
        <f aca="true">VLOOKUP(B47,$F$7:$H$12,2,TRUE())+(RAND()*(VLOOKUP(B47,$F$7:$H$12,3,TRUE())-VLOOKUP(B47,$F$7:$H$12,2,TRUE())))</f>
        <v>53.531980634882</v>
      </c>
      <c r="D47" s="32" t="n">
        <f aca="true">RAND()</f>
        <v>0.184975468646644</v>
      </c>
      <c r="E47" s="32" t="n">
        <f aca="true">VLOOKUP(D47,$K$7:$M$10,2,TRUE())+(RAND()*(VLOOKUP(D47,$K$7:$M$10,3,TRUE())-VLOOKUP(D47,$K$7:$M$10,2,TRUE())))</f>
        <v>4.10207463753972</v>
      </c>
      <c r="F47" s="32" t="n">
        <f aca="false">E47*$B$3</f>
        <v>49.2248956504767</v>
      </c>
      <c r="G47" s="32" t="n">
        <f aca="false">MAX(C47-F47,0)</f>
        <v>4.30708498440536</v>
      </c>
      <c r="H47" s="32" t="n">
        <f aca="false">G47*100</f>
        <v>430.708498440536</v>
      </c>
    </row>
    <row r="48" customFormat="false" ht="15" hidden="false" customHeight="false" outlineLevel="0" collapsed="false">
      <c r="A48" s="32" t="n">
        <f aca="false">A47+1</f>
        <v>34</v>
      </c>
      <c r="B48" s="32" t="n">
        <f aca="true">RAND()</f>
        <v>0.260967972540838</v>
      </c>
      <c r="C48" s="32" t="n">
        <f aca="true">VLOOKUP(B48,$F$7:$H$12,2,TRUE())+(RAND()*(VLOOKUP(B48,$F$7:$H$12,3,TRUE())-VLOOKUP(B48,$F$7:$H$12,2,TRUE())))</f>
        <v>63.2202721186084</v>
      </c>
      <c r="D48" s="32" t="n">
        <f aca="true">RAND()</f>
        <v>0.669367815041807</v>
      </c>
      <c r="E48" s="32" t="n">
        <f aca="true">VLOOKUP(D48,$K$7:$M$10,2,TRUE())+(RAND()*(VLOOKUP(D48,$K$7:$M$10,3,TRUE())-VLOOKUP(D48,$K$7:$M$10,2,TRUE())))</f>
        <v>4.73174417868966</v>
      </c>
      <c r="F48" s="32" t="n">
        <f aca="false">E48*$B$3</f>
        <v>56.7809301442759</v>
      </c>
      <c r="G48" s="32" t="n">
        <f aca="false">MAX(C48-F48,0)</f>
        <v>6.4393419743325</v>
      </c>
      <c r="H48" s="32" t="n">
        <f aca="false">G48*100</f>
        <v>643.93419743325</v>
      </c>
    </row>
    <row r="49" customFormat="false" ht="15" hidden="false" customHeight="false" outlineLevel="0" collapsed="false">
      <c r="A49" s="32" t="n">
        <f aca="false">A48+1</f>
        <v>35</v>
      </c>
      <c r="B49" s="32" t="n">
        <f aca="true">RAND()</f>
        <v>0.0156007110656934</v>
      </c>
      <c r="C49" s="32" t="n">
        <f aca="true">VLOOKUP(B49,$F$7:$H$12,2,TRUE())+(RAND()*(VLOOKUP(B49,$F$7:$H$12,3,TRUE())-VLOOKUP(B49,$F$7:$H$12,2,TRUE())))</f>
        <v>54.8123915257584</v>
      </c>
      <c r="D49" s="32" t="n">
        <f aca="true">RAND()</f>
        <v>0.675239958956422</v>
      </c>
      <c r="E49" s="32" t="n">
        <f aca="true">VLOOKUP(D49,$K$7:$M$10,2,TRUE())+(RAND()*(VLOOKUP(D49,$K$7:$M$10,3,TRUE())-VLOOKUP(D49,$K$7:$M$10,2,TRUE())))</f>
        <v>4.6905041146342</v>
      </c>
      <c r="F49" s="32" t="n">
        <f aca="false">E49*$B$3</f>
        <v>56.2860493756104</v>
      </c>
      <c r="G49" s="32" t="n">
        <f aca="false">MAX(C49-F49,0)</f>
        <v>0</v>
      </c>
      <c r="H49" s="32" t="n">
        <f aca="false">G49*100</f>
        <v>0</v>
      </c>
    </row>
    <row r="50" customFormat="false" ht="15" hidden="false" customHeight="false" outlineLevel="0" collapsed="false">
      <c r="A50" s="32" t="n">
        <f aca="false">A49+1</f>
        <v>36</v>
      </c>
      <c r="B50" s="32" t="n">
        <f aca="true">RAND()</f>
        <v>0.427892645223384</v>
      </c>
      <c r="C50" s="32" t="n">
        <f aca="true">VLOOKUP(B50,$F$7:$H$12,2,TRUE())+(RAND()*(VLOOKUP(B50,$F$7:$H$12,3,TRUE())-VLOOKUP(B50,$F$7:$H$12,2,TRUE())))</f>
        <v>60.6511895889675</v>
      </c>
      <c r="D50" s="32" t="n">
        <f aca="true">RAND()</f>
        <v>0.43510514659224</v>
      </c>
      <c r="E50" s="32" t="n">
        <f aca="true">VLOOKUP(D50,$K$7:$M$10,2,TRUE())+(RAND()*(VLOOKUP(D50,$K$7:$M$10,3,TRUE())-VLOOKUP(D50,$K$7:$M$10,2,TRUE())))</f>
        <v>4.6149606596719</v>
      </c>
      <c r="F50" s="32" t="n">
        <f aca="false">E50*$B$3</f>
        <v>55.3795279160628</v>
      </c>
      <c r="G50" s="32" t="n">
        <f aca="false">MAX(C50-F50,0)</f>
        <v>5.27166167290464</v>
      </c>
      <c r="H50" s="32" t="n">
        <f aca="false">G50*100</f>
        <v>527.166167290464</v>
      </c>
    </row>
    <row r="51" customFormat="false" ht="15" hidden="false" customHeight="false" outlineLevel="0" collapsed="false">
      <c r="A51" s="32" t="n">
        <f aca="false">A50+1</f>
        <v>37</v>
      </c>
      <c r="B51" s="32" t="n">
        <f aca="true">RAND()</f>
        <v>0.418314018484935</v>
      </c>
      <c r="C51" s="32" t="n">
        <f aca="true">VLOOKUP(B51,$F$7:$H$12,2,TRUE())+(RAND()*(VLOOKUP(B51,$F$7:$H$12,3,TRUE())-VLOOKUP(B51,$F$7:$H$12,2,TRUE())))</f>
        <v>63.7227930882697</v>
      </c>
      <c r="D51" s="32" t="n">
        <f aca="true">RAND()</f>
        <v>0.535695639859062</v>
      </c>
      <c r="E51" s="32" t="n">
        <f aca="true">VLOOKUP(D51,$K$7:$M$10,2,TRUE())+(RAND()*(VLOOKUP(D51,$K$7:$M$10,3,TRUE())-VLOOKUP(D51,$K$7:$M$10,2,TRUE())))</f>
        <v>4.5030202798768</v>
      </c>
      <c r="F51" s="32" t="n">
        <f aca="false">E51*$B$3</f>
        <v>54.0362433585215</v>
      </c>
      <c r="G51" s="32" t="n">
        <f aca="false">MAX(C51-F51,0)</f>
        <v>9.68654972974814</v>
      </c>
      <c r="H51" s="32" t="n">
        <f aca="false">G51*100</f>
        <v>968.654972974814</v>
      </c>
    </row>
    <row r="52" customFormat="false" ht="15" hidden="false" customHeight="false" outlineLevel="0" collapsed="false">
      <c r="A52" s="32" t="n">
        <f aca="false">A51+1</f>
        <v>38</v>
      </c>
      <c r="B52" s="32" t="n">
        <f aca="true">RAND()</f>
        <v>0.776326806733578</v>
      </c>
      <c r="C52" s="32" t="n">
        <f aca="true">VLOOKUP(B52,$F$7:$H$12,2,TRUE())+(RAND()*(VLOOKUP(B52,$F$7:$H$12,3,TRUE())-VLOOKUP(B52,$F$7:$H$12,2,TRUE())))</f>
        <v>65.177539107612</v>
      </c>
      <c r="D52" s="32" t="n">
        <f aca="true">RAND()</f>
        <v>0.361556769929512</v>
      </c>
      <c r="E52" s="32" t="n">
        <f aca="true">VLOOKUP(D52,$K$7:$M$10,2,TRUE())+(RAND()*(VLOOKUP(D52,$K$7:$M$10,3,TRUE())-VLOOKUP(D52,$K$7:$M$10,2,TRUE())))</f>
        <v>4.78223725653167</v>
      </c>
      <c r="F52" s="32" t="n">
        <f aca="false">E52*$B$3</f>
        <v>57.3868470783801</v>
      </c>
      <c r="G52" s="32" t="n">
        <f aca="false">MAX(C52-F52,0)</f>
        <v>7.79069202923194</v>
      </c>
      <c r="H52" s="32" t="n">
        <f aca="false">G52*100</f>
        <v>779.069202923194</v>
      </c>
    </row>
    <row r="53" customFormat="false" ht="15" hidden="false" customHeight="false" outlineLevel="0" collapsed="false">
      <c r="A53" s="32" t="n">
        <f aca="false">A52+1</f>
        <v>39</v>
      </c>
      <c r="B53" s="32" t="n">
        <f aca="true">RAND()</f>
        <v>0.575501259964742</v>
      </c>
      <c r="C53" s="32" t="n">
        <f aca="true">VLOOKUP(B53,$F$7:$H$12,2,TRUE())+(RAND()*(VLOOKUP(B53,$F$7:$H$12,3,TRUE())-VLOOKUP(B53,$F$7:$H$12,2,TRUE())))</f>
        <v>68.2185261193728</v>
      </c>
      <c r="D53" s="32" t="n">
        <f aca="true">RAND()</f>
        <v>0.0577214338432059</v>
      </c>
      <c r="E53" s="32" t="n">
        <f aca="true">VLOOKUP(D53,$K$7:$M$10,2,TRUE())+(RAND()*(VLOOKUP(D53,$K$7:$M$10,3,TRUE())-VLOOKUP(D53,$K$7:$M$10,2,TRUE())))</f>
        <v>4.34205692500873</v>
      </c>
      <c r="F53" s="32" t="n">
        <f aca="false">E53*$B$3</f>
        <v>52.1046831001048</v>
      </c>
      <c r="G53" s="32" t="n">
        <f aca="false">MAX(C53-F53,0)</f>
        <v>16.113843019268</v>
      </c>
      <c r="H53" s="32" t="n">
        <f aca="false">G53*100</f>
        <v>1611.3843019268</v>
      </c>
    </row>
    <row r="54" customFormat="false" ht="15" hidden="false" customHeight="false" outlineLevel="0" collapsed="false">
      <c r="A54" s="32" t="n">
        <f aca="false">A53+1</f>
        <v>40</v>
      </c>
      <c r="B54" s="32" t="n">
        <f aca="true">RAND()</f>
        <v>0.855066123846492</v>
      </c>
      <c r="C54" s="32" t="n">
        <f aca="true">VLOOKUP(B54,$F$7:$H$12,2,TRUE())+(RAND()*(VLOOKUP(B54,$F$7:$H$12,3,TRUE())-VLOOKUP(B54,$F$7:$H$12,2,TRUE())))</f>
        <v>67.0642713668152</v>
      </c>
      <c r="D54" s="32" t="n">
        <f aca="true">RAND()</f>
        <v>0.60393874096245</v>
      </c>
      <c r="E54" s="32" t="n">
        <f aca="true">VLOOKUP(D54,$K$7:$M$10,2,TRUE())+(RAND()*(VLOOKUP(D54,$K$7:$M$10,3,TRUE())-VLOOKUP(D54,$K$7:$M$10,2,TRUE())))</f>
        <v>4.91978128766622</v>
      </c>
      <c r="F54" s="32" t="n">
        <f aca="false">E54*$B$3</f>
        <v>59.0373754519947</v>
      </c>
      <c r="G54" s="32" t="n">
        <f aca="false">MAX(C54-F54,0)</f>
        <v>8.02689591482054</v>
      </c>
      <c r="H54" s="32" t="n">
        <f aca="false">G54*100</f>
        <v>802.689591482054</v>
      </c>
    </row>
    <row r="55" customFormat="false" ht="15" hidden="false" customHeight="false" outlineLevel="0" collapsed="false">
      <c r="A55" s="32" t="n">
        <f aca="false">A54+1</f>
        <v>41</v>
      </c>
      <c r="B55" s="32" t="n">
        <f aca="true">RAND()</f>
        <v>0.172949248015383</v>
      </c>
      <c r="C55" s="32" t="n">
        <f aca="true">VLOOKUP(B55,$F$7:$H$12,2,TRUE())+(RAND()*(VLOOKUP(B55,$F$7:$H$12,3,TRUE())-VLOOKUP(B55,$F$7:$H$12,2,TRUE())))</f>
        <v>55.895772695255</v>
      </c>
      <c r="D55" s="32" t="n">
        <f aca="true">RAND()</f>
        <v>0.293666473508947</v>
      </c>
      <c r="E55" s="32" t="n">
        <f aca="true">VLOOKUP(D55,$K$7:$M$10,2,TRUE())+(RAND()*(VLOOKUP(D55,$K$7:$M$10,3,TRUE())-VLOOKUP(D55,$K$7:$M$10,2,TRUE())))</f>
        <v>4.23597258772092</v>
      </c>
      <c r="F55" s="32" t="n">
        <f aca="false">E55*$B$3</f>
        <v>50.831671052651</v>
      </c>
      <c r="G55" s="32" t="n">
        <f aca="false">MAX(C55-F55,0)</f>
        <v>5.06410164260394</v>
      </c>
      <c r="H55" s="32" t="n">
        <f aca="false">G55*100</f>
        <v>506.410164260394</v>
      </c>
    </row>
    <row r="56" customFormat="false" ht="15" hidden="false" customHeight="false" outlineLevel="0" collapsed="false">
      <c r="A56" s="32" t="n">
        <f aca="false">A55+1</f>
        <v>42</v>
      </c>
      <c r="B56" s="32" t="n">
        <f aca="true">RAND()</f>
        <v>0.954932661779976</v>
      </c>
      <c r="C56" s="32" t="n">
        <f aca="true">VLOOKUP(B56,$F$7:$H$12,2,TRUE())+(RAND()*(VLOOKUP(B56,$F$7:$H$12,3,TRUE())-VLOOKUP(B56,$F$7:$H$12,2,TRUE())))</f>
        <v>76.5749990586623</v>
      </c>
      <c r="D56" s="32" t="n">
        <f aca="true">RAND()</f>
        <v>0.970974793434634</v>
      </c>
      <c r="E56" s="32" t="n">
        <f aca="true">VLOOKUP(D56,$K$7:$M$10,2,TRUE())+(RAND()*(VLOOKUP(D56,$K$7:$M$10,3,TRUE())-VLOOKUP(D56,$K$7:$M$10,2,TRUE())))</f>
        <v>5.51321624919857</v>
      </c>
      <c r="F56" s="32" t="n">
        <f aca="false">E56*$B$3</f>
        <v>66.1585949903828</v>
      </c>
      <c r="G56" s="32" t="n">
        <f aca="false">MAX(C56-F56,0)</f>
        <v>10.4164040682795</v>
      </c>
      <c r="H56" s="32" t="n">
        <f aca="false">G56*100</f>
        <v>1041.64040682795</v>
      </c>
    </row>
    <row r="57" customFormat="false" ht="15" hidden="false" customHeight="false" outlineLevel="0" collapsed="false">
      <c r="A57" s="32" t="n">
        <f aca="false">A56+1</f>
        <v>43</v>
      </c>
      <c r="B57" s="32" t="n">
        <f aca="true">RAND()</f>
        <v>0.514295942870374</v>
      </c>
      <c r="C57" s="32" t="n">
        <f aca="true">VLOOKUP(B57,$F$7:$H$12,2,TRUE())+(RAND()*(VLOOKUP(B57,$F$7:$H$12,3,TRUE())-VLOOKUP(B57,$F$7:$H$12,2,TRUE())))</f>
        <v>60.3773115455553</v>
      </c>
      <c r="D57" s="32" t="n">
        <f aca="true">RAND()</f>
        <v>0.504527088155753</v>
      </c>
      <c r="E57" s="32" t="n">
        <f aca="true">VLOOKUP(D57,$K$7:$M$10,2,TRUE())+(RAND()*(VLOOKUP(D57,$K$7:$M$10,3,TRUE())-VLOOKUP(D57,$K$7:$M$10,2,TRUE())))</f>
        <v>4.97488648277465</v>
      </c>
      <c r="F57" s="32" t="n">
        <f aca="false">E57*$B$3</f>
        <v>59.6986377932958</v>
      </c>
      <c r="G57" s="32" t="n">
        <f aca="false">MAX(C57-F57,0)</f>
        <v>0.678673752259549</v>
      </c>
      <c r="H57" s="32" t="n">
        <f aca="false">G57*100</f>
        <v>67.8673752259549</v>
      </c>
    </row>
    <row r="58" customFormat="false" ht="15" hidden="false" customHeight="false" outlineLevel="0" collapsed="false">
      <c r="A58" s="32" t="n">
        <f aca="false">A57+1</f>
        <v>44</v>
      </c>
      <c r="B58" s="32" t="n">
        <f aca="true">RAND()</f>
        <v>0.387580267057099</v>
      </c>
      <c r="C58" s="32" t="n">
        <f aca="true">VLOOKUP(B58,$F$7:$H$12,2,TRUE())+(RAND()*(VLOOKUP(B58,$F$7:$H$12,3,TRUE())-VLOOKUP(B58,$F$7:$H$12,2,TRUE())))</f>
        <v>60.7417060561187</v>
      </c>
      <c r="D58" s="32" t="n">
        <f aca="true">RAND()</f>
        <v>0.0690501771713443</v>
      </c>
      <c r="E58" s="32" t="n">
        <f aca="true">VLOOKUP(D58,$K$7:$M$10,2,TRUE())+(RAND()*(VLOOKUP(D58,$K$7:$M$10,3,TRUE())-VLOOKUP(D58,$K$7:$M$10,2,TRUE())))</f>
        <v>4.16147553008257</v>
      </c>
      <c r="F58" s="32" t="n">
        <f aca="false">E58*$B$3</f>
        <v>49.9377063609908</v>
      </c>
      <c r="G58" s="32" t="n">
        <f aca="false">MAX(C58-F58,0)</f>
        <v>10.8039996951278</v>
      </c>
      <c r="H58" s="32" t="n">
        <f aca="false">G58*100</f>
        <v>1080.39996951278</v>
      </c>
    </row>
    <row r="59" customFormat="false" ht="15" hidden="false" customHeight="false" outlineLevel="0" collapsed="false">
      <c r="A59" s="32" t="n">
        <f aca="false">A58+1</f>
        <v>45</v>
      </c>
      <c r="B59" s="32" t="n">
        <f aca="true">RAND()</f>
        <v>0.614051838571912</v>
      </c>
      <c r="C59" s="32" t="n">
        <f aca="true">VLOOKUP(B59,$F$7:$H$12,2,TRUE())+(RAND()*(VLOOKUP(B59,$F$7:$H$12,3,TRUE())-VLOOKUP(B59,$F$7:$H$12,2,TRUE())))</f>
        <v>66.7084508657284</v>
      </c>
      <c r="D59" s="32" t="n">
        <f aca="true">RAND()</f>
        <v>0.664515648708326</v>
      </c>
      <c r="E59" s="32" t="n">
        <f aca="true">VLOOKUP(D59,$K$7:$M$10,2,TRUE())+(RAND()*(VLOOKUP(D59,$K$7:$M$10,3,TRUE())-VLOOKUP(D59,$K$7:$M$10,2,TRUE())))</f>
        <v>4.98216828501483</v>
      </c>
      <c r="F59" s="32" t="n">
        <f aca="false">E59*$B$3</f>
        <v>59.786019420178</v>
      </c>
      <c r="G59" s="32" t="n">
        <f aca="false">MAX(C59-F59,0)</f>
        <v>6.92243144555041</v>
      </c>
      <c r="H59" s="32" t="n">
        <f aca="false">G59*100</f>
        <v>692.243144555041</v>
      </c>
    </row>
    <row r="60" customFormat="false" ht="15" hidden="false" customHeight="false" outlineLevel="0" collapsed="false">
      <c r="A60" s="32" t="n">
        <f aca="false">A59+1</f>
        <v>46</v>
      </c>
      <c r="B60" s="32" t="n">
        <f aca="true">RAND()</f>
        <v>0.224225057890983</v>
      </c>
      <c r="C60" s="32" t="n">
        <f aca="true">VLOOKUP(B60,$F$7:$H$12,2,TRUE())+(RAND()*(VLOOKUP(B60,$F$7:$H$12,3,TRUE())-VLOOKUP(B60,$F$7:$H$12,2,TRUE())))</f>
        <v>56.5830608810605</v>
      </c>
      <c r="D60" s="32" t="n">
        <f aca="true">RAND()</f>
        <v>0.380063001626768</v>
      </c>
      <c r="E60" s="32" t="n">
        <f aca="true">VLOOKUP(D60,$K$7:$M$10,2,TRUE())+(RAND()*(VLOOKUP(D60,$K$7:$M$10,3,TRUE())-VLOOKUP(D60,$K$7:$M$10,2,TRUE())))</f>
        <v>4.68119199832432</v>
      </c>
      <c r="F60" s="32" t="n">
        <f aca="false">E60*$B$3</f>
        <v>56.1743039798918</v>
      </c>
      <c r="G60" s="32" t="n">
        <f aca="false">MAX(C60-F60,0)</f>
        <v>0.408756901168722</v>
      </c>
      <c r="H60" s="32" t="n">
        <f aca="false">G60*100</f>
        <v>40.8756901168722</v>
      </c>
    </row>
    <row r="61" customFormat="false" ht="15" hidden="false" customHeight="false" outlineLevel="0" collapsed="false">
      <c r="A61" s="32" t="n">
        <f aca="false">A60+1</f>
        <v>47</v>
      </c>
      <c r="B61" s="32" t="n">
        <f aca="true">RAND()</f>
        <v>0.214883937403459</v>
      </c>
      <c r="C61" s="32" t="n">
        <f aca="true">VLOOKUP(B61,$F$7:$H$12,2,TRUE())+(RAND()*(VLOOKUP(B61,$F$7:$H$12,3,TRUE())-VLOOKUP(B61,$F$7:$H$12,2,TRUE())))</f>
        <v>59.5039914787686</v>
      </c>
      <c r="D61" s="32" t="n">
        <f aca="true">RAND()</f>
        <v>0.662312868148849</v>
      </c>
      <c r="E61" s="32" t="n">
        <f aca="true">VLOOKUP(D61,$K$7:$M$10,2,TRUE())+(RAND()*(VLOOKUP(D61,$K$7:$M$10,3,TRUE())-VLOOKUP(D61,$K$7:$M$10,2,TRUE())))</f>
        <v>4.74181646793392</v>
      </c>
      <c r="F61" s="32" t="n">
        <f aca="false">E61*$B$3</f>
        <v>56.9017976152071</v>
      </c>
      <c r="G61" s="32" t="n">
        <f aca="false">MAX(C61-F61,0)</f>
        <v>2.60219386356145</v>
      </c>
      <c r="H61" s="32" t="n">
        <f aca="false">G61*100</f>
        <v>260.219386356145</v>
      </c>
    </row>
    <row r="62" customFormat="false" ht="15" hidden="false" customHeight="false" outlineLevel="0" collapsed="false">
      <c r="A62" s="32" t="n">
        <f aca="false">A61+1</f>
        <v>48</v>
      </c>
      <c r="B62" s="32" t="n">
        <f aca="true">RAND()</f>
        <v>0.0994646072601944</v>
      </c>
      <c r="C62" s="32" t="n">
        <f aca="true">VLOOKUP(B62,$F$7:$H$12,2,TRUE())+(RAND()*(VLOOKUP(B62,$F$7:$H$12,3,TRUE())-VLOOKUP(B62,$F$7:$H$12,2,TRUE())))</f>
        <v>54.540351077967</v>
      </c>
      <c r="D62" s="32" t="n">
        <f aca="true">RAND()</f>
        <v>0.184211826428981</v>
      </c>
      <c r="E62" s="32" t="n">
        <f aca="true">VLOOKUP(D62,$K$7:$M$10,2,TRUE())+(RAND()*(VLOOKUP(D62,$K$7:$M$10,3,TRUE())-VLOOKUP(D62,$K$7:$M$10,2,TRUE())))</f>
        <v>4.01144322536143</v>
      </c>
      <c r="F62" s="32" t="n">
        <f aca="false">E62*$B$3</f>
        <v>48.1373187043371</v>
      </c>
      <c r="G62" s="32" t="n">
        <f aca="false">MAX(C62-F62,0)</f>
        <v>6.40303237362986</v>
      </c>
      <c r="H62" s="32" t="n">
        <f aca="false">G62*100</f>
        <v>640.303237362986</v>
      </c>
    </row>
    <row r="63" customFormat="false" ht="15" hidden="false" customHeight="false" outlineLevel="0" collapsed="false">
      <c r="A63" s="32" t="n">
        <f aca="false">A62+1</f>
        <v>49</v>
      </c>
      <c r="B63" s="32" t="n">
        <f aca="true">RAND()</f>
        <v>0.48953630688776</v>
      </c>
      <c r="C63" s="32" t="n">
        <f aca="true">VLOOKUP(B63,$F$7:$H$12,2,TRUE())+(RAND()*(VLOOKUP(B63,$F$7:$H$12,3,TRUE())-VLOOKUP(B63,$F$7:$H$12,2,TRUE())))</f>
        <v>60.3906531123748</v>
      </c>
      <c r="D63" s="32" t="n">
        <f aca="true">RAND()</f>
        <v>0.400682147504355</v>
      </c>
      <c r="E63" s="32" t="n">
        <f aca="true">VLOOKUP(D63,$K$7:$M$10,2,TRUE())+(RAND()*(VLOOKUP(D63,$K$7:$M$10,3,TRUE())-VLOOKUP(D63,$K$7:$M$10,2,TRUE())))</f>
        <v>4.90742218413252</v>
      </c>
      <c r="F63" s="32" t="n">
        <f aca="false">E63*$B$3</f>
        <v>58.8890662095903</v>
      </c>
      <c r="G63" s="32" t="n">
        <f aca="false">MAX(C63-F63,0)</f>
        <v>1.50158690278457</v>
      </c>
      <c r="H63" s="32" t="n">
        <f aca="false">G63*100</f>
        <v>150.158690278457</v>
      </c>
    </row>
    <row r="64" customFormat="false" ht="15" hidden="false" customHeight="false" outlineLevel="0" collapsed="false">
      <c r="A64" s="32" t="n">
        <f aca="false">A63+1</f>
        <v>50</v>
      </c>
      <c r="B64" s="32" t="n">
        <f aca="true">RAND()</f>
        <v>0.398450134922165</v>
      </c>
      <c r="C64" s="32" t="n">
        <f aca="true">VLOOKUP(B64,$F$7:$H$12,2,TRUE())+(RAND()*(VLOOKUP(B64,$F$7:$H$12,3,TRUE())-VLOOKUP(B64,$F$7:$H$12,2,TRUE())))</f>
        <v>61.9149975615143</v>
      </c>
      <c r="D64" s="32" t="n">
        <f aca="true">RAND()</f>
        <v>0.491865351516531</v>
      </c>
      <c r="E64" s="32" t="n">
        <f aca="true">VLOOKUP(D64,$K$7:$M$10,2,TRUE())+(RAND()*(VLOOKUP(D64,$K$7:$M$10,3,TRUE())-VLOOKUP(D64,$K$7:$M$10,2,TRUE())))</f>
        <v>4.54004927401929</v>
      </c>
      <c r="F64" s="32" t="n">
        <f aca="false">E64*$B$3</f>
        <v>54.4805912882315</v>
      </c>
      <c r="G64" s="32" t="n">
        <f aca="false">MAX(C64-F64,0)</f>
        <v>7.43440627328274</v>
      </c>
      <c r="H64" s="32" t="n">
        <f aca="false">G64*100</f>
        <v>743.440627328274</v>
      </c>
    </row>
    <row r="65" customFormat="false" ht="15" hidden="false" customHeight="false" outlineLevel="0" collapsed="false">
      <c r="A65" s="32" t="n">
        <f aca="false">A64+1</f>
        <v>51</v>
      </c>
      <c r="B65" s="32" t="n">
        <f aca="true">RAND()</f>
        <v>0.211104671027769</v>
      </c>
      <c r="C65" s="32" t="n">
        <f aca="true">VLOOKUP(B65,$F$7:$H$12,2,TRUE())+(RAND()*(VLOOKUP(B65,$F$7:$H$12,3,TRUE())-VLOOKUP(B65,$F$7:$H$12,2,TRUE())))</f>
        <v>56.7794283098717</v>
      </c>
      <c r="D65" s="32" t="n">
        <f aca="true">RAND()</f>
        <v>0.959314664160615</v>
      </c>
      <c r="E65" s="32" t="n">
        <f aca="true">VLOOKUP(D65,$K$7:$M$10,2,TRUE())+(RAND()*(VLOOKUP(D65,$K$7:$M$10,3,TRUE())-VLOOKUP(D65,$K$7:$M$10,2,TRUE())))</f>
        <v>5.81358865219341</v>
      </c>
      <c r="F65" s="32" t="n">
        <f aca="false">E65*$B$3</f>
        <v>69.7630638263209</v>
      </c>
      <c r="G65" s="32" t="n">
        <f aca="false">MAX(C65-F65,0)</f>
        <v>0</v>
      </c>
      <c r="H65" s="32" t="n">
        <f aca="false">G65*100</f>
        <v>0</v>
      </c>
    </row>
    <row r="66" customFormat="false" ht="15" hidden="false" customHeight="false" outlineLevel="0" collapsed="false">
      <c r="A66" s="32" t="n">
        <f aca="false">A65+1</f>
        <v>52</v>
      </c>
      <c r="B66" s="32" t="n">
        <f aca="true">RAND()</f>
        <v>0.85380481301403</v>
      </c>
      <c r="C66" s="32" t="n">
        <f aca="true">VLOOKUP(B66,$F$7:$H$12,2,TRUE())+(RAND()*(VLOOKUP(B66,$F$7:$H$12,3,TRUE())-VLOOKUP(B66,$F$7:$H$12,2,TRUE())))</f>
        <v>68.1836639471384</v>
      </c>
      <c r="D66" s="32" t="n">
        <f aca="true">RAND()</f>
        <v>0.615911602206839</v>
      </c>
      <c r="E66" s="32" t="n">
        <f aca="true">VLOOKUP(D66,$K$7:$M$10,2,TRUE())+(RAND()*(VLOOKUP(D66,$K$7:$M$10,3,TRUE())-VLOOKUP(D66,$K$7:$M$10,2,TRUE())))</f>
        <v>4.78075986045054</v>
      </c>
      <c r="F66" s="32" t="n">
        <f aca="false">E66*$B$3</f>
        <v>57.3691183254064</v>
      </c>
      <c r="G66" s="32" t="n">
        <f aca="false">MAX(C66-F66,0)</f>
        <v>10.814545621732</v>
      </c>
      <c r="H66" s="32" t="n">
        <f aca="false">G66*100</f>
        <v>1081.4545621732</v>
      </c>
    </row>
    <row r="67" customFormat="false" ht="15" hidden="false" customHeight="false" outlineLevel="0" collapsed="false">
      <c r="A67" s="32" t="n">
        <f aca="false">A66+1</f>
        <v>53</v>
      </c>
      <c r="B67" s="32" t="n">
        <f aca="true">RAND()</f>
        <v>0.697524166321537</v>
      </c>
      <c r="C67" s="32" t="n">
        <f aca="true">VLOOKUP(B67,$F$7:$H$12,2,TRUE())+(RAND()*(VLOOKUP(B67,$F$7:$H$12,3,TRUE())-VLOOKUP(B67,$F$7:$H$12,2,TRUE())))</f>
        <v>65.6680173695652</v>
      </c>
      <c r="D67" s="32" t="n">
        <f aca="true">RAND()</f>
        <v>0.76512033809193</v>
      </c>
      <c r="E67" s="32" t="n">
        <f aca="true">VLOOKUP(D67,$K$7:$M$10,2,TRUE())+(RAND()*(VLOOKUP(D67,$K$7:$M$10,3,TRUE())-VLOOKUP(D67,$K$7:$M$10,2,TRUE())))</f>
        <v>5.02754633071651</v>
      </c>
      <c r="F67" s="32" t="n">
        <f aca="false">E67*$B$3</f>
        <v>60.3305559685981</v>
      </c>
      <c r="G67" s="32" t="n">
        <f aca="false">MAX(C67-F67,0)</f>
        <v>5.33746140096712</v>
      </c>
      <c r="H67" s="32" t="n">
        <f aca="false">G67*100</f>
        <v>533.746140096712</v>
      </c>
    </row>
    <row r="68" customFormat="false" ht="15" hidden="false" customHeight="false" outlineLevel="0" collapsed="false">
      <c r="A68" s="32" t="n">
        <f aca="false">A67+1</f>
        <v>54</v>
      </c>
      <c r="B68" s="32" t="n">
        <f aca="true">RAND()</f>
        <v>0.279581639045598</v>
      </c>
      <c r="C68" s="32" t="n">
        <f aca="true">VLOOKUP(B68,$F$7:$H$12,2,TRUE())+(RAND()*(VLOOKUP(B68,$F$7:$H$12,3,TRUE())-VLOOKUP(B68,$F$7:$H$12,2,TRUE())))</f>
        <v>63.0520751875538</v>
      </c>
      <c r="D68" s="32" t="n">
        <f aca="true">RAND()</f>
        <v>0.52169061966683</v>
      </c>
      <c r="E68" s="32" t="n">
        <f aca="true">VLOOKUP(D68,$K$7:$M$10,2,TRUE())+(RAND()*(VLOOKUP(D68,$K$7:$M$10,3,TRUE())-VLOOKUP(D68,$K$7:$M$10,2,TRUE())))</f>
        <v>4.52815024731382</v>
      </c>
      <c r="F68" s="32" t="n">
        <f aca="false">E68*$B$3</f>
        <v>54.3378029677658</v>
      </c>
      <c r="G68" s="32" t="n">
        <f aca="false">MAX(C68-F68,0)</f>
        <v>8.71427221978805</v>
      </c>
      <c r="H68" s="32" t="n">
        <f aca="false">G68*100</f>
        <v>871.427221978805</v>
      </c>
    </row>
    <row r="69" customFormat="false" ht="15" hidden="false" customHeight="false" outlineLevel="0" collapsed="false">
      <c r="A69" s="32" t="n">
        <f aca="false">A68+1</f>
        <v>55</v>
      </c>
      <c r="B69" s="32" t="n">
        <f aca="true">RAND()</f>
        <v>0.237293266254265</v>
      </c>
      <c r="C69" s="32" t="n">
        <f aca="true">VLOOKUP(B69,$F$7:$H$12,2,TRUE())+(RAND()*(VLOOKUP(B69,$F$7:$H$12,3,TRUE())-VLOOKUP(B69,$F$7:$H$12,2,TRUE())))</f>
        <v>58.7953165633099</v>
      </c>
      <c r="D69" s="32" t="n">
        <f aca="true">RAND()</f>
        <v>0.770433898733752</v>
      </c>
      <c r="E69" s="32" t="n">
        <f aca="true">VLOOKUP(D69,$K$7:$M$10,2,TRUE())+(RAND()*(VLOOKUP(D69,$K$7:$M$10,3,TRUE())-VLOOKUP(D69,$K$7:$M$10,2,TRUE())))</f>
        <v>5.1497005070054</v>
      </c>
      <c r="F69" s="32" t="n">
        <f aca="false">E69*$B$3</f>
        <v>61.7964060840648</v>
      </c>
      <c r="G69" s="32" t="n">
        <f aca="false">MAX(C69-F69,0)</f>
        <v>0</v>
      </c>
      <c r="H69" s="32" t="n">
        <f aca="false">G69*100</f>
        <v>0</v>
      </c>
    </row>
    <row r="70" customFormat="false" ht="15" hidden="false" customHeight="false" outlineLevel="0" collapsed="false">
      <c r="A70" s="32" t="n">
        <f aca="false">A69+1</f>
        <v>56</v>
      </c>
      <c r="B70" s="32" t="n">
        <f aca="true">RAND()</f>
        <v>0.728057991679962</v>
      </c>
      <c r="C70" s="32" t="n">
        <f aca="true">VLOOKUP(B70,$F$7:$H$12,2,TRUE())+(RAND()*(VLOOKUP(B70,$F$7:$H$12,3,TRUE())-VLOOKUP(B70,$F$7:$H$12,2,TRUE())))</f>
        <v>67.785928692724</v>
      </c>
      <c r="D70" s="32" t="n">
        <f aca="true">RAND()</f>
        <v>0.286870050035131</v>
      </c>
      <c r="E70" s="32" t="n">
        <f aca="true">VLOOKUP(D70,$K$7:$M$10,2,TRUE())+(RAND()*(VLOOKUP(D70,$K$7:$M$10,3,TRUE())-VLOOKUP(D70,$K$7:$M$10,2,TRUE())))</f>
        <v>4.19410393534821</v>
      </c>
      <c r="F70" s="32" t="n">
        <f aca="false">E70*$B$3</f>
        <v>50.3292472241785</v>
      </c>
      <c r="G70" s="32" t="n">
        <f aca="false">MAX(C70-F70,0)</f>
        <v>17.4566814685455</v>
      </c>
      <c r="H70" s="32" t="n">
        <f aca="false">G70*100</f>
        <v>1745.66814685455</v>
      </c>
    </row>
    <row r="71" customFormat="false" ht="15" hidden="false" customHeight="false" outlineLevel="0" collapsed="false">
      <c r="A71" s="32" t="n">
        <f aca="false">A70+1</f>
        <v>57</v>
      </c>
      <c r="B71" s="32" t="n">
        <f aca="true">RAND()</f>
        <v>0.407568115901472</v>
      </c>
      <c r="C71" s="32" t="n">
        <f aca="true">VLOOKUP(B71,$F$7:$H$12,2,TRUE())+(RAND()*(VLOOKUP(B71,$F$7:$H$12,3,TRUE())-VLOOKUP(B71,$F$7:$H$12,2,TRUE())))</f>
        <v>64.3343670651389</v>
      </c>
      <c r="D71" s="32" t="n">
        <f aca="true">RAND()</f>
        <v>0.436015272046341</v>
      </c>
      <c r="E71" s="32" t="n">
        <f aca="true">VLOOKUP(D71,$K$7:$M$10,2,TRUE())+(RAND()*(VLOOKUP(D71,$K$7:$M$10,3,TRUE())-VLOOKUP(D71,$K$7:$M$10,2,TRUE())))</f>
        <v>4.61791724753229</v>
      </c>
      <c r="F71" s="32" t="n">
        <f aca="false">E71*$B$3</f>
        <v>55.4150069703874</v>
      </c>
      <c r="G71" s="32" t="n">
        <f aca="false">MAX(C71-F71,0)</f>
        <v>8.91936009475149</v>
      </c>
      <c r="H71" s="32" t="n">
        <f aca="false">G71*100</f>
        <v>891.936009475149</v>
      </c>
    </row>
    <row r="72" customFormat="false" ht="15" hidden="false" customHeight="false" outlineLevel="0" collapsed="false">
      <c r="A72" s="32" t="n">
        <f aca="false">A71+1</f>
        <v>58</v>
      </c>
      <c r="B72" s="32" t="n">
        <f aca="true">RAND()</f>
        <v>0.75470926288778</v>
      </c>
      <c r="C72" s="32" t="n">
        <f aca="true">VLOOKUP(B72,$F$7:$H$12,2,TRUE())+(RAND()*(VLOOKUP(B72,$F$7:$H$12,3,TRUE())-VLOOKUP(B72,$F$7:$H$12,2,TRUE())))</f>
        <v>69.0431784801783</v>
      </c>
      <c r="D72" s="32" t="n">
        <f aca="true">RAND()</f>
        <v>0.824485401228386</v>
      </c>
      <c r="E72" s="32" t="n">
        <f aca="true">VLOOKUP(D72,$K$7:$M$10,2,TRUE())+(RAND()*(VLOOKUP(D72,$K$7:$M$10,3,TRUE())-VLOOKUP(D72,$K$7:$M$10,2,TRUE())))</f>
        <v>5.15309525385599</v>
      </c>
      <c r="F72" s="32" t="n">
        <f aca="false">E72*$B$3</f>
        <v>61.8371430462719</v>
      </c>
      <c r="G72" s="32" t="n">
        <f aca="false">MAX(C72-F72,0)</f>
        <v>7.20603543390634</v>
      </c>
      <c r="H72" s="32" t="n">
        <f aca="false">G72*100</f>
        <v>720.603543390634</v>
      </c>
    </row>
    <row r="73" customFormat="false" ht="15" hidden="false" customHeight="false" outlineLevel="0" collapsed="false">
      <c r="A73" s="32" t="n">
        <f aca="false">A72+1</f>
        <v>59</v>
      </c>
      <c r="B73" s="32" t="n">
        <f aca="true">RAND()</f>
        <v>0.407304511778671</v>
      </c>
      <c r="C73" s="32" t="n">
        <f aca="true">VLOOKUP(B73,$F$7:$H$12,2,TRUE())+(RAND()*(VLOOKUP(B73,$F$7:$H$12,3,TRUE())-VLOOKUP(B73,$F$7:$H$12,2,TRUE())))</f>
        <v>61.7911422169885</v>
      </c>
      <c r="D73" s="32" t="n">
        <f aca="true">RAND()</f>
        <v>0.0103502767037965</v>
      </c>
      <c r="E73" s="32" t="n">
        <f aca="true">VLOOKUP(D73,$K$7:$M$10,2,TRUE())+(RAND()*(VLOOKUP(D73,$K$7:$M$10,3,TRUE())-VLOOKUP(D73,$K$7:$M$10,2,TRUE())))</f>
        <v>4.28130351333101</v>
      </c>
      <c r="F73" s="32" t="n">
        <f aca="false">E73*$B$3</f>
        <v>51.3756421599721</v>
      </c>
      <c r="G73" s="32" t="n">
        <f aca="false">MAX(C73-F73,0)</f>
        <v>10.4155000570163</v>
      </c>
      <c r="H73" s="32" t="n">
        <f aca="false">G73*100</f>
        <v>1041.55000570163</v>
      </c>
    </row>
    <row r="74" customFormat="false" ht="15" hidden="false" customHeight="false" outlineLevel="0" collapsed="false">
      <c r="A74" s="32" t="n">
        <f aca="false">A73+1</f>
        <v>60</v>
      </c>
      <c r="B74" s="32" t="n">
        <f aca="true">RAND()</f>
        <v>0.844149146033198</v>
      </c>
      <c r="C74" s="32" t="n">
        <f aca="true">VLOOKUP(B74,$F$7:$H$12,2,TRUE())+(RAND()*(VLOOKUP(B74,$F$7:$H$12,3,TRUE())-VLOOKUP(B74,$F$7:$H$12,2,TRUE())))</f>
        <v>65.6576744769229</v>
      </c>
      <c r="D74" s="32" t="n">
        <f aca="true">RAND()</f>
        <v>0.744347363508051</v>
      </c>
      <c r="E74" s="32" t="n">
        <f aca="true">VLOOKUP(D74,$K$7:$M$10,2,TRUE())+(RAND()*(VLOOKUP(D74,$K$7:$M$10,3,TRUE())-VLOOKUP(D74,$K$7:$M$10,2,TRUE())))</f>
        <v>5.27507225806921</v>
      </c>
      <c r="F74" s="32" t="n">
        <f aca="false">E74*$B$3</f>
        <v>63.3008670968305</v>
      </c>
      <c r="G74" s="32" t="n">
        <f aca="false">MAX(C74-F74,0)</f>
        <v>2.35680738009232</v>
      </c>
      <c r="H74" s="32" t="n">
        <f aca="false">G74*100</f>
        <v>235.680738009232</v>
      </c>
    </row>
    <row r="75" customFormat="false" ht="15" hidden="false" customHeight="false" outlineLevel="0" collapsed="false">
      <c r="A75" s="32" t="n">
        <f aca="false">A74+1</f>
        <v>61</v>
      </c>
      <c r="B75" s="32" t="n">
        <f aca="true">RAND()</f>
        <v>0.409041816605569</v>
      </c>
      <c r="C75" s="32" t="n">
        <f aca="true">VLOOKUP(B75,$F$7:$H$12,2,TRUE())+(RAND()*(VLOOKUP(B75,$F$7:$H$12,3,TRUE())-VLOOKUP(B75,$F$7:$H$12,2,TRUE())))</f>
        <v>63.3049964310948</v>
      </c>
      <c r="D75" s="32" t="n">
        <f aca="true">RAND()</f>
        <v>0.0367158388900389</v>
      </c>
      <c r="E75" s="32" t="n">
        <f aca="true">VLOOKUP(D75,$K$7:$M$10,2,TRUE())+(RAND()*(VLOOKUP(D75,$K$7:$M$10,3,TRUE())-VLOOKUP(D75,$K$7:$M$10,2,TRUE())))</f>
        <v>4.4157039182493</v>
      </c>
      <c r="F75" s="32" t="n">
        <f aca="false">E75*$B$3</f>
        <v>52.9884470189916</v>
      </c>
      <c r="G75" s="32" t="n">
        <f aca="false">MAX(C75-F75,0)</f>
        <v>10.3165494121032</v>
      </c>
      <c r="H75" s="32" t="n">
        <f aca="false">G75*100</f>
        <v>1031.65494121032</v>
      </c>
    </row>
    <row r="76" customFormat="false" ht="15" hidden="false" customHeight="false" outlineLevel="0" collapsed="false">
      <c r="A76" s="32" t="n">
        <f aca="false">A75+1</f>
        <v>62</v>
      </c>
      <c r="B76" s="32" t="n">
        <f aca="true">RAND()</f>
        <v>0.935436853460665</v>
      </c>
      <c r="C76" s="32" t="n">
        <f aca="true">VLOOKUP(B76,$F$7:$H$12,2,TRUE())+(RAND()*(VLOOKUP(B76,$F$7:$H$12,3,TRUE())-VLOOKUP(B76,$F$7:$H$12,2,TRUE())))</f>
        <v>79.3047927930513</v>
      </c>
      <c r="D76" s="32" t="n">
        <f aca="true">RAND()</f>
        <v>0.425052513505906</v>
      </c>
      <c r="E76" s="32" t="n">
        <f aca="true">VLOOKUP(D76,$K$7:$M$10,2,TRUE())+(RAND()*(VLOOKUP(D76,$K$7:$M$10,3,TRUE())-VLOOKUP(D76,$K$7:$M$10,2,TRUE())))</f>
        <v>4.90077346289293</v>
      </c>
      <c r="F76" s="32" t="n">
        <f aca="false">E76*$B$3</f>
        <v>58.8092815547152</v>
      </c>
      <c r="G76" s="32" t="n">
        <f aca="false">MAX(C76-F76,0)</f>
        <v>20.4955112383361</v>
      </c>
      <c r="H76" s="32" t="n">
        <f aca="false">G76*100</f>
        <v>2049.55112383361</v>
      </c>
    </row>
    <row r="77" customFormat="false" ht="15" hidden="false" customHeight="false" outlineLevel="0" collapsed="false">
      <c r="A77" s="32" t="n">
        <f aca="false">A76+1</f>
        <v>63</v>
      </c>
      <c r="B77" s="32" t="n">
        <f aca="true">RAND()</f>
        <v>0.59091051503729</v>
      </c>
      <c r="C77" s="32" t="n">
        <f aca="true">VLOOKUP(B77,$F$7:$H$12,2,TRUE())+(RAND()*(VLOOKUP(B77,$F$7:$H$12,3,TRUE())-VLOOKUP(B77,$F$7:$H$12,2,TRUE())))</f>
        <v>67.29020928439</v>
      </c>
      <c r="D77" s="32" t="n">
        <f aca="true">RAND()</f>
        <v>0.0299156487261607</v>
      </c>
      <c r="E77" s="32" t="n">
        <f aca="true">VLOOKUP(D77,$K$7:$M$10,2,TRUE())+(RAND()*(VLOOKUP(D77,$K$7:$M$10,3,TRUE())-VLOOKUP(D77,$K$7:$M$10,2,TRUE())))</f>
        <v>4.28546575359942</v>
      </c>
      <c r="F77" s="32" t="n">
        <f aca="false">E77*$B$3</f>
        <v>51.4255890431931</v>
      </c>
      <c r="G77" s="32" t="n">
        <f aca="false">MAX(C77-F77,0)</f>
        <v>15.8646202411969</v>
      </c>
      <c r="H77" s="32" t="n">
        <f aca="false">G77*100</f>
        <v>1586.46202411969</v>
      </c>
    </row>
    <row r="78" customFormat="false" ht="15" hidden="false" customHeight="false" outlineLevel="0" collapsed="false">
      <c r="A78" s="32" t="n">
        <f aca="false">A77+1</f>
        <v>64</v>
      </c>
      <c r="B78" s="32" t="n">
        <f aca="true">RAND()</f>
        <v>0.340044712016116</v>
      </c>
      <c r="C78" s="32" t="n">
        <f aca="true">VLOOKUP(B78,$F$7:$H$12,2,TRUE())+(RAND()*(VLOOKUP(B78,$F$7:$H$12,3,TRUE())-VLOOKUP(B78,$F$7:$H$12,2,TRUE())))</f>
        <v>62.3227667617923</v>
      </c>
      <c r="D78" s="32" t="n">
        <f aca="true">RAND()</f>
        <v>0.549872053021466</v>
      </c>
      <c r="E78" s="32" t="n">
        <f aca="true">VLOOKUP(D78,$K$7:$M$10,2,TRUE())+(RAND()*(VLOOKUP(D78,$K$7:$M$10,3,TRUE())-VLOOKUP(D78,$K$7:$M$10,2,TRUE())))</f>
        <v>4.91604198363294</v>
      </c>
      <c r="F78" s="32" t="n">
        <f aca="false">E78*$B$3</f>
        <v>58.9925038035952</v>
      </c>
      <c r="G78" s="32" t="n">
        <f aca="false">MAX(C78-F78,0)</f>
        <v>3.33026295819709</v>
      </c>
      <c r="H78" s="32" t="n">
        <f aca="false">G78*100</f>
        <v>333.026295819709</v>
      </c>
    </row>
    <row r="79" customFormat="false" ht="15" hidden="false" customHeight="false" outlineLevel="0" collapsed="false">
      <c r="A79" s="32" t="n">
        <f aca="false">A78+1</f>
        <v>65</v>
      </c>
      <c r="B79" s="32" t="n">
        <f aca="true">RAND()</f>
        <v>0.808618853133905</v>
      </c>
      <c r="C79" s="32" t="n">
        <f aca="true">VLOOKUP(B79,$F$7:$H$12,2,TRUE())+(RAND()*(VLOOKUP(B79,$F$7:$H$12,3,TRUE())-VLOOKUP(B79,$F$7:$H$12,2,TRUE())))</f>
        <v>66.618457462096</v>
      </c>
      <c r="D79" s="32" t="n">
        <f aca="true">RAND()</f>
        <v>0.973989769698456</v>
      </c>
      <c r="E79" s="32" t="n">
        <f aca="true">VLOOKUP(D79,$K$7:$M$10,2,TRUE())+(RAND()*(VLOOKUP(D79,$K$7:$M$10,3,TRUE())-VLOOKUP(D79,$K$7:$M$10,2,TRUE())))</f>
        <v>5.65754375885715</v>
      </c>
      <c r="F79" s="32" t="n">
        <f aca="false">E79*$B$3</f>
        <v>67.8905251062858</v>
      </c>
      <c r="G79" s="32" t="n">
        <f aca="false">MAX(C79-F79,0)</f>
        <v>0</v>
      </c>
      <c r="H79" s="32" t="n">
        <f aca="false">G79*100</f>
        <v>0</v>
      </c>
    </row>
    <row r="80" customFormat="false" ht="15" hidden="false" customHeight="false" outlineLevel="0" collapsed="false">
      <c r="A80" s="32" t="n">
        <f aca="false">A79+1</f>
        <v>66</v>
      </c>
      <c r="B80" s="32" t="n">
        <f aca="true">RAND()</f>
        <v>0.127004446166986</v>
      </c>
      <c r="C80" s="32" t="n">
        <f aca="true">VLOOKUP(B80,$F$7:$H$12,2,TRUE())+(RAND()*(VLOOKUP(B80,$F$7:$H$12,3,TRUE())-VLOOKUP(B80,$F$7:$H$12,2,TRUE())))</f>
        <v>55.8654017326627</v>
      </c>
      <c r="D80" s="32" t="n">
        <f aca="true">RAND()</f>
        <v>0.534933760131892</v>
      </c>
      <c r="E80" s="32" t="n">
        <f aca="true">VLOOKUP(D80,$K$7:$M$10,2,TRUE())+(RAND()*(VLOOKUP(D80,$K$7:$M$10,3,TRUE())-VLOOKUP(D80,$K$7:$M$10,2,TRUE())))</f>
        <v>4.71657424512206</v>
      </c>
      <c r="F80" s="32" t="n">
        <f aca="false">E80*$B$3</f>
        <v>56.5988909414647</v>
      </c>
      <c r="G80" s="32" t="n">
        <f aca="false">MAX(C80-F80,0)</f>
        <v>0</v>
      </c>
      <c r="H80" s="32" t="n">
        <f aca="false">G80*100</f>
        <v>0</v>
      </c>
    </row>
    <row r="81" customFormat="false" ht="15" hidden="false" customHeight="false" outlineLevel="0" collapsed="false">
      <c r="A81" s="32" t="n">
        <f aca="false">A80+1</f>
        <v>67</v>
      </c>
      <c r="B81" s="32" t="n">
        <f aca="true">RAND()</f>
        <v>0.178838564707611</v>
      </c>
      <c r="C81" s="32" t="n">
        <f aca="true">VLOOKUP(B81,$F$7:$H$12,2,TRUE())+(RAND()*(VLOOKUP(B81,$F$7:$H$12,3,TRUE())-VLOOKUP(B81,$F$7:$H$12,2,TRUE())))</f>
        <v>55.1267705823654</v>
      </c>
      <c r="D81" s="32" t="n">
        <f aca="true">RAND()</f>
        <v>0.744336101545054</v>
      </c>
      <c r="E81" s="32" t="n">
        <f aca="true">VLOOKUP(D81,$K$7:$M$10,2,TRUE())+(RAND()*(VLOOKUP(D81,$K$7:$M$10,3,TRUE())-VLOOKUP(D81,$K$7:$M$10,2,TRUE())))</f>
        <v>5.34962369797976</v>
      </c>
      <c r="F81" s="32" t="n">
        <f aca="false">E81*$B$3</f>
        <v>64.1954843757571</v>
      </c>
      <c r="G81" s="32" t="n">
        <f aca="false">MAX(C81-F81,0)</f>
        <v>0</v>
      </c>
      <c r="H81" s="32" t="n">
        <f aca="false">G81*100</f>
        <v>0</v>
      </c>
    </row>
    <row r="82" customFormat="false" ht="15" hidden="false" customHeight="false" outlineLevel="0" collapsed="false">
      <c r="A82" s="32" t="n">
        <f aca="false">A81+1</f>
        <v>68</v>
      </c>
      <c r="B82" s="32" t="n">
        <f aca="true">RAND()</f>
        <v>0.823204522881167</v>
      </c>
      <c r="C82" s="32" t="n">
        <f aca="true">VLOOKUP(B82,$F$7:$H$12,2,TRUE())+(RAND()*(VLOOKUP(B82,$F$7:$H$12,3,TRUE())-VLOOKUP(B82,$F$7:$H$12,2,TRUE())))</f>
        <v>67.9895894820917</v>
      </c>
      <c r="D82" s="32" t="n">
        <f aca="true">RAND()</f>
        <v>0.104977018163489</v>
      </c>
      <c r="E82" s="32" t="n">
        <f aca="true">VLOOKUP(D82,$K$7:$M$10,2,TRUE())+(RAND()*(VLOOKUP(D82,$K$7:$M$10,3,TRUE())-VLOOKUP(D82,$K$7:$M$10,2,TRUE())))</f>
        <v>4.33352737427287</v>
      </c>
      <c r="F82" s="32" t="n">
        <f aca="false">E82*$B$3</f>
        <v>52.0023284912745</v>
      </c>
      <c r="G82" s="32" t="n">
        <f aca="false">MAX(C82-F82,0)</f>
        <v>15.9872609908172</v>
      </c>
      <c r="H82" s="32" t="n">
        <f aca="false">G82*100</f>
        <v>1598.72609908172</v>
      </c>
    </row>
    <row r="83" customFormat="false" ht="15" hidden="false" customHeight="false" outlineLevel="0" collapsed="false">
      <c r="A83" s="32" t="n">
        <f aca="false">A82+1</f>
        <v>69</v>
      </c>
      <c r="B83" s="32" t="n">
        <f aca="true">RAND()</f>
        <v>0.0169527225936982</v>
      </c>
      <c r="C83" s="32" t="n">
        <f aca="true">VLOOKUP(B83,$F$7:$H$12,2,TRUE())+(RAND()*(VLOOKUP(B83,$F$7:$H$12,3,TRUE())-VLOOKUP(B83,$F$7:$H$12,2,TRUE())))</f>
        <v>50.1847386488932</v>
      </c>
      <c r="D83" s="32" t="n">
        <f aca="true">RAND()</f>
        <v>0.981506663384221</v>
      </c>
      <c r="E83" s="32" t="n">
        <f aca="true">VLOOKUP(D83,$K$7:$M$10,2,TRUE())+(RAND()*(VLOOKUP(D83,$K$7:$M$10,3,TRUE())-VLOOKUP(D83,$K$7:$M$10,2,TRUE())))</f>
        <v>5.57441475185362</v>
      </c>
      <c r="F83" s="32" t="n">
        <f aca="false">E83*$B$3</f>
        <v>66.8929770222434</v>
      </c>
      <c r="G83" s="32" t="n">
        <f aca="false">MAX(C83-F83,0)</f>
        <v>0</v>
      </c>
      <c r="H83" s="32" t="n">
        <f aca="false">G83*100</f>
        <v>0</v>
      </c>
    </row>
    <row r="84" customFormat="false" ht="15" hidden="false" customHeight="false" outlineLevel="0" collapsed="false">
      <c r="A84" s="32" t="n">
        <f aca="false">A83+1</f>
        <v>70</v>
      </c>
      <c r="B84" s="32" t="n">
        <f aca="true">RAND()</f>
        <v>0.859794673932158</v>
      </c>
      <c r="C84" s="32" t="n">
        <f aca="true">VLOOKUP(B84,$F$7:$H$12,2,TRUE())+(RAND()*(VLOOKUP(B84,$F$7:$H$12,3,TRUE())-VLOOKUP(B84,$F$7:$H$12,2,TRUE())))</f>
        <v>67.2240267298651</v>
      </c>
      <c r="D84" s="32" t="n">
        <f aca="true">RAND()</f>
        <v>0.655825333833387</v>
      </c>
      <c r="E84" s="32" t="n">
        <f aca="true">VLOOKUP(D84,$K$7:$M$10,2,TRUE())+(RAND()*(VLOOKUP(D84,$K$7:$M$10,3,TRUE())-VLOOKUP(D84,$K$7:$M$10,2,TRUE())))</f>
        <v>4.94831055185361</v>
      </c>
      <c r="F84" s="32" t="n">
        <f aca="false">E84*$B$3</f>
        <v>59.3797266222433</v>
      </c>
      <c r="G84" s="32" t="n">
        <f aca="false">MAX(C84-F84,0)</f>
        <v>7.84430010762175</v>
      </c>
      <c r="H84" s="32" t="n">
        <f aca="false">G84*100</f>
        <v>784.430010762175</v>
      </c>
    </row>
    <row r="85" customFormat="false" ht="15" hidden="false" customHeight="false" outlineLevel="0" collapsed="false">
      <c r="A85" s="32" t="n">
        <f aca="false">A84+1</f>
        <v>71</v>
      </c>
      <c r="B85" s="32" t="n">
        <f aca="true">RAND()</f>
        <v>0.364798445955371</v>
      </c>
      <c r="C85" s="32" t="n">
        <f aca="true">VLOOKUP(B85,$F$7:$H$12,2,TRUE())+(RAND()*(VLOOKUP(B85,$F$7:$H$12,3,TRUE())-VLOOKUP(B85,$F$7:$H$12,2,TRUE())))</f>
        <v>60.9934461912057</v>
      </c>
      <c r="D85" s="32" t="n">
        <f aca="true">RAND()</f>
        <v>0.0363998822898809</v>
      </c>
      <c r="E85" s="32" t="n">
        <f aca="true">VLOOKUP(D85,$K$7:$M$10,2,TRUE())+(RAND()*(VLOOKUP(D85,$K$7:$M$10,3,TRUE())-VLOOKUP(D85,$K$7:$M$10,2,TRUE())))</f>
        <v>4.30276705045191</v>
      </c>
      <c r="F85" s="32" t="n">
        <f aca="false">E85*$B$3</f>
        <v>51.633204605423</v>
      </c>
      <c r="G85" s="32" t="n">
        <f aca="false">MAX(C85-F85,0)</f>
        <v>9.36024158578276</v>
      </c>
      <c r="H85" s="32" t="n">
        <f aca="false">G85*100</f>
        <v>936.024158578276</v>
      </c>
    </row>
    <row r="86" customFormat="false" ht="15" hidden="false" customHeight="false" outlineLevel="0" collapsed="false">
      <c r="A86" s="32" t="n">
        <f aca="false">A85+1</f>
        <v>72</v>
      </c>
      <c r="B86" s="32" t="n">
        <f aca="true">RAND()</f>
        <v>0.0673191142170689</v>
      </c>
      <c r="C86" s="32" t="n">
        <f aca="true">VLOOKUP(B86,$F$7:$H$12,2,TRUE())+(RAND()*(VLOOKUP(B86,$F$7:$H$12,3,TRUE())-VLOOKUP(B86,$F$7:$H$12,2,TRUE())))</f>
        <v>51.3950992759122</v>
      </c>
      <c r="D86" s="32" t="n">
        <f aca="true">RAND()</f>
        <v>0.215321669381918</v>
      </c>
      <c r="E86" s="32" t="n">
        <f aca="true">VLOOKUP(D86,$K$7:$M$10,2,TRUE())+(RAND()*(VLOOKUP(D86,$K$7:$M$10,3,TRUE())-VLOOKUP(D86,$K$7:$M$10,2,TRUE())))</f>
        <v>4.0853919686799</v>
      </c>
      <c r="F86" s="32" t="n">
        <f aca="false">E86*$B$3</f>
        <v>49.0247036241588</v>
      </c>
      <c r="G86" s="32" t="n">
        <f aca="false">MAX(C86-F86,0)</f>
        <v>2.37039565175338</v>
      </c>
      <c r="H86" s="32" t="n">
        <f aca="false">G86*100</f>
        <v>237.039565175338</v>
      </c>
    </row>
    <row r="87" customFormat="false" ht="15" hidden="false" customHeight="false" outlineLevel="0" collapsed="false">
      <c r="A87" s="32" t="n">
        <f aca="false">A86+1</f>
        <v>73</v>
      </c>
      <c r="B87" s="32" t="n">
        <f aca="true">RAND()</f>
        <v>0.208289897437034</v>
      </c>
      <c r="C87" s="32" t="n">
        <f aca="true">VLOOKUP(B87,$F$7:$H$12,2,TRUE())+(RAND()*(VLOOKUP(B87,$F$7:$H$12,3,TRUE())-VLOOKUP(B87,$F$7:$H$12,2,TRUE())))</f>
        <v>59.0342004353544</v>
      </c>
      <c r="D87" s="32" t="n">
        <f aca="true">RAND()</f>
        <v>0.135509029567067</v>
      </c>
      <c r="E87" s="32" t="n">
        <f aca="true">VLOOKUP(D87,$K$7:$M$10,2,TRUE())+(RAND()*(VLOOKUP(D87,$K$7:$M$10,3,TRUE())-VLOOKUP(D87,$K$7:$M$10,2,TRUE())))</f>
        <v>4.15353914664299</v>
      </c>
      <c r="F87" s="32" t="n">
        <f aca="false">E87*$B$3</f>
        <v>49.8424697597159</v>
      </c>
      <c r="G87" s="32" t="n">
        <f aca="false">MAX(C87-F87,0)</f>
        <v>9.19173067563855</v>
      </c>
      <c r="H87" s="32" t="n">
        <f aca="false">G87*100</f>
        <v>919.173067563855</v>
      </c>
    </row>
    <row r="88" customFormat="false" ht="15" hidden="false" customHeight="false" outlineLevel="0" collapsed="false">
      <c r="A88" s="32" t="n">
        <f aca="false">A87+1</f>
        <v>74</v>
      </c>
      <c r="B88" s="32" t="n">
        <f aca="true">RAND()</f>
        <v>0.202852007026615</v>
      </c>
      <c r="C88" s="32" t="n">
        <f aca="true">VLOOKUP(B88,$F$7:$H$12,2,TRUE())+(RAND()*(VLOOKUP(B88,$F$7:$H$12,3,TRUE())-VLOOKUP(B88,$F$7:$H$12,2,TRUE())))</f>
        <v>56.6811640782045</v>
      </c>
      <c r="D88" s="32" t="n">
        <f aca="true">RAND()</f>
        <v>0.273869863801036</v>
      </c>
      <c r="E88" s="32" t="n">
        <f aca="true">VLOOKUP(D88,$K$7:$M$10,2,TRUE())+(RAND()*(VLOOKUP(D88,$K$7:$M$10,3,TRUE())-VLOOKUP(D88,$K$7:$M$10,2,TRUE())))</f>
        <v>4.14315045873977</v>
      </c>
      <c r="F88" s="32" t="n">
        <f aca="false">E88*$B$3</f>
        <v>49.7178055048773</v>
      </c>
      <c r="G88" s="32" t="n">
        <f aca="false">MAX(C88-F88,0)</f>
        <v>6.96335857332724</v>
      </c>
      <c r="H88" s="32" t="n">
        <f aca="false">G88*100</f>
        <v>696.335857332724</v>
      </c>
    </row>
    <row r="89" customFormat="false" ht="15" hidden="false" customHeight="false" outlineLevel="0" collapsed="false">
      <c r="A89" s="32" t="n">
        <f aca="false">A88+1</f>
        <v>75</v>
      </c>
      <c r="B89" s="32" t="n">
        <f aca="true">RAND()</f>
        <v>0.893834352117375</v>
      </c>
      <c r="C89" s="32" t="n">
        <f aca="true">VLOOKUP(B89,$F$7:$H$12,2,TRUE())+(RAND()*(VLOOKUP(B89,$F$7:$H$12,3,TRUE())-VLOOKUP(B89,$F$7:$H$12,2,TRUE())))</f>
        <v>67.9322720047112</v>
      </c>
      <c r="D89" s="32" t="n">
        <f aca="true">RAND()</f>
        <v>0.0499675748039657</v>
      </c>
      <c r="E89" s="32" t="n">
        <f aca="true">VLOOKUP(D89,$K$7:$M$10,2,TRUE())+(RAND()*(VLOOKUP(D89,$K$7:$M$10,3,TRUE())-VLOOKUP(D89,$K$7:$M$10,2,TRUE())))</f>
        <v>4.43650870362755</v>
      </c>
      <c r="F89" s="32" t="n">
        <f aca="false">E89*$B$3</f>
        <v>53.2381044435306</v>
      </c>
      <c r="G89" s="32" t="n">
        <f aca="false">MAX(C89-F89,0)</f>
        <v>14.6941675611806</v>
      </c>
      <c r="H89" s="32" t="n">
        <f aca="false">G89*100</f>
        <v>1469.41675611806</v>
      </c>
    </row>
    <row r="90" customFormat="false" ht="15" hidden="false" customHeight="false" outlineLevel="0" collapsed="false">
      <c r="A90" s="32" t="n">
        <f aca="false">A89+1</f>
        <v>76</v>
      </c>
      <c r="B90" s="32" t="n">
        <f aca="true">RAND()</f>
        <v>0.376816203235402</v>
      </c>
      <c r="C90" s="32" t="n">
        <f aca="true">VLOOKUP(B90,$F$7:$H$12,2,TRUE())+(RAND()*(VLOOKUP(B90,$F$7:$H$12,3,TRUE())-VLOOKUP(B90,$F$7:$H$12,2,TRUE())))</f>
        <v>60.1364481960201</v>
      </c>
      <c r="D90" s="32" t="n">
        <f aca="true">RAND()</f>
        <v>0.718135580211034</v>
      </c>
      <c r="E90" s="32" t="n">
        <f aca="true">VLOOKUP(D90,$K$7:$M$10,2,TRUE())+(RAND()*(VLOOKUP(D90,$K$7:$M$10,3,TRUE())-VLOOKUP(D90,$K$7:$M$10,2,TRUE())))</f>
        <v>5.40357753801332</v>
      </c>
      <c r="F90" s="32" t="n">
        <f aca="false">E90*$B$3</f>
        <v>64.8429304561598</v>
      </c>
      <c r="G90" s="32" t="n">
        <f aca="false">MAX(C90-F90,0)</f>
        <v>0</v>
      </c>
      <c r="H90" s="32" t="n">
        <f aca="false">G90*100</f>
        <v>0</v>
      </c>
    </row>
    <row r="91" customFormat="false" ht="15" hidden="false" customHeight="false" outlineLevel="0" collapsed="false">
      <c r="A91" s="32" t="n">
        <f aca="false">A90+1</f>
        <v>77</v>
      </c>
      <c r="B91" s="32" t="n">
        <f aca="true">RAND()</f>
        <v>0.68364143610048</v>
      </c>
      <c r="C91" s="32" t="n">
        <f aca="true">VLOOKUP(B91,$F$7:$H$12,2,TRUE())+(RAND()*(VLOOKUP(B91,$F$7:$H$12,3,TRUE())-VLOOKUP(B91,$F$7:$H$12,2,TRUE())))</f>
        <v>69.3403135559053</v>
      </c>
      <c r="D91" s="32" t="n">
        <f aca="true">RAND()</f>
        <v>0.8196622580797</v>
      </c>
      <c r="E91" s="32" t="n">
        <f aca="true">VLOOKUP(D91,$K$7:$M$10,2,TRUE())+(RAND()*(VLOOKUP(D91,$K$7:$M$10,3,TRUE())-VLOOKUP(D91,$K$7:$M$10,2,TRUE())))</f>
        <v>5.05892306896036</v>
      </c>
      <c r="F91" s="32" t="n">
        <f aca="false">E91*$B$3</f>
        <v>60.7070768275243</v>
      </c>
      <c r="G91" s="32" t="n">
        <f aca="false">MAX(C91-F91,0)</f>
        <v>8.63323672838102</v>
      </c>
      <c r="H91" s="32" t="n">
        <f aca="false">G91*100</f>
        <v>863.323672838102</v>
      </c>
    </row>
    <row r="92" customFormat="false" ht="15" hidden="false" customHeight="false" outlineLevel="0" collapsed="false">
      <c r="A92" s="32" t="n">
        <f aca="false">A91+1</f>
        <v>78</v>
      </c>
      <c r="B92" s="32" t="n">
        <f aca="true">RAND()</f>
        <v>0.907717440046521</v>
      </c>
      <c r="C92" s="32" t="n">
        <f aca="true">VLOOKUP(B92,$F$7:$H$12,2,TRUE())+(RAND()*(VLOOKUP(B92,$F$7:$H$12,3,TRUE())-VLOOKUP(B92,$F$7:$H$12,2,TRUE())))</f>
        <v>77.348866766068</v>
      </c>
      <c r="D92" s="32" t="n">
        <f aca="true">RAND()</f>
        <v>0.424809576146783</v>
      </c>
      <c r="E92" s="32" t="n">
        <f aca="true">VLOOKUP(D92,$K$7:$M$10,2,TRUE())+(RAND()*(VLOOKUP(D92,$K$7:$M$10,3,TRUE())-VLOOKUP(D92,$K$7:$M$10,2,TRUE())))</f>
        <v>4.86814104186254</v>
      </c>
      <c r="F92" s="32" t="n">
        <f aca="false">E92*$B$3</f>
        <v>58.4176925023505</v>
      </c>
      <c r="G92" s="32" t="n">
        <f aca="false">MAX(C92-F92,0)</f>
        <v>18.9311742637176</v>
      </c>
      <c r="H92" s="32" t="n">
        <f aca="false">G92*100</f>
        <v>1893.11742637176</v>
      </c>
    </row>
    <row r="93" customFormat="false" ht="15" hidden="false" customHeight="false" outlineLevel="0" collapsed="false">
      <c r="A93" s="32" t="n">
        <f aca="false">A92+1</f>
        <v>79</v>
      </c>
      <c r="B93" s="32" t="n">
        <f aca="true">RAND()</f>
        <v>0.655408157203704</v>
      </c>
      <c r="C93" s="32" t="n">
        <f aca="true">VLOOKUP(B93,$F$7:$H$12,2,TRUE())+(RAND()*(VLOOKUP(B93,$F$7:$H$12,3,TRUE())-VLOOKUP(B93,$F$7:$H$12,2,TRUE())))</f>
        <v>68.2942860886681</v>
      </c>
      <c r="D93" s="32" t="n">
        <f aca="true">RAND()</f>
        <v>0.768600301075872</v>
      </c>
      <c r="E93" s="32" t="n">
        <f aca="true">VLOOKUP(D93,$K$7:$M$10,2,TRUE())+(RAND()*(VLOOKUP(D93,$K$7:$M$10,3,TRUE())-VLOOKUP(D93,$K$7:$M$10,2,TRUE())))</f>
        <v>5.14834638220088</v>
      </c>
      <c r="F93" s="32" t="n">
        <f aca="false">E93*$B$3</f>
        <v>61.7801565864106</v>
      </c>
      <c r="G93" s="32" t="n">
        <f aca="false">MAX(C93-F93,0)</f>
        <v>6.51412950225753</v>
      </c>
      <c r="H93" s="32" t="n">
        <f aca="false">G93*100</f>
        <v>651.412950225753</v>
      </c>
    </row>
    <row r="94" customFormat="false" ht="15" hidden="false" customHeight="false" outlineLevel="0" collapsed="false">
      <c r="A94" s="32" t="n">
        <f aca="false">A93+1</f>
        <v>80</v>
      </c>
      <c r="B94" s="32" t="n">
        <f aca="true">RAND()</f>
        <v>0.486321827087429</v>
      </c>
      <c r="C94" s="32" t="n">
        <f aca="true">VLOOKUP(B94,$F$7:$H$12,2,TRUE())+(RAND()*(VLOOKUP(B94,$F$7:$H$12,3,TRUE())-VLOOKUP(B94,$F$7:$H$12,2,TRUE())))</f>
        <v>62.4784493614418</v>
      </c>
      <c r="D94" s="32" t="n">
        <f aca="true">RAND()</f>
        <v>0.33533030733163</v>
      </c>
      <c r="E94" s="32" t="n">
        <f aca="true">VLOOKUP(D94,$K$7:$M$10,2,TRUE())+(RAND()*(VLOOKUP(D94,$K$7:$M$10,3,TRUE())-VLOOKUP(D94,$K$7:$M$10,2,TRUE())))</f>
        <v>4.69199238729983</v>
      </c>
      <c r="F94" s="32" t="n">
        <f aca="false">E94*$B$3</f>
        <v>56.303908647598</v>
      </c>
      <c r="G94" s="32" t="n">
        <f aca="false">MAX(C94-F94,0)</f>
        <v>6.17454071384378</v>
      </c>
      <c r="H94" s="32" t="n">
        <f aca="false">G94*100</f>
        <v>617.454071384378</v>
      </c>
    </row>
    <row r="95" customFormat="false" ht="15" hidden="false" customHeight="false" outlineLevel="0" collapsed="false">
      <c r="A95" s="32" t="n">
        <f aca="false">A94+1</f>
        <v>81</v>
      </c>
      <c r="B95" s="32" t="n">
        <f aca="true">RAND()</f>
        <v>0.43323109597823</v>
      </c>
      <c r="C95" s="32" t="n">
        <f aca="true">VLOOKUP(B95,$F$7:$H$12,2,TRUE())+(RAND()*(VLOOKUP(B95,$F$7:$H$12,3,TRUE())-VLOOKUP(B95,$F$7:$H$12,2,TRUE())))</f>
        <v>63.5120287447649</v>
      </c>
      <c r="D95" s="32" t="n">
        <f aca="true">RAND()</f>
        <v>0.38236844122705</v>
      </c>
      <c r="E95" s="32" t="n">
        <f aca="true">VLOOKUP(D95,$K$7:$M$10,2,TRUE())+(RAND()*(VLOOKUP(D95,$K$7:$M$10,3,TRUE())-VLOOKUP(D95,$K$7:$M$10,2,TRUE())))</f>
        <v>4.91954573152506</v>
      </c>
      <c r="F95" s="32" t="n">
        <f aca="false">E95*$B$3</f>
        <v>59.0345487783007</v>
      </c>
      <c r="G95" s="32" t="n">
        <f aca="false">MAX(C95-F95,0)</f>
        <v>4.4774799664642</v>
      </c>
      <c r="H95" s="32" t="n">
        <f aca="false">G95*100</f>
        <v>447.747996646419</v>
      </c>
    </row>
    <row r="96" customFormat="false" ht="15" hidden="false" customHeight="false" outlineLevel="0" collapsed="false">
      <c r="A96" s="32" t="n">
        <f aca="false">A95+1</f>
        <v>82</v>
      </c>
      <c r="B96" s="32" t="n">
        <f aca="true">RAND()</f>
        <v>0.942432120013817</v>
      </c>
      <c r="C96" s="32" t="n">
        <f aca="true">VLOOKUP(B96,$F$7:$H$12,2,TRUE())+(RAND()*(VLOOKUP(B96,$F$7:$H$12,3,TRUE())-VLOOKUP(B96,$F$7:$H$12,2,TRUE())))</f>
        <v>79.3900194264152</v>
      </c>
      <c r="D96" s="32" t="n">
        <f aca="true">RAND()</f>
        <v>0.395845110220338</v>
      </c>
      <c r="E96" s="32" t="n">
        <f aca="true">VLOOKUP(D96,$K$7:$M$10,2,TRUE())+(RAND()*(VLOOKUP(D96,$K$7:$M$10,3,TRUE())-VLOOKUP(D96,$K$7:$M$10,2,TRUE())))</f>
        <v>4.66513936747791</v>
      </c>
      <c r="F96" s="32" t="n">
        <f aca="false">E96*$B$3</f>
        <v>55.9816724097349</v>
      </c>
      <c r="G96" s="32" t="n">
        <f aca="false">MAX(C96-F96,0)</f>
        <v>23.4083470166803</v>
      </c>
      <c r="H96" s="32" t="n">
        <f aca="false">G96*100</f>
        <v>2340.83470166803</v>
      </c>
    </row>
    <row r="97" customFormat="false" ht="15" hidden="false" customHeight="false" outlineLevel="0" collapsed="false">
      <c r="A97" s="32" t="n">
        <f aca="false">A96+1</f>
        <v>83</v>
      </c>
      <c r="B97" s="32" t="n">
        <f aca="true">RAND()</f>
        <v>0.614494941503946</v>
      </c>
      <c r="C97" s="32" t="n">
        <f aca="true">VLOOKUP(B97,$F$7:$H$12,2,TRUE())+(RAND()*(VLOOKUP(B97,$F$7:$H$12,3,TRUE())-VLOOKUP(B97,$F$7:$H$12,2,TRUE())))</f>
        <v>67.1956337335538</v>
      </c>
      <c r="D97" s="32" t="n">
        <f aca="true">RAND()</f>
        <v>0.174628792481379</v>
      </c>
      <c r="E97" s="32" t="n">
        <f aca="true">VLOOKUP(D97,$K$7:$M$10,2,TRUE())+(RAND()*(VLOOKUP(D97,$K$7:$M$10,3,TRUE())-VLOOKUP(D97,$K$7:$M$10,2,TRUE())))</f>
        <v>4.34681220251246</v>
      </c>
      <c r="F97" s="32" t="n">
        <f aca="false">E97*$B$3</f>
        <v>52.1617464301495</v>
      </c>
      <c r="G97" s="32" t="n">
        <f aca="false">MAX(C97-F97,0)</f>
        <v>15.0338873034043</v>
      </c>
      <c r="H97" s="32" t="n">
        <f aca="false">G97*100</f>
        <v>1503.38873034043</v>
      </c>
    </row>
    <row r="98" customFormat="false" ht="15" hidden="false" customHeight="false" outlineLevel="0" collapsed="false">
      <c r="A98" s="32" t="n">
        <f aca="false">A97+1</f>
        <v>84</v>
      </c>
      <c r="B98" s="32" t="n">
        <f aca="true">RAND()</f>
        <v>0.0236033719540337</v>
      </c>
      <c r="C98" s="32" t="n">
        <f aca="true">VLOOKUP(B98,$F$7:$H$12,2,TRUE())+(RAND()*(VLOOKUP(B98,$F$7:$H$12,3,TRUE())-VLOOKUP(B98,$F$7:$H$12,2,TRUE())))</f>
        <v>50.2227788008811</v>
      </c>
      <c r="D98" s="32" t="n">
        <f aca="true">RAND()</f>
        <v>0.483169210699158</v>
      </c>
      <c r="E98" s="32" t="n">
        <f aca="true">VLOOKUP(D98,$K$7:$M$10,2,TRUE())+(RAND()*(VLOOKUP(D98,$K$7:$M$10,3,TRUE())-VLOOKUP(D98,$K$7:$M$10,2,TRUE())))</f>
        <v>4.57763226361931</v>
      </c>
      <c r="F98" s="32" t="n">
        <f aca="false">E98*$B$3</f>
        <v>54.9315871634317</v>
      </c>
      <c r="G98" s="32" t="n">
        <f aca="false">MAX(C98-F98,0)</f>
        <v>0</v>
      </c>
      <c r="H98" s="32" t="n">
        <f aca="false">G98*100</f>
        <v>0</v>
      </c>
    </row>
    <row r="99" customFormat="false" ht="15" hidden="false" customHeight="false" outlineLevel="0" collapsed="false">
      <c r="A99" s="32" t="n">
        <f aca="false">A98+1</f>
        <v>85</v>
      </c>
      <c r="B99" s="32" t="n">
        <f aca="true">RAND()</f>
        <v>0.221473461793968</v>
      </c>
      <c r="C99" s="32" t="n">
        <f aca="true">VLOOKUP(B99,$F$7:$H$12,2,TRUE())+(RAND()*(VLOOKUP(B99,$F$7:$H$12,3,TRUE())-VLOOKUP(B99,$F$7:$H$12,2,TRUE())))</f>
        <v>58.2013599979892</v>
      </c>
      <c r="D99" s="32" t="n">
        <f aca="true">RAND()</f>
        <v>0.521414516790974</v>
      </c>
      <c r="E99" s="32" t="n">
        <f aca="true">VLOOKUP(D99,$K$7:$M$10,2,TRUE())+(RAND()*(VLOOKUP(D99,$K$7:$M$10,3,TRUE())-VLOOKUP(D99,$K$7:$M$10,2,TRUE())))</f>
        <v>4.79335112688956</v>
      </c>
      <c r="F99" s="32" t="n">
        <f aca="false">E99*$B$3</f>
        <v>57.5202135226748</v>
      </c>
      <c r="G99" s="32" t="n">
        <f aca="false">MAX(C99-F99,0)</f>
        <v>0.681146475314414</v>
      </c>
      <c r="H99" s="32" t="n">
        <f aca="false">G99*100</f>
        <v>68.1146475314414</v>
      </c>
    </row>
    <row r="100" customFormat="false" ht="15" hidden="false" customHeight="false" outlineLevel="0" collapsed="false">
      <c r="A100" s="32" t="n">
        <f aca="false">A99+1</f>
        <v>86</v>
      </c>
      <c r="B100" s="32" t="n">
        <f aca="true">RAND()</f>
        <v>0.247124081434415</v>
      </c>
      <c r="C100" s="32" t="n">
        <f aca="true">VLOOKUP(B100,$F$7:$H$12,2,TRUE())+(RAND()*(VLOOKUP(B100,$F$7:$H$12,3,TRUE())-VLOOKUP(B100,$F$7:$H$12,2,TRUE())))</f>
        <v>58.7955152107851</v>
      </c>
      <c r="D100" s="32" t="n">
        <f aca="true">RAND()</f>
        <v>0.530139811814109</v>
      </c>
      <c r="E100" s="32" t="n">
        <f aca="true">VLOOKUP(D100,$K$7:$M$10,2,TRUE())+(RAND()*(VLOOKUP(D100,$K$7:$M$10,3,TRUE())-VLOOKUP(D100,$K$7:$M$10,2,TRUE())))</f>
        <v>4.83750543043584</v>
      </c>
      <c r="F100" s="32" t="n">
        <f aca="false">E100*$B$3</f>
        <v>58.0500651652301</v>
      </c>
      <c r="G100" s="32" t="n">
        <f aca="false">MAX(C100-F100,0)</f>
        <v>0.745450045554932</v>
      </c>
      <c r="H100" s="32" t="n">
        <f aca="false">G100*100</f>
        <v>74.5450045554932</v>
      </c>
    </row>
    <row r="101" customFormat="false" ht="15" hidden="false" customHeight="false" outlineLevel="0" collapsed="false">
      <c r="A101" s="32" t="n">
        <f aca="false">A100+1</f>
        <v>87</v>
      </c>
      <c r="B101" s="32" t="n">
        <f aca="true">RAND()</f>
        <v>0.0386670355632814</v>
      </c>
      <c r="C101" s="32" t="n">
        <f aca="true">VLOOKUP(B101,$F$7:$H$12,2,TRUE())+(RAND()*(VLOOKUP(B101,$F$7:$H$12,3,TRUE())-VLOOKUP(B101,$F$7:$H$12,2,TRUE())))</f>
        <v>51.1059883660834</v>
      </c>
      <c r="D101" s="32" t="n">
        <f aca="true">RAND()</f>
        <v>0.366020422744663</v>
      </c>
      <c r="E101" s="32" t="n">
        <f aca="true">VLOOKUP(D101,$K$7:$M$10,2,TRUE())+(RAND()*(VLOOKUP(D101,$K$7:$M$10,3,TRUE())-VLOOKUP(D101,$K$7:$M$10,2,TRUE())))</f>
        <v>4.55443850951185</v>
      </c>
      <c r="F101" s="32" t="n">
        <f aca="false">E101*$B$3</f>
        <v>54.6532621141422</v>
      </c>
      <c r="G101" s="32" t="n">
        <f aca="false">MAX(C101-F101,0)</f>
        <v>0</v>
      </c>
      <c r="H101" s="32" t="n">
        <f aca="false">G101*100</f>
        <v>0</v>
      </c>
    </row>
    <row r="102" customFormat="false" ht="15" hidden="false" customHeight="false" outlineLevel="0" collapsed="false">
      <c r="A102" s="32" t="n">
        <f aca="false">A101+1</f>
        <v>88</v>
      </c>
      <c r="B102" s="32" t="n">
        <f aca="true">RAND()</f>
        <v>0.0131800698253739</v>
      </c>
      <c r="C102" s="32" t="n">
        <f aca="true">VLOOKUP(B102,$F$7:$H$12,2,TRUE())+(RAND()*(VLOOKUP(B102,$F$7:$H$12,3,TRUE())-VLOOKUP(B102,$F$7:$H$12,2,TRUE())))</f>
        <v>53.3164038333479</v>
      </c>
      <c r="D102" s="32" t="n">
        <f aca="true">RAND()</f>
        <v>0.822038634071021</v>
      </c>
      <c r="E102" s="32" t="n">
        <f aca="true">VLOOKUP(D102,$K$7:$M$10,2,TRUE())+(RAND()*(VLOOKUP(D102,$K$7:$M$10,3,TRUE())-VLOOKUP(D102,$K$7:$M$10,2,TRUE())))</f>
        <v>5.18175963675493</v>
      </c>
      <c r="F102" s="32" t="n">
        <f aca="false">E102*$B$3</f>
        <v>62.1811156410591</v>
      </c>
      <c r="G102" s="32" t="n">
        <f aca="false">MAX(C102-F102,0)</f>
        <v>0</v>
      </c>
      <c r="H102" s="32" t="n">
        <f aca="false">G102*100</f>
        <v>0</v>
      </c>
    </row>
    <row r="103" customFormat="false" ht="15" hidden="false" customHeight="false" outlineLevel="0" collapsed="false">
      <c r="A103" s="32" t="n">
        <f aca="false">A102+1</f>
        <v>89</v>
      </c>
      <c r="B103" s="32" t="n">
        <f aca="true">RAND()</f>
        <v>0.446997350702062</v>
      </c>
      <c r="C103" s="32" t="n">
        <f aca="true">VLOOKUP(B103,$F$7:$H$12,2,TRUE())+(RAND()*(VLOOKUP(B103,$F$7:$H$12,3,TRUE())-VLOOKUP(B103,$F$7:$H$12,2,TRUE())))</f>
        <v>60.685246360587</v>
      </c>
      <c r="D103" s="32" t="n">
        <f aca="true">RAND()</f>
        <v>0.394225414060629</v>
      </c>
      <c r="E103" s="32" t="n">
        <f aca="true">VLOOKUP(D103,$K$7:$M$10,2,TRUE())+(RAND()*(VLOOKUP(D103,$K$7:$M$10,3,TRUE())-VLOOKUP(D103,$K$7:$M$10,2,TRUE())))</f>
        <v>4.86647802662682</v>
      </c>
      <c r="F103" s="32" t="n">
        <f aca="false">E103*$B$3</f>
        <v>58.3977363195218</v>
      </c>
      <c r="G103" s="32" t="n">
        <f aca="false">MAX(C103-F103,0)</f>
        <v>2.28751004106516</v>
      </c>
      <c r="H103" s="32" t="n">
        <f aca="false">G103*100</f>
        <v>228.751004106516</v>
      </c>
    </row>
    <row r="104" customFormat="false" ht="15" hidden="false" customHeight="false" outlineLevel="0" collapsed="false">
      <c r="A104" s="32" t="n">
        <f aca="false">A103+1</f>
        <v>90</v>
      </c>
      <c r="B104" s="32" t="n">
        <f aca="true">RAND()</f>
        <v>0.399488938004538</v>
      </c>
      <c r="C104" s="32" t="n">
        <f aca="true">VLOOKUP(B104,$F$7:$H$12,2,TRUE())+(RAND()*(VLOOKUP(B104,$F$7:$H$12,3,TRUE())-VLOOKUP(B104,$F$7:$H$12,2,TRUE())))</f>
        <v>61.3074293560947</v>
      </c>
      <c r="D104" s="32" t="n">
        <f aca="true">RAND()</f>
        <v>0.484430155025882</v>
      </c>
      <c r="E104" s="32" t="n">
        <f aca="true">VLOOKUP(D104,$K$7:$M$10,2,TRUE())+(RAND()*(VLOOKUP(D104,$K$7:$M$10,3,TRUE())-VLOOKUP(D104,$K$7:$M$10,2,TRUE())))</f>
        <v>4.53744302893716</v>
      </c>
      <c r="F104" s="32" t="n">
        <f aca="false">E104*$B$3</f>
        <v>54.449316347246</v>
      </c>
      <c r="G104" s="32" t="n">
        <f aca="false">MAX(C104-F104,0)</f>
        <v>6.85811300884877</v>
      </c>
      <c r="H104" s="32" t="n">
        <f aca="false">G104*100</f>
        <v>685.811300884877</v>
      </c>
    </row>
    <row r="105" customFormat="false" ht="15" hidden="false" customHeight="false" outlineLevel="0" collapsed="false">
      <c r="A105" s="32" t="n">
        <f aca="false">A104+1</f>
        <v>91</v>
      </c>
      <c r="B105" s="32" t="n">
        <f aca="true">RAND()</f>
        <v>0.645497313101871</v>
      </c>
      <c r="C105" s="32" t="n">
        <f aca="true">VLOOKUP(B105,$F$7:$H$12,2,TRUE())+(RAND()*(VLOOKUP(B105,$F$7:$H$12,3,TRUE())-VLOOKUP(B105,$F$7:$H$12,2,TRUE())))</f>
        <v>69.7021037175691</v>
      </c>
      <c r="D105" s="32" t="n">
        <f aca="true">RAND()</f>
        <v>0.533117110653971</v>
      </c>
      <c r="E105" s="32" t="n">
        <f aca="true">VLOOKUP(D105,$K$7:$M$10,2,TRUE())+(RAND()*(VLOOKUP(D105,$K$7:$M$10,3,TRUE())-VLOOKUP(D105,$K$7:$M$10,2,TRUE())))</f>
        <v>4.90629226819372</v>
      </c>
      <c r="F105" s="32" t="n">
        <f aca="false">E105*$B$3</f>
        <v>58.8755072183247</v>
      </c>
      <c r="G105" s="32" t="n">
        <f aca="false">MAX(C105-F105,0)</f>
        <v>10.8265964992445</v>
      </c>
      <c r="H105" s="32" t="n">
        <f aca="false">G105*100</f>
        <v>1082.65964992445</v>
      </c>
    </row>
    <row r="106" customFormat="false" ht="15" hidden="false" customHeight="false" outlineLevel="0" collapsed="false">
      <c r="A106" s="32" t="n">
        <f aca="false">A105+1</f>
        <v>92</v>
      </c>
      <c r="B106" s="32" t="n">
        <f aca="true">RAND()</f>
        <v>0.214767178388805</v>
      </c>
      <c r="C106" s="32" t="n">
        <f aca="true">VLOOKUP(B106,$F$7:$H$12,2,TRUE())+(RAND()*(VLOOKUP(B106,$F$7:$H$12,3,TRUE())-VLOOKUP(B106,$F$7:$H$12,2,TRUE())))</f>
        <v>59.6943518410634</v>
      </c>
      <c r="D106" s="32" t="n">
        <f aca="true">RAND()</f>
        <v>0.661925240215503</v>
      </c>
      <c r="E106" s="32" t="n">
        <f aca="true">VLOOKUP(D106,$K$7:$M$10,2,TRUE())+(RAND()*(VLOOKUP(D106,$K$7:$M$10,3,TRUE())-VLOOKUP(D106,$K$7:$M$10,2,TRUE())))</f>
        <v>4.51926413700273</v>
      </c>
      <c r="F106" s="32" t="n">
        <f aca="false">E106*$B$3</f>
        <v>54.2311696440328</v>
      </c>
      <c r="G106" s="32" t="n">
        <f aca="false">MAX(C106-F106,0)</f>
        <v>5.46318219703057</v>
      </c>
      <c r="H106" s="32" t="n">
        <f aca="false">G106*100</f>
        <v>546.318219703057</v>
      </c>
    </row>
    <row r="107" customFormat="false" ht="15" hidden="false" customHeight="false" outlineLevel="0" collapsed="false">
      <c r="A107" s="32" t="n">
        <f aca="false">A106+1</f>
        <v>93</v>
      </c>
      <c r="B107" s="32" t="n">
        <f aca="true">RAND()</f>
        <v>0.563293331566983</v>
      </c>
      <c r="C107" s="32" t="n">
        <f aca="true">VLOOKUP(B107,$F$7:$H$12,2,TRUE())+(RAND()*(VLOOKUP(B107,$F$7:$H$12,3,TRUE())-VLOOKUP(B107,$F$7:$H$12,2,TRUE())))</f>
        <v>66.3278205518879</v>
      </c>
      <c r="D107" s="32" t="n">
        <f aca="true">RAND()</f>
        <v>0.0765128366743633</v>
      </c>
      <c r="E107" s="32" t="n">
        <f aca="true">VLOOKUP(D107,$K$7:$M$10,2,TRUE())+(RAND()*(VLOOKUP(D107,$K$7:$M$10,3,TRUE())-VLOOKUP(D107,$K$7:$M$10,2,TRUE())))</f>
        <v>4.39954970447556</v>
      </c>
      <c r="F107" s="32" t="n">
        <f aca="false">E107*$B$3</f>
        <v>52.7945964537068</v>
      </c>
      <c r="G107" s="32" t="n">
        <f aca="false">MAX(C107-F107,0)</f>
        <v>13.5332240981811</v>
      </c>
      <c r="H107" s="32" t="n">
        <f aca="false">G107*100</f>
        <v>1353.32240981811</v>
      </c>
    </row>
    <row r="108" customFormat="false" ht="15" hidden="false" customHeight="false" outlineLevel="0" collapsed="false">
      <c r="A108" s="32" t="n">
        <f aca="false">A107+1</f>
        <v>94</v>
      </c>
      <c r="B108" s="32" t="n">
        <f aca="true">RAND()</f>
        <v>0.130600907315243</v>
      </c>
      <c r="C108" s="32" t="n">
        <f aca="true">VLOOKUP(B108,$F$7:$H$12,2,TRUE())+(RAND()*(VLOOKUP(B108,$F$7:$H$12,3,TRUE())-VLOOKUP(B108,$F$7:$H$12,2,TRUE())))</f>
        <v>57.8054503353106</v>
      </c>
      <c r="D108" s="32" t="n">
        <f aca="true">RAND()</f>
        <v>0.324686975829983</v>
      </c>
      <c r="E108" s="32" t="n">
        <f aca="true">VLOOKUP(D108,$K$7:$M$10,2,TRUE())+(RAND()*(VLOOKUP(D108,$K$7:$M$10,3,TRUE())-VLOOKUP(D108,$K$7:$M$10,2,TRUE())))</f>
        <v>4.71408045921469</v>
      </c>
      <c r="F108" s="32" t="n">
        <f aca="false">E108*$B$3</f>
        <v>56.5689655105762</v>
      </c>
      <c r="G108" s="32" t="n">
        <f aca="false">MAX(C108-F108,0)</f>
        <v>1.2364848247344</v>
      </c>
      <c r="H108" s="32" t="n">
        <f aca="false">G108*100</f>
        <v>123.64848247344</v>
      </c>
    </row>
    <row r="109" customFormat="false" ht="15" hidden="false" customHeight="false" outlineLevel="0" collapsed="false">
      <c r="A109" s="32" t="n">
        <f aca="false">A108+1</f>
        <v>95</v>
      </c>
      <c r="B109" s="32" t="n">
        <f aca="true">RAND()</f>
        <v>0.706168246823471</v>
      </c>
      <c r="C109" s="32" t="n">
        <f aca="true">VLOOKUP(B109,$F$7:$H$12,2,TRUE())+(RAND()*(VLOOKUP(B109,$F$7:$H$12,3,TRUE())-VLOOKUP(B109,$F$7:$H$12,2,TRUE())))</f>
        <v>66.4338816693106</v>
      </c>
      <c r="D109" s="32" t="n">
        <f aca="true">RAND()</f>
        <v>0.239330599095077</v>
      </c>
      <c r="E109" s="32" t="n">
        <f aca="true">VLOOKUP(D109,$K$7:$M$10,2,TRUE())+(RAND()*(VLOOKUP(D109,$K$7:$M$10,3,TRUE())-VLOOKUP(D109,$K$7:$M$10,2,TRUE())))</f>
        <v>4.42202570632955</v>
      </c>
      <c r="F109" s="32" t="n">
        <f aca="false">E109*$B$3</f>
        <v>53.0643084759546</v>
      </c>
      <c r="G109" s="32" t="n">
        <f aca="false">MAX(C109-F109,0)</f>
        <v>13.369573193356</v>
      </c>
      <c r="H109" s="32" t="n">
        <f aca="false">G109*100</f>
        <v>1336.9573193356</v>
      </c>
    </row>
    <row r="110" customFormat="false" ht="15" hidden="false" customHeight="false" outlineLevel="0" collapsed="false">
      <c r="A110" s="32" t="n">
        <f aca="false">A109+1</f>
        <v>96</v>
      </c>
      <c r="B110" s="32" t="n">
        <f aca="true">RAND()</f>
        <v>0.145052154616354</v>
      </c>
      <c r="C110" s="32" t="n">
        <f aca="true">VLOOKUP(B110,$F$7:$H$12,2,TRUE())+(RAND()*(VLOOKUP(B110,$F$7:$H$12,3,TRUE())-VLOOKUP(B110,$F$7:$H$12,2,TRUE())))</f>
        <v>56.1230361509766</v>
      </c>
      <c r="D110" s="32" t="n">
        <f aca="true">RAND()</f>
        <v>0.241191922733399</v>
      </c>
      <c r="E110" s="32" t="n">
        <f aca="true">VLOOKUP(D110,$K$7:$M$10,2,TRUE())+(RAND()*(VLOOKUP(D110,$K$7:$M$10,3,TRUE())-VLOOKUP(D110,$K$7:$M$10,2,TRUE())))</f>
        <v>4.13145832462218</v>
      </c>
      <c r="F110" s="32" t="n">
        <f aca="false">E110*$B$3</f>
        <v>49.5774998954661</v>
      </c>
      <c r="G110" s="32" t="n">
        <f aca="false">MAX(C110-F110,0)</f>
        <v>6.54553625551044</v>
      </c>
      <c r="H110" s="32" t="n">
        <f aca="false">G110*100</f>
        <v>654.553625551044</v>
      </c>
    </row>
    <row r="111" customFormat="false" ht="15" hidden="false" customHeight="false" outlineLevel="0" collapsed="false">
      <c r="A111" s="32" t="n">
        <f aca="false">A110+1</f>
        <v>97</v>
      </c>
      <c r="B111" s="32" t="n">
        <f aca="true">RAND()</f>
        <v>0.26826171269602</v>
      </c>
      <c r="C111" s="32" t="n">
        <f aca="true">VLOOKUP(B111,$F$7:$H$12,2,TRUE())+(RAND()*(VLOOKUP(B111,$F$7:$H$12,3,TRUE())-VLOOKUP(B111,$F$7:$H$12,2,TRUE())))</f>
        <v>61.2234883907469</v>
      </c>
      <c r="D111" s="32" t="n">
        <f aca="true">RAND()</f>
        <v>0.00973142703325556</v>
      </c>
      <c r="E111" s="32" t="n">
        <f aca="true">VLOOKUP(D111,$K$7:$M$10,2,TRUE())+(RAND()*(VLOOKUP(D111,$K$7:$M$10,3,TRUE())-VLOOKUP(D111,$K$7:$M$10,2,TRUE())))</f>
        <v>4.0449712923201</v>
      </c>
      <c r="F111" s="32" t="n">
        <f aca="false">E111*$B$3</f>
        <v>48.5396555078412</v>
      </c>
      <c r="G111" s="32" t="n">
        <f aca="false">MAX(C111-F111,0)</f>
        <v>12.6838328829057</v>
      </c>
      <c r="H111" s="32" t="n">
        <f aca="false">G111*100</f>
        <v>1268.38328829057</v>
      </c>
    </row>
    <row r="112" customFormat="false" ht="15" hidden="false" customHeight="false" outlineLevel="0" collapsed="false">
      <c r="A112" s="32" t="n">
        <f aca="false">A111+1</f>
        <v>98</v>
      </c>
      <c r="B112" s="32" t="n">
        <f aca="true">RAND()</f>
        <v>0.0759451243733416</v>
      </c>
      <c r="C112" s="32" t="n">
        <f aca="true">VLOOKUP(B112,$F$7:$H$12,2,TRUE())+(RAND()*(VLOOKUP(B112,$F$7:$H$12,3,TRUE())-VLOOKUP(B112,$F$7:$H$12,2,TRUE())))</f>
        <v>54.6984346547831</v>
      </c>
      <c r="D112" s="32" t="n">
        <f aca="true">RAND()</f>
        <v>0.181898040510991</v>
      </c>
      <c r="E112" s="32" t="n">
        <f aca="true">VLOOKUP(D112,$K$7:$M$10,2,TRUE())+(RAND()*(VLOOKUP(D112,$K$7:$M$10,3,TRUE())-VLOOKUP(D112,$K$7:$M$10,2,TRUE())))</f>
        <v>4.29860323609483</v>
      </c>
      <c r="F112" s="32" t="n">
        <f aca="false">E112*$B$3</f>
        <v>51.583238833138</v>
      </c>
      <c r="G112" s="32" t="n">
        <f aca="false">MAX(C112-F112,0)</f>
        <v>3.11519582164514</v>
      </c>
      <c r="H112" s="32" t="n">
        <f aca="false">G112*100</f>
        <v>311.519582164515</v>
      </c>
    </row>
    <row r="113" customFormat="false" ht="15" hidden="false" customHeight="false" outlineLevel="0" collapsed="false">
      <c r="A113" s="32" t="n">
        <f aca="false">A112+1</f>
        <v>99</v>
      </c>
      <c r="B113" s="32" t="n">
        <f aca="true">RAND()</f>
        <v>0.0229427023189298</v>
      </c>
      <c r="C113" s="32" t="n">
        <f aca="true">VLOOKUP(B113,$F$7:$H$12,2,TRUE())+(RAND()*(VLOOKUP(B113,$F$7:$H$12,3,TRUE())-VLOOKUP(B113,$F$7:$H$12,2,TRUE())))</f>
        <v>51.7272089727483</v>
      </c>
      <c r="D113" s="32" t="n">
        <f aca="true">RAND()</f>
        <v>0.913871327197116</v>
      </c>
      <c r="E113" s="32" t="n">
        <f aca="true">VLOOKUP(D113,$K$7:$M$10,2,TRUE())+(RAND()*(VLOOKUP(D113,$K$7:$M$10,3,TRUE())-VLOOKUP(D113,$K$7:$M$10,2,TRUE())))</f>
        <v>5.66840486294324</v>
      </c>
      <c r="F113" s="32" t="n">
        <f aca="false">E113*$B$3</f>
        <v>68.0208583553189</v>
      </c>
      <c r="G113" s="32" t="n">
        <f aca="false">MAX(C113-F113,0)</f>
        <v>0</v>
      </c>
      <c r="H113" s="32" t="n">
        <f aca="false">G113*100</f>
        <v>0</v>
      </c>
    </row>
    <row r="114" customFormat="false" ht="15" hidden="false" customHeight="false" outlineLevel="0" collapsed="false">
      <c r="A114" s="32" t="n">
        <f aca="false">A113+1</f>
        <v>100</v>
      </c>
      <c r="B114" s="32" t="n">
        <f aca="true">RAND()</f>
        <v>0.638511551761794</v>
      </c>
      <c r="C114" s="32" t="n">
        <f aca="true">VLOOKUP(B114,$F$7:$H$12,2,TRUE())+(RAND()*(VLOOKUP(B114,$F$7:$H$12,3,TRUE())-VLOOKUP(B114,$F$7:$H$12,2,TRUE())))</f>
        <v>69.2318242838511</v>
      </c>
      <c r="D114" s="32" t="n">
        <f aca="true">RAND()</f>
        <v>0.66966829992583</v>
      </c>
      <c r="E114" s="32" t="n">
        <f aca="true">VLOOKUP(D114,$K$7:$M$10,2,TRUE())+(RAND()*(VLOOKUP(D114,$K$7:$M$10,3,TRUE())-VLOOKUP(D114,$K$7:$M$10,2,TRUE())))</f>
        <v>4.73945028051679</v>
      </c>
      <c r="F114" s="32" t="n">
        <f aca="false">E114*$B$3</f>
        <v>56.8734033662015</v>
      </c>
      <c r="G114" s="32" t="n">
        <f aca="false">MAX(C114-F114,0)</f>
        <v>12.3584209176496</v>
      </c>
      <c r="H114" s="32" t="n">
        <f aca="false">G114*100</f>
        <v>1235.84209176496</v>
      </c>
    </row>
    <row r="115" customFormat="false" ht="15" hidden="false" customHeight="false" outlineLevel="0" collapsed="false">
      <c r="A115" s="32" t="n">
        <f aca="false">A114+1</f>
        <v>101</v>
      </c>
      <c r="B115" s="32" t="n">
        <f aca="true">RAND()</f>
        <v>0.492258000661798</v>
      </c>
      <c r="C115" s="32" t="n">
        <f aca="true">VLOOKUP(B115,$F$7:$H$12,2,TRUE())+(RAND()*(VLOOKUP(B115,$F$7:$H$12,3,TRUE())-VLOOKUP(B115,$F$7:$H$12,2,TRUE())))</f>
        <v>62.961599775621</v>
      </c>
      <c r="D115" s="32" t="n">
        <f aca="true">RAND()</f>
        <v>0.814986522898519</v>
      </c>
      <c r="E115" s="32" t="n">
        <f aca="true">VLOOKUP(D115,$K$7:$M$10,2,TRUE())+(RAND()*(VLOOKUP(D115,$K$7:$M$10,3,TRUE())-VLOOKUP(D115,$K$7:$M$10,2,TRUE())))</f>
        <v>5.24797565487656</v>
      </c>
      <c r="F115" s="32" t="n">
        <f aca="false">E115*$B$3</f>
        <v>62.9757078585187</v>
      </c>
      <c r="G115" s="32" t="n">
        <f aca="false">MAX(C115-F115,0)</f>
        <v>0</v>
      </c>
      <c r="H115" s="32" t="n">
        <f aca="false">G115*100</f>
        <v>0</v>
      </c>
    </row>
    <row r="116" customFormat="false" ht="15" hidden="false" customHeight="false" outlineLevel="0" collapsed="false">
      <c r="A116" s="32" t="n">
        <f aca="false">A115+1</f>
        <v>102</v>
      </c>
      <c r="B116" s="32" t="n">
        <f aca="true">RAND()</f>
        <v>0.311143914080098</v>
      </c>
      <c r="C116" s="32" t="n">
        <f aca="true">VLOOKUP(B116,$F$7:$H$12,2,TRUE())+(RAND()*(VLOOKUP(B116,$F$7:$H$12,3,TRUE())-VLOOKUP(B116,$F$7:$H$12,2,TRUE())))</f>
        <v>62.7566703875797</v>
      </c>
      <c r="D116" s="32" t="n">
        <f aca="true">RAND()</f>
        <v>0.905438088335602</v>
      </c>
      <c r="E116" s="32" t="n">
        <f aca="true">VLOOKUP(D116,$K$7:$M$10,2,TRUE())+(RAND()*(VLOOKUP(D116,$K$7:$M$10,3,TRUE())-VLOOKUP(D116,$K$7:$M$10,2,TRUE())))</f>
        <v>5.51155007564869</v>
      </c>
      <c r="F116" s="32" t="n">
        <f aca="false">E116*$B$3</f>
        <v>66.1386009077843</v>
      </c>
      <c r="G116" s="32" t="n">
        <f aca="false">MAX(C116-F116,0)</f>
        <v>0</v>
      </c>
      <c r="H116" s="32" t="n">
        <f aca="false">G116*100</f>
        <v>0</v>
      </c>
    </row>
    <row r="117" customFormat="false" ht="15" hidden="false" customHeight="false" outlineLevel="0" collapsed="false">
      <c r="A117" s="32" t="n">
        <f aca="false">A116+1</f>
        <v>103</v>
      </c>
      <c r="B117" s="32" t="n">
        <f aca="true">RAND()</f>
        <v>0.0275537582329812</v>
      </c>
      <c r="C117" s="32" t="n">
        <f aca="true">VLOOKUP(B117,$F$7:$H$12,2,TRUE())+(RAND()*(VLOOKUP(B117,$F$7:$H$12,3,TRUE())-VLOOKUP(B117,$F$7:$H$12,2,TRUE())))</f>
        <v>54.1532018179572</v>
      </c>
      <c r="D117" s="32" t="n">
        <f aca="true">RAND()</f>
        <v>0.657666954200259</v>
      </c>
      <c r="E117" s="32" t="n">
        <f aca="true">VLOOKUP(D117,$K$7:$M$10,2,TRUE())+(RAND()*(VLOOKUP(D117,$K$7:$M$10,3,TRUE())-VLOOKUP(D117,$K$7:$M$10,2,TRUE())))</f>
        <v>4.67780552616255</v>
      </c>
      <c r="F117" s="32" t="n">
        <f aca="false">E117*$B$3</f>
        <v>56.1336663139506</v>
      </c>
      <c r="G117" s="32" t="n">
        <f aca="false">MAX(C117-F117,0)</f>
        <v>0</v>
      </c>
      <c r="H117" s="32" t="n">
        <f aca="false">G117*100</f>
        <v>0</v>
      </c>
    </row>
    <row r="118" customFormat="false" ht="15" hidden="false" customHeight="false" outlineLevel="0" collapsed="false">
      <c r="A118" s="32" t="n">
        <f aca="false">A117+1</f>
        <v>104</v>
      </c>
      <c r="B118" s="32" t="n">
        <f aca="true">RAND()</f>
        <v>0.923579187479073</v>
      </c>
      <c r="C118" s="32" t="n">
        <f aca="true">VLOOKUP(B118,$F$7:$H$12,2,TRUE())+(RAND()*(VLOOKUP(B118,$F$7:$H$12,3,TRUE())-VLOOKUP(B118,$F$7:$H$12,2,TRUE())))</f>
        <v>78.2943101375553</v>
      </c>
      <c r="D118" s="32" t="n">
        <f aca="true">RAND()</f>
        <v>0.811576687512362</v>
      </c>
      <c r="E118" s="32" t="n">
        <f aca="true">VLOOKUP(D118,$K$7:$M$10,2,TRUE())+(RAND()*(VLOOKUP(D118,$K$7:$M$10,3,TRUE())-VLOOKUP(D118,$K$7:$M$10,2,TRUE())))</f>
        <v>5.15786884007166</v>
      </c>
      <c r="F118" s="32" t="n">
        <f aca="false">E118*$B$3</f>
        <v>61.89442608086</v>
      </c>
      <c r="G118" s="32" t="n">
        <f aca="false">MAX(C118-F118,0)</f>
        <v>16.3998840566954</v>
      </c>
      <c r="H118" s="32" t="n">
        <f aca="false">G118*100</f>
        <v>1639.98840566954</v>
      </c>
    </row>
    <row r="119" customFormat="false" ht="15" hidden="false" customHeight="false" outlineLevel="0" collapsed="false">
      <c r="A119" s="32" t="n">
        <f aca="false">A118+1</f>
        <v>105</v>
      </c>
      <c r="B119" s="32" t="n">
        <f aca="true">RAND()</f>
        <v>0.65769089467721</v>
      </c>
      <c r="C119" s="32" t="n">
        <f aca="true">VLOOKUP(B119,$F$7:$H$12,2,TRUE())+(RAND()*(VLOOKUP(B119,$F$7:$H$12,3,TRUE())-VLOOKUP(B119,$F$7:$H$12,2,TRUE())))</f>
        <v>65.4449172499343</v>
      </c>
      <c r="D119" s="32" t="n">
        <f aca="true">RAND()</f>
        <v>0.78536914187018</v>
      </c>
      <c r="E119" s="32" t="n">
        <f aca="true">VLOOKUP(D119,$K$7:$M$10,2,TRUE())+(RAND()*(VLOOKUP(D119,$K$7:$M$10,3,TRUE())-VLOOKUP(D119,$K$7:$M$10,2,TRUE())))</f>
        <v>5.16035523844694</v>
      </c>
      <c r="F119" s="32" t="n">
        <f aca="false">E119*$B$3</f>
        <v>61.9242628613633</v>
      </c>
      <c r="G119" s="32" t="n">
        <f aca="false">MAX(C119-F119,0)</f>
        <v>3.52065438857103</v>
      </c>
      <c r="H119" s="32" t="n">
        <f aca="false">G119*100</f>
        <v>352.065438857103</v>
      </c>
    </row>
    <row r="120" customFormat="false" ht="15" hidden="false" customHeight="false" outlineLevel="0" collapsed="false">
      <c r="A120" s="32" t="n">
        <f aca="false">A119+1</f>
        <v>106</v>
      </c>
      <c r="B120" s="32" t="n">
        <f aca="true">RAND()</f>
        <v>0.162786455855589</v>
      </c>
      <c r="C120" s="32" t="n">
        <f aca="true">VLOOKUP(B120,$F$7:$H$12,2,TRUE())+(RAND()*(VLOOKUP(B120,$F$7:$H$12,3,TRUE())-VLOOKUP(B120,$F$7:$H$12,2,TRUE())))</f>
        <v>59.8929453544181</v>
      </c>
      <c r="D120" s="32" t="n">
        <f aca="true">RAND()</f>
        <v>0.381626138859955</v>
      </c>
      <c r="E120" s="32" t="n">
        <f aca="true">VLOOKUP(D120,$K$7:$M$10,2,TRUE())+(RAND()*(VLOOKUP(D120,$K$7:$M$10,3,TRUE())-VLOOKUP(D120,$K$7:$M$10,2,TRUE())))</f>
        <v>4.70148011364118</v>
      </c>
      <c r="F120" s="32" t="n">
        <f aca="false">E120*$B$3</f>
        <v>56.4177613636942</v>
      </c>
      <c r="G120" s="32" t="n">
        <f aca="false">MAX(C120-F120,0)</f>
        <v>3.47518399072391</v>
      </c>
      <c r="H120" s="32" t="n">
        <f aca="false">G120*100</f>
        <v>347.518399072391</v>
      </c>
    </row>
    <row r="121" customFormat="false" ht="15" hidden="false" customHeight="false" outlineLevel="0" collapsed="false">
      <c r="A121" s="32" t="n">
        <f aca="false">A120+1</f>
        <v>107</v>
      </c>
      <c r="B121" s="32" t="n">
        <f aca="true">RAND()</f>
        <v>0.10528130867294</v>
      </c>
      <c r="C121" s="32" t="n">
        <f aca="true">VLOOKUP(B121,$F$7:$H$12,2,TRUE())+(RAND()*(VLOOKUP(B121,$F$7:$H$12,3,TRUE())-VLOOKUP(B121,$F$7:$H$12,2,TRUE())))</f>
        <v>59.4930671344422</v>
      </c>
      <c r="D121" s="32" t="n">
        <f aca="true">RAND()</f>
        <v>0.816814573061055</v>
      </c>
      <c r="E121" s="32" t="n">
        <f aca="true">VLOOKUP(D121,$K$7:$M$10,2,TRUE())+(RAND()*(VLOOKUP(D121,$K$7:$M$10,3,TRUE())-VLOOKUP(D121,$K$7:$M$10,2,TRUE())))</f>
        <v>5.17870961048412</v>
      </c>
      <c r="F121" s="32" t="n">
        <f aca="false">E121*$B$3</f>
        <v>62.1445153258094</v>
      </c>
      <c r="G121" s="32" t="n">
        <f aca="false">MAX(C121-F121,0)</f>
        <v>0</v>
      </c>
      <c r="H121" s="32" t="n">
        <f aca="false">G121*100</f>
        <v>0</v>
      </c>
    </row>
    <row r="122" customFormat="false" ht="15" hidden="false" customHeight="false" outlineLevel="0" collapsed="false">
      <c r="A122" s="32" t="n">
        <f aca="false">A121+1</f>
        <v>108</v>
      </c>
      <c r="B122" s="32" t="n">
        <f aca="true">RAND()</f>
        <v>0.821486302640761</v>
      </c>
      <c r="C122" s="32" t="n">
        <f aca="true">VLOOKUP(B122,$F$7:$H$12,2,TRUE())+(RAND()*(VLOOKUP(B122,$F$7:$H$12,3,TRUE())-VLOOKUP(B122,$F$7:$H$12,2,TRUE())))</f>
        <v>68.1167119763766</v>
      </c>
      <c r="D122" s="32" t="n">
        <f aca="true">RAND()</f>
        <v>0.196648829689442</v>
      </c>
      <c r="E122" s="32" t="n">
        <f aca="true">VLOOKUP(D122,$K$7:$M$10,2,TRUE())+(RAND()*(VLOOKUP(D122,$K$7:$M$10,3,TRUE())-VLOOKUP(D122,$K$7:$M$10,2,TRUE())))</f>
        <v>4.3546120474171</v>
      </c>
      <c r="F122" s="32" t="n">
        <f aca="false">E122*$B$3</f>
        <v>52.2553445690052</v>
      </c>
      <c r="G122" s="32" t="n">
        <f aca="false">MAX(C122-F122,0)</f>
        <v>15.8613674073714</v>
      </c>
      <c r="H122" s="32" t="n">
        <f aca="false">G122*100</f>
        <v>1586.13674073714</v>
      </c>
    </row>
    <row r="123" customFormat="false" ht="15" hidden="false" customHeight="false" outlineLevel="0" collapsed="false">
      <c r="A123" s="32" t="n">
        <f aca="false">A122+1</f>
        <v>109</v>
      </c>
      <c r="B123" s="32" t="n">
        <f aca="true">RAND()</f>
        <v>0.775122899552778</v>
      </c>
      <c r="C123" s="32" t="n">
        <f aca="true">VLOOKUP(B123,$F$7:$H$12,2,TRUE())+(RAND()*(VLOOKUP(B123,$F$7:$H$12,3,TRUE())-VLOOKUP(B123,$F$7:$H$12,2,TRUE())))</f>
        <v>66.400942312707</v>
      </c>
      <c r="D123" s="32" t="n">
        <f aca="true">RAND()</f>
        <v>0.612751525136055</v>
      </c>
      <c r="E123" s="32" t="n">
        <f aca="true">VLOOKUP(D123,$K$7:$M$10,2,TRUE())+(RAND()*(VLOOKUP(D123,$K$7:$M$10,3,TRUE())-VLOOKUP(D123,$K$7:$M$10,2,TRUE())))</f>
        <v>4.61758173542355</v>
      </c>
      <c r="F123" s="32" t="n">
        <f aca="false">E123*$B$3</f>
        <v>55.4109808250826</v>
      </c>
      <c r="G123" s="32" t="n">
        <f aca="false">MAX(C123-F123,0)</f>
        <v>10.9899614876245</v>
      </c>
      <c r="H123" s="32" t="n">
        <f aca="false">G123*100</f>
        <v>1098.99614876245</v>
      </c>
    </row>
    <row r="124" customFormat="false" ht="15" hidden="false" customHeight="false" outlineLevel="0" collapsed="false">
      <c r="A124" s="32" t="n">
        <f aca="false">A123+1</f>
        <v>110</v>
      </c>
      <c r="B124" s="32" t="n">
        <f aca="true">RAND()</f>
        <v>0.441908946558508</v>
      </c>
      <c r="C124" s="32" t="n">
        <f aca="true">VLOOKUP(B124,$F$7:$H$12,2,TRUE())+(RAND()*(VLOOKUP(B124,$F$7:$H$12,3,TRUE())-VLOOKUP(B124,$F$7:$H$12,2,TRUE())))</f>
        <v>60.137028872967</v>
      </c>
      <c r="D124" s="32" t="n">
        <f aca="true">RAND()</f>
        <v>0.858284406170963</v>
      </c>
      <c r="E124" s="32" t="n">
        <f aca="true">VLOOKUP(D124,$K$7:$M$10,2,TRUE())+(RAND()*(VLOOKUP(D124,$K$7:$M$10,3,TRUE())-VLOOKUP(D124,$K$7:$M$10,2,TRUE())))</f>
        <v>5.48615424851053</v>
      </c>
      <c r="F124" s="32" t="n">
        <f aca="false">E124*$B$3</f>
        <v>65.8338509821263</v>
      </c>
      <c r="G124" s="32" t="n">
        <f aca="false">MAX(C124-F124,0)</f>
        <v>0</v>
      </c>
      <c r="H124" s="32" t="n">
        <f aca="false">G124*100</f>
        <v>0</v>
      </c>
    </row>
    <row r="125" customFormat="false" ht="15" hidden="false" customHeight="false" outlineLevel="0" collapsed="false">
      <c r="A125" s="32" t="n">
        <f aca="false">A124+1</f>
        <v>111</v>
      </c>
      <c r="B125" s="32" t="n">
        <f aca="true">RAND()</f>
        <v>0.075653559295679</v>
      </c>
      <c r="C125" s="32" t="n">
        <f aca="true">VLOOKUP(B125,$F$7:$H$12,2,TRUE())+(RAND()*(VLOOKUP(B125,$F$7:$H$12,3,TRUE())-VLOOKUP(B125,$F$7:$H$12,2,TRUE())))</f>
        <v>53.2368861951169</v>
      </c>
      <c r="D125" s="32" t="n">
        <f aca="true">RAND()</f>
        <v>0.0572548926237447</v>
      </c>
      <c r="E125" s="32" t="n">
        <f aca="true">VLOOKUP(D125,$K$7:$M$10,2,TRUE())+(RAND()*(VLOOKUP(D125,$K$7:$M$10,3,TRUE())-VLOOKUP(D125,$K$7:$M$10,2,TRUE())))</f>
        <v>4.48470527738651</v>
      </c>
      <c r="F125" s="32" t="n">
        <f aca="false">E125*$B$3</f>
        <v>53.8164633286382</v>
      </c>
      <c r="G125" s="32" t="n">
        <f aca="false">MAX(C125-F125,0)</f>
        <v>0</v>
      </c>
      <c r="H125" s="32" t="n">
        <f aca="false">G125*100</f>
        <v>0</v>
      </c>
    </row>
    <row r="126" customFormat="false" ht="15" hidden="false" customHeight="false" outlineLevel="0" collapsed="false">
      <c r="A126" s="32" t="n">
        <f aca="false">A125+1</f>
        <v>112</v>
      </c>
      <c r="B126" s="32" t="n">
        <f aca="true">RAND()</f>
        <v>0.780262103922943</v>
      </c>
      <c r="C126" s="32" t="n">
        <f aca="true">VLOOKUP(B126,$F$7:$H$12,2,TRUE())+(RAND()*(VLOOKUP(B126,$F$7:$H$12,3,TRUE())-VLOOKUP(B126,$F$7:$H$12,2,TRUE())))</f>
        <v>65.9947999824999</v>
      </c>
      <c r="D126" s="32" t="n">
        <f aca="true">RAND()</f>
        <v>0.208750136129057</v>
      </c>
      <c r="E126" s="32" t="n">
        <f aca="true">VLOOKUP(D126,$K$7:$M$10,2,TRUE())+(RAND()*(VLOOKUP(D126,$K$7:$M$10,3,TRUE())-VLOOKUP(D126,$K$7:$M$10,2,TRUE())))</f>
        <v>4.1404183377511</v>
      </c>
      <c r="F126" s="32" t="n">
        <f aca="false">E126*$B$3</f>
        <v>49.6850200530132</v>
      </c>
      <c r="G126" s="32" t="n">
        <f aca="false">MAX(C126-F126,0)</f>
        <v>16.3097799294867</v>
      </c>
      <c r="H126" s="32" t="n">
        <f aca="false">G126*100</f>
        <v>1630.97799294867</v>
      </c>
    </row>
    <row r="127" customFormat="false" ht="15" hidden="false" customHeight="false" outlineLevel="0" collapsed="false">
      <c r="A127" s="32" t="n">
        <f aca="false">A126+1</f>
        <v>113</v>
      </c>
      <c r="B127" s="32" t="n">
        <f aca="true">RAND()</f>
        <v>0.00406527784560349</v>
      </c>
      <c r="C127" s="32" t="n">
        <f aca="true">VLOOKUP(B127,$F$7:$H$12,2,TRUE())+(RAND()*(VLOOKUP(B127,$F$7:$H$12,3,TRUE())-VLOOKUP(B127,$F$7:$H$12,2,TRUE())))</f>
        <v>52.4680145337065</v>
      </c>
      <c r="D127" s="32" t="n">
        <f aca="true">RAND()</f>
        <v>0.66903986558207</v>
      </c>
      <c r="E127" s="32" t="n">
        <f aca="true">VLOOKUP(D127,$K$7:$M$10,2,TRUE())+(RAND()*(VLOOKUP(D127,$K$7:$M$10,3,TRUE())-VLOOKUP(D127,$K$7:$M$10,2,TRUE())))</f>
        <v>4.92623209018116</v>
      </c>
      <c r="F127" s="32" t="n">
        <f aca="false">E127*$B$3</f>
        <v>59.1147850821739</v>
      </c>
      <c r="G127" s="32" t="n">
        <f aca="false">MAX(C127-F127,0)</f>
        <v>0</v>
      </c>
      <c r="H127" s="32" t="n">
        <f aca="false">G127*100</f>
        <v>0</v>
      </c>
    </row>
    <row r="128" customFormat="false" ht="15" hidden="false" customHeight="false" outlineLevel="0" collapsed="false">
      <c r="A128" s="32" t="n">
        <f aca="false">A127+1</f>
        <v>114</v>
      </c>
      <c r="B128" s="32" t="n">
        <f aca="true">RAND()</f>
        <v>0.988868072228806</v>
      </c>
      <c r="C128" s="32" t="n">
        <f aca="true">VLOOKUP(B128,$F$7:$H$12,2,TRUE())+(RAND()*(VLOOKUP(B128,$F$7:$H$12,3,TRUE())-VLOOKUP(B128,$F$7:$H$12,2,TRUE())))</f>
        <v>84.339516781471</v>
      </c>
      <c r="D128" s="32" t="n">
        <f aca="true">RAND()</f>
        <v>0.746589094636473</v>
      </c>
      <c r="E128" s="32" t="n">
        <f aca="true">VLOOKUP(D128,$K$7:$M$10,2,TRUE())+(RAND()*(VLOOKUP(D128,$K$7:$M$10,3,TRUE())-VLOOKUP(D128,$K$7:$M$10,2,TRUE())))</f>
        <v>5.16649950259362</v>
      </c>
      <c r="F128" s="32" t="n">
        <f aca="false">E128*$B$3</f>
        <v>61.9979940311235</v>
      </c>
      <c r="G128" s="32" t="n">
        <f aca="false">MAX(C128-F128,0)</f>
        <v>22.3415227503475</v>
      </c>
      <c r="H128" s="32" t="n">
        <f aca="false">G128*100</f>
        <v>2234.15227503475</v>
      </c>
    </row>
    <row r="129" customFormat="false" ht="15" hidden="false" customHeight="false" outlineLevel="0" collapsed="false">
      <c r="A129" s="32" t="n">
        <f aca="false">A128+1</f>
        <v>115</v>
      </c>
      <c r="B129" s="32" t="n">
        <f aca="true">RAND()</f>
        <v>0.736089680236006</v>
      </c>
      <c r="C129" s="32" t="n">
        <f aca="true">VLOOKUP(B129,$F$7:$H$12,2,TRUE())+(RAND()*(VLOOKUP(B129,$F$7:$H$12,3,TRUE())-VLOOKUP(B129,$F$7:$H$12,2,TRUE())))</f>
        <v>67.8372048179773</v>
      </c>
      <c r="D129" s="32" t="n">
        <f aca="true">RAND()</f>
        <v>0.669198381545626</v>
      </c>
      <c r="E129" s="32" t="n">
        <f aca="true">VLOOKUP(D129,$K$7:$M$10,2,TRUE())+(RAND()*(VLOOKUP(D129,$K$7:$M$10,3,TRUE())-VLOOKUP(D129,$K$7:$M$10,2,TRUE())))</f>
        <v>4.56626938656316</v>
      </c>
      <c r="F129" s="32" t="n">
        <f aca="false">E129*$B$3</f>
        <v>54.7952326387579</v>
      </c>
      <c r="G129" s="32" t="n">
        <f aca="false">MAX(C129-F129,0)</f>
        <v>13.0419721792194</v>
      </c>
      <c r="H129" s="32" t="n">
        <f aca="false">G129*100</f>
        <v>1304.19721792194</v>
      </c>
    </row>
    <row r="130" customFormat="false" ht="15" hidden="false" customHeight="false" outlineLevel="0" collapsed="false">
      <c r="A130" s="32" t="n">
        <f aca="false">A129+1</f>
        <v>116</v>
      </c>
      <c r="B130" s="32" t="n">
        <f aca="true">RAND()</f>
        <v>0.143465660685119</v>
      </c>
      <c r="C130" s="32" t="n">
        <f aca="true">VLOOKUP(B130,$F$7:$H$12,2,TRUE())+(RAND()*(VLOOKUP(B130,$F$7:$H$12,3,TRUE())-VLOOKUP(B130,$F$7:$H$12,2,TRUE())))</f>
        <v>58.6777934663195</v>
      </c>
      <c r="D130" s="32" t="n">
        <f aca="true">RAND()</f>
        <v>0.375385375971727</v>
      </c>
      <c r="E130" s="32" t="n">
        <f aca="true">VLOOKUP(D130,$K$7:$M$10,2,TRUE())+(RAND()*(VLOOKUP(D130,$K$7:$M$10,3,TRUE())-VLOOKUP(D130,$K$7:$M$10,2,TRUE())))</f>
        <v>4.9245543368801</v>
      </c>
      <c r="F130" s="32" t="n">
        <f aca="false">E130*$B$3</f>
        <v>59.0946520425612</v>
      </c>
      <c r="G130" s="32" t="n">
        <f aca="false">MAX(C130-F130,0)</f>
        <v>0</v>
      </c>
      <c r="H130" s="32" t="n">
        <f aca="false">G130*100</f>
        <v>0</v>
      </c>
    </row>
    <row r="131" customFormat="false" ht="15" hidden="false" customHeight="false" outlineLevel="0" collapsed="false">
      <c r="A131" s="32" t="n">
        <f aca="false">A130+1</f>
        <v>117</v>
      </c>
      <c r="B131" s="32" t="n">
        <f aca="true">RAND()</f>
        <v>0.316607900263864</v>
      </c>
      <c r="C131" s="32" t="n">
        <f aca="true">VLOOKUP(B131,$F$7:$H$12,2,TRUE())+(RAND()*(VLOOKUP(B131,$F$7:$H$12,3,TRUE())-VLOOKUP(B131,$F$7:$H$12,2,TRUE())))</f>
        <v>62.30039138572</v>
      </c>
      <c r="D131" s="32" t="n">
        <f aca="true">RAND()</f>
        <v>0.999310309890597</v>
      </c>
      <c r="E131" s="32" t="n">
        <f aca="true">VLOOKUP(D131,$K$7:$M$10,2,TRUE())+(RAND()*(VLOOKUP(D131,$K$7:$M$10,3,TRUE())-VLOOKUP(D131,$K$7:$M$10,2,TRUE())))</f>
        <v>5.82982831336576</v>
      </c>
      <c r="F131" s="32" t="n">
        <f aca="false">E131*$B$3</f>
        <v>69.9579397603891</v>
      </c>
      <c r="G131" s="32" t="n">
        <f aca="false">MAX(C131-F131,0)</f>
        <v>0</v>
      </c>
      <c r="H131" s="32" t="n">
        <f aca="false">G131*100</f>
        <v>0</v>
      </c>
    </row>
    <row r="132" customFormat="false" ht="15" hidden="false" customHeight="false" outlineLevel="0" collapsed="false">
      <c r="A132" s="32" t="n">
        <f aca="false">A131+1</f>
        <v>118</v>
      </c>
      <c r="B132" s="32" t="n">
        <f aca="true">RAND()</f>
        <v>0.900575438078618</v>
      </c>
      <c r="C132" s="32" t="n">
        <f aca="true">VLOOKUP(B132,$F$7:$H$12,2,TRUE())+(RAND()*(VLOOKUP(B132,$F$7:$H$12,3,TRUE())-VLOOKUP(B132,$F$7:$H$12,2,TRUE())))</f>
        <v>76.2983849970234</v>
      </c>
      <c r="D132" s="32" t="n">
        <f aca="true">RAND()</f>
        <v>0.750484352713767</v>
      </c>
      <c r="E132" s="32" t="n">
        <f aca="true">VLOOKUP(D132,$K$7:$M$10,2,TRUE())+(RAND()*(VLOOKUP(D132,$K$7:$M$10,3,TRUE())-VLOOKUP(D132,$K$7:$M$10,2,TRUE())))</f>
        <v>5.04921698878487</v>
      </c>
      <c r="F132" s="32" t="n">
        <f aca="false">E132*$B$3</f>
        <v>60.5906038654184</v>
      </c>
      <c r="G132" s="32" t="n">
        <f aca="false">MAX(C132-F132,0)</f>
        <v>15.707781131605</v>
      </c>
      <c r="H132" s="32" t="n">
        <f aca="false">G132*100</f>
        <v>1570.7781131605</v>
      </c>
    </row>
    <row r="133" customFormat="false" ht="15" hidden="false" customHeight="false" outlineLevel="0" collapsed="false">
      <c r="A133" s="32" t="n">
        <f aca="false">A132+1</f>
        <v>119</v>
      </c>
      <c r="B133" s="32" t="n">
        <f aca="true">RAND()</f>
        <v>0.13946230023415</v>
      </c>
      <c r="C133" s="32" t="n">
        <f aca="true">VLOOKUP(B133,$F$7:$H$12,2,TRUE())+(RAND()*(VLOOKUP(B133,$F$7:$H$12,3,TRUE())-VLOOKUP(B133,$F$7:$H$12,2,TRUE())))</f>
        <v>55.4212287590879</v>
      </c>
      <c r="D133" s="32" t="n">
        <f aca="true">RAND()</f>
        <v>0.0754512530682304</v>
      </c>
      <c r="E133" s="32" t="n">
        <f aca="true">VLOOKUP(D133,$K$7:$M$10,2,TRUE())+(RAND()*(VLOOKUP(D133,$K$7:$M$10,3,TRUE())-VLOOKUP(D133,$K$7:$M$10,2,TRUE())))</f>
        <v>4.19164469553156</v>
      </c>
      <c r="F133" s="32" t="n">
        <f aca="false">E133*$B$3</f>
        <v>50.2997363463787</v>
      </c>
      <c r="G133" s="32" t="n">
        <f aca="false">MAX(C133-F133,0)</f>
        <v>5.12149241270918</v>
      </c>
      <c r="H133" s="32" t="n">
        <f aca="false">G133*100</f>
        <v>512.149241270918</v>
      </c>
    </row>
    <row r="134" customFormat="false" ht="15" hidden="false" customHeight="false" outlineLevel="0" collapsed="false">
      <c r="A134" s="32" t="n">
        <f aca="false">A133+1</f>
        <v>120</v>
      </c>
      <c r="B134" s="32" t="n">
        <f aca="true">RAND()</f>
        <v>0.659885545303667</v>
      </c>
      <c r="C134" s="32" t="n">
        <f aca="true">VLOOKUP(B134,$F$7:$H$12,2,TRUE())+(RAND()*(VLOOKUP(B134,$F$7:$H$12,3,TRUE())-VLOOKUP(B134,$F$7:$H$12,2,TRUE())))</f>
        <v>65.4908920853745</v>
      </c>
      <c r="D134" s="32" t="n">
        <f aca="true">RAND()</f>
        <v>0.331142436174912</v>
      </c>
      <c r="E134" s="32" t="n">
        <f aca="true">VLOOKUP(D134,$K$7:$M$10,2,TRUE())+(RAND()*(VLOOKUP(D134,$K$7:$M$10,3,TRUE())-VLOOKUP(D134,$K$7:$M$10,2,TRUE())))</f>
        <v>4.98936469173939</v>
      </c>
      <c r="F134" s="32" t="n">
        <f aca="false">E134*$B$3</f>
        <v>59.8723763008727</v>
      </c>
      <c r="G134" s="32" t="n">
        <f aca="false">MAX(C134-F134,0)</f>
        <v>5.61851578450185</v>
      </c>
      <c r="H134" s="32" t="n">
        <f aca="false">G134*100</f>
        <v>561.851578450185</v>
      </c>
    </row>
    <row r="135" customFormat="false" ht="15" hidden="false" customHeight="false" outlineLevel="0" collapsed="false">
      <c r="A135" s="32" t="n">
        <f aca="false">A134+1</f>
        <v>121</v>
      </c>
      <c r="B135" s="32" t="n">
        <f aca="true">RAND()</f>
        <v>0.164957268394315</v>
      </c>
      <c r="C135" s="32" t="n">
        <f aca="true">VLOOKUP(B135,$F$7:$H$12,2,TRUE())+(RAND()*(VLOOKUP(B135,$F$7:$H$12,3,TRUE())-VLOOKUP(B135,$F$7:$H$12,2,TRUE())))</f>
        <v>59.0089219561197</v>
      </c>
      <c r="D135" s="32" t="n">
        <f aca="true">RAND()</f>
        <v>0.0605345147531879</v>
      </c>
      <c r="E135" s="32" t="n">
        <f aca="true">VLOOKUP(D135,$K$7:$M$10,2,TRUE())+(RAND()*(VLOOKUP(D135,$K$7:$M$10,3,TRUE())-VLOOKUP(D135,$K$7:$M$10,2,TRUE())))</f>
        <v>4.13932694366564</v>
      </c>
      <c r="F135" s="32" t="n">
        <f aca="false">E135*$B$3</f>
        <v>49.6719233239876</v>
      </c>
      <c r="G135" s="32" t="n">
        <f aca="false">MAX(C135-F135,0)</f>
        <v>9.3369986321321</v>
      </c>
      <c r="H135" s="32" t="n">
        <f aca="false">G135*100</f>
        <v>933.69986321321</v>
      </c>
    </row>
    <row r="136" customFormat="false" ht="15" hidden="false" customHeight="false" outlineLevel="0" collapsed="false">
      <c r="A136" s="32" t="n">
        <f aca="false">A135+1</f>
        <v>122</v>
      </c>
      <c r="B136" s="32" t="n">
        <f aca="true">RAND()</f>
        <v>0.346442134618712</v>
      </c>
      <c r="C136" s="32" t="n">
        <f aca="true">VLOOKUP(B136,$F$7:$H$12,2,TRUE())+(RAND()*(VLOOKUP(B136,$F$7:$H$12,3,TRUE())-VLOOKUP(B136,$F$7:$H$12,2,TRUE())))</f>
        <v>64.4066436964209</v>
      </c>
      <c r="D136" s="32" t="n">
        <f aca="true">RAND()</f>
        <v>0.21304565694066</v>
      </c>
      <c r="E136" s="32" t="n">
        <f aca="true">VLOOKUP(D136,$K$7:$M$10,2,TRUE())+(RAND()*(VLOOKUP(D136,$K$7:$M$10,3,TRUE())-VLOOKUP(D136,$K$7:$M$10,2,TRUE())))</f>
        <v>4.49956964015405</v>
      </c>
      <c r="F136" s="32" t="n">
        <f aca="false">E136*$B$3</f>
        <v>53.9948356818486</v>
      </c>
      <c r="G136" s="32" t="n">
        <f aca="false">MAX(C136-F136,0)</f>
        <v>10.4118080145722</v>
      </c>
      <c r="H136" s="32" t="n">
        <f aca="false">G136*100</f>
        <v>1041.18080145722</v>
      </c>
    </row>
    <row r="137" customFormat="false" ht="15" hidden="false" customHeight="false" outlineLevel="0" collapsed="false">
      <c r="A137" s="32" t="n">
        <f aca="false">A136+1</f>
        <v>123</v>
      </c>
      <c r="B137" s="32" t="n">
        <f aca="true">RAND()</f>
        <v>0.493771273650745</v>
      </c>
      <c r="C137" s="32" t="n">
        <f aca="true">VLOOKUP(B137,$F$7:$H$12,2,TRUE())+(RAND()*(VLOOKUP(B137,$F$7:$H$12,3,TRUE())-VLOOKUP(B137,$F$7:$H$12,2,TRUE())))</f>
        <v>62.3945195927357</v>
      </c>
      <c r="D137" s="32" t="n">
        <f aca="true">RAND()</f>
        <v>0.211544139931224</v>
      </c>
      <c r="E137" s="32" t="n">
        <f aca="true">VLOOKUP(D137,$K$7:$M$10,2,TRUE())+(RAND()*(VLOOKUP(D137,$K$7:$M$10,3,TRUE())-VLOOKUP(D137,$K$7:$M$10,2,TRUE())))</f>
        <v>4.25906196788603</v>
      </c>
      <c r="F137" s="32" t="n">
        <f aca="false">E137*$B$3</f>
        <v>51.1087436146323</v>
      </c>
      <c r="G137" s="32" t="n">
        <f aca="false">MAX(C137-F137,0)</f>
        <v>11.2857759781034</v>
      </c>
      <c r="H137" s="32" t="n">
        <f aca="false">G137*100</f>
        <v>1128.57759781034</v>
      </c>
    </row>
    <row r="138" customFormat="false" ht="15" hidden="false" customHeight="false" outlineLevel="0" collapsed="false">
      <c r="A138" s="32" t="n">
        <f aca="false">A137+1</f>
        <v>124</v>
      </c>
      <c r="B138" s="32" t="n">
        <f aca="true">RAND()</f>
        <v>0.867127017404983</v>
      </c>
      <c r="C138" s="32" t="n">
        <f aca="true">VLOOKUP(B138,$F$7:$H$12,2,TRUE())+(RAND()*(VLOOKUP(B138,$F$7:$H$12,3,TRUE())-VLOOKUP(B138,$F$7:$H$12,2,TRUE())))</f>
        <v>67.6363669925378</v>
      </c>
      <c r="D138" s="32" t="n">
        <f aca="true">RAND()</f>
        <v>0.44561370647601</v>
      </c>
      <c r="E138" s="32" t="n">
        <f aca="true">VLOOKUP(D138,$K$7:$M$10,2,TRUE())+(RAND()*(VLOOKUP(D138,$K$7:$M$10,3,TRUE())-VLOOKUP(D138,$K$7:$M$10,2,TRUE())))</f>
        <v>4.661902314842</v>
      </c>
      <c r="F138" s="32" t="n">
        <f aca="false">E138*$B$3</f>
        <v>55.942827778104</v>
      </c>
      <c r="G138" s="32" t="n">
        <f aca="false">MAX(C138-F138,0)</f>
        <v>11.6935392144338</v>
      </c>
      <c r="H138" s="32" t="n">
        <f aca="false">G138*100</f>
        <v>1169.35392144338</v>
      </c>
    </row>
    <row r="139" customFormat="false" ht="15" hidden="false" customHeight="false" outlineLevel="0" collapsed="false">
      <c r="A139" s="32" t="n">
        <f aca="false">A138+1</f>
        <v>125</v>
      </c>
      <c r="B139" s="32" t="n">
        <f aca="true">RAND()</f>
        <v>0.19517569201741</v>
      </c>
      <c r="C139" s="32" t="n">
        <f aca="true">VLOOKUP(B139,$F$7:$H$12,2,TRUE())+(RAND()*(VLOOKUP(B139,$F$7:$H$12,3,TRUE())-VLOOKUP(B139,$F$7:$H$12,2,TRUE())))</f>
        <v>59.2959657815584</v>
      </c>
      <c r="D139" s="32" t="n">
        <f aca="true">RAND()</f>
        <v>0.414334613882871</v>
      </c>
      <c r="E139" s="32" t="n">
        <f aca="true">VLOOKUP(D139,$K$7:$M$10,2,TRUE())+(RAND()*(VLOOKUP(D139,$K$7:$M$10,3,TRUE())-VLOOKUP(D139,$K$7:$M$10,2,TRUE())))</f>
        <v>4.52175344237949</v>
      </c>
      <c r="F139" s="32" t="n">
        <f aca="false">E139*$B$3</f>
        <v>54.2610413085539</v>
      </c>
      <c r="G139" s="32" t="n">
        <f aca="false">MAX(C139-F139,0)</f>
        <v>5.0349244730045</v>
      </c>
      <c r="H139" s="32" t="n">
        <f aca="false">G139*100</f>
        <v>503.49244730045</v>
      </c>
    </row>
    <row r="140" customFormat="false" ht="15" hidden="false" customHeight="false" outlineLevel="0" collapsed="false">
      <c r="A140" s="32" t="n">
        <f aca="false">A139+1</f>
        <v>126</v>
      </c>
      <c r="B140" s="32" t="n">
        <f aca="true">RAND()</f>
        <v>0.0583624169411539</v>
      </c>
      <c r="C140" s="32" t="n">
        <f aca="true">VLOOKUP(B140,$F$7:$H$12,2,TRUE())+(RAND()*(VLOOKUP(B140,$F$7:$H$12,3,TRUE())-VLOOKUP(B140,$F$7:$H$12,2,TRUE())))</f>
        <v>51.3592713289806</v>
      </c>
      <c r="D140" s="32" t="n">
        <f aca="true">RAND()</f>
        <v>0.31732345276118</v>
      </c>
      <c r="E140" s="32" t="n">
        <f aca="true">VLOOKUP(D140,$K$7:$M$10,2,TRUE())+(RAND()*(VLOOKUP(D140,$K$7:$M$10,3,TRUE())-VLOOKUP(D140,$K$7:$M$10,2,TRUE())))</f>
        <v>4.92688282999925</v>
      </c>
      <c r="F140" s="32" t="n">
        <f aca="false">E140*$B$3</f>
        <v>59.122593959991</v>
      </c>
      <c r="G140" s="32" t="n">
        <f aca="false">MAX(C140-F140,0)</f>
        <v>0</v>
      </c>
      <c r="H140" s="32" t="n">
        <f aca="false">G140*100</f>
        <v>0</v>
      </c>
    </row>
    <row r="141" customFormat="false" ht="15" hidden="false" customHeight="false" outlineLevel="0" collapsed="false">
      <c r="A141" s="32" t="n">
        <f aca="false">A140+1</f>
        <v>127</v>
      </c>
      <c r="B141" s="32" t="n">
        <f aca="true">RAND()</f>
        <v>0.0784491196411559</v>
      </c>
      <c r="C141" s="32" t="n">
        <f aca="true">VLOOKUP(B141,$F$7:$H$12,2,TRUE())+(RAND()*(VLOOKUP(B141,$F$7:$H$12,3,TRUE())-VLOOKUP(B141,$F$7:$H$12,2,TRUE())))</f>
        <v>51.2221084593112</v>
      </c>
      <c r="D141" s="32" t="n">
        <f aca="true">RAND()</f>
        <v>0.11300754122179</v>
      </c>
      <c r="E141" s="32" t="n">
        <f aca="true">VLOOKUP(D141,$K$7:$M$10,2,TRUE())+(RAND()*(VLOOKUP(D141,$K$7:$M$10,3,TRUE())-VLOOKUP(D141,$K$7:$M$10,2,TRUE())))</f>
        <v>4.19839817873168</v>
      </c>
      <c r="F141" s="32" t="n">
        <f aca="false">E141*$B$3</f>
        <v>50.3807781447801</v>
      </c>
      <c r="G141" s="32" t="n">
        <f aca="false">MAX(C141-F141,0)</f>
        <v>0.841330314531113</v>
      </c>
      <c r="H141" s="32" t="n">
        <f aca="false">G141*100</f>
        <v>84.1330314531113</v>
      </c>
    </row>
    <row r="142" customFormat="false" ht="15" hidden="false" customHeight="false" outlineLevel="0" collapsed="false">
      <c r="A142" s="32" t="n">
        <f aca="false">A141+1</f>
        <v>128</v>
      </c>
      <c r="B142" s="32" t="n">
        <f aca="true">RAND()</f>
        <v>0.0917339089385256</v>
      </c>
      <c r="C142" s="32" t="n">
        <f aca="true">VLOOKUP(B142,$F$7:$H$12,2,TRUE())+(RAND()*(VLOOKUP(B142,$F$7:$H$12,3,TRUE())-VLOOKUP(B142,$F$7:$H$12,2,TRUE())))</f>
        <v>51.6076972505328</v>
      </c>
      <c r="D142" s="32" t="n">
        <f aca="true">RAND()</f>
        <v>0.598217876997973</v>
      </c>
      <c r="E142" s="32" t="n">
        <f aca="true">VLOOKUP(D142,$K$7:$M$10,2,TRUE())+(RAND()*(VLOOKUP(D142,$K$7:$M$10,3,TRUE())-VLOOKUP(D142,$K$7:$M$10,2,TRUE())))</f>
        <v>4.96665527473205</v>
      </c>
      <c r="F142" s="32" t="n">
        <f aca="false">E142*$B$3</f>
        <v>59.5998632967846</v>
      </c>
      <c r="G142" s="32" t="n">
        <f aca="false">MAX(C142-F142,0)</f>
        <v>0</v>
      </c>
      <c r="H142" s="32" t="n">
        <f aca="false">G142*100</f>
        <v>0</v>
      </c>
    </row>
    <row r="143" customFormat="false" ht="15" hidden="false" customHeight="false" outlineLevel="0" collapsed="false">
      <c r="A143" s="32" t="n">
        <f aca="false">A142+1</f>
        <v>129</v>
      </c>
      <c r="B143" s="32" t="n">
        <f aca="true">RAND()</f>
        <v>0.429259561542786</v>
      </c>
      <c r="C143" s="32" t="n">
        <f aca="true">VLOOKUP(B143,$F$7:$H$12,2,TRUE())+(RAND()*(VLOOKUP(B143,$F$7:$H$12,3,TRUE())-VLOOKUP(B143,$F$7:$H$12,2,TRUE())))</f>
        <v>64.8407883908028</v>
      </c>
      <c r="D143" s="32" t="n">
        <f aca="true">RAND()</f>
        <v>0.0699768316626178</v>
      </c>
      <c r="E143" s="32" t="n">
        <f aca="true">VLOOKUP(D143,$K$7:$M$10,2,TRUE())+(RAND()*(VLOOKUP(D143,$K$7:$M$10,3,TRUE())-VLOOKUP(D143,$K$7:$M$10,2,TRUE())))</f>
        <v>4.36303325280782</v>
      </c>
      <c r="F143" s="32" t="n">
        <f aca="false">E143*$B$3</f>
        <v>52.3563990336938</v>
      </c>
      <c r="G143" s="32" t="n">
        <f aca="false">MAX(C143-F143,0)</f>
        <v>12.484389357109</v>
      </c>
      <c r="H143" s="32" t="n">
        <f aca="false">G143*100</f>
        <v>1248.4389357109</v>
      </c>
    </row>
    <row r="144" customFormat="false" ht="15" hidden="false" customHeight="false" outlineLevel="0" collapsed="false">
      <c r="A144" s="32" t="n">
        <f aca="false">A143+1</f>
        <v>130</v>
      </c>
      <c r="B144" s="32" t="n">
        <f aca="true">RAND()</f>
        <v>0.461559691600064</v>
      </c>
      <c r="C144" s="32" t="n">
        <f aca="true">VLOOKUP(B144,$F$7:$H$12,2,TRUE())+(RAND()*(VLOOKUP(B144,$F$7:$H$12,3,TRUE())-VLOOKUP(B144,$F$7:$H$12,2,TRUE())))</f>
        <v>61.8811718859834</v>
      </c>
      <c r="D144" s="32" t="n">
        <f aca="true">RAND()</f>
        <v>0.986418222637115</v>
      </c>
      <c r="E144" s="32" t="n">
        <f aca="true">VLOOKUP(D144,$K$7:$M$10,2,TRUE())+(RAND()*(VLOOKUP(D144,$K$7:$M$10,3,TRUE())-VLOOKUP(D144,$K$7:$M$10,2,TRUE())))</f>
        <v>5.62354895324988</v>
      </c>
      <c r="F144" s="32" t="n">
        <f aca="false">E144*$B$3</f>
        <v>67.4825874389986</v>
      </c>
      <c r="G144" s="32" t="n">
        <f aca="false">MAX(C144-F144,0)</f>
        <v>0</v>
      </c>
      <c r="H144" s="32" t="n">
        <f aca="false">G144*100</f>
        <v>0</v>
      </c>
    </row>
    <row r="145" customFormat="false" ht="15" hidden="false" customHeight="false" outlineLevel="0" collapsed="false">
      <c r="A145" s="32" t="n">
        <f aca="false">A144+1</f>
        <v>131</v>
      </c>
      <c r="B145" s="32" t="n">
        <f aca="true">RAND()</f>
        <v>0.670979903642798</v>
      </c>
      <c r="C145" s="32" t="n">
        <f aca="true">VLOOKUP(B145,$F$7:$H$12,2,TRUE())+(RAND()*(VLOOKUP(B145,$F$7:$H$12,3,TRUE())-VLOOKUP(B145,$F$7:$H$12,2,TRUE())))</f>
        <v>66.006304159962</v>
      </c>
      <c r="D145" s="32" t="n">
        <f aca="true">RAND()</f>
        <v>0.351578228464765</v>
      </c>
      <c r="E145" s="32" t="n">
        <f aca="true">VLOOKUP(D145,$K$7:$M$10,2,TRUE())+(RAND()*(VLOOKUP(D145,$K$7:$M$10,3,TRUE())-VLOOKUP(D145,$K$7:$M$10,2,TRUE())))</f>
        <v>4.59802785079849</v>
      </c>
      <c r="F145" s="32" t="n">
        <f aca="false">E145*$B$3</f>
        <v>55.1763342095819</v>
      </c>
      <c r="G145" s="32" t="n">
        <f aca="false">MAX(C145-F145,0)</f>
        <v>10.8299699503801</v>
      </c>
      <c r="H145" s="32" t="n">
        <f aca="false">G145*100</f>
        <v>1082.99699503801</v>
      </c>
    </row>
    <row r="146" customFormat="false" ht="15" hidden="false" customHeight="false" outlineLevel="0" collapsed="false">
      <c r="A146" s="32" t="n">
        <f aca="false">A145+1</f>
        <v>132</v>
      </c>
      <c r="B146" s="32" t="n">
        <f aca="true">RAND()</f>
        <v>0.990104765422559</v>
      </c>
      <c r="C146" s="32" t="n">
        <f aca="true">VLOOKUP(B146,$F$7:$H$12,2,TRUE())+(RAND()*(VLOOKUP(B146,$F$7:$H$12,3,TRUE())-VLOOKUP(B146,$F$7:$H$12,2,TRUE())))</f>
        <v>84.61575164362</v>
      </c>
      <c r="D146" s="32" t="n">
        <f aca="true">RAND()</f>
        <v>0.403762050598294</v>
      </c>
      <c r="E146" s="32" t="n">
        <f aca="true">VLOOKUP(D146,$K$7:$M$10,2,TRUE())+(RAND()*(VLOOKUP(D146,$K$7:$M$10,3,TRUE())-VLOOKUP(D146,$K$7:$M$10,2,TRUE())))</f>
        <v>4.64041160140814</v>
      </c>
      <c r="F146" s="32" t="n">
        <f aca="false">E146*$B$3</f>
        <v>55.6849392168977</v>
      </c>
      <c r="G146" s="32" t="n">
        <f aca="false">MAX(C146-F146,0)</f>
        <v>28.9308124267223</v>
      </c>
      <c r="H146" s="32" t="n">
        <f aca="false">G146*100</f>
        <v>2893.08124267223</v>
      </c>
    </row>
    <row r="147" customFormat="false" ht="15" hidden="false" customHeight="false" outlineLevel="0" collapsed="false">
      <c r="A147" s="32" t="n">
        <f aca="false">A146+1</f>
        <v>133</v>
      </c>
      <c r="B147" s="32" t="n">
        <f aca="true">RAND()</f>
        <v>0.331469513665246</v>
      </c>
      <c r="C147" s="32" t="n">
        <f aca="true">VLOOKUP(B147,$F$7:$H$12,2,TRUE())+(RAND()*(VLOOKUP(B147,$F$7:$H$12,3,TRUE())-VLOOKUP(B147,$F$7:$H$12,2,TRUE())))</f>
        <v>61.8570106516362</v>
      </c>
      <c r="D147" s="32" t="n">
        <f aca="true">RAND()</f>
        <v>0.825259530398855</v>
      </c>
      <c r="E147" s="32" t="n">
        <f aca="true">VLOOKUP(D147,$K$7:$M$10,2,TRUE())+(RAND()*(VLOOKUP(D147,$K$7:$M$10,3,TRUE())-VLOOKUP(D147,$K$7:$M$10,2,TRUE())))</f>
        <v>5.48667231178488</v>
      </c>
      <c r="F147" s="32" t="n">
        <f aca="false">E147*$B$3</f>
        <v>65.8400677414185</v>
      </c>
      <c r="G147" s="32" t="n">
        <f aca="false">MAX(C147-F147,0)</f>
        <v>0</v>
      </c>
      <c r="H147" s="32" t="n">
        <f aca="false">G147*100</f>
        <v>0</v>
      </c>
    </row>
    <row r="148" customFormat="false" ht="15" hidden="false" customHeight="false" outlineLevel="0" collapsed="false">
      <c r="A148" s="32" t="n">
        <f aca="false">A147+1</f>
        <v>134</v>
      </c>
      <c r="B148" s="32" t="n">
        <f aca="true">RAND()</f>
        <v>0.329205126542369</v>
      </c>
      <c r="C148" s="32" t="n">
        <f aca="true">VLOOKUP(B148,$F$7:$H$12,2,TRUE())+(RAND()*(VLOOKUP(B148,$F$7:$H$12,3,TRUE())-VLOOKUP(B148,$F$7:$H$12,2,TRUE())))</f>
        <v>62.6117052885168</v>
      </c>
      <c r="D148" s="32" t="n">
        <f aca="true">RAND()</f>
        <v>0.0512207182221895</v>
      </c>
      <c r="E148" s="32" t="n">
        <f aca="true">VLOOKUP(D148,$K$7:$M$10,2,TRUE())+(RAND()*(VLOOKUP(D148,$K$7:$M$10,3,TRUE())-VLOOKUP(D148,$K$7:$M$10,2,TRUE())))</f>
        <v>4.45162920306878</v>
      </c>
      <c r="F148" s="32" t="n">
        <f aca="false">E148*$B$3</f>
        <v>53.4195504368254</v>
      </c>
      <c r="G148" s="32" t="n">
        <f aca="false">MAX(C148-F148,0)</f>
        <v>9.19215485169138</v>
      </c>
      <c r="H148" s="32" t="n">
        <f aca="false">G148*100</f>
        <v>919.215485169138</v>
      </c>
    </row>
    <row r="149" customFormat="false" ht="15" hidden="false" customHeight="false" outlineLevel="0" collapsed="false">
      <c r="A149" s="32" t="n">
        <f aca="false">A148+1</f>
        <v>135</v>
      </c>
      <c r="B149" s="32" t="n">
        <f aca="true">RAND()</f>
        <v>0.133712461132951</v>
      </c>
      <c r="C149" s="32" t="n">
        <f aca="true">VLOOKUP(B149,$F$7:$H$12,2,TRUE())+(RAND()*(VLOOKUP(B149,$F$7:$H$12,3,TRUE())-VLOOKUP(B149,$F$7:$H$12,2,TRUE())))</f>
        <v>56.8211128583204</v>
      </c>
      <c r="D149" s="32" t="n">
        <f aca="true">RAND()</f>
        <v>0.0400809715043555</v>
      </c>
      <c r="E149" s="32" t="n">
        <f aca="true">VLOOKUP(D149,$K$7:$M$10,2,TRUE())+(RAND()*(VLOOKUP(D149,$K$7:$M$10,3,TRUE())-VLOOKUP(D149,$K$7:$M$10,2,TRUE())))</f>
        <v>4.08592170653033</v>
      </c>
      <c r="F149" s="32" t="n">
        <f aca="false">E149*$B$3</f>
        <v>49.0310604783639</v>
      </c>
      <c r="G149" s="32" t="n">
        <f aca="false">MAX(C149-F149,0)</f>
        <v>7.79005237995646</v>
      </c>
      <c r="H149" s="32" t="n">
        <f aca="false">G149*100</f>
        <v>779.005237995646</v>
      </c>
    </row>
    <row r="150" customFormat="false" ht="15" hidden="false" customHeight="false" outlineLevel="0" collapsed="false">
      <c r="A150" s="32" t="n">
        <f aca="false">A149+1</f>
        <v>136</v>
      </c>
      <c r="B150" s="32" t="n">
        <f aca="true">RAND()</f>
        <v>0.703077540111404</v>
      </c>
      <c r="C150" s="32" t="n">
        <f aca="true">VLOOKUP(B150,$F$7:$H$12,2,TRUE())+(RAND()*(VLOOKUP(B150,$F$7:$H$12,3,TRUE())-VLOOKUP(B150,$F$7:$H$12,2,TRUE())))</f>
        <v>67.1672934200351</v>
      </c>
      <c r="D150" s="32" t="n">
        <f aca="true">RAND()</f>
        <v>0.523704798793986</v>
      </c>
      <c r="E150" s="32" t="n">
        <f aca="true">VLOOKUP(D150,$K$7:$M$10,2,TRUE())+(RAND()*(VLOOKUP(D150,$K$7:$M$10,3,TRUE())-VLOOKUP(D150,$K$7:$M$10,2,TRUE())))</f>
        <v>4.73537684070335</v>
      </c>
      <c r="F150" s="32" t="n">
        <f aca="false">E150*$B$3</f>
        <v>56.8245220884402</v>
      </c>
      <c r="G150" s="32" t="n">
        <f aca="false">MAX(C150-F150,0)</f>
        <v>10.3427713315949</v>
      </c>
      <c r="H150" s="32" t="n">
        <f aca="false">G150*100</f>
        <v>1034.27713315949</v>
      </c>
    </row>
    <row r="151" customFormat="false" ht="15" hidden="false" customHeight="false" outlineLevel="0" collapsed="false">
      <c r="A151" s="32" t="n">
        <f aca="false">A150+1</f>
        <v>137</v>
      </c>
      <c r="B151" s="32" t="n">
        <f aca="true">RAND()</f>
        <v>0.37087099893331</v>
      </c>
      <c r="C151" s="32" t="n">
        <f aca="true">VLOOKUP(B151,$F$7:$H$12,2,TRUE())+(RAND()*(VLOOKUP(B151,$F$7:$H$12,3,TRUE())-VLOOKUP(B151,$F$7:$H$12,2,TRUE())))</f>
        <v>62.550050503532</v>
      </c>
      <c r="D151" s="32" t="n">
        <f aca="true">RAND()</f>
        <v>0.720766092102612</v>
      </c>
      <c r="E151" s="32" t="n">
        <f aca="true">VLOOKUP(D151,$K$7:$M$10,2,TRUE())+(RAND()*(VLOOKUP(D151,$K$7:$M$10,3,TRUE())-VLOOKUP(D151,$K$7:$M$10,2,TRUE())))</f>
        <v>5.1751419059733</v>
      </c>
      <c r="F151" s="32" t="n">
        <f aca="false">E151*$B$3</f>
        <v>62.1017028716796</v>
      </c>
      <c r="G151" s="32" t="n">
        <f aca="false">MAX(C151-F151,0)</f>
        <v>0.448347631852407</v>
      </c>
      <c r="H151" s="32" t="n">
        <f aca="false">G151*100</f>
        <v>44.8347631852407</v>
      </c>
    </row>
    <row r="152" customFormat="false" ht="15" hidden="false" customHeight="false" outlineLevel="0" collapsed="false">
      <c r="A152" s="32" t="n">
        <f aca="false">A151+1</f>
        <v>138</v>
      </c>
      <c r="B152" s="32" t="n">
        <f aca="true">RAND()</f>
        <v>0.452749496958828</v>
      </c>
      <c r="C152" s="32" t="n">
        <f aca="true">VLOOKUP(B152,$F$7:$H$12,2,TRUE())+(RAND()*(VLOOKUP(B152,$F$7:$H$12,3,TRUE())-VLOOKUP(B152,$F$7:$H$12,2,TRUE())))</f>
        <v>63.0236660200244</v>
      </c>
      <c r="D152" s="32" t="n">
        <f aca="true">RAND()</f>
        <v>0.621807406868793</v>
      </c>
      <c r="E152" s="32" t="n">
        <f aca="true">VLOOKUP(D152,$K$7:$M$10,2,TRUE())+(RAND()*(VLOOKUP(D152,$K$7:$M$10,3,TRUE())-VLOOKUP(D152,$K$7:$M$10,2,TRUE())))</f>
        <v>4.98035658844506</v>
      </c>
      <c r="F152" s="32" t="n">
        <f aca="false">E152*$B$3</f>
        <v>59.7642790613407</v>
      </c>
      <c r="G152" s="32" t="n">
        <f aca="false">MAX(C152-F152,0)</f>
        <v>3.2593869586837</v>
      </c>
      <c r="H152" s="32" t="n">
        <f aca="false">G152*100</f>
        <v>325.93869586837</v>
      </c>
    </row>
    <row r="153" customFormat="false" ht="15" hidden="false" customHeight="false" outlineLevel="0" collapsed="false">
      <c r="A153" s="32" t="n">
        <f aca="false">A152+1</f>
        <v>139</v>
      </c>
      <c r="B153" s="32" t="n">
        <f aca="true">RAND()</f>
        <v>0.370372781159088</v>
      </c>
      <c r="C153" s="32" t="n">
        <f aca="true">VLOOKUP(B153,$F$7:$H$12,2,TRUE())+(RAND()*(VLOOKUP(B153,$F$7:$H$12,3,TRUE())-VLOOKUP(B153,$F$7:$H$12,2,TRUE())))</f>
        <v>63.0739319270949</v>
      </c>
      <c r="D153" s="32" t="n">
        <f aca="true">RAND()</f>
        <v>0.619497007180361</v>
      </c>
      <c r="E153" s="32" t="n">
        <f aca="true">VLOOKUP(D153,$K$7:$M$10,2,TRUE())+(RAND()*(VLOOKUP(D153,$K$7:$M$10,3,TRUE())-VLOOKUP(D153,$K$7:$M$10,2,TRUE())))</f>
        <v>4.71963567162812</v>
      </c>
      <c r="F153" s="32" t="n">
        <f aca="false">E153*$B$3</f>
        <v>56.6356280595375</v>
      </c>
      <c r="G153" s="32" t="n">
        <f aca="false">MAX(C153-F153,0)</f>
        <v>6.43830386755741</v>
      </c>
      <c r="H153" s="32" t="n">
        <f aca="false">G153*100</f>
        <v>643.830386755741</v>
      </c>
    </row>
    <row r="154" customFormat="false" ht="15" hidden="false" customHeight="false" outlineLevel="0" collapsed="false">
      <c r="A154" s="32" t="n">
        <f aca="false">A153+1</f>
        <v>140</v>
      </c>
      <c r="B154" s="32" t="n">
        <f aca="true">RAND()</f>
        <v>0.758937335013067</v>
      </c>
      <c r="C154" s="32" t="n">
        <f aca="true">VLOOKUP(B154,$F$7:$H$12,2,TRUE())+(RAND()*(VLOOKUP(B154,$F$7:$H$12,3,TRUE())-VLOOKUP(B154,$F$7:$H$12,2,TRUE())))</f>
        <v>69.8088648091989</v>
      </c>
      <c r="D154" s="32" t="n">
        <f aca="true">RAND()</f>
        <v>0.636384442217163</v>
      </c>
      <c r="E154" s="32" t="n">
        <f aca="true">VLOOKUP(D154,$K$7:$M$10,2,TRUE())+(RAND()*(VLOOKUP(D154,$K$7:$M$10,3,TRUE())-VLOOKUP(D154,$K$7:$M$10,2,TRUE())))</f>
        <v>4.59810380105555</v>
      </c>
      <c r="F154" s="32" t="n">
        <f aca="false">E154*$B$3</f>
        <v>55.1772456126666</v>
      </c>
      <c r="G154" s="32" t="n">
        <f aca="false">MAX(C154-F154,0)</f>
        <v>14.6316191965323</v>
      </c>
      <c r="H154" s="32" t="n">
        <f aca="false">G154*100</f>
        <v>1463.16191965323</v>
      </c>
    </row>
    <row r="155" customFormat="false" ht="15" hidden="false" customHeight="false" outlineLevel="0" collapsed="false">
      <c r="A155" s="32" t="n">
        <f aca="false">A154+1</f>
        <v>141</v>
      </c>
      <c r="B155" s="32" t="n">
        <f aca="true">RAND()</f>
        <v>0.449359325499627</v>
      </c>
      <c r="C155" s="32" t="n">
        <f aca="true">VLOOKUP(B155,$F$7:$H$12,2,TRUE())+(RAND()*(VLOOKUP(B155,$F$7:$H$12,3,TRUE())-VLOOKUP(B155,$F$7:$H$12,2,TRUE())))</f>
        <v>60.5867996553053</v>
      </c>
      <c r="D155" s="32" t="n">
        <f aca="true">RAND()</f>
        <v>0.252398075559186</v>
      </c>
      <c r="E155" s="32" t="n">
        <f aca="true">VLOOKUP(D155,$K$7:$M$10,2,TRUE())+(RAND()*(VLOOKUP(D155,$K$7:$M$10,3,TRUE())-VLOOKUP(D155,$K$7:$M$10,2,TRUE())))</f>
        <v>4.13766645453707</v>
      </c>
      <c r="F155" s="32" t="n">
        <f aca="false">E155*$B$3</f>
        <v>49.6519974544449</v>
      </c>
      <c r="G155" s="32" t="n">
        <f aca="false">MAX(C155-F155,0)</f>
        <v>10.9348022008604</v>
      </c>
      <c r="H155" s="32" t="n">
        <f aca="false">G155*100</f>
        <v>1093.48022008604</v>
      </c>
    </row>
    <row r="156" customFormat="false" ht="15" hidden="false" customHeight="false" outlineLevel="0" collapsed="false">
      <c r="A156" s="32" t="n">
        <f aca="false">A155+1</f>
        <v>142</v>
      </c>
      <c r="B156" s="32" t="n">
        <f aca="true">RAND()</f>
        <v>0.509738919545062</v>
      </c>
      <c r="C156" s="32" t="n">
        <f aca="true">VLOOKUP(B156,$F$7:$H$12,2,TRUE())+(RAND()*(VLOOKUP(B156,$F$7:$H$12,3,TRUE())-VLOOKUP(B156,$F$7:$H$12,2,TRUE())))</f>
        <v>62.2711474268924</v>
      </c>
      <c r="D156" s="32" t="n">
        <f aca="true">RAND()</f>
        <v>0.450547345731862</v>
      </c>
      <c r="E156" s="32" t="n">
        <f aca="true">VLOOKUP(D156,$K$7:$M$10,2,TRUE())+(RAND()*(VLOOKUP(D156,$K$7:$M$10,3,TRUE())-VLOOKUP(D156,$K$7:$M$10,2,TRUE())))</f>
        <v>4.702478457257</v>
      </c>
      <c r="F156" s="32" t="n">
        <f aca="false">E156*$B$3</f>
        <v>56.429741487084</v>
      </c>
      <c r="G156" s="32" t="n">
        <f aca="false">MAX(C156-F156,0)</f>
        <v>5.84140593980845</v>
      </c>
      <c r="H156" s="32" t="n">
        <f aca="false">G156*100</f>
        <v>584.140593980845</v>
      </c>
    </row>
    <row r="157" customFormat="false" ht="15" hidden="false" customHeight="false" outlineLevel="0" collapsed="false">
      <c r="A157" s="32" t="n">
        <f aca="false">A156+1</f>
        <v>143</v>
      </c>
      <c r="B157" s="32" t="n">
        <f aca="true">RAND()</f>
        <v>0.0275507113146045</v>
      </c>
      <c r="C157" s="32" t="n">
        <f aca="true">VLOOKUP(B157,$F$7:$H$12,2,TRUE())+(RAND()*(VLOOKUP(B157,$F$7:$H$12,3,TRUE())-VLOOKUP(B157,$F$7:$H$12,2,TRUE())))</f>
        <v>53.7721711590111</v>
      </c>
      <c r="D157" s="32" t="n">
        <f aca="true">RAND()</f>
        <v>0.94394554988505</v>
      </c>
      <c r="E157" s="32" t="n">
        <f aca="true">VLOOKUP(D157,$K$7:$M$10,2,TRUE())+(RAND()*(VLOOKUP(D157,$K$7:$M$10,3,TRUE())-VLOOKUP(D157,$K$7:$M$10,2,TRUE())))</f>
        <v>5.83014974217505</v>
      </c>
      <c r="F157" s="32" t="n">
        <f aca="false">E157*$B$3</f>
        <v>69.9617969061006</v>
      </c>
      <c r="G157" s="32" t="n">
        <f aca="false">MAX(C157-F157,0)</f>
        <v>0</v>
      </c>
      <c r="H157" s="32" t="n">
        <f aca="false">G157*100</f>
        <v>0</v>
      </c>
    </row>
    <row r="158" customFormat="false" ht="15" hidden="false" customHeight="false" outlineLevel="0" collapsed="false">
      <c r="A158" s="32" t="n">
        <f aca="false">A157+1</f>
        <v>144</v>
      </c>
      <c r="B158" s="32" t="n">
        <f aca="true">RAND()</f>
        <v>0.377871388708523</v>
      </c>
      <c r="C158" s="32" t="n">
        <f aca="true">VLOOKUP(B158,$F$7:$H$12,2,TRUE())+(RAND()*(VLOOKUP(B158,$F$7:$H$12,3,TRUE())-VLOOKUP(B158,$F$7:$H$12,2,TRUE())))</f>
        <v>62.4834969374006</v>
      </c>
      <c r="D158" s="32" t="n">
        <f aca="true">RAND()</f>
        <v>0.79528898822464</v>
      </c>
      <c r="E158" s="32" t="n">
        <f aca="true">VLOOKUP(D158,$K$7:$M$10,2,TRUE())+(RAND()*(VLOOKUP(D158,$K$7:$M$10,3,TRUE())-VLOOKUP(D158,$K$7:$M$10,2,TRUE())))</f>
        <v>5.15281081287182</v>
      </c>
      <c r="F158" s="32" t="n">
        <f aca="false">E158*$B$3</f>
        <v>61.8337297544618</v>
      </c>
      <c r="G158" s="32" t="n">
        <f aca="false">MAX(C158-F158,0)</f>
        <v>0.649767182938767</v>
      </c>
      <c r="H158" s="32" t="n">
        <f aca="false">G158*100</f>
        <v>64.9767182938767</v>
      </c>
    </row>
    <row r="159" customFormat="false" ht="15" hidden="false" customHeight="false" outlineLevel="0" collapsed="false">
      <c r="A159" s="32" t="n">
        <f aca="false">A158+1</f>
        <v>145</v>
      </c>
      <c r="B159" s="32" t="n">
        <f aca="true">RAND()</f>
        <v>0.0739159144319438</v>
      </c>
      <c r="C159" s="32" t="n">
        <f aca="true">VLOOKUP(B159,$F$7:$H$12,2,TRUE())+(RAND()*(VLOOKUP(B159,$F$7:$H$12,3,TRUE())-VLOOKUP(B159,$F$7:$H$12,2,TRUE())))</f>
        <v>50.0732391137888</v>
      </c>
      <c r="D159" s="32" t="n">
        <f aca="true">RAND()</f>
        <v>0.904866006569249</v>
      </c>
      <c r="E159" s="32" t="n">
        <f aca="true">VLOOKUP(D159,$K$7:$M$10,2,TRUE())+(RAND()*(VLOOKUP(D159,$K$7:$M$10,3,TRUE())-VLOOKUP(D159,$K$7:$M$10,2,TRUE())))</f>
        <v>5.65492391227246</v>
      </c>
      <c r="F159" s="32" t="n">
        <f aca="false">E159*$B$3</f>
        <v>67.8590869472695</v>
      </c>
      <c r="G159" s="32" t="n">
        <f aca="false">MAX(C159-F159,0)</f>
        <v>0</v>
      </c>
      <c r="H159" s="32" t="n">
        <f aca="false">G159*100</f>
        <v>0</v>
      </c>
    </row>
    <row r="160" customFormat="false" ht="15" hidden="false" customHeight="false" outlineLevel="0" collapsed="false">
      <c r="A160" s="32" t="n">
        <f aca="false">A159+1</f>
        <v>146</v>
      </c>
      <c r="B160" s="32" t="n">
        <f aca="true">RAND()</f>
        <v>0.352430799553791</v>
      </c>
      <c r="C160" s="32" t="n">
        <f aca="true">VLOOKUP(B160,$F$7:$H$12,2,TRUE())+(RAND()*(VLOOKUP(B160,$F$7:$H$12,3,TRUE())-VLOOKUP(B160,$F$7:$H$12,2,TRUE())))</f>
        <v>62.7662107832067</v>
      </c>
      <c r="D160" s="32" t="n">
        <f aca="true">RAND()</f>
        <v>0.470188470803479</v>
      </c>
      <c r="E160" s="32" t="n">
        <f aca="true">VLOOKUP(D160,$K$7:$M$10,2,TRUE())+(RAND()*(VLOOKUP(D160,$K$7:$M$10,3,TRUE())-VLOOKUP(D160,$K$7:$M$10,2,TRUE())))</f>
        <v>4.64632187174338</v>
      </c>
      <c r="F160" s="32" t="n">
        <f aca="false">E160*$B$3</f>
        <v>55.7558624609206</v>
      </c>
      <c r="G160" s="32" t="n">
        <f aca="false">MAX(C160-F160,0)</f>
        <v>7.01034832228611</v>
      </c>
      <c r="H160" s="32" t="n">
        <f aca="false">G160*100</f>
        <v>701.034832228611</v>
      </c>
    </row>
    <row r="161" customFormat="false" ht="15" hidden="false" customHeight="false" outlineLevel="0" collapsed="false">
      <c r="A161" s="32" t="n">
        <f aca="false">A160+1</f>
        <v>147</v>
      </c>
      <c r="B161" s="32" t="n">
        <f aca="true">RAND()</f>
        <v>0.501527419317778</v>
      </c>
      <c r="C161" s="32" t="n">
        <f aca="true">VLOOKUP(B161,$F$7:$H$12,2,TRUE())+(RAND()*(VLOOKUP(B161,$F$7:$H$12,3,TRUE())-VLOOKUP(B161,$F$7:$H$12,2,TRUE())))</f>
        <v>64.9692161870618</v>
      </c>
      <c r="D161" s="32" t="n">
        <f aca="true">RAND()</f>
        <v>0.117288599390439</v>
      </c>
      <c r="E161" s="32" t="n">
        <f aca="true">VLOOKUP(D161,$K$7:$M$10,2,TRUE())+(RAND()*(VLOOKUP(D161,$K$7:$M$10,3,TRUE())-VLOOKUP(D161,$K$7:$M$10,2,TRUE())))</f>
        <v>4.18686147911788</v>
      </c>
      <c r="F161" s="32" t="n">
        <f aca="false">E161*$B$3</f>
        <v>50.2423377494145</v>
      </c>
      <c r="G161" s="32" t="n">
        <f aca="false">MAX(C161-F161,0)</f>
        <v>14.7268784376473</v>
      </c>
      <c r="H161" s="32" t="n">
        <f aca="false">G161*100</f>
        <v>1472.68784376473</v>
      </c>
    </row>
    <row r="162" customFormat="false" ht="15" hidden="false" customHeight="false" outlineLevel="0" collapsed="false">
      <c r="A162" s="32" t="n">
        <f aca="false">A161+1</f>
        <v>148</v>
      </c>
      <c r="B162" s="32" t="n">
        <f aca="true">RAND()</f>
        <v>0.994384984436897</v>
      </c>
      <c r="C162" s="32" t="n">
        <f aca="true">VLOOKUP(B162,$F$7:$H$12,2,TRUE())+(RAND()*(VLOOKUP(B162,$F$7:$H$12,3,TRUE())-VLOOKUP(B162,$F$7:$H$12,2,TRUE())))</f>
        <v>84.4659375829208</v>
      </c>
      <c r="D162" s="32" t="n">
        <f aca="true">RAND()</f>
        <v>0.373473330889457</v>
      </c>
      <c r="E162" s="32" t="n">
        <f aca="true">VLOOKUP(D162,$K$7:$M$10,2,TRUE())+(RAND()*(VLOOKUP(D162,$K$7:$M$10,3,TRUE())-VLOOKUP(D162,$K$7:$M$10,2,TRUE())))</f>
        <v>4.59352643321473</v>
      </c>
      <c r="F162" s="32" t="n">
        <f aca="false">E162*$B$3</f>
        <v>55.1223171985768</v>
      </c>
      <c r="G162" s="32" t="n">
        <f aca="false">MAX(C162-F162,0)</f>
        <v>29.343620384344</v>
      </c>
      <c r="H162" s="32" t="n">
        <f aca="false">G162*100</f>
        <v>2934.3620384344</v>
      </c>
    </row>
    <row r="163" customFormat="false" ht="15" hidden="false" customHeight="false" outlineLevel="0" collapsed="false">
      <c r="A163" s="32" t="n">
        <f aca="false">A162+1</f>
        <v>149</v>
      </c>
      <c r="B163" s="32" t="n">
        <f aca="true">RAND()</f>
        <v>0.604451920764778</v>
      </c>
      <c r="C163" s="32" t="n">
        <f aca="true">VLOOKUP(B163,$F$7:$H$12,2,TRUE())+(RAND()*(VLOOKUP(B163,$F$7:$H$12,3,TRUE())-VLOOKUP(B163,$F$7:$H$12,2,TRUE())))</f>
        <v>69.1021322071253</v>
      </c>
      <c r="D163" s="32" t="n">
        <f aca="true">RAND()</f>
        <v>0.329513657059753</v>
      </c>
      <c r="E163" s="32" t="n">
        <f aca="true">VLOOKUP(D163,$K$7:$M$10,2,TRUE())+(RAND()*(VLOOKUP(D163,$K$7:$M$10,3,TRUE())-VLOOKUP(D163,$K$7:$M$10,2,TRUE())))</f>
        <v>4.50590187830259</v>
      </c>
      <c r="F163" s="32" t="n">
        <f aca="false">E163*$B$3</f>
        <v>54.0708225396311</v>
      </c>
      <c r="G163" s="32" t="n">
        <f aca="false">MAX(C163-F163,0)</f>
        <v>15.0313096674942</v>
      </c>
      <c r="H163" s="32" t="n">
        <f aca="false">G163*100</f>
        <v>1503.13096674942</v>
      </c>
    </row>
    <row r="164" customFormat="false" ht="15" hidden="false" customHeight="false" outlineLevel="0" collapsed="false">
      <c r="A164" s="32" t="n">
        <f aca="false">A163+1</f>
        <v>150</v>
      </c>
      <c r="B164" s="32" t="n">
        <f aca="true">RAND()</f>
        <v>0.966228413557632</v>
      </c>
      <c r="C164" s="32" t="n">
        <f aca="true">VLOOKUP(B164,$F$7:$H$12,2,TRUE())+(RAND()*(VLOOKUP(B164,$F$7:$H$12,3,TRUE())-VLOOKUP(B164,$F$7:$H$12,2,TRUE())))</f>
        <v>76.1220110713515</v>
      </c>
      <c r="D164" s="32" t="n">
        <f aca="true">RAND()</f>
        <v>0.596202269001118</v>
      </c>
      <c r="E164" s="32" t="n">
        <f aca="true">VLOOKUP(D164,$K$7:$M$10,2,TRUE())+(RAND()*(VLOOKUP(D164,$K$7:$M$10,3,TRUE())-VLOOKUP(D164,$K$7:$M$10,2,TRUE())))</f>
        <v>4.84267826233663</v>
      </c>
      <c r="F164" s="32" t="n">
        <f aca="false">E164*$B$3</f>
        <v>58.1121391480396</v>
      </c>
      <c r="G164" s="32" t="n">
        <f aca="false">MAX(C164-F164,0)</f>
        <v>18.0098719233119</v>
      </c>
      <c r="H164" s="32" t="n">
        <f aca="false">G164*100</f>
        <v>1800.98719233119</v>
      </c>
    </row>
    <row r="165" customFormat="false" ht="15" hidden="false" customHeight="false" outlineLevel="0" collapsed="false">
      <c r="A165" s="32" t="n">
        <f aca="false">A164+1</f>
        <v>151</v>
      </c>
      <c r="B165" s="32" t="n">
        <f aca="true">RAND()</f>
        <v>0.835048189752014</v>
      </c>
      <c r="C165" s="32" t="n">
        <f aca="true">VLOOKUP(B165,$F$7:$H$12,2,TRUE())+(RAND()*(VLOOKUP(B165,$F$7:$H$12,3,TRUE())-VLOOKUP(B165,$F$7:$H$12,2,TRUE())))</f>
        <v>65.6973309371903</v>
      </c>
      <c r="D165" s="32" t="n">
        <f aca="true">RAND()</f>
        <v>0.13235971656762</v>
      </c>
      <c r="E165" s="32" t="n">
        <f aca="true">VLOOKUP(D165,$K$7:$M$10,2,TRUE())+(RAND()*(VLOOKUP(D165,$K$7:$M$10,3,TRUE())-VLOOKUP(D165,$K$7:$M$10,2,TRUE())))</f>
        <v>4.13586982869158</v>
      </c>
      <c r="F165" s="32" t="n">
        <f aca="false">E165*$B$3</f>
        <v>49.630437944299</v>
      </c>
      <c r="G165" s="32" t="n">
        <f aca="false">MAX(C165-F165,0)</f>
        <v>16.0668929928913</v>
      </c>
      <c r="H165" s="32" t="n">
        <f aca="false">G165*100</f>
        <v>1606.68929928913</v>
      </c>
    </row>
    <row r="166" customFormat="false" ht="15" hidden="false" customHeight="false" outlineLevel="0" collapsed="false">
      <c r="A166" s="32" t="n">
        <f aca="false">A165+1</f>
        <v>152</v>
      </c>
      <c r="B166" s="32" t="n">
        <f aca="true">RAND()</f>
        <v>0.91766246565672</v>
      </c>
      <c r="C166" s="32" t="n">
        <f aca="true">VLOOKUP(B166,$F$7:$H$12,2,TRUE())+(RAND()*(VLOOKUP(B166,$F$7:$H$12,3,TRUE())-VLOOKUP(B166,$F$7:$H$12,2,TRUE())))</f>
        <v>76.905214396131</v>
      </c>
      <c r="D166" s="32" t="n">
        <f aca="true">RAND()</f>
        <v>0.338860701208364</v>
      </c>
      <c r="E166" s="32" t="n">
        <f aca="true">VLOOKUP(D166,$K$7:$M$10,2,TRUE())+(RAND()*(VLOOKUP(D166,$K$7:$M$10,3,TRUE())-VLOOKUP(D166,$K$7:$M$10,2,TRUE())))</f>
        <v>4.78248835795768</v>
      </c>
      <c r="F166" s="32" t="n">
        <f aca="false">E166*$B$3</f>
        <v>57.3898602954922</v>
      </c>
      <c r="G166" s="32" t="n">
        <f aca="false">MAX(C166-F166,0)</f>
        <v>19.5153541006388</v>
      </c>
      <c r="H166" s="32" t="n">
        <f aca="false">G166*100</f>
        <v>1951.53541006388</v>
      </c>
    </row>
    <row r="167" customFormat="false" ht="15" hidden="false" customHeight="false" outlineLevel="0" collapsed="false">
      <c r="A167" s="32" t="n">
        <f aca="false">A166+1</f>
        <v>153</v>
      </c>
      <c r="B167" s="32" t="n">
        <f aca="true">RAND()</f>
        <v>0.520351985955925</v>
      </c>
      <c r="C167" s="32" t="n">
        <f aca="true">VLOOKUP(B167,$F$7:$H$12,2,TRUE())+(RAND()*(VLOOKUP(B167,$F$7:$H$12,3,TRUE())-VLOOKUP(B167,$F$7:$H$12,2,TRUE())))</f>
        <v>62.9935632226328</v>
      </c>
      <c r="D167" s="32" t="n">
        <f aca="true">RAND()</f>
        <v>0.30920057171822</v>
      </c>
      <c r="E167" s="32" t="n">
        <f aca="true">VLOOKUP(D167,$K$7:$M$10,2,TRUE())+(RAND()*(VLOOKUP(D167,$K$7:$M$10,3,TRUE())-VLOOKUP(D167,$K$7:$M$10,2,TRUE())))</f>
        <v>4.69665228487914</v>
      </c>
      <c r="F167" s="32" t="n">
        <f aca="false">E167*$B$3</f>
        <v>56.3598274185496</v>
      </c>
      <c r="G167" s="32" t="n">
        <f aca="false">MAX(C167-F167,0)</f>
        <v>6.63373580408314</v>
      </c>
      <c r="H167" s="32" t="n">
        <f aca="false">G167*100</f>
        <v>663.373580408314</v>
      </c>
    </row>
    <row r="168" customFormat="false" ht="15" hidden="false" customHeight="false" outlineLevel="0" collapsed="false">
      <c r="A168" s="32" t="n">
        <f aca="false">A167+1</f>
        <v>154</v>
      </c>
      <c r="B168" s="32" t="n">
        <f aca="true">RAND()</f>
        <v>0.349725628561368</v>
      </c>
      <c r="C168" s="32" t="n">
        <f aca="true">VLOOKUP(B168,$F$7:$H$12,2,TRUE())+(RAND()*(VLOOKUP(B168,$F$7:$H$12,3,TRUE())-VLOOKUP(B168,$F$7:$H$12,2,TRUE())))</f>
        <v>63.5879479688476</v>
      </c>
      <c r="D168" s="32" t="n">
        <f aca="true">RAND()</f>
        <v>0.0207681410655631</v>
      </c>
      <c r="E168" s="32" t="n">
        <f aca="true">VLOOKUP(D168,$K$7:$M$10,2,TRUE())+(RAND()*(VLOOKUP(D168,$K$7:$M$10,3,TRUE())-VLOOKUP(D168,$K$7:$M$10,2,TRUE())))</f>
        <v>4.29254438537558</v>
      </c>
      <c r="F168" s="32" t="n">
        <f aca="false">E168*$B$3</f>
        <v>51.510532624507</v>
      </c>
      <c r="G168" s="32" t="n">
        <f aca="false">MAX(C168-F168,0)</f>
        <v>12.0774153443407</v>
      </c>
      <c r="H168" s="32" t="n">
        <f aca="false">G168*100</f>
        <v>1207.74153443407</v>
      </c>
    </row>
    <row r="169" customFormat="false" ht="15" hidden="false" customHeight="false" outlineLevel="0" collapsed="false">
      <c r="A169" s="32" t="n">
        <f aca="false">A168+1</f>
        <v>155</v>
      </c>
      <c r="B169" s="32" t="n">
        <f aca="true">RAND()</f>
        <v>0.536611136402476</v>
      </c>
      <c r="C169" s="32" t="n">
        <f aca="true">VLOOKUP(B169,$F$7:$H$12,2,TRUE())+(RAND()*(VLOOKUP(B169,$F$7:$H$12,3,TRUE())-VLOOKUP(B169,$F$7:$H$12,2,TRUE())))</f>
        <v>63.6432303719967</v>
      </c>
      <c r="D169" s="32" t="n">
        <f aca="true">RAND()</f>
        <v>0.182147945587736</v>
      </c>
      <c r="E169" s="32" t="n">
        <f aca="true">VLOOKUP(D169,$K$7:$M$10,2,TRUE())+(RAND()*(VLOOKUP(D169,$K$7:$M$10,3,TRUE())-VLOOKUP(D169,$K$7:$M$10,2,TRUE())))</f>
        <v>4.02334884384979</v>
      </c>
      <c r="F169" s="32" t="n">
        <f aca="false">E169*$B$3</f>
        <v>48.2801861261975</v>
      </c>
      <c r="G169" s="32" t="n">
        <f aca="false">MAX(C169-F169,0)</f>
        <v>15.3630442457992</v>
      </c>
      <c r="H169" s="32" t="n">
        <f aca="false">G169*100</f>
        <v>1536.30442457992</v>
      </c>
    </row>
    <row r="170" customFormat="false" ht="15" hidden="false" customHeight="false" outlineLevel="0" collapsed="false">
      <c r="A170" s="32" t="n">
        <f aca="false">A169+1</f>
        <v>156</v>
      </c>
      <c r="B170" s="32" t="n">
        <f aca="true">RAND()</f>
        <v>0.291521632201511</v>
      </c>
      <c r="C170" s="32" t="n">
        <f aca="true">VLOOKUP(B170,$F$7:$H$12,2,TRUE())+(RAND()*(VLOOKUP(B170,$F$7:$H$12,3,TRUE())-VLOOKUP(B170,$F$7:$H$12,2,TRUE())))</f>
        <v>60.455383102732</v>
      </c>
      <c r="D170" s="32" t="n">
        <f aca="true">RAND()</f>
        <v>0.46608256188376</v>
      </c>
      <c r="E170" s="32" t="n">
        <f aca="true">VLOOKUP(D170,$K$7:$M$10,2,TRUE())+(RAND()*(VLOOKUP(D170,$K$7:$M$10,3,TRUE())-VLOOKUP(D170,$K$7:$M$10,2,TRUE())))</f>
        <v>4.95701430354346</v>
      </c>
      <c r="F170" s="32" t="n">
        <f aca="false">E170*$B$3</f>
        <v>59.4841716425215</v>
      </c>
      <c r="G170" s="32" t="n">
        <f aca="false">MAX(C170-F170,0)</f>
        <v>0.971211460210462</v>
      </c>
      <c r="H170" s="32" t="n">
        <f aca="false">G170*100</f>
        <v>97.1211460210462</v>
      </c>
    </row>
    <row r="171" customFormat="false" ht="15" hidden="false" customHeight="false" outlineLevel="0" collapsed="false">
      <c r="A171" s="32" t="n">
        <f aca="false">A170+1</f>
        <v>157</v>
      </c>
      <c r="B171" s="32" t="n">
        <f aca="true">RAND()</f>
        <v>0.954686917222379</v>
      </c>
      <c r="C171" s="32" t="n">
        <f aca="true">VLOOKUP(B171,$F$7:$H$12,2,TRUE())+(RAND()*(VLOOKUP(B171,$F$7:$H$12,3,TRUE())-VLOOKUP(B171,$F$7:$H$12,2,TRUE())))</f>
        <v>79.1487626105427</v>
      </c>
      <c r="D171" s="32" t="n">
        <f aca="true">RAND()</f>
        <v>0.919287936145197</v>
      </c>
      <c r="E171" s="32" t="n">
        <f aca="true">VLOOKUP(D171,$K$7:$M$10,2,TRUE())+(RAND()*(VLOOKUP(D171,$K$7:$M$10,3,TRUE())-VLOOKUP(D171,$K$7:$M$10,2,TRUE())))</f>
        <v>5.82303965349193</v>
      </c>
      <c r="F171" s="32" t="n">
        <f aca="false">E171*$B$3</f>
        <v>69.8764758419032</v>
      </c>
      <c r="G171" s="32" t="n">
        <f aca="false">MAX(C171-F171,0)</f>
        <v>9.2722867686395</v>
      </c>
      <c r="H171" s="32" t="n">
        <f aca="false">G171*100</f>
        <v>927.22867686395</v>
      </c>
    </row>
    <row r="172" customFormat="false" ht="15" hidden="false" customHeight="false" outlineLevel="0" collapsed="false">
      <c r="A172" s="32" t="n">
        <f aca="false">A171+1</f>
        <v>158</v>
      </c>
      <c r="B172" s="32" t="n">
        <f aca="true">RAND()</f>
        <v>0.889306950262776</v>
      </c>
      <c r="C172" s="32" t="n">
        <f aca="true">VLOOKUP(B172,$F$7:$H$12,2,TRUE())+(RAND()*(VLOOKUP(B172,$F$7:$H$12,3,TRUE())-VLOOKUP(B172,$F$7:$H$12,2,TRUE())))</f>
        <v>68.7395593507712</v>
      </c>
      <c r="D172" s="32" t="n">
        <f aca="true">RAND()</f>
        <v>0.716549145919248</v>
      </c>
      <c r="E172" s="32" t="n">
        <f aca="true">VLOOKUP(D172,$K$7:$M$10,2,TRUE())+(RAND()*(VLOOKUP(D172,$K$7:$M$10,3,TRUE())-VLOOKUP(D172,$K$7:$M$10,2,TRUE())))</f>
        <v>5.3576839605331</v>
      </c>
      <c r="F172" s="32" t="n">
        <f aca="false">E172*$B$3</f>
        <v>64.2922075263972</v>
      </c>
      <c r="G172" s="32" t="n">
        <f aca="false">MAX(C172-F172,0)</f>
        <v>4.44735182437398</v>
      </c>
      <c r="H172" s="32" t="n">
        <f aca="false">G172*100</f>
        <v>444.735182437398</v>
      </c>
    </row>
    <row r="173" customFormat="false" ht="15" hidden="false" customHeight="false" outlineLevel="0" collapsed="false">
      <c r="A173" s="32" t="n">
        <f aca="false">A172+1</f>
        <v>159</v>
      </c>
      <c r="B173" s="32" t="n">
        <f aca="true">RAND()</f>
        <v>0.214781897099234</v>
      </c>
      <c r="C173" s="32" t="n">
        <f aca="true">VLOOKUP(B173,$F$7:$H$12,2,TRUE())+(RAND()*(VLOOKUP(B173,$F$7:$H$12,3,TRUE())-VLOOKUP(B173,$F$7:$H$12,2,TRUE())))</f>
        <v>56.9580128369721</v>
      </c>
      <c r="D173" s="32" t="n">
        <f aca="true">RAND()</f>
        <v>0.28183803045409</v>
      </c>
      <c r="E173" s="32" t="n">
        <f aca="true">VLOOKUP(D173,$K$7:$M$10,2,TRUE())+(RAND()*(VLOOKUP(D173,$K$7:$M$10,3,TRUE())-VLOOKUP(D173,$K$7:$M$10,2,TRUE())))</f>
        <v>4.36909342325141</v>
      </c>
      <c r="F173" s="32" t="n">
        <f aca="false">E173*$B$3</f>
        <v>52.4291210790169</v>
      </c>
      <c r="G173" s="32" t="n">
        <f aca="false">MAX(C173-F173,0)</f>
        <v>4.52889175795522</v>
      </c>
      <c r="H173" s="32" t="n">
        <f aca="false">G173*100</f>
        <v>452.889175795522</v>
      </c>
    </row>
    <row r="174" customFormat="false" ht="15" hidden="false" customHeight="false" outlineLevel="0" collapsed="false">
      <c r="A174" s="32" t="n">
        <f aca="false">A173+1</f>
        <v>160</v>
      </c>
      <c r="B174" s="32" t="n">
        <f aca="true">RAND()</f>
        <v>0.191681615913996</v>
      </c>
      <c r="C174" s="32" t="n">
        <f aca="true">VLOOKUP(B174,$F$7:$H$12,2,TRUE())+(RAND()*(VLOOKUP(B174,$F$7:$H$12,3,TRUE())-VLOOKUP(B174,$F$7:$H$12,2,TRUE())))</f>
        <v>55.3896468272759</v>
      </c>
      <c r="D174" s="32" t="n">
        <f aca="true">RAND()</f>
        <v>0.584308266370407</v>
      </c>
      <c r="E174" s="32" t="n">
        <f aca="true">VLOOKUP(D174,$K$7:$M$10,2,TRUE())+(RAND()*(VLOOKUP(D174,$K$7:$M$10,3,TRUE())-VLOOKUP(D174,$K$7:$M$10,2,TRUE())))</f>
        <v>4.95141919068078</v>
      </c>
      <c r="F174" s="32" t="n">
        <f aca="false">E174*$B$3</f>
        <v>59.4170302881694</v>
      </c>
      <c r="G174" s="32" t="n">
        <f aca="false">MAX(C174-F174,0)</f>
        <v>0</v>
      </c>
      <c r="H174" s="32" t="n">
        <f aca="false">G174*100</f>
        <v>0</v>
      </c>
    </row>
    <row r="175" customFormat="false" ht="15" hidden="false" customHeight="false" outlineLevel="0" collapsed="false">
      <c r="A175" s="32" t="n">
        <f aca="false">A174+1</f>
        <v>161</v>
      </c>
      <c r="B175" s="32" t="n">
        <f aca="true">RAND()</f>
        <v>0.0066253733814717</v>
      </c>
      <c r="C175" s="32" t="n">
        <f aca="true">VLOOKUP(B175,$F$7:$H$12,2,TRUE())+(RAND()*(VLOOKUP(B175,$F$7:$H$12,3,TRUE())-VLOOKUP(B175,$F$7:$H$12,2,TRUE())))</f>
        <v>53.9198346340248</v>
      </c>
      <c r="D175" s="32" t="n">
        <f aca="true">RAND()</f>
        <v>0.216790890262193</v>
      </c>
      <c r="E175" s="32" t="n">
        <f aca="true">VLOOKUP(D175,$K$7:$M$10,2,TRUE())+(RAND()*(VLOOKUP(D175,$K$7:$M$10,3,TRUE())-VLOOKUP(D175,$K$7:$M$10,2,TRUE())))</f>
        <v>4.0171710718925</v>
      </c>
      <c r="F175" s="32" t="n">
        <f aca="false">E175*$B$3</f>
        <v>48.20605286271</v>
      </c>
      <c r="G175" s="32" t="n">
        <f aca="false">MAX(C175-F175,0)</f>
        <v>5.71378177131475</v>
      </c>
      <c r="H175" s="32" t="n">
        <f aca="false">G175*100</f>
        <v>571.378177131475</v>
      </c>
    </row>
    <row r="176" customFormat="false" ht="15" hidden="false" customHeight="false" outlineLevel="0" collapsed="false">
      <c r="A176" s="32" t="n">
        <f aca="false">A175+1</f>
        <v>162</v>
      </c>
      <c r="B176" s="32" t="n">
        <f aca="true">RAND()</f>
        <v>0.188510629120009</v>
      </c>
      <c r="C176" s="32" t="n">
        <f aca="true">VLOOKUP(B176,$F$7:$H$12,2,TRUE())+(RAND()*(VLOOKUP(B176,$F$7:$H$12,3,TRUE())-VLOOKUP(B176,$F$7:$H$12,2,TRUE())))</f>
        <v>57.5611496213927</v>
      </c>
      <c r="D176" s="32" t="n">
        <f aca="true">RAND()</f>
        <v>0.0216958539942488</v>
      </c>
      <c r="E176" s="32" t="n">
        <f aca="true">VLOOKUP(D176,$K$7:$M$10,2,TRUE())+(RAND()*(VLOOKUP(D176,$K$7:$M$10,3,TRUE())-VLOOKUP(D176,$K$7:$M$10,2,TRUE())))</f>
        <v>4.28309748667833</v>
      </c>
      <c r="F176" s="32" t="n">
        <f aca="false">E176*$B$3</f>
        <v>51.3971698401399</v>
      </c>
      <c r="G176" s="32" t="n">
        <f aca="false">MAX(C176-F176,0)</f>
        <v>6.16397978125279</v>
      </c>
      <c r="H176" s="32" t="n">
        <f aca="false">G176*100</f>
        <v>616.397978125278</v>
      </c>
    </row>
    <row r="177" customFormat="false" ht="15" hidden="false" customHeight="false" outlineLevel="0" collapsed="false">
      <c r="A177" s="32" t="n">
        <f aca="false">A176+1</f>
        <v>163</v>
      </c>
      <c r="B177" s="32" t="n">
        <f aca="true">RAND()</f>
        <v>0.669401694397249</v>
      </c>
      <c r="C177" s="32" t="n">
        <f aca="true">VLOOKUP(B177,$F$7:$H$12,2,TRUE())+(RAND()*(VLOOKUP(B177,$F$7:$H$12,3,TRUE())-VLOOKUP(B177,$F$7:$H$12,2,TRUE())))</f>
        <v>68.3875464167824</v>
      </c>
      <c r="D177" s="32" t="n">
        <f aca="true">RAND()</f>
        <v>0.130696118703326</v>
      </c>
      <c r="E177" s="32" t="n">
        <f aca="true">VLOOKUP(D177,$K$7:$M$10,2,TRUE())+(RAND()*(VLOOKUP(D177,$K$7:$M$10,3,TRUE())-VLOOKUP(D177,$K$7:$M$10,2,TRUE())))</f>
        <v>4.34264019111953</v>
      </c>
      <c r="F177" s="32" t="n">
        <f aca="false">E177*$B$3</f>
        <v>52.1116822934343</v>
      </c>
      <c r="G177" s="32" t="n">
        <f aca="false">MAX(C177-F177,0)</f>
        <v>16.2758641233481</v>
      </c>
      <c r="H177" s="32" t="n">
        <f aca="false">G177*100</f>
        <v>1627.58641233481</v>
      </c>
    </row>
    <row r="178" customFormat="false" ht="15" hidden="false" customHeight="false" outlineLevel="0" collapsed="false">
      <c r="A178" s="32" t="n">
        <f aca="false">A177+1</f>
        <v>164</v>
      </c>
      <c r="B178" s="32" t="n">
        <f aca="true">RAND()</f>
        <v>0.105232284624618</v>
      </c>
      <c r="C178" s="32" t="n">
        <f aca="true">VLOOKUP(B178,$F$7:$H$12,2,TRUE())+(RAND()*(VLOOKUP(B178,$F$7:$H$12,3,TRUE())-VLOOKUP(B178,$F$7:$H$12,2,TRUE())))</f>
        <v>56.771630229761</v>
      </c>
      <c r="D178" s="32" t="n">
        <f aca="true">RAND()</f>
        <v>0.815595679389816</v>
      </c>
      <c r="E178" s="32" t="n">
        <f aca="true">VLOOKUP(D178,$K$7:$M$10,2,TRUE())+(RAND()*(VLOOKUP(D178,$K$7:$M$10,3,TRUE())-VLOOKUP(D178,$K$7:$M$10,2,TRUE())))</f>
        <v>5.20790115565212</v>
      </c>
      <c r="F178" s="32" t="n">
        <f aca="false">E178*$B$3</f>
        <v>62.4948138678255</v>
      </c>
      <c r="G178" s="32" t="n">
        <f aca="false">MAX(C178-F178,0)</f>
        <v>0</v>
      </c>
      <c r="H178" s="32" t="n">
        <f aca="false">G178*100</f>
        <v>0</v>
      </c>
    </row>
    <row r="179" customFormat="false" ht="15" hidden="false" customHeight="false" outlineLevel="0" collapsed="false">
      <c r="A179" s="32" t="n">
        <f aca="false">A178+1</f>
        <v>165</v>
      </c>
      <c r="B179" s="32" t="n">
        <f aca="true">RAND()</f>
        <v>0.634736450354723</v>
      </c>
      <c r="C179" s="32" t="n">
        <f aca="true">VLOOKUP(B179,$F$7:$H$12,2,TRUE())+(RAND()*(VLOOKUP(B179,$F$7:$H$12,3,TRUE())-VLOOKUP(B179,$F$7:$H$12,2,TRUE())))</f>
        <v>66.9749277374089</v>
      </c>
      <c r="D179" s="32" t="n">
        <f aca="true">RAND()</f>
        <v>0.630179938501923</v>
      </c>
      <c r="E179" s="32" t="n">
        <f aca="true">VLOOKUP(D179,$K$7:$M$10,2,TRUE())+(RAND()*(VLOOKUP(D179,$K$7:$M$10,3,TRUE())-VLOOKUP(D179,$K$7:$M$10,2,TRUE())))</f>
        <v>4.85615133082804</v>
      </c>
      <c r="F179" s="32" t="n">
        <f aca="false">E179*$B$3</f>
        <v>58.2738159699365</v>
      </c>
      <c r="G179" s="32" t="n">
        <f aca="false">MAX(C179-F179,0)</f>
        <v>8.70111176747243</v>
      </c>
      <c r="H179" s="32" t="n">
        <f aca="false">G179*100</f>
        <v>870.111176747243</v>
      </c>
    </row>
    <row r="180" customFormat="false" ht="15" hidden="false" customHeight="false" outlineLevel="0" collapsed="false">
      <c r="A180" s="32" t="n">
        <f aca="false">A179+1</f>
        <v>166</v>
      </c>
      <c r="B180" s="32" t="n">
        <f aca="true">RAND()</f>
        <v>0.829827849592552</v>
      </c>
      <c r="C180" s="32" t="n">
        <f aca="true">VLOOKUP(B180,$F$7:$H$12,2,TRUE())+(RAND()*(VLOOKUP(B180,$F$7:$H$12,3,TRUE())-VLOOKUP(B180,$F$7:$H$12,2,TRUE())))</f>
        <v>68.7897060145207</v>
      </c>
      <c r="D180" s="32" t="n">
        <f aca="true">RAND()</f>
        <v>0.726309954284541</v>
      </c>
      <c r="E180" s="32" t="n">
        <f aca="true">VLOOKUP(D180,$K$7:$M$10,2,TRUE())+(RAND()*(VLOOKUP(D180,$K$7:$M$10,3,TRUE())-VLOOKUP(D180,$K$7:$M$10,2,TRUE())))</f>
        <v>5.20639649109199</v>
      </c>
      <c r="F180" s="32" t="n">
        <f aca="false">E180*$B$3</f>
        <v>62.4767578931039</v>
      </c>
      <c r="G180" s="32" t="n">
        <f aca="false">MAX(C180-F180,0)</f>
        <v>6.31294812141678</v>
      </c>
      <c r="H180" s="32" t="n">
        <f aca="false">G180*100</f>
        <v>631.294812141678</v>
      </c>
    </row>
    <row r="181" customFormat="false" ht="15" hidden="false" customHeight="false" outlineLevel="0" collapsed="false">
      <c r="A181" s="32" t="n">
        <f aca="false">A180+1</f>
        <v>167</v>
      </c>
      <c r="B181" s="32" t="n">
        <f aca="true">RAND()</f>
        <v>0.590935616464166</v>
      </c>
      <c r="C181" s="32" t="n">
        <f aca="true">VLOOKUP(B181,$F$7:$H$12,2,TRUE())+(RAND()*(VLOOKUP(B181,$F$7:$H$12,3,TRUE())-VLOOKUP(B181,$F$7:$H$12,2,TRUE())))</f>
        <v>69.0225019928561</v>
      </c>
      <c r="D181" s="32" t="n">
        <f aca="true">RAND()</f>
        <v>0.329797115097787</v>
      </c>
      <c r="E181" s="32" t="n">
        <f aca="true">VLOOKUP(D181,$K$7:$M$10,2,TRUE())+(RAND()*(VLOOKUP(D181,$K$7:$M$10,3,TRUE())-VLOOKUP(D181,$K$7:$M$10,2,TRUE())))</f>
        <v>4.77254338152035</v>
      </c>
      <c r="F181" s="32" t="n">
        <f aca="false">E181*$B$3</f>
        <v>57.2705205782442</v>
      </c>
      <c r="G181" s="32" t="n">
        <f aca="false">MAX(C181-F181,0)</f>
        <v>11.7519814146119</v>
      </c>
      <c r="H181" s="32" t="n">
        <f aca="false">G181*100</f>
        <v>1175.19814146119</v>
      </c>
    </row>
    <row r="182" customFormat="false" ht="15" hidden="false" customHeight="false" outlineLevel="0" collapsed="false">
      <c r="A182" s="32" t="n">
        <f aca="false">A181+1</f>
        <v>168</v>
      </c>
      <c r="B182" s="32" t="n">
        <f aca="true">RAND()</f>
        <v>0.286597630579796</v>
      </c>
      <c r="C182" s="32" t="n">
        <f aca="true">VLOOKUP(B182,$F$7:$H$12,2,TRUE())+(RAND()*(VLOOKUP(B182,$F$7:$H$12,3,TRUE())-VLOOKUP(B182,$F$7:$H$12,2,TRUE())))</f>
        <v>60.6641348804606</v>
      </c>
      <c r="D182" s="32" t="n">
        <f aca="true">RAND()</f>
        <v>0.944505413115749</v>
      </c>
      <c r="E182" s="32" t="n">
        <f aca="true">VLOOKUP(D182,$K$7:$M$10,2,TRUE())+(RAND()*(VLOOKUP(D182,$K$7:$M$10,3,TRUE())-VLOOKUP(D182,$K$7:$M$10,2,TRUE())))</f>
        <v>5.93994189279565</v>
      </c>
      <c r="F182" s="32" t="n">
        <f aca="false">E182*$B$3</f>
        <v>71.2793027135478</v>
      </c>
      <c r="G182" s="32" t="n">
        <f aca="false">MAX(C182-F182,0)</f>
        <v>0</v>
      </c>
      <c r="H182" s="32" t="n">
        <f aca="false">G182*100</f>
        <v>0</v>
      </c>
    </row>
    <row r="183" customFormat="false" ht="15" hidden="false" customHeight="false" outlineLevel="0" collapsed="false">
      <c r="A183" s="32" t="n">
        <f aca="false">A182+1</f>
        <v>169</v>
      </c>
      <c r="B183" s="32" t="n">
        <f aca="true">RAND()</f>
        <v>0.619923527902349</v>
      </c>
      <c r="C183" s="32" t="n">
        <f aca="true">VLOOKUP(B183,$F$7:$H$12,2,TRUE())+(RAND()*(VLOOKUP(B183,$F$7:$H$12,3,TRUE())-VLOOKUP(B183,$F$7:$H$12,2,TRUE())))</f>
        <v>66.1654758134418</v>
      </c>
      <c r="D183" s="32" t="n">
        <f aca="true">RAND()</f>
        <v>0.777927984615731</v>
      </c>
      <c r="E183" s="32" t="n">
        <f aca="true">VLOOKUP(D183,$K$7:$M$10,2,TRUE())+(RAND()*(VLOOKUP(D183,$K$7:$M$10,3,TRUE())-VLOOKUP(D183,$K$7:$M$10,2,TRUE())))</f>
        <v>5.06524364904828</v>
      </c>
      <c r="F183" s="32" t="n">
        <f aca="false">E183*$B$3</f>
        <v>60.7829237885794</v>
      </c>
      <c r="G183" s="32" t="n">
        <f aca="false">MAX(C183-F183,0)</f>
        <v>5.38255202486239</v>
      </c>
      <c r="H183" s="32" t="n">
        <f aca="false">G183*100</f>
        <v>538.255202486238</v>
      </c>
    </row>
    <row r="184" customFormat="false" ht="15" hidden="false" customHeight="false" outlineLevel="0" collapsed="false">
      <c r="A184" s="32" t="n">
        <f aca="false">A183+1</f>
        <v>170</v>
      </c>
      <c r="B184" s="32" t="n">
        <f aca="true">RAND()</f>
        <v>0.60107308940856</v>
      </c>
      <c r="C184" s="32" t="n">
        <f aca="true">VLOOKUP(B184,$F$7:$H$12,2,TRUE())+(RAND()*(VLOOKUP(B184,$F$7:$H$12,3,TRUE())-VLOOKUP(B184,$F$7:$H$12,2,TRUE())))</f>
        <v>66.5176568753406</v>
      </c>
      <c r="D184" s="32" t="n">
        <f aca="true">RAND()</f>
        <v>0.266262520612882</v>
      </c>
      <c r="E184" s="32" t="n">
        <f aca="true">VLOOKUP(D184,$K$7:$M$10,2,TRUE())+(RAND()*(VLOOKUP(D184,$K$7:$M$10,3,TRUE())-VLOOKUP(D184,$K$7:$M$10,2,TRUE())))</f>
        <v>4.22177963220674</v>
      </c>
      <c r="F184" s="32" t="n">
        <f aca="false">E184*$B$3</f>
        <v>50.6613555864809</v>
      </c>
      <c r="G184" s="32" t="n">
        <f aca="false">MAX(C184-F184,0)</f>
        <v>15.8563012888597</v>
      </c>
      <c r="H184" s="32" t="n">
        <f aca="false">G184*100</f>
        <v>1585.63012888597</v>
      </c>
    </row>
    <row r="185" customFormat="false" ht="15" hidden="false" customHeight="false" outlineLevel="0" collapsed="false">
      <c r="A185" s="32" t="n">
        <f aca="false">A184+1</f>
        <v>171</v>
      </c>
      <c r="B185" s="32" t="n">
        <f aca="true">RAND()</f>
        <v>0.746825307534138</v>
      </c>
      <c r="C185" s="32" t="n">
        <f aca="true">VLOOKUP(B185,$F$7:$H$12,2,TRUE())+(RAND()*(VLOOKUP(B185,$F$7:$H$12,3,TRUE())-VLOOKUP(B185,$F$7:$H$12,2,TRUE())))</f>
        <v>68.7877678529247</v>
      </c>
      <c r="D185" s="32" t="n">
        <f aca="true">RAND()</f>
        <v>0.272404182572263</v>
      </c>
      <c r="E185" s="32" t="n">
        <f aca="true">VLOOKUP(D185,$K$7:$M$10,2,TRUE())+(RAND()*(VLOOKUP(D185,$K$7:$M$10,3,TRUE())-VLOOKUP(D185,$K$7:$M$10,2,TRUE())))</f>
        <v>4.38109626515633</v>
      </c>
      <c r="F185" s="32" t="n">
        <f aca="false">E185*$B$3</f>
        <v>52.5731551818759</v>
      </c>
      <c r="G185" s="32" t="n">
        <f aca="false">MAX(C185-F185,0)</f>
        <v>16.2146126710488</v>
      </c>
      <c r="H185" s="32" t="n">
        <f aca="false">G185*100</f>
        <v>1621.46126710488</v>
      </c>
    </row>
    <row r="186" customFormat="false" ht="15" hidden="false" customHeight="false" outlineLevel="0" collapsed="false">
      <c r="A186" s="32" t="n">
        <f aca="false">A185+1</f>
        <v>172</v>
      </c>
      <c r="B186" s="32" t="n">
        <f aca="true">RAND()</f>
        <v>0.523616612954581</v>
      </c>
      <c r="C186" s="32" t="n">
        <f aca="true">VLOOKUP(B186,$F$7:$H$12,2,TRUE())+(RAND()*(VLOOKUP(B186,$F$7:$H$12,3,TRUE())-VLOOKUP(B186,$F$7:$H$12,2,TRUE())))</f>
        <v>61.5028015205854</v>
      </c>
      <c r="D186" s="32" t="n">
        <f aca="true">RAND()</f>
        <v>0.771915417162776</v>
      </c>
      <c r="E186" s="32" t="n">
        <f aca="true">VLOOKUP(D186,$K$7:$M$10,2,TRUE())+(RAND()*(VLOOKUP(D186,$K$7:$M$10,3,TRUE())-VLOOKUP(D186,$K$7:$M$10,2,TRUE())))</f>
        <v>5.1811608177764</v>
      </c>
      <c r="F186" s="32" t="n">
        <f aca="false">E186*$B$3</f>
        <v>62.1739298133168</v>
      </c>
      <c r="G186" s="32" t="n">
        <f aca="false">MAX(C186-F186,0)</f>
        <v>0</v>
      </c>
      <c r="H186" s="32" t="n">
        <f aca="false">G186*100</f>
        <v>0</v>
      </c>
    </row>
    <row r="187" customFormat="false" ht="15" hidden="false" customHeight="false" outlineLevel="0" collapsed="false">
      <c r="A187" s="32" t="n">
        <f aca="false">A186+1</f>
        <v>173</v>
      </c>
      <c r="B187" s="32" t="n">
        <f aca="true">RAND()</f>
        <v>0.957373843806033</v>
      </c>
      <c r="C187" s="32" t="n">
        <f aca="true">VLOOKUP(B187,$F$7:$H$12,2,TRUE())+(RAND()*(VLOOKUP(B187,$F$7:$H$12,3,TRUE())-VLOOKUP(B187,$F$7:$H$12,2,TRUE())))</f>
        <v>79.8955558721036</v>
      </c>
      <c r="D187" s="32" t="n">
        <f aca="true">RAND()</f>
        <v>0.356277365930643</v>
      </c>
      <c r="E187" s="32" t="n">
        <f aca="true">VLOOKUP(D187,$K$7:$M$10,2,TRUE())+(RAND()*(VLOOKUP(D187,$K$7:$M$10,3,TRUE())-VLOOKUP(D187,$K$7:$M$10,2,TRUE())))</f>
        <v>4.80434375381117</v>
      </c>
      <c r="F187" s="32" t="n">
        <f aca="false">E187*$B$3</f>
        <v>57.652125045734</v>
      </c>
      <c r="G187" s="32" t="n">
        <f aca="false">MAX(C187-F187,0)</f>
        <v>22.2434308263696</v>
      </c>
      <c r="H187" s="32" t="n">
        <f aca="false">G187*100</f>
        <v>2224.34308263696</v>
      </c>
    </row>
    <row r="188" customFormat="false" ht="15" hidden="false" customHeight="false" outlineLevel="0" collapsed="false">
      <c r="A188" s="32" t="n">
        <f aca="false">A187+1</f>
        <v>174</v>
      </c>
      <c r="B188" s="32" t="n">
        <f aca="true">RAND()</f>
        <v>0.87834514757371</v>
      </c>
      <c r="C188" s="32" t="n">
        <f aca="true">VLOOKUP(B188,$F$7:$H$12,2,TRUE())+(RAND()*(VLOOKUP(B188,$F$7:$H$12,3,TRUE())-VLOOKUP(B188,$F$7:$H$12,2,TRUE())))</f>
        <v>68.0038887951827</v>
      </c>
      <c r="D188" s="32" t="n">
        <f aca="true">RAND()</f>
        <v>0.299720494075049</v>
      </c>
      <c r="E188" s="32" t="n">
        <f aca="true">VLOOKUP(D188,$K$7:$M$10,2,TRUE())+(RAND()*(VLOOKUP(D188,$K$7:$M$10,3,TRUE())-VLOOKUP(D188,$K$7:$M$10,2,TRUE())))</f>
        <v>4.43413355869121</v>
      </c>
      <c r="F188" s="32" t="n">
        <f aca="false">E188*$B$3</f>
        <v>53.2096027042945</v>
      </c>
      <c r="G188" s="32" t="n">
        <f aca="false">MAX(C188-F188,0)</f>
        <v>14.7942860908883</v>
      </c>
      <c r="H188" s="32" t="n">
        <f aca="false">G188*100</f>
        <v>1479.42860908883</v>
      </c>
    </row>
    <row r="189" customFormat="false" ht="15" hidden="false" customHeight="false" outlineLevel="0" collapsed="false">
      <c r="A189" s="32" t="n">
        <f aca="false">A188+1</f>
        <v>175</v>
      </c>
      <c r="B189" s="32" t="n">
        <f aca="true">RAND()</f>
        <v>0.945955029245609</v>
      </c>
      <c r="C189" s="32" t="n">
        <f aca="true">VLOOKUP(B189,$F$7:$H$12,2,TRUE())+(RAND()*(VLOOKUP(B189,$F$7:$H$12,3,TRUE())-VLOOKUP(B189,$F$7:$H$12,2,TRUE())))</f>
        <v>79.9608411550714</v>
      </c>
      <c r="D189" s="32" t="n">
        <f aca="true">RAND()</f>
        <v>0.297913309444458</v>
      </c>
      <c r="E189" s="32" t="n">
        <f aca="true">VLOOKUP(D189,$K$7:$M$10,2,TRUE())+(RAND()*(VLOOKUP(D189,$K$7:$M$10,3,TRUE())-VLOOKUP(D189,$K$7:$M$10,2,TRUE())))</f>
        <v>4.18483978149362</v>
      </c>
      <c r="F189" s="32" t="n">
        <f aca="false">E189*$B$3</f>
        <v>50.2180773779234</v>
      </c>
      <c r="G189" s="32" t="n">
        <f aca="false">MAX(C189-F189,0)</f>
        <v>29.742763777148</v>
      </c>
      <c r="H189" s="32" t="n">
        <f aca="false">G189*100</f>
        <v>2974.27637771479</v>
      </c>
    </row>
    <row r="190" customFormat="false" ht="15" hidden="false" customHeight="false" outlineLevel="0" collapsed="false">
      <c r="A190" s="32" t="n">
        <f aca="false">A189+1</f>
        <v>176</v>
      </c>
      <c r="B190" s="32" t="n">
        <f aca="true">RAND()</f>
        <v>0.836760070230794</v>
      </c>
      <c r="C190" s="32" t="n">
        <f aca="true">VLOOKUP(B190,$F$7:$H$12,2,TRUE())+(RAND()*(VLOOKUP(B190,$F$7:$H$12,3,TRUE())-VLOOKUP(B190,$F$7:$H$12,2,TRUE())))</f>
        <v>65.7813653771983</v>
      </c>
      <c r="D190" s="32" t="n">
        <f aca="true">RAND()</f>
        <v>0.369794261011109</v>
      </c>
      <c r="E190" s="32" t="n">
        <f aca="true">VLOOKUP(D190,$K$7:$M$10,2,TRUE())+(RAND()*(VLOOKUP(D190,$K$7:$M$10,3,TRUE())-VLOOKUP(D190,$K$7:$M$10,2,TRUE())))</f>
        <v>4.78426052832612</v>
      </c>
      <c r="F190" s="32" t="n">
        <f aca="false">E190*$B$3</f>
        <v>57.4111263399134</v>
      </c>
      <c r="G190" s="32" t="n">
        <f aca="false">MAX(C190-F190,0)</f>
        <v>8.37023903728486</v>
      </c>
      <c r="H190" s="32" t="n">
        <f aca="false">G190*100</f>
        <v>837.023903728486</v>
      </c>
    </row>
    <row r="191" customFormat="false" ht="15" hidden="false" customHeight="false" outlineLevel="0" collapsed="false">
      <c r="A191" s="32" t="n">
        <f aca="false">A190+1</f>
        <v>177</v>
      </c>
      <c r="B191" s="32" t="n">
        <f aca="true">RAND()</f>
        <v>0.578993409762789</v>
      </c>
      <c r="C191" s="32" t="n">
        <f aca="true">VLOOKUP(B191,$F$7:$H$12,2,TRUE())+(RAND()*(VLOOKUP(B191,$F$7:$H$12,3,TRUE())-VLOOKUP(B191,$F$7:$H$12,2,TRUE())))</f>
        <v>68.154337032137</v>
      </c>
      <c r="D191" s="32" t="n">
        <f aca="true">RAND()</f>
        <v>0.194172250048252</v>
      </c>
      <c r="E191" s="32" t="n">
        <f aca="true">VLOOKUP(D191,$K$7:$M$10,2,TRUE())+(RAND()*(VLOOKUP(D191,$K$7:$M$10,3,TRUE())-VLOOKUP(D191,$K$7:$M$10,2,TRUE())))</f>
        <v>4.27348809590575</v>
      </c>
      <c r="F191" s="32" t="n">
        <f aca="false">E191*$B$3</f>
        <v>51.281857150869</v>
      </c>
      <c r="G191" s="32" t="n">
        <f aca="false">MAX(C191-F191,0)</f>
        <v>16.872479881268</v>
      </c>
      <c r="H191" s="32" t="n">
        <f aca="false">G191*100</f>
        <v>1687.2479881268</v>
      </c>
    </row>
    <row r="192" customFormat="false" ht="15" hidden="false" customHeight="false" outlineLevel="0" collapsed="false">
      <c r="A192" s="32" t="n">
        <f aca="false">A191+1</f>
        <v>178</v>
      </c>
      <c r="B192" s="32" t="n">
        <f aca="true">RAND()</f>
        <v>0.240267368526697</v>
      </c>
      <c r="C192" s="32" t="n">
        <f aca="true">VLOOKUP(B192,$F$7:$H$12,2,TRUE())+(RAND()*(VLOOKUP(B192,$F$7:$H$12,3,TRUE())-VLOOKUP(B192,$F$7:$H$12,2,TRUE())))</f>
        <v>59.561972986515</v>
      </c>
      <c r="D192" s="32" t="n">
        <f aca="true">RAND()</f>
        <v>0.652341201433331</v>
      </c>
      <c r="E192" s="32" t="n">
        <f aca="true">VLOOKUP(D192,$K$7:$M$10,2,TRUE())+(RAND()*(VLOOKUP(D192,$K$7:$M$10,3,TRUE())-VLOOKUP(D192,$K$7:$M$10,2,TRUE())))</f>
        <v>4.77567615092081</v>
      </c>
      <c r="F192" s="32" t="n">
        <f aca="false">E192*$B$3</f>
        <v>57.3081138110497</v>
      </c>
      <c r="G192" s="32" t="n">
        <f aca="false">MAX(C192-F192,0)</f>
        <v>2.25385917546527</v>
      </c>
      <c r="H192" s="32" t="n">
        <f aca="false">G192*100</f>
        <v>225.385917546527</v>
      </c>
    </row>
    <row r="193" customFormat="false" ht="15" hidden="false" customHeight="false" outlineLevel="0" collapsed="false">
      <c r="A193" s="32" t="n">
        <f aca="false">A192+1</f>
        <v>179</v>
      </c>
      <c r="B193" s="32" t="n">
        <f aca="true">RAND()</f>
        <v>0.0691474972923924</v>
      </c>
      <c r="C193" s="32" t="n">
        <f aca="true">VLOOKUP(B193,$F$7:$H$12,2,TRUE())+(RAND()*(VLOOKUP(B193,$F$7:$H$12,3,TRUE())-VLOOKUP(B193,$F$7:$H$12,2,TRUE())))</f>
        <v>53.2209560379488</v>
      </c>
      <c r="D193" s="32" t="n">
        <f aca="true">RAND()</f>
        <v>0.732715297712821</v>
      </c>
      <c r="E193" s="32" t="n">
        <f aca="true">VLOOKUP(D193,$K$7:$M$10,2,TRUE())+(RAND()*(VLOOKUP(D193,$K$7:$M$10,3,TRUE())-VLOOKUP(D193,$K$7:$M$10,2,TRUE())))</f>
        <v>5.4058998132544</v>
      </c>
      <c r="F193" s="32" t="n">
        <f aca="false">E193*$B$3</f>
        <v>64.8707977590528</v>
      </c>
      <c r="G193" s="32" t="n">
        <f aca="false">MAX(C193-F193,0)</f>
        <v>0</v>
      </c>
      <c r="H193" s="32" t="n">
        <f aca="false">G193*100</f>
        <v>0</v>
      </c>
    </row>
    <row r="194" customFormat="false" ht="15" hidden="false" customHeight="false" outlineLevel="0" collapsed="false">
      <c r="A194" s="32" t="n">
        <f aca="false">A193+1</f>
        <v>180</v>
      </c>
      <c r="B194" s="32" t="n">
        <f aca="true">RAND()</f>
        <v>0.548784344277595</v>
      </c>
      <c r="C194" s="32" t="n">
        <f aca="true">VLOOKUP(B194,$F$7:$H$12,2,TRUE())+(RAND()*(VLOOKUP(B194,$F$7:$H$12,3,TRUE())-VLOOKUP(B194,$F$7:$H$12,2,TRUE())))</f>
        <v>63.7420877570354</v>
      </c>
      <c r="D194" s="32" t="n">
        <f aca="true">RAND()</f>
        <v>0.585500180239456</v>
      </c>
      <c r="E194" s="32" t="n">
        <f aca="true">VLOOKUP(D194,$K$7:$M$10,2,TRUE())+(RAND()*(VLOOKUP(D194,$K$7:$M$10,3,TRUE())-VLOOKUP(D194,$K$7:$M$10,2,TRUE())))</f>
        <v>4.97359117268426</v>
      </c>
      <c r="F194" s="32" t="n">
        <f aca="false">E194*$B$3</f>
        <v>59.6830940722111</v>
      </c>
      <c r="G194" s="32" t="n">
        <f aca="false">MAX(C194-F194,0)</f>
        <v>4.05899368482422</v>
      </c>
      <c r="H194" s="32" t="n">
        <f aca="false">G194*100</f>
        <v>405.899368482422</v>
      </c>
    </row>
    <row r="195" customFormat="false" ht="15" hidden="false" customHeight="false" outlineLevel="0" collapsed="false">
      <c r="A195" s="32" t="n">
        <f aca="false">A194+1</f>
        <v>181</v>
      </c>
      <c r="B195" s="32" t="n">
        <f aca="true">RAND()</f>
        <v>0.608029178308495</v>
      </c>
      <c r="C195" s="32" t="n">
        <f aca="true">VLOOKUP(B195,$F$7:$H$12,2,TRUE())+(RAND()*(VLOOKUP(B195,$F$7:$H$12,3,TRUE())-VLOOKUP(B195,$F$7:$H$12,2,TRUE())))</f>
        <v>69.3063847634379</v>
      </c>
      <c r="D195" s="32" t="n">
        <f aca="true">RAND()</f>
        <v>0.392142189019082</v>
      </c>
      <c r="E195" s="32" t="n">
        <f aca="true">VLOOKUP(D195,$K$7:$M$10,2,TRUE())+(RAND()*(VLOOKUP(D195,$K$7:$M$10,3,TRUE())-VLOOKUP(D195,$K$7:$M$10,2,TRUE())))</f>
        <v>4.93338591877685</v>
      </c>
      <c r="F195" s="32" t="n">
        <f aca="false">E195*$B$3</f>
        <v>59.2006310253222</v>
      </c>
      <c r="G195" s="32" t="n">
        <f aca="false">MAX(C195-F195,0)</f>
        <v>10.1057537381157</v>
      </c>
      <c r="H195" s="32" t="n">
        <f aca="false">G195*100</f>
        <v>1010.57537381157</v>
      </c>
    </row>
    <row r="196" customFormat="false" ht="15" hidden="false" customHeight="false" outlineLevel="0" collapsed="false">
      <c r="A196" s="32" t="n">
        <f aca="false">A195+1</f>
        <v>182</v>
      </c>
      <c r="B196" s="32" t="n">
        <f aca="true">RAND()</f>
        <v>0.95220153335514</v>
      </c>
      <c r="C196" s="32" t="n">
        <f aca="true">VLOOKUP(B196,$F$7:$H$12,2,TRUE())+(RAND()*(VLOOKUP(B196,$F$7:$H$12,3,TRUE())-VLOOKUP(B196,$F$7:$H$12,2,TRUE())))</f>
        <v>79.0880803888587</v>
      </c>
      <c r="D196" s="32" t="n">
        <f aca="true">RAND()</f>
        <v>0.966736496591651</v>
      </c>
      <c r="E196" s="32" t="n">
        <f aca="true">VLOOKUP(D196,$K$7:$M$10,2,TRUE())+(RAND()*(VLOOKUP(D196,$K$7:$M$10,3,TRUE())-VLOOKUP(D196,$K$7:$M$10,2,TRUE())))</f>
        <v>5.86353593929109</v>
      </c>
      <c r="F196" s="32" t="n">
        <f aca="false">E196*$B$3</f>
        <v>70.3624312714931</v>
      </c>
      <c r="G196" s="32" t="n">
        <f aca="false">MAX(C196-F196,0)</f>
        <v>8.72564911736565</v>
      </c>
      <c r="H196" s="32" t="n">
        <f aca="false">G196*100</f>
        <v>872.564911736565</v>
      </c>
    </row>
    <row r="197" customFormat="false" ht="15" hidden="false" customHeight="false" outlineLevel="0" collapsed="false">
      <c r="A197" s="32" t="n">
        <f aca="false">A196+1</f>
        <v>183</v>
      </c>
      <c r="B197" s="32" t="n">
        <f aca="true">RAND()</f>
        <v>0.457446170189418</v>
      </c>
      <c r="C197" s="32" t="n">
        <f aca="true">VLOOKUP(B197,$F$7:$H$12,2,TRUE())+(RAND()*(VLOOKUP(B197,$F$7:$H$12,3,TRUE())-VLOOKUP(B197,$F$7:$H$12,2,TRUE())))</f>
        <v>64.3632557806123</v>
      </c>
      <c r="D197" s="32" t="n">
        <f aca="true">RAND()</f>
        <v>0.0454215449237047</v>
      </c>
      <c r="E197" s="32" t="n">
        <f aca="true">VLOOKUP(D197,$K$7:$M$10,2,TRUE())+(RAND()*(VLOOKUP(D197,$K$7:$M$10,3,TRUE())-VLOOKUP(D197,$K$7:$M$10,2,TRUE())))</f>
        <v>4.17711422559658</v>
      </c>
      <c r="F197" s="32" t="n">
        <f aca="false">E197*$B$3</f>
        <v>50.1253707071589</v>
      </c>
      <c r="G197" s="32" t="n">
        <f aca="false">MAX(C197-F197,0)</f>
        <v>14.2378850734533</v>
      </c>
      <c r="H197" s="32" t="n">
        <f aca="false">G197*100</f>
        <v>1423.78850734533</v>
      </c>
    </row>
    <row r="198" customFormat="false" ht="15" hidden="false" customHeight="false" outlineLevel="0" collapsed="false">
      <c r="A198" s="32" t="n">
        <f aca="false">A197+1</f>
        <v>184</v>
      </c>
      <c r="B198" s="32" t="n">
        <f aca="true">RAND()</f>
        <v>0.700151176409303</v>
      </c>
      <c r="C198" s="32" t="n">
        <f aca="true">VLOOKUP(B198,$F$7:$H$12,2,TRUE())+(RAND()*(VLOOKUP(B198,$F$7:$H$12,3,TRUE())-VLOOKUP(B198,$F$7:$H$12,2,TRUE())))</f>
        <v>68.139905081619</v>
      </c>
      <c r="D198" s="32" t="n">
        <f aca="true">RAND()</f>
        <v>0.627317182897848</v>
      </c>
      <c r="E198" s="32" t="n">
        <f aca="true">VLOOKUP(D198,$K$7:$M$10,2,TRUE())+(RAND()*(VLOOKUP(D198,$K$7:$M$10,3,TRUE())-VLOOKUP(D198,$K$7:$M$10,2,TRUE())))</f>
        <v>4.5413043110321</v>
      </c>
      <c r="F198" s="32" t="n">
        <f aca="false">E198*$B$3</f>
        <v>54.4956517323852</v>
      </c>
      <c r="G198" s="32" t="n">
        <f aca="false">MAX(C198-F198,0)</f>
        <v>13.6442533492337</v>
      </c>
      <c r="H198" s="32" t="n">
        <f aca="false">G198*100</f>
        <v>1364.42533492337</v>
      </c>
    </row>
    <row r="199" customFormat="false" ht="15" hidden="false" customHeight="false" outlineLevel="0" collapsed="false">
      <c r="A199" s="32" t="n">
        <f aca="false">A198+1</f>
        <v>185</v>
      </c>
      <c r="B199" s="32" t="n">
        <f aca="true">RAND()</f>
        <v>0.417532846643653</v>
      </c>
      <c r="C199" s="32" t="n">
        <f aca="true">VLOOKUP(B199,$F$7:$H$12,2,TRUE())+(RAND()*(VLOOKUP(B199,$F$7:$H$12,3,TRUE())-VLOOKUP(B199,$F$7:$H$12,2,TRUE())))</f>
        <v>60.5739633099754</v>
      </c>
      <c r="D199" s="32" t="n">
        <f aca="true">RAND()</f>
        <v>0.629282870113818</v>
      </c>
      <c r="E199" s="32" t="n">
        <f aca="true">VLOOKUP(D199,$K$7:$M$10,2,TRUE())+(RAND()*(VLOOKUP(D199,$K$7:$M$10,3,TRUE())-VLOOKUP(D199,$K$7:$M$10,2,TRUE())))</f>
        <v>4.68114095953431</v>
      </c>
      <c r="F199" s="32" t="n">
        <f aca="false">E199*$B$3</f>
        <v>56.1736915144117</v>
      </c>
      <c r="G199" s="32" t="n">
        <f aca="false">MAX(C199-F199,0)</f>
        <v>4.40027179556371</v>
      </c>
      <c r="H199" s="32" t="n">
        <f aca="false">G199*100</f>
        <v>440.027179556371</v>
      </c>
    </row>
    <row r="200" customFormat="false" ht="15" hidden="false" customHeight="false" outlineLevel="0" collapsed="false">
      <c r="A200" s="32" t="n">
        <f aca="false">A199+1</f>
        <v>186</v>
      </c>
      <c r="B200" s="32" t="n">
        <f aca="true">RAND()</f>
        <v>0.340116927820848</v>
      </c>
      <c r="C200" s="32" t="n">
        <f aca="true">VLOOKUP(B200,$F$7:$H$12,2,TRUE())+(RAND()*(VLOOKUP(B200,$F$7:$H$12,3,TRUE())-VLOOKUP(B200,$F$7:$H$12,2,TRUE())))</f>
        <v>62.5647221220209</v>
      </c>
      <c r="D200" s="32" t="n">
        <f aca="true">RAND()</f>
        <v>0.177274373476988</v>
      </c>
      <c r="E200" s="32" t="n">
        <f aca="true">VLOOKUP(D200,$K$7:$M$10,2,TRUE())+(RAND()*(VLOOKUP(D200,$K$7:$M$10,3,TRUE())-VLOOKUP(D200,$K$7:$M$10,2,TRUE())))</f>
        <v>4.10575226486273</v>
      </c>
      <c r="F200" s="32" t="n">
        <f aca="false">E200*$B$3</f>
        <v>49.2690271783528</v>
      </c>
      <c r="G200" s="32" t="n">
        <f aca="false">MAX(C200-F200,0)</f>
        <v>13.2956949436681</v>
      </c>
      <c r="H200" s="32" t="n">
        <f aca="false">G200*100</f>
        <v>1329.56949436681</v>
      </c>
    </row>
    <row r="201" customFormat="false" ht="15" hidden="false" customHeight="false" outlineLevel="0" collapsed="false">
      <c r="A201" s="32" t="n">
        <f aca="false">A200+1</f>
        <v>187</v>
      </c>
      <c r="B201" s="32" t="n">
        <f aca="true">RAND()</f>
        <v>0.973159103314302</v>
      </c>
      <c r="C201" s="32" t="n">
        <f aca="true">VLOOKUP(B201,$F$7:$H$12,2,TRUE())+(RAND()*(VLOOKUP(B201,$F$7:$H$12,3,TRUE())-VLOOKUP(B201,$F$7:$H$12,2,TRUE())))</f>
        <v>75.8024111015262</v>
      </c>
      <c r="D201" s="32" t="n">
        <f aca="true">RAND()</f>
        <v>0.563879186241354</v>
      </c>
      <c r="E201" s="32" t="n">
        <f aca="true">VLOOKUP(D201,$K$7:$M$10,2,TRUE())+(RAND()*(VLOOKUP(D201,$K$7:$M$10,3,TRUE())-VLOOKUP(D201,$K$7:$M$10,2,TRUE())))</f>
        <v>4.95424277181909</v>
      </c>
      <c r="F201" s="32" t="n">
        <f aca="false">E201*$B$3</f>
        <v>59.4509132618291</v>
      </c>
      <c r="G201" s="32" t="n">
        <f aca="false">MAX(C201-F201,0)</f>
        <v>16.3514978396972</v>
      </c>
      <c r="H201" s="32" t="n">
        <f aca="false">G201*100</f>
        <v>1635.14978396972</v>
      </c>
    </row>
    <row r="202" customFormat="false" ht="15" hidden="false" customHeight="false" outlineLevel="0" collapsed="false">
      <c r="A202" s="32" t="n">
        <f aca="false">A201+1</f>
        <v>188</v>
      </c>
      <c r="B202" s="32" t="n">
        <f aca="true">RAND()</f>
        <v>0.646067577981728</v>
      </c>
      <c r="C202" s="32" t="n">
        <f aca="true">VLOOKUP(B202,$F$7:$H$12,2,TRUE())+(RAND()*(VLOOKUP(B202,$F$7:$H$12,3,TRUE())-VLOOKUP(B202,$F$7:$H$12,2,TRUE())))</f>
        <v>65.5353150695976</v>
      </c>
      <c r="D202" s="32" t="n">
        <f aca="true">RAND()</f>
        <v>0.798270797606899</v>
      </c>
      <c r="E202" s="32" t="n">
        <f aca="true">VLOOKUP(D202,$K$7:$M$10,2,TRUE())+(RAND()*(VLOOKUP(D202,$K$7:$M$10,3,TRUE())-VLOOKUP(D202,$K$7:$M$10,2,TRUE())))</f>
        <v>5.36471634044905</v>
      </c>
      <c r="F202" s="32" t="n">
        <f aca="false">E202*$B$3</f>
        <v>64.3765960853886</v>
      </c>
      <c r="G202" s="32" t="n">
        <f aca="false">MAX(C202-F202,0)</f>
        <v>1.15871898420907</v>
      </c>
      <c r="H202" s="32" t="n">
        <f aca="false">G202*100</f>
        <v>115.871898420907</v>
      </c>
    </row>
    <row r="203" customFormat="false" ht="15" hidden="false" customHeight="false" outlineLevel="0" collapsed="false">
      <c r="A203" s="32" t="n">
        <f aca="false">A202+1</f>
        <v>189</v>
      </c>
      <c r="B203" s="32" t="n">
        <f aca="true">RAND()</f>
        <v>0.565674390667807</v>
      </c>
      <c r="C203" s="32" t="n">
        <f aca="true">VLOOKUP(B203,$F$7:$H$12,2,TRUE())+(RAND()*(VLOOKUP(B203,$F$7:$H$12,3,TRUE())-VLOOKUP(B203,$F$7:$H$12,2,TRUE())))</f>
        <v>66.6988151311792</v>
      </c>
      <c r="D203" s="32" t="n">
        <f aca="true">RAND()</f>
        <v>0.125281152510749</v>
      </c>
      <c r="E203" s="32" t="n">
        <f aca="true">VLOOKUP(D203,$K$7:$M$10,2,TRUE())+(RAND()*(VLOOKUP(D203,$K$7:$M$10,3,TRUE())-VLOOKUP(D203,$K$7:$M$10,2,TRUE())))</f>
        <v>4.47126436072331</v>
      </c>
      <c r="F203" s="32" t="n">
        <f aca="false">E203*$B$3</f>
        <v>53.6551723286798</v>
      </c>
      <c r="G203" s="32" t="n">
        <f aca="false">MAX(C203-F203,0)</f>
        <v>13.0436428024995</v>
      </c>
      <c r="H203" s="32" t="n">
        <f aca="false">G203*100</f>
        <v>1304.36428024995</v>
      </c>
    </row>
    <row r="204" customFormat="false" ht="15" hidden="false" customHeight="false" outlineLevel="0" collapsed="false">
      <c r="A204" s="32" t="n">
        <f aca="false">A203+1</f>
        <v>190</v>
      </c>
      <c r="B204" s="32" t="n">
        <f aca="true">RAND()</f>
        <v>0.433127623068756</v>
      </c>
      <c r="C204" s="32" t="n">
        <f aca="true">VLOOKUP(B204,$F$7:$H$12,2,TRUE())+(RAND()*(VLOOKUP(B204,$F$7:$H$12,3,TRUE())-VLOOKUP(B204,$F$7:$H$12,2,TRUE())))</f>
        <v>64.1870498493293</v>
      </c>
      <c r="D204" s="32" t="n">
        <f aca="true">RAND()</f>
        <v>0.604320898522763</v>
      </c>
      <c r="E204" s="32" t="n">
        <f aca="true">VLOOKUP(D204,$K$7:$M$10,2,TRUE())+(RAND()*(VLOOKUP(D204,$K$7:$M$10,3,TRUE())-VLOOKUP(D204,$K$7:$M$10,2,TRUE())))</f>
        <v>4.55143588790189</v>
      </c>
      <c r="F204" s="32" t="n">
        <f aca="false">E204*$B$3</f>
        <v>54.6172306548227</v>
      </c>
      <c r="G204" s="32" t="n">
        <f aca="false">MAX(C204-F204,0)</f>
        <v>9.56981919450664</v>
      </c>
      <c r="H204" s="32" t="n">
        <f aca="false">G204*100</f>
        <v>956.981919450664</v>
      </c>
    </row>
    <row r="205" customFormat="false" ht="15" hidden="false" customHeight="false" outlineLevel="0" collapsed="false">
      <c r="A205" s="32" t="n">
        <f aca="false">A204+1</f>
        <v>191</v>
      </c>
      <c r="B205" s="32" t="n">
        <f aca="true">RAND()</f>
        <v>0.555720401472457</v>
      </c>
      <c r="C205" s="32" t="n">
        <f aca="true">VLOOKUP(B205,$F$7:$H$12,2,TRUE())+(RAND()*(VLOOKUP(B205,$F$7:$H$12,3,TRUE())-VLOOKUP(B205,$F$7:$H$12,2,TRUE())))</f>
        <v>68.2685612446343</v>
      </c>
      <c r="D205" s="32" t="n">
        <f aca="true">RAND()</f>
        <v>0.10717876646397</v>
      </c>
      <c r="E205" s="32" t="n">
        <f aca="true">VLOOKUP(D205,$K$7:$M$10,2,TRUE())+(RAND()*(VLOOKUP(D205,$K$7:$M$10,3,TRUE())-VLOOKUP(D205,$K$7:$M$10,2,TRUE())))</f>
        <v>4.01066238983288</v>
      </c>
      <c r="F205" s="32" t="n">
        <f aca="false">E205*$B$3</f>
        <v>48.1279486779945</v>
      </c>
      <c r="G205" s="32" t="n">
        <f aca="false">MAX(C205-F205,0)</f>
        <v>20.1406125666398</v>
      </c>
      <c r="H205" s="32" t="n">
        <f aca="false">G205*100</f>
        <v>2014.06125666398</v>
      </c>
    </row>
    <row r="206" customFormat="false" ht="15" hidden="false" customHeight="false" outlineLevel="0" collapsed="false">
      <c r="A206" s="32" t="n">
        <f aca="false">A205+1</f>
        <v>192</v>
      </c>
      <c r="B206" s="32" t="n">
        <f aca="true">RAND()</f>
        <v>0.0984133488544209</v>
      </c>
      <c r="C206" s="32" t="n">
        <f aca="true">VLOOKUP(B206,$F$7:$H$12,2,TRUE())+(RAND()*(VLOOKUP(B206,$F$7:$H$12,3,TRUE())-VLOOKUP(B206,$F$7:$H$12,2,TRUE())))</f>
        <v>50.4258578675469</v>
      </c>
      <c r="D206" s="32" t="n">
        <f aca="true">RAND()</f>
        <v>0.088332964019346</v>
      </c>
      <c r="E206" s="32" t="n">
        <f aca="true">VLOOKUP(D206,$K$7:$M$10,2,TRUE())+(RAND()*(VLOOKUP(D206,$K$7:$M$10,3,TRUE())-VLOOKUP(D206,$K$7:$M$10,2,TRUE())))</f>
        <v>4.16559595626086</v>
      </c>
      <c r="F206" s="32" t="n">
        <f aca="false">E206*$B$3</f>
        <v>49.9871514751303</v>
      </c>
      <c r="G206" s="32" t="n">
        <f aca="false">MAX(C206-F206,0)</f>
        <v>0.438706392416634</v>
      </c>
      <c r="H206" s="32" t="n">
        <f aca="false">G206*100</f>
        <v>43.8706392416634</v>
      </c>
    </row>
    <row r="207" customFormat="false" ht="15" hidden="false" customHeight="false" outlineLevel="0" collapsed="false">
      <c r="A207" s="32" t="n">
        <f aca="false">A206+1</f>
        <v>193</v>
      </c>
      <c r="B207" s="32" t="n">
        <f aca="true">RAND()</f>
        <v>0.00819453942770237</v>
      </c>
      <c r="C207" s="32" t="n">
        <f aca="true">VLOOKUP(B207,$F$7:$H$12,2,TRUE())+(RAND()*(VLOOKUP(B207,$F$7:$H$12,3,TRUE())-VLOOKUP(B207,$F$7:$H$12,2,TRUE())))</f>
        <v>50.9097561930424</v>
      </c>
      <c r="D207" s="32" t="n">
        <f aca="true">RAND()</f>
        <v>0.0793830667734619</v>
      </c>
      <c r="E207" s="32" t="n">
        <f aca="true">VLOOKUP(D207,$K$7:$M$10,2,TRUE())+(RAND()*(VLOOKUP(D207,$K$7:$M$10,3,TRUE())-VLOOKUP(D207,$K$7:$M$10,2,TRUE())))</f>
        <v>4.42040645799191</v>
      </c>
      <c r="F207" s="32" t="n">
        <f aca="false">E207*$B$3</f>
        <v>53.0448774959029</v>
      </c>
      <c r="G207" s="32" t="n">
        <f aca="false">MAX(C207-F207,0)</f>
        <v>0</v>
      </c>
      <c r="H207" s="32" t="n">
        <f aca="false">G207*100</f>
        <v>0</v>
      </c>
    </row>
    <row r="208" customFormat="false" ht="15" hidden="false" customHeight="false" outlineLevel="0" collapsed="false">
      <c r="A208" s="32" t="n">
        <f aca="false">A207+1</f>
        <v>194</v>
      </c>
      <c r="B208" s="32" t="n">
        <f aca="true">RAND()</f>
        <v>0.208169652082354</v>
      </c>
      <c r="C208" s="32" t="n">
        <f aca="true">VLOOKUP(B208,$F$7:$H$12,2,TRUE())+(RAND()*(VLOOKUP(B208,$F$7:$H$12,3,TRUE())-VLOOKUP(B208,$F$7:$H$12,2,TRUE())))</f>
        <v>58.8897512844506</v>
      </c>
      <c r="D208" s="32" t="n">
        <f aca="true">RAND()</f>
        <v>0.679732162116277</v>
      </c>
      <c r="E208" s="32" t="n">
        <f aca="true">VLOOKUP(D208,$K$7:$M$10,2,TRUE())+(RAND()*(VLOOKUP(D208,$K$7:$M$10,3,TRUE())-VLOOKUP(D208,$K$7:$M$10,2,TRUE())))</f>
        <v>4.94596963248113</v>
      </c>
      <c r="F208" s="32" t="n">
        <f aca="false">E208*$B$3</f>
        <v>59.3516355897736</v>
      </c>
      <c r="G208" s="32" t="n">
        <f aca="false">MAX(C208-F208,0)</f>
        <v>0</v>
      </c>
      <c r="H208" s="32" t="n">
        <f aca="false">G208*100</f>
        <v>0</v>
      </c>
    </row>
    <row r="209" customFormat="false" ht="15" hidden="false" customHeight="false" outlineLevel="0" collapsed="false">
      <c r="A209" s="32" t="n">
        <f aca="false">A208+1</f>
        <v>195</v>
      </c>
      <c r="B209" s="32" t="n">
        <f aca="true">RAND()</f>
        <v>0.0355927753755705</v>
      </c>
      <c r="C209" s="32" t="n">
        <f aca="true">VLOOKUP(B209,$F$7:$H$12,2,TRUE())+(RAND()*(VLOOKUP(B209,$F$7:$H$12,3,TRUE())-VLOOKUP(B209,$F$7:$H$12,2,TRUE())))</f>
        <v>54.5381047610803</v>
      </c>
      <c r="D209" s="32" t="n">
        <f aca="true">RAND()</f>
        <v>0.724425552877533</v>
      </c>
      <c r="E209" s="32" t="n">
        <f aca="true">VLOOKUP(D209,$K$7:$M$10,2,TRUE())+(RAND()*(VLOOKUP(D209,$K$7:$M$10,3,TRUE())-VLOOKUP(D209,$K$7:$M$10,2,TRUE())))</f>
        <v>5.34862999826069</v>
      </c>
      <c r="F209" s="32" t="n">
        <f aca="false">E209*$B$3</f>
        <v>64.1835599791283</v>
      </c>
      <c r="G209" s="32" t="n">
        <f aca="false">MAX(C209-F209,0)</f>
        <v>0</v>
      </c>
      <c r="H209" s="32" t="n">
        <f aca="false">G209*100</f>
        <v>0</v>
      </c>
    </row>
    <row r="210" customFormat="false" ht="15" hidden="false" customHeight="false" outlineLevel="0" collapsed="false">
      <c r="A210" s="32" t="n">
        <f aca="false">A209+1</f>
        <v>196</v>
      </c>
      <c r="B210" s="32" t="n">
        <f aca="true">RAND()</f>
        <v>0.554170418919532</v>
      </c>
      <c r="C210" s="32" t="n">
        <f aca="true">VLOOKUP(B210,$F$7:$H$12,2,TRUE())+(RAND()*(VLOOKUP(B210,$F$7:$H$12,3,TRUE())-VLOOKUP(B210,$F$7:$H$12,2,TRUE())))</f>
        <v>67.7963317756977</v>
      </c>
      <c r="D210" s="32" t="n">
        <f aca="true">RAND()</f>
        <v>0.408858487353322</v>
      </c>
      <c r="E210" s="32" t="n">
        <f aca="true">VLOOKUP(D210,$K$7:$M$10,2,TRUE())+(RAND()*(VLOOKUP(D210,$K$7:$M$10,3,TRUE())-VLOOKUP(D210,$K$7:$M$10,2,TRUE())))</f>
        <v>4.6442743658808</v>
      </c>
      <c r="F210" s="32" t="n">
        <f aca="false">E210*$B$3</f>
        <v>55.7312923905696</v>
      </c>
      <c r="G210" s="32" t="n">
        <f aca="false">MAX(C210-F210,0)</f>
        <v>12.0650393851281</v>
      </c>
      <c r="H210" s="32" t="n">
        <f aca="false">G210*100</f>
        <v>1206.50393851281</v>
      </c>
    </row>
    <row r="211" customFormat="false" ht="15" hidden="false" customHeight="false" outlineLevel="0" collapsed="false">
      <c r="A211" s="32" t="n">
        <f aca="false">A210+1</f>
        <v>197</v>
      </c>
      <c r="B211" s="32" t="n">
        <f aca="true">RAND()</f>
        <v>0.171763138082792</v>
      </c>
      <c r="C211" s="32" t="n">
        <f aca="true">VLOOKUP(B211,$F$7:$H$12,2,TRUE())+(RAND()*(VLOOKUP(B211,$F$7:$H$12,3,TRUE())-VLOOKUP(B211,$F$7:$H$12,2,TRUE())))</f>
        <v>57.6672720655306</v>
      </c>
      <c r="D211" s="32" t="n">
        <f aca="true">RAND()</f>
        <v>0.838926760149302</v>
      </c>
      <c r="E211" s="32" t="n">
        <f aca="true">VLOOKUP(D211,$K$7:$M$10,2,TRUE())+(RAND()*(VLOOKUP(D211,$K$7:$M$10,3,TRUE())-VLOOKUP(D211,$K$7:$M$10,2,TRUE())))</f>
        <v>5.13755307298297</v>
      </c>
      <c r="F211" s="32" t="n">
        <f aca="false">E211*$B$3</f>
        <v>61.6506368757957</v>
      </c>
      <c r="G211" s="32" t="n">
        <f aca="false">MAX(C211-F211,0)</f>
        <v>0</v>
      </c>
      <c r="H211" s="32" t="n">
        <f aca="false">G211*100</f>
        <v>0</v>
      </c>
    </row>
    <row r="212" customFormat="false" ht="15" hidden="false" customHeight="false" outlineLevel="0" collapsed="false">
      <c r="A212" s="32" t="n">
        <f aca="false">A211+1</f>
        <v>198</v>
      </c>
      <c r="B212" s="32" t="n">
        <f aca="true">RAND()</f>
        <v>0.990674067249607</v>
      </c>
      <c r="C212" s="32" t="n">
        <f aca="true">VLOOKUP(B212,$F$7:$H$12,2,TRUE())+(RAND()*(VLOOKUP(B212,$F$7:$H$12,3,TRUE())-VLOOKUP(B212,$F$7:$H$12,2,TRUE())))</f>
        <v>82.9354830992561</v>
      </c>
      <c r="D212" s="32" t="n">
        <f aca="true">RAND()</f>
        <v>0.48252029449322</v>
      </c>
      <c r="E212" s="32" t="n">
        <f aca="true">VLOOKUP(D212,$K$7:$M$10,2,TRUE())+(RAND()*(VLOOKUP(D212,$K$7:$M$10,3,TRUE())-VLOOKUP(D212,$K$7:$M$10,2,TRUE())))</f>
        <v>4.70275144857548</v>
      </c>
      <c r="F212" s="32" t="n">
        <f aca="false">E212*$B$3</f>
        <v>56.4330173829058</v>
      </c>
      <c r="G212" s="32" t="n">
        <f aca="false">MAX(C212-F212,0)</f>
        <v>26.5024657163503</v>
      </c>
      <c r="H212" s="32" t="n">
        <f aca="false">G212*100</f>
        <v>2650.24657163503</v>
      </c>
    </row>
    <row r="213" customFormat="false" ht="15" hidden="false" customHeight="false" outlineLevel="0" collapsed="false">
      <c r="A213" s="32" t="n">
        <f aca="false">A212+1</f>
        <v>199</v>
      </c>
      <c r="B213" s="32" t="n">
        <f aca="true">RAND()</f>
        <v>0.334832189354505</v>
      </c>
      <c r="C213" s="32" t="n">
        <f aca="true">VLOOKUP(B213,$F$7:$H$12,2,TRUE())+(RAND()*(VLOOKUP(B213,$F$7:$H$12,3,TRUE())-VLOOKUP(B213,$F$7:$H$12,2,TRUE())))</f>
        <v>62.6588045227388</v>
      </c>
      <c r="D213" s="32" t="n">
        <f aca="true">RAND()</f>
        <v>0.559325312219054</v>
      </c>
      <c r="E213" s="32" t="n">
        <f aca="true">VLOOKUP(D213,$K$7:$M$10,2,TRUE())+(RAND()*(VLOOKUP(D213,$K$7:$M$10,3,TRUE())-VLOOKUP(D213,$K$7:$M$10,2,TRUE())))</f>
        <v>4.59468456750343</v>
      </c>
      <c r="F213" s="32" t="n">
        <f aca="false">E213*$B$3</f>
        <v>55.1362148100412</v>
      </c>
      <c r="G213" s="32" t="n">
        <f aca="false">MAX(C213-F213,0)</f>
        <v>7.52258971269759</v>
      </c>
      <c r="H213" s="32" t="n">
        <f aca="false">G213*100</f>
        <v>752.258971269759</v>
      </c>
    </row>
    <row r="214" customFormat="false" ht="15" hidden="false" customHeight="false" outlineLevel="0" collapsed="false">
      <c r="A214" s="32" t="n">
        <f aca="false">A213+1</f>
        <v>200</v>
      </c>
      <c r="B214" s="32" t="n">
        <f aca="true">RAND()</f>
        <v>0.738198156236221</v>
      </c>
      <c r="C214" s="32" t="n">
        <f aca="true">VLOOKUP(B214,$F$7:$H$12,2,TRUE())+(RAND()*(VLOOKUP(B214,$F$7:$H$12,3,TRUE())-VLOOKUP(B214,$F$7:$H$12,2,TRUE())))</f>
        <v>68.185689354245</v>
      </c>
      <c r="D214" s="32" t="n">
        <f aca="true">RAND()</f>
        <v>0.370264111707679</v>
      </c>
      <c r="E214" s="32" t="n">
        <f aca="true">VLOOKUP(D214,$K$7:$M$10,2,TRUE())+(RAND()*(VLOOKUP(D214,$K$7:$M$10,3,TRUE())-VLOOKUP(D214,$K$7:$M$10,2,TRUE())))</f>
        <v>4.64612843682995</v>
      </c>
      <c r="F214" s="32" t="n">
        <f aca="false">E214*$B$3</f>
        <v>55.7535412419594</v>
      </c>
      <c r="G214" s="32" t="n">
        <f aca="false">MAX(C214-F214,0)</f>
        <v>12.4321481122857</v>
      </c>
      <c r="H214" s="32" t="n">
        <f aca="false">G214*100</f>
        <v>1243.21481122857</v>
      </c>
    </row>
    <row r="215" customFormat="false" ht="15" hidden="false" customHeight="false" outlineLevel="0" collapsed="false">
      <c r="A215" s="32" t="n">
        <f aca="false">A214+1</f>
        <v>201</v>
      </c>
      <c r="B215" s="32" t="n">
        <f aca="true">RAND()</f>
        <v>0.137673772553616</v>
      </c>
      <c r="C215" s="32" t="n">
        <f aca="true">VLOOKUP(B215,$F$7:$H$12,2,TRUE())+(RAND()*(VLOOKUP(B215,$F$7:$H$12,3,TRUE())-VLOOKUP(B215,$F$7:$H$12,2,TRUE())))</f>
        <v>57.7614365056415</v>
      </c>
      <c r="D215" s="32" t="n">
        <f aca="true">RAND()</f>
        <v>0.627108883176872</v>
      </c>
      <c r="E215" s="32" t="n">
        <f aca="true">VLOOKUP(D215,$K$7:$M$10,2,TRUE())+(RAND()*(VLOOKUP(D215,$K$7:$M$10,3,TRUE())-VLOOKUP(D215,$K$7:$M$10,2,TRUE())))</f>
        <v>4.89416847114409</v>
      </c>
      <c r="F215" s="32" t="n">
        <f aca="false">E215*$B$3</f>
        <v>58.7300216537291</v>
      </c>
      <c r="G215" s="32" t="n">
        <f aca="false">MAX(C215-F215,0)</f>
        <v>0</v>
      </c>
      <c r="H215" s="32" t="n">
        <f aca="false">G215*100</f>
        <v>0</v>
      </c>
    </row>
    <row r="216" customFormat="false" ht="15" hidden="false" customHeight="false" outlineLevel="0" collapsed="false">
      <c r="A216" s="32" t="n">
        <f aca="false">A215+1</f>
        <v>202</v>
      </c>
      <c r="B216" s="32" t="n">
        <f aca="true">RAND()</f>
        <v>0.6644727100376</v>
      </c>
      <c r="C216" s="32" t="n">
        <f aca="true">VLOOKUP(B216,$F$7:$H$12,2,TRUE())+(RAND()*(VLOOKUP(B216,$F$7:$H$12,3,TRUE())-VLOOKUP(B216,$F$7:$H$12,2,TRUE())))</f>
        <v>65.5604325229063</v>
      </c>
      <c r="D216" s="32" t="n">
        <f aca="true">RAND()</f>
        <v>0.267020360042941</v>
      </c>
      <c r="E216" s="32" t="n">
        <f aca="true">VLOOKUP(D216,$K$7:$M$10,2,TRUE())+(RAND()*(VLOOKUP(D216,$K$7:$M$10,3,TRUE())-VLOOKUP(D216,$K$7:$M$10,2,TRUE())))</f>
        <v>4.15634543636491</v>
      </c>
      <c r="F216" s="32" t="n">
        <f aca="false">E216*$B$3</f>
        <v>49.8761452363789</v>
      </c>
      <c r="G216" s="32" t="n">
        <f aca="false">MAX(C216-F216,0)</f>
        <v>15.6842872865274</v>
      </c>
      <c r="H216" s="32" t="n">
        <f aca="false">G216*100</f>
        <v>1568.42872865274</v>
      </c>
    </row>
    <row r="217" customFormat="false" ht="15" hidden="false" customHeight="false" outlineLevel="0" collapsed="false">
      <c r="A217" s="32" t="n">
        <f aca="false">A216+1</f>
        <v>203</v>
      </c>
      <c r="B217" s="32" t="n">
        <f aca="true">RAND()</f>
        <v>0.591315043733279</v>
      </c>
      <c r="C217" s="32" t="n">
        <f aca="true">VLOOKUP(B217,$F$7:$H$12,2,TRUE())+(RAND()*(VLOOKUP(B217,$F$7:$H$12,3,TRUE())-VLOOKUP(B217,$F$7:$H$12,2,TRUE())))</f>
        <v>69.9290551779528</v>
      </c>
      <c r="D217" s="32" t="n">
        <f aca="true">RAND()</f>
        <v>0.263723516772073</v>
      </c>
      <c r="E217" s="32" t="n">
        <f aca="true">VLOOKUP(D217,$K$7:$M$10,2,TRUE())+(RAND()*(VLOOKUP(D217,$K$7:$M$10,3,TRUE())-VLOOKUP(D217,$K$7:$M$10,2,TRUE())))</f>
        <v>4.43860727550816</v>
      </c>
      <c r="F217" s="32" t="n">
        <f aca="false">E217*$B$3</f>
        <v>53.2632873060979</v>
      </c>
      <c r="G217" s="32" t="n">
        <f aca="false">MAX(C217-F217,0)</f>
        <v>16.6657678718549</v>
      </c>
      <c r="H217" s="32" t="n">
        <f aca="false">G217*100</f>
        <v>1666.57678718549</v>
      </c>
    </row>
    <row r="218" customFormat="false" ht="15" hidden="false" customHeight="false" outlineLevel="0" collapsed="false">
      <c r="A218" s="32" t="n">
        <f aca="false">A217+1</f>
        <v>204</v>
      </c>
      <c r="B218" s="32" t="n">
        <f aca="true">RAND()</f>
        <v>0.860771109980336</v>
      </c>
      <c r="C218" s="32" t="n">
        <f aca="true">VLOOKUP(B218,$F$7:$H$12,2,TRUE())+(RAND()*(VLOOKUP(B218,$F$7:$H$12,3,TRUE())-VLOOKUP(B218,$F$7:$H$12,2,TRUE())))</f>
        <v>69.1802135803636</v>
      </c>
      <c r="D218" s="32" t="n">
        <f aca="true">RAND()</f>
        <v>0.00427805684052338</v>
      </c>
      <c r="E218" s="32" t="n">
        <f aca="true">VLOOKUP(D218,$K$7:$M$10,2,TRUE())+(RAND()*(VLOOKUP(D218,$K$7:$M$10,3,TRUE())-VLOOKUP(D218,$K$7:$M$10,2,TRUE())))</f>
        <v>4.12415758480934</v>
      </c>
      <c r="F218" s="32" t="n">
        <f aca="false">E218*$B$3</f>
        <v>49.4898910177121</v>
      </c>
      <c r="G218" s="32" t="n">
        <f aca="false">MAX(C218-F218,0)</f>
        <v>19.6903225626515</v>
      </c>
      <c r="H218" s="32" t="n">
        <f aca="false">G218*100</f>
        <v>1969.03225626515</v>
      </c>
    </row>
    <row r="219" customFormat="false" ht="15" hidden="false" customHeight="false" outlineLevel="0" collapsed="false">
      <c r="A219" s="32" t="n">
        <f aca="false">A218+1</f>
        <v>205</v>
      </c>
      <c r="B219" s="32" t="n">
        <f aca="true">RAND()</f>
        <v>0.203626477450573</v>
      </c>
      <c r="C219" s="32" t="n">
        <f aca="true">VLOOKUP(B219,$F$7:$H$12,2,TRUE())+(RAND()*(VLOOKUP(B219,$F$7:$H$12,3,TRUE())-VLOOKUP(B219,$F$7:$H$12,2,TRUE())))</f>
        <v>57.6908397245449</v>
      </c>
      <c r="D219" s="32" t="n">
        <f aca="true">RAND()</f>
        <v>0.921770259493946</v>
      </c>
      <c r="E219" s="32" t="n">
        <f aca="true">VLOOKUP(D219,$K$7:$M$10,2,TRUE())+(RAND()*(VLOOKUP(D219,$K$7:$M$10,3,TRUE())-VLOOKUP(D219,$K$7:$M$10,2,TRUE())))</f>
        <v>5.81275757585459</v>
      </c>
      <c r="F219" s="32" t="n">
        <f aca="false">E219*$B$3</f>
        <v>69.7530909102551</v>
      </c>
      <c r="G219" s="32" t="n">
        <f aca="false">MAX(C219-F219,0)</f>
        <v>0</v>
      </c>
      <c r="H219" s="32" t="n">
        <f aca="false">G219*100</f>
        <v>0</v>
      </c>
    </row>
    <row r="220" customFormat="false" ht="15" hidden="false" customHeight="false" outlineLevel="0" collapsed="false">
      <c r="A220" s="32" t="n">
        <f aca="false">A219+1</f>
        <v>206</v>
      </c>
      <c r="B220" s="32" t="n">
        <f aca="true">RAND()</f>
        <v>0.179765009734706</v>
      </c>
      <c r="C220" s="32" t="n">
        <f aca="true">VLOOKUP(B220,$F$7:$H$12,2,TRUE())+(RAND()*(VLOOKUP(B220,$F$7:$H$12,3,TRUE())-VLOOKUP(B220,$F$7:$H$12,2,TRUE())))</f>
        <v>57.8843361015991</v>
      </c>
      <c r="D220" s="32" t="n">
        <f aca="true">RAND()</f>
        <v>0.279692416701709</v>
      </c>
      <c r="E220" s="32" t="n">
        <f aca="true">VLOOKUP(D220,$K$7:$M$10,2,TRUE())+(RAND()*(VLOOKUP(D220,$K$7:$M$10,3,TRUE())-VLOOKUP(D220,$K$7:$M$10,2,TRUE())))</f>
        <v>4.3484091734443</v>
      </c>
      <c r="F220" s="32" t="n">
        <f aca="false">E220*$B$3</f>
        <v>52.1809100813316</v>
      </c>
      <c r="G220" s="32" t="n">
        <f aca="false">MAX(C220-F220,0)</f>
        <v>5.70342602026744</v>
      </c>
      <c r="H220" s="32" t="n">
        <f aca="false">G220*100</f>
        <v>570.342602026744</v>
      </c>
    </row>
    <row r="221" customFormat="false" ht="15" hidden="false" customHeight="false" outlineLevel="0" collapsed="false">
      <c r="A221" s="32" t="n">
        <f aca="false">A220+1</f>
        <v>207</v>
      </c>
      <c r="B221" s="32" t="n">
        <f aca="true">RAND()</f>
        <v>0.620544928973932</v>
      </c>
      <c r="C221" s="32" t="n">
        <f aca="true">VLOOKUP(B221,$F$7:$H$12,2,TRUE())+(RAND()*(VLOOKUP(B221,$F$7:$H$12,3,TRUE())-VLOOKUP(B221,$F$7:$H$12,2,TRUE())))</f>
        <v>69.5347465173169</v>
      </c>
      <c r="D221" s="32" t="n">
        <f aca="true">RAND()</f>
        <v>0.232520305254028</v>
      </c>
      <c r="E221" s="32" t="n">
        <f aca="true">VLOOKUP(D221,$K$7:$M$10,2,TRUE())+(RAND()*(VLOOKUP(D221,$K$7:$M$10,3,TRUE())-VLOOKUP(D221,$K$7:$M$10,2,TRUE())))</f>
        <v>4.20554893884854</v>
      </c>
      <c r="F221" s="32" t="n">
        <f aca="false">E221*$B$3</f>
        <v>50.4665872661825</v>
      </c>
      <c r="G221" s="32" t="n">
        <f aca="false">MAX(C221-F221,0)</f>
        <v>19.0681592511345</v>
      </c>
      <c r="H221" s="32" t="n">
        <f aca="false">G221*100</f>
        <v>1906.81592511345</v>
      </c>
    </row>
    <row r="222" customFormat="false" ht="15" hidden="false" customHeight="false" outlineLevel="0" collapsed="false">
      <c r="A222" s="32" t="n">
        <f aca="false">A221+1</f>
        <v>208</v>
      </c>
      <c r="B222" s="32" t="n">
        <f aca="true">RAND()</f>
        <v>0.369431048626968</v>
      </c>
      <c r="C222" s="32" t="n">
        <f aca="true">VLOOKUP(B222,$F$7:$H$12,2,TRUE())+(RAND()*(VLOOKUP(B222,$F$7:$H$12,3,TRUE())-VLOOKUP(B222,$F$7:$H$12,2,TRUE())))</f>
        <v>61.2759068427421</v>
      </c>
      <c r="D222" s="32" t="n">
        <f aca="true">RAND()</f>
        <v>0.873593462341186</v>
      </c>
      <c r="E222" s="32" t="n">
        <f aca="true">VLOOKUP(D222,$K$7:$M$10,2,TRUE())+(RAND()*(VLOOKUP(D222,$K$7:$M$10,3,TRUE())-VLOOKUP(D222,$K$7:$M$10,2,TRUE())))</f>
        <v>5.16465254810137</v>
      </c>
      <c r="F222" s="32" t="n">
        <f aca="false">E222*$B$3</f>
        <v>61.9758305772164</v>
      </c>
      <c r="G222" s="32" t="n">
        <f aca="false">MAX(C222-F222,0)</f>
        <v>0</v>
      </c>
      <c r="H222" s="32" t="n">
        <f aca="false">G222*100</f>
        <v>0</v>
      </c>
    </row>
    <row r="223" customFormat="false" ht="15" hidden="false" customHeight="false" outlineLevel="0" collapsed="false">
      <c r="A223" s="32" t="n">
        <f aca="false">A222+1</f>
        <v>209</v>
      </c>
      <c r="B223" s="32" t="n">
        <f aca="true">RAND()</f>
        <v>0.470787580280896</v>
      </c>
      <c r="C223" s="32" t="n">
        <f aca="true">VLOOKUP(B223,$F$7:$H$12,2,TRUE())+(RAND()*(VLOOKUP(B223,$F$7:$H$12,3,TRUE())-VLOOKUP(B223,$F$7:$H$12,2,TRUE())))</f>
        <v>63.7927314524595</v>
      </c>
      <c r="D223" s="32" t="n">
        <f aca="true">RAND()</f>
        <v>0.637763884936577</v>
      </c>
      <c r="E223" s="32" t="n">
        <f aca="true">VLOOKUP(D223,$K$7:$M$10,2,TRUE())+(RAND()*(VLOOKUP(D223,$K$7:$M$10,3,TRUE())-VLOOKUP(D223,$K$7:$M$10,2,TRUE())))</f>
        <v>4.78999617106904</v>
      </c>
      <c r="F223" s="32" t="n">
        <f aca="false">E223*$B$3</f>
        <v>57.4799540528284</v>
      </c>
      <c r="G223" s="32" t="n">
        <f aca="false">MAX(C223-F223,0)</f>
        <v>6.31277739963105</v>
      </c>
      <c r="H223" s="32" t="n">
        <f aca="false">G223*100</f>
        <v>631.277739963105</v>
      </c>
    </row>
    <row r="224" customFormat="false" ht="15" hidden="false" customHeight="false" outlineLevel="0" collapsed="false">
      <c r="A224" s="32" t="n">
        <f aca="false">A223+1</f>
        <v>210</v>
      </c>
      <c r="B224" s="32" t="n">
        <f aca="true">RAND()</f>
        <v>0.622938670936366</v>
      </c>
      <c r="C224" s="32" t="n">
        <f aca="true">VLOOKUP(B224,$F$7:$H$12,2,TRUE())+(RAND()*(VLOOKUP(B224,$F$7:$H$12,3,TRUE())-VLOOKUP(B224,$F$7:$H$12,2,TRUE())))</f>
        <v>69.5701862507952</v>
      </c>
      <c r="D224" s="32" t="n">
        <f aca="true">RAND()</f>
        <v>0.762879073045659</v>
      </c>
      <c r="E224" s="32" t="n">
        <f aca="true">VLOOKUP(D224,$K$7:$M$10,2,TRUE())+(RAND()*(VLOOKUP(D224,$K$7:$M$10,3,TRUE())-VLOOKUP(D224,$K$7:$M$10,2,TRUE())))</f>
        <v>5.04929963052255</v>
      </c>
      <c r="F224" s="32" t="n">
        <f aca="false">E224*$B$3</f>
        <v>60.5915955662706</v>
      </c>
      <c r="G224" s="32" t="n">
        <f aca="false">MAX(C224-F224,0)</f>
        <v>8.9785906845246</v>
      </c>
      <c r="H224" s="32" t="n">
        <f aca="false">G224*100</f>
        <v>897.85906845246</v>
      </c>
    </row>
    <row r="225" customFormat="false" ht="15" hidden="false" customHeight="false" outlineLevel="0" collapsed="false">
      <c r="A225" s="32" t="n">
        <f aca="false">A224+1</f>
        <v>211</v>
      </c>
      <c r="B225" s="32" t="n">
        <f aca="true">RAND()</f>
        <v>0.195774235366109</v>
      </c>
      <c r="C225" s="32" t="n">
        <f aca="true">VLOOKUP(B225,$F$7:$H$12,2,TRUE())+(RAND()*(VLOOKUP(B225,$F$7:$H$12,3,TRUE())-VLOOKUP(B225,$F$7:$H$12,2,TRUE())))</f>
        <v>59.6615639621777</v>
      </c>
      <c r="D225" s="32" t="n">
        <f aca="true">RAND()</f>
        <v>0.8350395489388</v>
      </c>
      <c r="E225" s="32" t="n">
        <f aca="true">VLOOKUP(D225,$K$7:$M$10,2,TRUE())+(RAND()*(VLOOKUP(D225,$K$7:$M$10,3,TRUE())-VLOOKUP(D225,$K$7:$M$10,2,TRUE())))</f>
        <v>5.44166780303516</v>
      </c>
      <c r="F225" s="32" t="n">
        <f aca="false">E225*$B$3</f>
        <v>65.3000136364219</v>
      </c>
      <c r="G225" s="32" t="n">
        <f aca="false">MAX(C225-F225,0)</f>
        <v>0</v>
      </c>
      <c r="H225" s="32" t="n">
        <f aca="false">G225*100</f>
        <v>0</v>
      </c>
    </row>
    <row r="226" customFormat="false" ht="15" hidden="false" customHeight="false" outlineLevel="0" collapsed="false">
      <c r="A226" s="32" t="n">
        <f aca="false">A225+1</f>
        <v>212</v>
      </c>
      <c r="B226" s="32" t="n">
        <f aca="true">RAND()</f>
        <v>0.359801865354664</v>
      </c>
      <c r="C226" s="32" t="n">
        <f aca="true">VLOOKUP(B226,$F$7:$H$12,2,TRUE())+(RAND()*(VLOOKUP(B226,$F$7:$H$12,3,TRUE())-VLOOKUP(B226,$F$7:$H$12,2,TRUE())))</f>
        <v>60.1890926907707</v>
      </c>
      <c r="D226" s="32" t="n">
        <f aca="true">RAND()</f>
        <v>0.0312262996688382</v>
      </c>
      <c r="E226" s="32" t="n">
        <f aca="true">VLOOKUP(D226,$K$7:$M$10,2,TRUE())+(RAND()*(VLOOKUP(D226,$K$7:$M$10,3,TRUE())-VLOOKUP(D226,$K$7:$M$10,2,TRUE())))</f>
        <v>4.01119794553158</v>
      </c>
      <c r="F226" s="32" t="n">
        <f aca="false">E226*$B$3</f>
        <v>48.1343753463789</v>
      </c>
      <c r="G226" s="32" t="n">
        <f aca="false">MAX(C226-F226,0)</f>
        <v>12.0547173443917</v>
      </c>
      <c r="H226" s="32" t="n">
        <f aca="false">G226*100</f>
        <v>1205.47173443917</v>
      </c>
    </row>
    <row r="227" customFormat="false" ht="15" hidden="false" customHeight="false" outlineLevel="0" collapsed="false">
      <c r="A227" s="32" t="n">
        <f aca="false">A226+1</f>
        <v>213</v>
      </c>
      <c r="B227" s="32" t="n">
        <f aca="true">RAND()</f>
        <v>0.496650073607893</v>
      </c>
      <c r="C227" s="32" t="n">
        <f aca="true">VLOOKUP(B227,$F$7:$H$12,2,TRUE())+(RAND()*(VLOOKUP(B227,$F$7:$H$12,3,TRUE())-VLOOKUP(B227,$F$7:$H$12,2,TRUE())))</f>
        <v>64.2616203028421</v>
      </c>
      <c r="D227" s="32" t="n">
        <f aca="true">RAND()</f>
        <v>0.323620266456635</v>
      </c>
      <c r="E227" s="32" t="n">
        <f aca="true">VLOOKUP(D227,$K$7:$M$10,2,TRUE())+(RAND()*(VLOOKUP(D227,$K$7:$M$10,3,TRUE())-VLOOKUP(D227,$K$7:$M$10,2,TRUE())))</f>
        <v>4.76488708847204</v>
      </c>
      <c r="F227" s="32" t="n">
        <f aca="false">E227*$B$3</f>
        <v>57.1786450616644</v>
      </c>
      <c r="G227" s="32" t="n">
        <f aca="false">MAX(C227-F227,0)</f>
        <v>7.08297524117767</v>
      </c>
      <c r="H227" s="32" t="n">
        <f aca="false">G227*100</f>
        <v>708.297524117767</v>
      </c>
    </row>
    <row r="228" customFormat="false" ht="15" hidden="false" customHeight="false" outlineLevel="0" collapsed="false">
      <c r="A228" s="32" t="n">
        <f aca="false">A227+1</f>
        <v>214</v>
      </c>
      <c r="B228" s="32" t="n">
        <f aca="true">RAND()</f>
        <v>0.293222705905834</v>
      </c>
      <c r="C228" s="32" t="n">
        <f aca="true">VLOOKUP(B228,$F$7:$H$12,2,TRUE())+(RAND()*(VLOOKUP(B228,$F$7:$H$12,3,TRUE())-VLOOKUP(B228,$F$7:$H$12,2,TRUE())))</f>
        <v>60.045392691381</v>
      </c>
      <c r="D228" s="32" t="n">
        <f aca="true">RAND()</f>
        <v>0.378832484567823</v>
      </c>
      <c r="E228" s="32" t="n">
        <f aca="true">VLOOKUP(D228,$K$7:$M$10,2,TRUE())+(RAND()*(VLOOKUP(D228,$K$7:$M$10,3,TRUE())-VLOOKUP(D228,$K$7:$M$10,2,TRUE())))</f>
        <v>4.95182462621438</v>
      </c>
      <c r="F228" s="32" t="n">
        <f aca="false">E228*$B$3</f>
        <v>59.4218955145725</v>
      </c>
      <c r="G228" s="32" t="n">
        <f aca="false">MAX(C228-F228,0)</f>
        <v>0.623497176808485</v>
      </c>
      <c r="H228" s="32" t="n">
        <f aca="false">G228*100</f>
        <v>62.3497176808485</v>
      </c>
    </row>
    <row r="229" customFormat="false" ht="15" hidden="false" customHeight="false" outlineLevel="0" collapsed="false">
      <c r="A229" s="32" t="n">
        <f aca="false">A228+1</f>
        <v>215</v>
      </c>
      <c r="B229" s="32" t="n">
        <f aca="true">RAND()</f>
        <v>0.574530617168595</v>
      </c>
      <c r="C229" s="32" t="n">
        <f aca="true">VLOOKUP(B229,$F$7:$H$12,2,TRUE())+(RAND()*(VLOOKUP(B229,$F$7:$H$12,3,TRUE())-VLOOKUP(B229,$F$7:$H$12,2,TRUE())))</f>
        <v>67.2292635347739</v>
      </c>
      <c r="D229" s="32" t="n">
        <f aca="true">RAND()</f>
        <v>0.995511038908222</v>
      </c>
      <c r="E229" s="32" t="n">
        <f aca="true">VLOOKUP(D229,$K$7:$M$10,2,TRUE())+(RAND()*(VLOOKUP(D229,$K$7:$M$10,3,TRUE())-VLOOKUP(D229,$K$7:$M$10,2,TRUE())))</f>
        <v>5.93536719449167</v>
      </c>
      <c r="F229" s="32" t="n">
        <f aca="false">E229*$B$3</f>
        <v>71.2244063339</v>
      </c>
      <c r="G229" s="32" t="n">
        <f aca="false">MAX(C229-F229,0)</f>
        <v>0</v>
      </c>
      <c r="H229" s="32" t="n">
        <f aca="false">G229*100</f>
        <v>0</v>
      </c>
    </row>
    <row r="230" customFormat="false" ht="15" hidden="false" customHeight="false" outlineLevel="0" collapsed="false">
      <c r="A230" s="32" t="n">
        <f aca="false">A229+1</f>
        <v>216</v>
      </c>
      <c r="B230" s="32" t="n">
        <f aca="true">RAND()</f>
        <v>0.408861713586383</v>
      </c>
      <c r="C230" s="32" t="n">
        <f aca="true">VLOOKUP(B230,$F$7:$H$12,2,TRUE())+(RAND()*(VLOOKUP(B230,$F$7:$H$12,3,TRUE())-VLOOKUP(B230,$F$7:$H$12,2,TRUE())))</f>
        <v>63.3143972934541</v>
      </c>
      <c r="D230" s="32" t="n">
        <f aca="true">RAND()</f>
        <v>0.794481941429911</v>
      </c>
      <c r="E230" s="32" t="n">
        <f aca="true">VLOOKUP(D230,$K$7:$M$10,2,TRUE())+(RAND()*(VLOOKUP(D230,$K$7:$M$10,3,TRUE())-VLOOKUP(D230,$K$7:$M$10,2,TRUE())))</f>
        <v>5.26768112138446</v>
      </c>
      <c r="F230" s="32" t="n">
        <f aca="false">E230*$B$3</f>
        <v>63.2121734566136</v>
      </c>
      <c r="G230" s="32" t="n">
        <f aca="false">MAX(C230-F230,0)</f>
        <v>0.10222383684053</v>
      </c>
      <c r="H230" s="32" t="n">
        <f aca="false">G230*100</f>
        <v>10.222383684053</v>
      </c>
    </row>
    <row r="231" customFormat="false" ht="15" hidden="false" customHeight="false" outlineLevel="0" collapsed="false">
      <c r="A231" s="32" t="n">
        <f aca="false">A230+1</f>
        <v>217</v>
      </c>
      <c r="B231" s="32" t="n">
        <f aca="true">RAND()</f>
        <v>0.48469931795297</v>
      </c>
      <c r="C231" s="32" t="n">
        <f aca="true">VLOOKUP(B231,$F$7:$H$12,2,TRUE())+(RAND()*(VLOOKUP(B231,$F$7:$H$12,3,TRUE())-VLOOKUP(B231,$F$7:$H$12,2,TRUE())))</f>
        <v>62.6893748967335</v>
      </c>
      <c r="D231" s="32" t="n">
        <f aca="true">RAND()</f>
        <v>0.539665203320111</v>
      </c>
      <c r="E231" s="32" t="n">
        <f aca="true">VLOOKUP(D231,$K$7:$M$10,2,TRUE())+(RAND()*(VLOOKUP(D231,$K$7:$M$10,3,TRUE())-VLOOKUP(D231,$K$7:$M$10,2,TRUE())))</f>
        <v>4.83910036478412</v>
      </c>
      <c r="F231" s="32" t="n">
        <f aca="false">E231*$B$3</f>
        <v>58.0692043774094</v>
      </c>
      <c r="G231" s="32" t="n">
        <f aca="false">MAX(C231-F231,0)</f>
        <v>4.62017051932406</v>
      </c>
      <c r="H231" s="32" t="n">
        <f aca="false">G231*100</f>
        <v>462.017051932406</v>
      </c>
    </row>
    <row r="232" customFormat="false" ht="15" hidden="false" customHeight="false" outlineLevel="0" collapsed="false">
      <c r="A232" s="32" t="n">
        <f aca="false">A231+1</f>
        <v>218</v>
      </c>
      <c r="B232" s="32" t="n">
        <f aca="true">RAND()</f>
        <v>0.0996538370178701</v>
      </c>
      <c r="C232" s="32" t="n">
        <f aca="true">VLOOKUP(B232,$F$7:$H$12,2,TRUE())+(RAND()*(VLOOKUP(B232,$F$7:$H$12,3,TRUE())-VLOOKUP(B232,$F$7:$H$12,2,TRUE())))</f>
        <v>50.6182817084046</v>
      </c>
      <c r="D232" s="32" t="n">
        <f aca="true">RAND()</f>
        <v>0.563953703877475</v>
      </c>
      <c r="E232" s="32" t="n">
        <f aca="true">VLOOKUP(D232,$K$7:$M$10,2,TRUE())+(RAND()*(VLOOKUP(D232,$K$7:$M$10,3,TRUE())-VLOOKUP(D232,$K$7:$M$10,2,TRUE())))</f>
        <v>4.93843661953539</v>
      </c>
      <c r="F232" s="32" t="n">
        <f aca="false">E232*$B$3</f>
        <v>59.2612394344246</v>
      </c>
      <c r="G232" s="32" t="n">
        <f aca="false">MAX(C232-F232,0)</f>
        <v>0</v>
      </c>
      <c r="H232" s="32" t="n">
        <f aca="false">G232*100</f>
        <v>0</v>
      </c>
    </row>
    <row r="233" customFormat="false" ht="15" hidden="false" customHeight="false" outlineLevel="0" collapsed="false">
      <c r="A233" s="32" t="n">
        <f aca="false">A232+1</f>
        <v>219</v>
      </c>
      <c r="B233" s="32" t="n">
        <f aca="true">RAND()</f>
        <v>0.966057699165747</v>
      </c>
      <c r="C233" s="32" t="n">
        <f aca="true">VLOOKUP(B233,$F$7:$H$12,2,TRUE())+(RAND()*(VLOOKUP(B233,$F$7:$H$12,3,TRUE())-VLOOKUP(B233,$F$7:$H$12,2,TRUE())))</f>
        <v>77.3096048186636</v>
      </c>
      <c r="D233" s="32" t="n">
        <f aca="true">RAND()</f>
        <v>0.801962359996536</v>
      </c>
      <c r="E233" s="32" t="n">
        <f aca="true">VLOOKUP(D233,$K$7:$M$10,2,TRUE())+(RAND()*(VLOOKUP(D233,$K$7:$M$10,3,TRUE())-VLOOKUP(D233,$K$7:$M$10,2,TRUE())))</f>
        <v>5.09800415195582</v>
      </c>
      <c r="F233" s="32" t="n">
        <f aca="false">E233*$B$3</f>
        <v>61.1760498234699</v>
      </c>
      <c r="G233" s="32" t="n">
        <f aca="false">MAX(C233-F233,0)</f>
        <v>16.1335549951938</v>
      </c>
      <c r="H233" s="32" t="n">
        <f aca="false">G233*100</f>
        <v>1613.35549951938</v>
      </c>
    </row>
    <row r="234" customFormat="false" ht="15" hidden="false" customHeight="false" outlineLevel="0" collapsed="false">
      <c r="A234" s="32" t="n">
        <f aca="false">A233+1</f>
        <v>220</v>
      </c>
      <c r="B234" s="32" t="n">
        <f aca="true">RAND()</f>
        <v>0.906317976638579</v>
      </c>
      <c r="C234" s="32" t="n">
        <f aca="true">VLOOKUP(B234,$F$7:$H$12,2,TRUE())+(RAND()*(VLOOKUP(B234,$F$7:$H$12,3,TRUE())-VLOOKUP(B234,$F$7:$H$12,2,TRUE())))</f>
        <v>76.4778410134235</v>
      </c>
      <c r="D234" s="32" t="n">
        <f aca="true">RAND()</f>
        <v>0.134544782026528</v>
      </c>
      <c r="E234" s="32" t="n">
        <f aca="true">VLOOKUP(D234,$K$7:$M$10,2,TRUE())+(RAND()*(VLOOKUP(D234,$K$7:$M$10,3,TRUE())-VLOOKUP(D234,$K$7:$M$10,2,TRUE())))</f>
        <v>4.24111758925581</v>
      </c>
      <c r="F234" s="32" t="n">
        <f aca="false">E234*$B$3</f>
        <v>50.8934110710697</v>
      </c>
      <c r="G234" s="32" t="n">
        <f aca="false">MAX(C234-F234,0)</f>
        <v>25.5844299423538</v>
      </c>
      <c r="H234" s="32" t="n">
        <f aca="false">G234*100</f>
        <v>2558.44299423538</v>
      </c>
    </row>
    <row r="235" customFormat="false" ht="15" hidden="false" customHeight="false" outlineLevel="0" collapsed="false">
      <c r="A235" s="32" t="n">
        <f aca="false">A234+1</f>
        <v>221</v>
      </c>
      <c r="B235" s="32" t="n">
        <f aca="true">RAND()</f>
        <v>0.647512190283474</v>
      </c>
      <c r="C235" s="32" t="n">
        <f aca="true">VLOOKUP(B235,$F$7:$H$12,2,TRUE())+(RAND()*(VLOOKUP(B235,$F$7:$H$12,3,TRUE())-VLOOKUP(B235,$F$7:$H$12,2,TRUE())))</f>
        <v>66.066222140903</v>
      </c>
      <c r="D235" s="32" t="n">
        <f aca="true">RAND()</f>
        <v>0.216301532981509</v>
      </c>
      <c r="E235" s="32" t="n">
        <f aca="true">VLOOKUP(D235,$K$7:$M$10,2,TRUE())+(RAND()*(VLOOKUP(D235,$K$7:$M$10,3,TRUE())-VLOOKUP(D235,$K$7:$M$10,2,TRUE())))</f>
        <v>4.17595649671273</v>
      </c>
      <c r="F235" s="32" t="n">
        <f aca="false">E235*$B$3</f>
        <v>50.1114779605527</v>
      </c>
      <c r="G235" s="32" t="n">
        <f aca="false">MAX(C235-F235,0)</f>
        <v>15.9547441803502</v>
      </c>
      <c r="H235" s="32" t="n">
        <f aca="false">G235*100</f>
        <v>1595.47441803502</v>
      </c>
    </row>
    <row r="236" customFormat="false" ht="15" hidden="false" customHeight="false" outlineLevel="0" collapsed="false">
      <c r="A236" s="32" t="n">
        <f aca="false">A235+1</f>
        <v>222</v>
      </c>
      <c r="B236" s="32" t="n">
        <f aca="true">RAND()</f>
        <v>0.970510021499385</v>
      </c>
      <c r="C236" s="32" t="n">
        <f aca="true">VLOOKUP(B236,$F$7:$H$12,2,TRUE())+(RAND()*(VLOOKUP(B236,$F$7:$H$12,3,TRUE())-VLOOKUP(B236,$F$7:$H$12,2,TRUE())))</f>
        <v>77.4178553415212</v>
      </c>
      <c r="D236" s="32" t="n">
        <f aca="true">RAND()</f>
        <v>0.169714239739942</v>
      </c>
      <c r="E236" s="32" t="n">
        <f aca="true">VLOOKUP(D236,$K$7:$M$10,2,TRUE())+(RAND()*(VLOOKUP(D236,$K$7:$M$10,3,TRUE())-VLOOKUP(D236,$K$7:$M$10,2,TRUE())))</f>
        <v>4.2087134504203</v>
      </c>
      <c r="F236" s="32" t="n">
        <f aca="false">E236*$B$3</f>
        <v>50.5045614050436</v>
      </c>
      <c r="G236" s="32" t="n">
        <f aca="false">MAX(C236-F236,0)</f>
        <v>26.9132939364776</v>
      </c>
      <c r="H236" s="32" t="n">
        <f aca="false">G236*100</f>
        <v>2691.32939364776</v>
      </c>
    </row>
    <row r="237" customFormat="false" ht="15" hidden="false" customHeight="false" outlineLevel="0" collapsed="false">
      <c r="A237" s="32" t="n">
        <f aca="false">A236+1</f>
        <v>223</v>
      </c>
      <c r="B237" s="32" t="n">
        <f aca="true">RAND()</f>
        <v>0.893042943411385</v>
      </c>
      <c r="C237" s="32" t="n">
        <f aca="true">VLOOKUP(B237,$F$7:$H$12,2,TRUE())+(RAND()*(VLOOKUP(B237,$F$7:$H$12,3,TRUE())-VLOOKUP(B237,$F$7:$H$12,2,TRUE())))</f>
        <v>67.7801997650341</v>
      </c>
      <c r="D237" s="32" t="n">
        <f aca="true">RAND()</f>
        <v>0.49136105320306</v>
      </c>
      <c r="E237" s="32" t="n">
        <f aca="true">VLOOKUP(D237,$K$7:$M$10,2,TRUE())+(RAND()*(VLOOKUP(D237,$K$7:$M$10,3,TRUE())-VLOOKUP(D237,$K$7:$M$10,2,TRUE())))</f>
        <v>4.87883861319538</v>
      </c>
      <c r="F237" s="32" t="n">
        <f aca="false">E237*$B$3</f>
        <v>58.5460633583445</v>
      </c>
      <c r="G237" s="32" t="n">
        <f aca="false">MAX(C237-F237,0)</f>
        <v>9.23413640668962</v>
      </c>
      <c r="H237" s="32" t="n">
        <f aca="false">G237*100</f>
        <v>923.413640668962</v>
      </c>
    </row>
    <row r="238" customFormat="false" ht="15" hidden="false" customHeight="false" outlineLevel="0" collapsed="false">
      <c r="A238" s="32" t="n">
        <f aca="false">A237+1</f>
        <v>224</v>
      </c>
      <c r="B238" s="32" t="n">
        <f aca="true">RAND()</f>
        <v>0.572034634917781</v>
      </c>
      <c r="C238" s="32" t="n">
        <f aca="true">VLOOKUP(B238,$F$7:$H$12,2,TRUE())+(RAND()*(VLOOKUP(B238,$F$7:$H$12,3,TRUE())-VLOOKUP(B238,$F$7:$H$12,2,TRUE())))</f>
        <v>69.7647983274778</v>
      </c>
      <c r="D238" s="32" t="n">
        <f aca="true">RAND()</f>
        <v>0.653613338265935</v>
      </c>
      <c r="E238" s="32" t="n">
        <f aca="true">VLOOKUP(D238,$K$7:$M$10,2,TRUE())+(RAND()*(VLOOKUP(D238,$K$7:$M$10,3,TRUE())-VLOOKUP(D238,$K$7:$M$10,2,TRUE())))</f>
        <v>4.50320879896505</v>
      </c>
      <c r="F238" s="32" t="n">
        <f aca="false">E238*$B$3</f>
        <v>54.0385055875806</v>
      </c>
      <c r="G238" s="32" t="n">
        <f aca="false">MAX(C238-F238,0)</f>
        <v>15.7262927398972</v>
      </c>
      <c r="H238" s="32" t="n">
        <f aca="false">G238*100</f>
        <v>1572.62927398972</v>
      </c>
    </row>
    <row r="239" customFormat="false" ht="15" hidden="false" customHeight="false" outlineLevel="0" collapsed="false">
      <c r="A239" s="32" t="n">
        <f aca="false">A238+1</f>
        <v>225</v>
      </c>
      <c r="B239" s="32" t="n">
        <f aca="true">RAND()</f>
        <v>0.878991011241811</v>
      </c>
      <c r="C239" s="32" t="n">
        <f aca="true">VLOOKUP(B239,$F$7:$H$12,2,TRUE())+(RAND()*(VLOOKUP(B239,$F$7:$H$12,3,TRUE())-VLOOKUP(B239,$F$7:$H$12,2,TRUE())))</f>
        <v>67.6757121182878</v>
      </c>
      <c r="D239" s="32" t="n">
        <f aca="true">RAND()</f>
        <v>0.0866833926728829</v>
      </c>
      <c r="E239" s="32" t="n">
        <f aca="true">VLOOKUP(D239,$K$7:$M$10,2,TRUE())+(RAND()*(VLOOKUP(D239,$K$7:$M$10,3,TRUE())-VLOOKUP(D239,$K$7:$M$10,2,TRUE())))</f>
        <v>4.00882543431015</v>
      </c>
      <c r="F239" s="32" t="n">
        <f aca="false">E239*$B$3</f>
        <v>48.1059052117218</v>
      </c>
      <c r="G239" s="32" t="n">
        <f aca="false">MAX(C239-F239,0)</f>
        <v>19.569806906566</v>
      </c>
      <c r="H239" s="32" t="n">
        <f aca="false">G239*100</f>
        <v>1956.9806906566</v>
      </c>
    </row>
    <row r="240" customFormat="false" ht="15" hidden="false" customHeight="false" outlineLevel="0" collapsed="false">
      <c r="A240" s="32" t="n">
        <f aca="false">A239+1</f>
        <v>226</v>
      </c>
      <c r="B240" s="32" t="n">
        <f aca="true">RAND()</f>
        <v>0.35418093192992</v>
      </c>
      <c r="C240" s="32" t="n">
        <f aca="true">VLOOKUP(B240,$F$7:$H$12,2,TRUE())+(RAND()*(VLOOKUP(B240,$F$7:$H$12,3,TRUE())-VLOOKUP(B240,$F$7:$H$12,2,TRUE())))</f>
        <v>60.1214743345644</v>
      </c>
      <c r="D240" s="32" t="n">
        <f aca="true">RAND()</f>
        <v>0.455711281068698</v>
      </c>
      <c r="E240" s="32" t="n">
        <f aca="true">VLOOKUP(D240,$K$7:$M$10,2,TRUE())+(RAND()*(VLOOKUP(D240,$K$7:$M$10,3,TRUE())-VLOOKUP(D240,$K$7:$M$10,2,TRUE())))</f>
        <v>4.54081250503795</v>
      </c>
      <c r="F240" s="32" t="n">
        <f aca="false">E240*$B$3</f>
        <v>54.4897500604554</v>
      </c>
      <c r="G240" s="32" t="n">
        <f aca="false">MAX(C240-F240,0)</f>
        <v>5.63172427410895</v>
      </c>
      <c r="H240" s="32" t="n">
        <f aca="false">G240*100</f>
        <v>563.172427410895</v>
      </c>
    </row>
    <row r="241" customFormat="false" ht="15" hidden="false" customHeight="false" outlineLevel="0" collapsed="false">
      <c r="A241" s="32" t="n">
        <f aca="false">A240+1</f>
        <v>227</v>
      </c>
      <c r="B241" s="32" t="n">
        <f aca="true">RAND()</f>
        <v>0.163837126081838</v>
      </c>
      <c r="C241" s="32" t="n">
        <f aca="true">VLOOKUP(B241,$F$7:$H$12,2,TRUE())+(RAND()*(VLOOKUP(B241,$F$7:$H$12,3,TRUE())-VLOOKUP(B241,$F$7:$H$12,2,TRUE())))</f>
        <v>57.6738950757188</v>
      </c>
      <c r="D241" s="32" t="n">
        <f aca="true">RAND()</f>
        <v>0.00807380400328499</v>
      </c>
      <c r="E241" s="32" t="n">
        <f aca="true">VLOOKUP(D241,$K$7:$M$10,2,TRUE())+(RAND()*(VLOOKUP(D241,$K$7:$M$10,3,TRUE())-VLOOKUP(D241,$K$7:$M$10,2,TRUE())))</f>
        <v>4.06292660532856</v>
      </c>
      <c r="F241" s="32" t="n">
        <f aca="false">E241*$B$3</f>
        <v>48.7551192639427</v>
      </c>
      <c r="G241" s="32" t="n">
        <f aca="false">MAX(C241-F241,0)</f>
        <v>8.91877581177607</v>
      </c>
      <c r="H241" s="32" t="n">
        <f aca="false">G241*100</f>
        <v>891.877581177607</v>
      </c>
    </row>
    <row r="242" customFormat="false" ht="15" hidden="false" customHeight="false" outlineLevel="0" collapsed="false">
      <c r="A242" s="32" t="n">
        <f aca="false">A241+1</f>
        <v>228</v>
      </c>
      <c r="B242" s="32" t="n">
        <f aca="true">RAND()</f>
        <v>0.273571003117974</v>
      </c>
      <c r="C242" s="32" t="n">
        <f aca="true">VLOOKUP(B242,$F$7:$H$12,2,TRUE())+(RAND()*(VLOOKUP(B242,$F$7:$H$12,3,TRUE())-VLOOKUP(B242,$F$7:$H$12,2,TRUE())))</f>
        <v>63.400541035709</v>
      </c>
      <c r="D242" s="32" t="n">
        <f aca="true">RAND()</f>
        <v>0.269853695712945</v>
      </c>
      <c r="E242" s="32" t="n">
        <f aca="true">VLOOKUP(D242,$K$7:$M$10,2,TRUE())+(RAND()*(VLOOKUP(D242,$K$7:$M$10,3,TRUE())-VLOOKUP(D242,$K$7:$M$10,2,TRUE())))</f>
        <v>4.13042414754327</v>
      </c>
      <c r="F242" s="32" t="n">
        <f aca="false">E242*$B$3</f>
        <v>49.5650897705193</v>
      </c>
      <c r="G242" s="32" t="n">
        <f aca="false">MAX(C242-F242,0)</f>
        <v>13.8354512651898</v>
      </c>
      <c r="H242" s="32" t="n">
        <f aca="false">G242*100</f>
        <v>1383.54512651898</v>
      </c>
    </row>
    <row r="243" customFormat="false" ht="15" hidden="false" customHeight="false" outlineLevel="0" collapsed="false">
      <c r="A243" s="32" t="n">
        <f aca="false">A242+1</f>
        <v>229</v>
      </c>
      <c r="B243" s="32" t="n">
        <f aca="true">RAND()</f>
        <v>0.582229666141244</v>
      </c>
      <c r="C243" s="32" t="n">
        <f aca="true">VLOOKUP(B243,$F$7:$H$12,2,TRUE())+(RAND()*(VLOOKUP(B243,$F$7:$H$12,3,TRUE())-VLOOKUP(B243,$F$7:$H$12,2,TRUE())))</f>
        <v>67.6574013319363</v>
      </c>
      <c r="D243" s="32" t="n">
        <f aca="true">RAND()</f>
        <v>0.991113088744161</v>
      </c>
      <c r="E243" s="32" t="n">
        <f aca="true">VLOOKUP(D243,$K$7:$M$10,2,TRUE())+(RAND()*(VLOOKUP(D243,$K$7:$M$10,3,TRUE())-VLOOKUP(D243,$K$7:$M$10,2,TRUE())))</f>
        <v>5.96371286643735</v>
      </c>
      <c r="F243" s="32" t="n">
        <f aca="false">E243*$B$3</f>
        <v>71.5645543972482</v>
      </c>
      <c r="G243" s="32" t="n">
        <f aca="false">MAX(C243-F243,0)</f>
        <v>0</v>
      </c>
      <c r="H243" s="32" t="n">
        <f aca="false">G243*100</f>
        <v>0</v>
      </c>
    </row>
    <row r="244" customFormat="false" ht="15" hidden="false" customHeight="false" outlineLevel="0" collapsed="false">
      <c r="A244" s="32" t="n">
        <f aca="false">A243+1</f>
        <v>230</v>
      </c>
      <c r="B244" s="32" t="n">
        <f aca="true">RAND()</f>
        <v>0.773934049903423</v>
      </c>
      <c r="C244" s="32" t="n">
        <f aca="true">VLOOKUP(B244,$F$7:$H$12,2,TRUE())+(RAND()*(VLOOKUP(B244,$F$7:$H$12,3,TRUE())-VLOOKUP(B244,$F$7:$H$12,2,TRUE())))</f>
        <v>69.7201197212378</v>
      </c>
      <c r="D244" s="32" t="n">
        <f aca="true">RAND()</f>
        <v>0.0718965699872721</v>
      </c>
      <c r="E244" s="32" t="n">
        <f aca="true">VLOOKUP(D244,$K$7:$M$10,2,TRUE())+(RAND()*(VLOOKUP(D244,$K$7:$M$10,3,TRUE())-VLOOKUP(D244,$K$7:$M$10,2,TRUE())))</f>
        <v>4.19948203185226</v>
      </c>
      <c r="F244" s="32" t="n">
        <f aca="false">E244*$B$3</f>
        <v>50.3937843822272</v>
      </c>
      <c r="G244" s="32" t="n">
        <f aca="false">MAX(C244-F244,0)</f>
        <v>19.3263353390107</v>
      </c>
      <c r="H244" s="32" t="n">
        <f aca="false">G244*100</f>
        <v>1932.63353390107</v>
      </c>
    </row>
    <row r="245" customFormat="false" ht="15" hidden="false" customHeight="false" outlineLevel="0" collapsed="false">
      <c r="A245" s="32" t="n">
        <f aca="false">A244+1</f>
        <v>231</v>
      </c>
      <c r="B245" s="32" t="n">
        <f aca="true">RAND()</f>
        <v>0.558834650109966</v>
      </c>
      <c r="C245" s="32" t="n">
        <f aca="true">VLOOKUP(B245,$F$7:$H$12,2,TRUE())+(RAND()*(VLOOKUP(B245,$F$7:$H$12,3,TRUE())-VLOOKUP(B245,$F$7:$H$12,2,TRUE())))</f>
        <v>69.3243737502048</v>
      </c>
      <c r="D245" s="32" t="n">
        <f aca="true">RAND()</f>
        <v>0.320663820078859</v>
      </c>
      <c r="E245" s="32" t="n">
        <f aca="true">VLOOKUP(D245,$K$7:$M$10,2,TRUE())+(RAND()*(VLOOKUP(D245,$K$7:$M$10,3,TRUE())-VLOOKUP(D245,$K$7:$M$10,2,TRUE())))</f>
        <v>4.94185574761048</v>
      </c>
      <c r="F245" s="32" t="n">
        <f aca="false">E245*$B$3</f>
        <v>59.3022689713258</v>
      </c>
      <c r="G245" s="32" t="n">
        <f aca="false">MAX(C245-F245,0)</f>
        <v>10.022104778879</v>
      </c>
      <c r="H245" s="32" t="n">
        <f aca="false">G245*100</f>
        <v>1002.2104778879</v>
      </c>
    </row>
    <row r="246" customFormat="false" ht="15" hidden="false" customHeight="false" outlineLevel="0" collapsed="false">
      <c r="A246" s="32" t="n">
        <f aca="false">A245+1</f>
        <v>232</v>
      </c>
      <c r="B246" s="32" t="n">
        <f aca="true">RAND()</f>
        <v>0.224413507412896</v>
      </c>
      <c r="C246" s="32" t="n">
        <f aca="true">VLOOKUP(B246,$F$7:$H$12,2,TRUE())+(RAND()*(VLOOKUP(B246,$F$7:$H$12,3,TRUE())-VLOOKUP(B246,$F$7:$H$12,2,TRUE())))</f>
        <v>58.9878554237912</v>
      </c>
      <c r="D246" s="32" t="n">
        <f aca="true">RAND()</f>
        <v>0.498893286890074</v>
      </c>
      <c r="E246" s="32" t="n">
        <f aca="true">VLOOKUP(D246,$K$7:$M$10,2,TRUE())+(RAND()*(VLOOKUP(D246,$K$7:$M$10,3,TRUE())-VLOOKUP(D246,$K$7:$M$10,2,TRUE())))</f>
        <v>4.91841967520973</v>
      </c>
      <c r="F246" s="32" t="n">
        <f aca="false">E246*$B$3</f>
        <v>59.0210361025168</v>
      </c>
      <c r="G246" s="32" t="n">
        <f aca="false">MAX(C246-F246,0)</f>
        <v>0</v>
      </c>
      <c r="H246" s="32" t="n">
        <f aca="false">G246*100</f>
        <v>0</v>
      </c>
    </row>
    <row r="247" customFormat="false" ht="15" hidden="false" customHeight="false" outlineLevel="0" collapsed="false">
      <c r="A247" s="32" t="n">
        <f aca="false">A246+1</f>
        <v>233</v>
      </c>
      <c r="B247" s="32" t="n">
        <f aca="true">RAND()</f>
        <v>0.23501532810707</v>
      </c>
      <c r="C247" s="32" t="n">
        <f aca="true">VLOOKUP(B247,$F$7:$H$12,2,TRUE())+(RAND()*(VLOOKUP(B247,$F$7:$H$12,3,TRUE())-VLOOKUP(B247,$F$7:$H$12,2,TRUE())))</f>
        <v>59.9449627217132</v>
      </c>
      <c r="D247" s="32" t="n">
        <f aca="true">RAND()</f>
        <v>0.211064868384966</v>
      </c>
      <c r="E247" s="32" t="n">
        <f aca="true">VLOOKUP(D247,$K$7:$M$10,2,TRUE())+(RAND()*(VLOOKUP(D247,$K$7:$M$10,3,TRUE())-VLOOKUP(D247,$K$7:$M$10,2,TRUE())))</f>
        <v>4.228785313692</v>
      </c>
      <c r="F247" s="32" t="n">
        <f aca="false">E247*$B$3</f>
        <v>50.745423764304</v>
      </c>
      <c r="G247" s="32" t="n">
        <f aca="false">MAX(C247-F247,0)</f>
        <v>9.19953895740922</v>
      </c>
      <c r="H247" s="32" t="n">
        <f aca="false">G247*100</f>
        <v>919.953895740922</v>
      </c>
    </row>
    <row r="248" customFormat="false" ht="15" hidden="false" customHeight="false" outlineLevel="0" collapsed="false">
      <c r="A248" s="32" t="n">
        <f aca="false">A247+1</f>
        <v>234</v>
      </c>
      <c r="B248" s="32" t="n">
        <f aca="true">RAND()</f>
        <v>0.176131666266288</v>
      </c>
      <c r="C248" s="32" t="n">
        <f aca="true">VLOOKUP(B248,$F$7:$H$12,2,TRUE())+(RAND()*(VLOOKUP(B248,$F$7:$H$12,3,TRUE())-VLOOKUP(B248,$F$7:$H$12,2,TRUE())))</f>
        <v>55.6521122908022</v>
      </c>
      <c r="D248" s="32" t="n">
        <f aca="true">RAND()</f>
        <v>0.241596970767301</v>
      </c>
      <c r="E248" s="32" t="n">
        <f aca="true">VLOOKUP(D248,$K$7:$M$10,2,TRUE())+(RAND()*(VLOOKUP(D248,$K$7:$M$10,3,TRUE())-VLOOKUP(D248,$K$7:$M$10,2,TRUE())))</f>
        <v>4.11529341980506</v>
      </c>
      <c r="F248" s="32" t="n">
        <f aca="false">E248*$B$3</f>
        <v>49.3835210376607</v>
      </c>
      <c r="G248" s="32" t="n">
        <f aca="false">MAX(C248-F248,0)</f>
        <v>6.26859125314144</v>
      </c>
      <c r="H248" s="32" t="n">
        <f aca="false">G248*100</f>
        <v>626.859125314144</v>
      </c>
    </row>
    <row r="249" customFormat="false" ht="15" hidden="false" customHeight="false" outlineLevel="0" collapsed="false">
      <c r="A249" s="32" t="n">
        <f aca="false">A248+1</f>
        <v>235</v>
      </c>
      <c r="B249" s="32" t="n">
        <f aca="true">RAND()</f>
        <v>0.146134113653895</v>
      </c>
      <c r="C249" s="32" t="n">
        <f aca="true">VLOOKUP(B249,$F$7:$H$12,2,TRUE())+(RAND()*(VLOOKUP(B249,$F$7:$H$12,3,TRUE())-VLOOKUP(B249,$F$7:$H$12,2,TRUE())))</f>
        <v>55.5859303499063</v>
      </c>
      <c r="D249" s="32" t="n">
        <f aca="true">RAND()</f>
        <v>0.82083292124056</v>
      </c>
      <c r="E249" s="32" t="n">
        <f aca="true">VLOOKUP(D249,$K$7:$M$10,2,TRUE())+(RAND()*(VLOOKUP(D249,$K$7:$M$10,3,TRUE())-VLOOKUP(D249,$K$7:$M$10,2,TRUE())))</f>
        <v>5.4460516323593</v>
      </c>
      <c r="F249" s="32" t="n">
        <f aca="false">E249*$B$3</f>
        <v>65.3526195883116</v>
      </c>
      <c r="G249" s="32" t="n">
        <f aca="false">MAX(C249-F249,0)</f>
        <v>0</v>
      </c>
      <c r="H249" s="32" t="n">
        <f aca="false">G249*100</f>
        <v>0</v>
      </c>
    </row>
    <row r="250" customFormat="false" ht="15" hidden="false" customHeight="false" outlineLevel="0" collapsed="false">
      <c r="A250" s="32" t="n">
        <f aca="false">A249+1</f>
        <v>236</v>
      </c>
      <c r="B250" s="32" t="n">
        <f aca="true">RAND()</f>
        <v>0.492014910512561</v>
      </c>
      <c r="C250" s="32" t="n">
        <f aca="true">VLOOKUP(B250,$F$7:$H$12,2,TRUE())+(RAND()*(VLOOKUP(B250,$F$7:$H$12,3,TRUE())-VLOOKUP(B250,$F$7:$H$12,2,TRUE())))</f>
        <v>60.5911435778606</v>
      </c>
      <c r="D250" s="32" t="n">
        <f aca="true">RAND()</f>
        <v>0.992956507740426</v>
      </c>
      <c r="E250" s="32" t="n">
        <f aca="true">VLOOKUP(D250,$K$7:$M$10,2,TRUE())+(RAND()*(VLOOKUP(D250,$K$7:$M$10,3,TRUE())-VLOOKUP(D250,$K$7:$M$10,2,TRUE())))</f>
        <v>5.90562443819776</v>
      </c>
      <c r="F250" s="32" t="n">
        <f aca="false">E250*$B$3</f>
        <v>70.8674932583731</v>
      </c>
      <c r="G250" s="32" t="n">
        <f aca="false">MAX(C250-F250,0)</f>
        <v>0</v>
      </c>
      <c r="H250" s="32" t="n">
        <f aca="false">G250*100</f>
        <v>0</v>
      </c>
    </row>
    <row r="251" customFormat="false" ht="15" hidden="false" customHeight="false" outlineLevel="0" collapsed="false">
      <c r="A251" s="32" t="n">
        <f aca="false">A250+1</f>
        <v>237</v>
      </c>
      <c r="B251" s="32" t="n">
        <f aca="true">RAND()</f>
        <v>0.182644369698088</v>
      </c>
      <c r="C251" s="32" t="n">
        <f aca="true">VLOOKUP(B251,$F$7:$H$12,2,TRUE())+(RAND()*(VLOOKUP(B251,$F$7:$H$12,3,TRUE())-VLOOKUP(B251,$F$7:$H$12,2,TRUE())))</f>
        <v>58.9119151926881</v>
      </c>
      <c r="D251" s="32" t="n">
        <f aca="true">RAND()</f>
        <v>0.893605177974446</v>
      </c>
      <c r="E251" s="32" t="n">
        <f aca="true">VLOOKUP(D251,$K$7:$M$10,2,TRUE())+(RAND()*(VLOOKUP(D251,$K$7:$M$10,3,TRUE())-VLOOKUP(D251,$K$7:$M$10,2,TRUE())))</f>
        <v>5.44399920912844</v>
      </c>
      <c r="F251" s="32" t="n">
        <f aca="false">E251*$B$3</f>
        <v>65.3279905095413</v>
      </c>
      <c r="G251" s="32" t="n">
        <f aca="false">MAX(C251-F251,0)</f>
        <v>0</v>
      </c>
      <c r="H251" s="32" t="n">
        <f aca="false">G251*100</f>
        <v>0</v>
      </c>
    </row>
    <row r="252" customFormat="false" ht="15" hidden="false" customHeight="false" outlineLevel="0" collapsed="false">
      <c r="A252" s="32" t="n">
        <f aca="false">A251+1</f>
        <v>238</v>
      </c>
      <c r="B252" s="32" t="n">
        <f aca="true">RAND()</f>
        <v>0.0613833866539968</v>
      </c>
      <c r="C252" s="32" t="n">
        <f aca="true">VLOOKUP(B252,$F$7:$H$12,2,TRUE())+(RAND()*(VLOOKUP(B252,$F$7:$H$12,3,TRUE())-VLOOKUP(B252,$F$7:$H$12,2,TRUE())))</f>
        <v>50.5267999381131</v>
      </c>
      <c r="D252" s="32" t="n">
        <f aca="true">RAND()</f>
        <v>0.564087342944311</v>
      </c>
      <c r="E252" s="32" t="n">
        <f aca="true">VLOOKUP(D252,$K$7:$M$10,2,TRUE())+(RAND()*(VLOOKUP(D252,$K$7:$M$10,3,TRUE())-VLOOKUP(D252,$K$7:$M$10,2,TRUE())))</f>
        <v>4.97898269725392</v>
      </c>
      <c r="F252" s="32" t="n">
        <f aca="false">E252*$B$3</f>
        <v>59.7477923670471</v>
      </c>
      <c r="G252" s="32" t="n">
        <f aca="false">MAX(C252-F252,0)</f>
        <v>0</v>
      </c>
      <c r="H252" s="32" t="n">
        <f aca="false">G252*100</f>
        <v>0</v>
      </c>
    </row>
    <row r="253" customFormat="false" ht="15" hidden="false" customHeight="false" outlineLevel="0" collapsed="false">
      <c r="A253" s="32" t="n">
        <f aca="false">A252+1</f>
        <v>239</v>
      </c>
      <c r="B253" s="32" t="n">
        <f aca="true">RAND()</f>
        <v>0.318993963146549</v>
      </c>
      <c r="C253" s="32" t="n">
        <f aca="true">VLOOKUP(B253,$F$7:$H$12,2,TRUE())+(RAND()*(VLOOKUP(B253,$F$7:$H$12,3,TRUE())-VLOOKUP(B253,$F$7:$H$12,2,TRUE())))</f>
        <v>60.0432312307509</v>
      </c>
      <c r="D253" s="32" t="n">
        <f aca="true">RAND()</f>
        <v>0.649201962626775</v>
      </c>
      <c r="E253" s="32" t="n">
        <f aca="true">VLOOKUP(D253,$K$7:$M$10,2,TRUE())+(RAND()*(VLOOKUP(D253,$K$7:$M$10,3,TRUE())-VLOOKUP(D253,$K$7:$M$10,2,TRUE())))</f>
        <v>4.58959831846759</v>
      </c>
      <c r="F253" s="32" t="n">
        <f aca="false">E253*$B$3</f>
        <v>55.075179821611</v>
      </c>
      <c r="G253" s="32" t="n">
        <f aca="false">MAX(C253-F253,0)</f>
        <v>4.96805140913989</v>
      </c>
      <c r="H253" s="32" t="n">
        <f aca="false">G253*100</f>
        <v>496.805140913989</v>
      </c>
    </row>
    <row r="254" customFormat="false" ht="15" hidden="false" customHeight="false" outlineLevel="0" collapsed="false">
      <c r="A254" s="32" t="n">
        <f aca="false">A253+1</f>
        <v>240</v>
      </c>
      <c r="B254" s="32" t="n">
        <f aca="true">RAND()</f>
        <v>0.387716420980963</v>
      </c>
      <c r="C254" s="32" t="n">
        <f aca="true">VLOOKUP(B254,$F$7:$H$12,2,TRUE())+(RAND()*(VLOOKUP(B254,$F$7:$H$12,3,TRUE())-VLOOKUP(B254,$F$7:$H$12,2,TRUE())))</f>
        <v>63.878345402298</v>
      </c>
      <c r="D254" s="32" t="n">
        <f aca="true">RAND()</f>
        <v>0.306884725322173</v>
      </c>
      <c r="E254" s="32" t="n">
        <f aca="true">VLOOKUP(D254,$K$7:$M$10,2,TRUE())+(RAND()*(VLOOKUP(D254,$K$7:$M$10,3,TRUE())-VLOOKUP(D254,$K$7:$M$10,2,TRUE())))</f>
        <v>4.74040981905079</v>
      </c>
      <c r="F254" s="32" t="n">
        <f aca="false">E254*$B$3</f>
        <v>56.8849178286094</v>
      </c>
      <c r="G254" s="32" t="n">
        <f aca="false">MAX(C254-F254,0)</f>
        <v>6.99342757368858</v>
      </c>
      <c r="H254" s="32" t="n">
        <f aca="false">G254*100</f>
        <v>699.342757368858</v>
      </c>
    </row>
    <row r="255" customFormat="false" ht="15" hidden="false" customHeight="false" outlineLevel="0" collapsed="false">
      <c r="A255" s="32" t="n">
        <f aca="false">A254+1</f>
        <v>241</v>
      </c>
      <c r="B255" s="32" t="n">
        <f aca="true">RAND()</f>
        <v>0.0682666086584576</v>
      </c>
      <c r="C255" s="32" t="n">
        <f aca="true">VLOOKUP(B255,$F$7:$H$12,2,TRUE())+(RAND()*(VLOOKUP(B255,$F$7:$H$12,3,TRUE())-VLOOKUP(B255,$F$7:$H$12,2,TRUE())))</f>
        <v>52.6906781135028</v>
      </c>
      <c r="D255" s="32" t="n">
        <f aca="true">RAND()</f>
        <v>0.458632586786152</v>
      </c>
      <c r="E255" s="32" t="n">
        <f aca="true">VLOOKUP(D255,$K$7:$M$10,2,TRUE())+(RAND()*(VLOOKUP(D255,$K$7:$M$10,3,TRUE())-VLOOKUP(D255,$K$7:$M$10,2,TRUE())))</f>
        <v>4.95423244504439</v>
      </c>
      <c r="F255" s="32" t="n">
        <f aca="false">E255*$B$3</f>
        <v>59.4507893405326</v>
      </c>
      <c r="G255" s="32" t="n">
        <f aca="false">MAX(C255-F255,0)</f>
        <v>0</v>
      </c>
      <c r="H255" s="32" t="n">
        <f aca="false">G255*100</f>
        <v>0</v>
      </c>
    </row>
    <row r="256" customFormat="false" ht="15" hidden="false" customHeight="false" outlineLevel="0" collapsed="false">
      <c r="A256" s="32" t="n">
        <f aca="false">A255+1</f>
        <v>242</v>
      </c>
      <c r="B256" s="32" t="n">
        <f aca="true">RAND()</f>
        <v>0.231750662669938</v>
      </c>
      <c r="C256" s="32" t="n">
        <f aca="true">VLOOKUP(B256,$F$7:$H$12,2,TRUE())+(RAND()*(VLOOKUP(B256,$F$7:$H$12,3,TRUE())-VLOOKUP(B256,$F$7:$H$12,2,TRUE())))</f>
        <v>56.2650601437923</v>
      </c>
      <c r="D256" s="32" t="n">
        <f aca="true">RAND()</f>
        <v>0.396908424966158</v>
      </c>
      <c r="E256" s="32" t="n">
        <f aca="true">VLOOKUP(D256,$K$7:$M$10,2,TRUE())+(RAND()*(VLOOKUP(D256,$K$7:$M$10,3,TRUE())-VLOOKUP(D256,$K$7:$M$10,2,TRUE())))</f>
        <v>4.51503767307633</v>
      </c>
      <c r="F256" s="32" t="n">
        <f aca="false">E256*$B$3</f>
        <v>54.1804520769159</v>
      </c>
      <c r="G256" s="32" t="n">
        <f aca="false">MAX(C256-F256,0)</f>
        <v>2.08460806687638</v>
      </c>
      <c r="H256" s="32" t="n">
        <f aca="false">G256*100</f>
        <v>208.460806687638</v>
      </c>
    </row>
    <row r="257" customFormat="false" ht="15" hidden="false" customHeight="false" outlineLevel="0" collapsed="false">
      <c r="A257" s="32" t="n">
        <f aca="false">A256+1</f>
        <v>243</v>
      </c>
      <c r="B257" s="32" t="n">
        <f aca="true">RAND()</f>
        <v>0.315337790197115</v>
      </c>
      <c r="C257" s="32" t="n">
        <f aca="true">VLOOKUP(B257,$F$7:$H$12,2,TRUE())+(RAND()*(VLOOKUP(B257,$F$7:$H$12,3,TRUE())-VLOOKUP(B257,$F$7:$H$12,2,TRUE())))</f>
        <v>60.2769250924021</v>
      </c>
      <c r="D257" s="32" t="n">
        <f aca="true">RAND()</f>
        <v>0.336050406035014</v>
      </c>
      <c r="E257" s="32" t="n">
        <f aca="true">VLOOKUP(D257,$K$7:$M$10,2,TRUE())+(RAND()*(VLOOKUP(D257,$K$7:$M$10,3,TRUE())-VLOOKUP(D257,$K$7:$M$10,2,TRUE())))</f>
        <v>4.67411202985497</v>
      </c>
      <c r="F257" s="32" t="n">
        <f aca="false">E257*$B$3</f>
        <v>56.0893443582596</v>
      </c>
      <c r="G257" s="32" t="n">
        <f aca="false">MAX(C257-F257,0)</f>
        <v>4.18758073414248</v>
      </c>
      <c r="H257" s="32" t="n">
        <f aca="false">G257*100</f>
        <v>418.758073414248</v>
      </c>
    </row>
    <row r="258" customFormat="false" ht="15" hidden="false" customHeight="false" outlineLevel="0" collapsed="false">
      <c r="A258" s="32" t="n">
        <f aca="false">A257+1</f>
        <v>244</v>
      </c>
      <c r="B258" s="32" t="n">
        <f aca="true">RAND()</f>
        <v>0.729907047477301</v>
      </c>
      <c r="C258" s="32" t="n">
        <f aca="true">VLOOKUP(B258,$F$7:$H$12,2,TRUE())+(RAND()*(VLOOKUP(B258,$F$7:$H$12,3,TRUE())-VLOOKUP(B258,$F$7:$H$12,2,TRUE())))</f>
        <v>65.695525058817</v>
      </c>
      <c r="D258" s="32" t="n">
        <f aca="true">RAND()</f>
        <v>0.498518854665628</v>
      </c>
      <c r="E258" s="32" t="n">
        <f aca="true">VLOOKUP(D258,$K$7:$M$10,2,TRUE())+(RAND()*(VLOOKUP(D258,$K$7:$M$10,3,TRUE())-VLOOKUP(D258,$K$7:$M$10,2,TRUE())))</f>
        <v>4.53399178024667</v>
      </c>
      <c r="F258" s="32" t="n">
        <f aca="false">E258*$B$3</f>
        <v>54.4079013629601</v>
      </c>
      <c r="G258" s="32" t="n">
        <f aca="false">MAX(C258-F258,0)</f>
        <v>11.287623695857</v>
      </c>
      <c r="H258" s="32" t="n">
        <f aca="false">G258*100</f>
        <v>1128.7623695857</v>
      </c>
    </row>
    <row r="259" customFormat="false" ht="15" hidden="false" customHeight="false" outlineLevel="0" collapsed="false">
      <c r="A259" s="32" t="n">
        <f aca="false">A258+1</f>
        <v>245</v>
      </c>
      <c r="B259" s="32" t="n">
        <f aca="true">RAND()</f>
        <v>0.364276361227114</v>
      </c>
      <c r="C259" s="32" t="n">
        <f aca="true">VLOOKUP(B259,$F$7:$H$12,2,TRUE())+(RAND()*(VLOOKUP(B259,$F$7:$H$12,3,TRUE())-VLOOKUP(B259,$F$7:$H$12,2,TRUE())))</f>
        <v>64.6123891849018</v>
      </c>
      <c r="D259" s="32" t="n">
        <f aca="true">RAND()</f>
        <v>0.76182170465278</v>
      </c>
      <c r="E259" s="32" t="n">
        <f aca="true">VLOOKUP(D259,$K$7:$M$10,2,TRUE())+(RAND()*(VLOOKUP(D259,$K$7:$M$10,3,TRUE())-VLOOKUP(D259,$K$7:$M$10,2,TRUE())))</f>
        <v>5.27579265178041</v>
      </c>
      <c r="F259" s="32" t="n">
        <f aca="false">E259*$B$3</f>
        <v>63.3095118213649</v>
      </c>
      <c r="G259" s="32" t="n">
        <f aca="false">MAX(C259-F259,0)</f>
        <v>1.30287736353691</v>
      </c>
      <c r="H259" s="32" t="n">
        <f aca="false">G259*100</f>
        <v>130.287736353691</v>
      </c>
    </row>
    <row r="260" customFormat="false" ht="15" hidden="false" customHeight="false" outlineLevel="0" collapsed="false">
      <c r="A260" s="32" t="n">
        <f aca="false">A259+1</f>
        <v>246</v>
      </c>
      <c r="B260" s="32" t="n">
        <f aca="true">RAND()</f>
        <v>0.38694542565641</v>
      </c>
      <c r="C260" s="32" t="n">
        <f aca="true">VLOOKUP(B260,$F$7:$H$12,2,TRUE())+(RAND()*(VLOOKUP(B260,$F$7:$H$12,3,TRUE())-VLOOKUP(B260,$F$7:$H$12,2,TRUE())))</f>
        <v>61.5741190369981</v>
      </c>
      <c r="D260" s="32" t="n">
        <f aca="true">RAND()</f>
        <v>0.438027634667399</v>
      </c>
      <c r="E260" s="32" t="n">
        <f aca="true">VLOOKUP(D260,$K$7:$M$10,2,TRUE())+(RAND()*(VLOOKUP(D260,$K$7:$M$10,3,TRUE())-VLOOKUP(D260,$K$7:$M$10,2,TRUE())))</f>
        <v>4.92195046442258</v>
      </c>
      <c r="F260" s="32" t="n">
        <f aca="false">E260*$B$3</f>
        <v>59.0634055730709</v>
      </c>
      <c r="G260" s="32" t="n">
        <f aca="false">MAX(C260-F260,0)</f>
        <v>2.51071346392713</v>
      </c>
      <c r="H260" s="32" t="n">
        <f aca="false">G260*100</f>
        <v>251.071346392713</v>
      </c>
    </row>
    <row r="261" customFormat="false" ht="15" hidden="false" customHeight="false" outlineLevel="0" collapsed="false">
      <c r="A261" s="32" t="n">
        <f aca="false">A260+1</f>
        <v>247</v>
      </c>
      <c r="B261" s="32" t="n">
        <f aca="true">RAND()</f>
        <v>0.261425633018273</v>
      </c>
      <c r="C261" s="32" t="n">
        <f aca="true">VLOOKUP(B261,$F$7:$H$12,2,TRUE())+(RAND()*(VLOOKUP(B261,$F$7:$H$12,3,TRUE())-VLOOKUP(B261,$F$7:$H$12,2,TRUE())))</f>
        <v>63.4234209081179</v>
      </c>
      <c r="D261" s="32" t="n">
        <f aca="true">RAND()</f>
        <v>0.756653530321023</v>
      </c>
      <c r="E261" s="32" t="n">
        <f aca="true">VLOOKUP(D261,$K$7:$M$10,2,TRUE())+(RAND()*(VLOOKUP(D261,$K$7:$M$10,3,TRUE())-VLOOKUP(D261,$K$7:$M$10,2,TRUE())))</f>
        <v>5.29041327264788</v>
      </c>
      <c r="F261" s="32" t="n">
        <f aca="false">E261*$B$3</f>
        <v>63.4849592717746</v>
      </c>
      <c r="G261" s="32" t="n">
        <f aca="false">MAX(C261-F261,0)</f>
        <v>0</v>
      </c>
      <c r="H261" s="32" t="n">
        <f aca="false">G261*100</f>
        <v>0</v>
      </c>
    </row>
    <row r="262" customFormat="false" ht="15" hidden="false" customHeight="false" outlineLevel="0" collapsed="false">
      <c r="A262" s="32" t="n">
        <f aca="false">A261+1</f>
        <v>248</v>
      </c>
      <c r="B262" s="32" t="n">
        <f aca="true">RAND()</f>
        <v>0.641996043876325</v>
      </c>
      <c r="C262" s="32" t="n">
        <f aca="true">VLOOKUP(B262,$F$7:$H$12,2,TRUE())+(RAND()*(VLOOKUP(B262,$F$7:$H$12,3,TRUE())-VLOOKUP(B262,$F$7:$H$12,2,TRUE())))</f>
        <v>69.5722944408852</v>
      </c>
      <c r="D262" s="32" t="n">
        <f aca="true">RAND()</f>
        <v>0.468362175895454</v>
      </c>
      <c r="E262" s="32" t="n">
        <f aca="true">VLOOKUP(D262,$K$7:$M$10,2,TRUE())+(RAND()*(VLOOKUP(D262,$K$7:$M$10,3,TRUE())-VLOOKUP(D262,$K$7:$M$10,2,TRUE())))</f>
        <v>4.740307498335</v>
      </c>
      <c r="F262" s="32" t="n">
        <f aca="false">E262*$B$3</f>
        <v>56.8836899800199</v>
      </c>
      <c r="G262" s="32" t="n">
        <f aca="false">MAX(C262-F262,0)</f>
        <v>12.6886044608652</v>
      </c>
      <c r="H262" s="32" t="n">
        <f aca="false">G262*100</f>
        <v>1268.86044608652</v>
      </c>
    </row>
    <row r="263" customFormat="false" ht="15" hidden="false" customHeight="false" outlineLevel="0" collapsed="false">
      <c r="A263" s="32" t="n">
        <f aca="false">A262+1</f>
        <v>249</v>
      </c>
      <c r="B263" s="32" t="n">
        <f aca="true">RAND()</f>
        <v>0.726765802989499</v>
      </c>
      <c r="C263" s="32" t="n">
        <f aca="true">VLOOKUP(B263,$F$7:$H$12,2,TRUE())+(RAND()*(VLOOKUP(B263,$F$7:$H$12,3,TRUE())-VLOOKUP(B263,$F$7:$H$12,2,TRUE())))</f>
        <v>65.121951064639</v>
      </c>
      <c r="D263" s="32" t="n">
        <f aca="true">RAND()</f>
        <v>0.408650216844063</v>
      </c>
      <c r="E263" s="32" t="n">
        <f aca="true">VLOOKUP(D263,$K$7:$M$10,2,TRUE())+(RAND()*(VLOOKUP(D263,$K$7:$M$10,3,TRUE())-VLOOKUP(D263,$K$7:$M$10,2,TRUE())))</f>
        <v>4.8230701387838</v>
      </c>
      <c r="F263" s="32" t="n">
        <f aca="false">E263*$B$3</f>
        <v>57.8768416654056</v>
      </c>
      <c r="G263" s="32" t="n">
        <f aca="false">MAX(C263-F263,0)</f>
        <v>7.24510939923344</v>
      </c>
      <c r="H263" s="32" t="n">
        <f aca="false">G263*100</f>
        <v>724.510939923344</v>
      </c>
    </row>
    <row r="264" customFormat="false" ht="15" hidden="false" customHeight="false" outlineLevel="0" collapsed="false">
      <c r="A264" s="32" t="n">
        <f aca="false">A263+1</f>
        <v>250</v>
      </c>
      <c r="B264" s="32" t="n">
        <f aca="true">RAND()</f>
        <v>0.167850170592546</v>
      </c>
      <c r="C264" s="32" t="n">
        <f aca="true">VLOOKUP(B264,$F$7:$H$12,2,TRUE())+(RAND()*(VLOOKUP(B264,$F$7:$H$12,3,TRUE())-VLOOKUP(B264,$F$7:$H$12,2,TRUE())))</f>
        <v>55.5633930516882</v>
      </c>
      <c r="D264" s="32" t="n">
        <f aca="true">RAND()</f>
        <v>0.931976314812228</v>
      </c>
      <c r="E264" s="32" t="n">
        <f aca="true">VLOOKUP(D264,$K$7:$M$10,2,TRUE())+(RAND()*(VLOOKUP(D264,$K$7:$M$10,3,TRUE())-VLOOKUP(D264,$K$7:$M$10,2,TRUE())))</f>
        <v>5.52814457324547</v>
      </c>
      <c r="F264" s="32" t="n">
        <f aca="false">E264*$B$3</f>
        <v>66.3377348789456</v>
      </c>
      <c r="G264" s="32" t="n">
        <f aca="false">MAX(C264-F264,0)</f>
        <v>0</v>
      </c>
      <c r="H264" s="32" t="n">
        <f aca="false">G264*100</f>
        <v>0</v>
      </c>
    </row>
    <row r="266" customFormat="false" ht="15" hidden="false" customHeight="false" outlineLevel="0" collapsed="false">
      <c r="A266" s="3" t="s">
        <v>75</v>
      </c>
      <c r="B266" s="33" t="n">
        <f aca="false">$B$3*100000</f>
        <v>1200000</v>
      </c>
    </row>
    <row r="267" customFormat="false" ht="15" hidden="false" customHeight="false" outlineLevel="0" collapsed="false">
      <c r="A267" s="3" t="s">
        <v>76</v>
      </c>
      <c r="B267" s="33" t="n">
        <f aca="false">SUM(H15:H264)</f>
        <v>192643.510389184</v>
      </c>
    </row>
    <row r="268" customFormat="false" ht="15" hidden="false" customHeight="false" outlineLevel="0" collapsed="false">
      <c r="A268" s="34" t="s">
        <v>77</v>
      </c>
      <c r="B268" s="34" t="n">
        <f aca="false">B266+B267</f>
        <v>1392643.51038918</v>
      </c>
    </row>
    <row r="270" customFormat="false" ht="15" hidden="false" customHeight="false" outlineLevel="0" collapsed="false">
      <c r="A270" s="35" t="s">
        <v>78</v>
      </c>
      <c r="B270" s="35"/>
      <c r="C270" s="35"/>
      <c r="D270" s="35"/>
      <c r="E270" s="35"/>
      <c r="F270" s="35"/>
      <c r="G270" s="35"/>
      <c r="H270" s="35"/>
    </row>
    <row r="273" customFormat="false" ht="15" hidden="false" customHeight="false" outlineLevel="0" collapsed="false">
      <c r="A273" s="36" t="s">
        <v>79</v>
      </c>
      <c r="B273" s="36"/>
      <c r="C273" s="36"/>
      <c r="D273" s="36"/>
      <c r="E273" s="36"/>
      <c r="F273" s="36"/>
      <c r="G273" s="36"/>
      <c r="H273" s="36"/>
    </row>
    <row r="274" customFormat="false" ht="15" hidden="false" customHeight="false" outlineLevel="0" collapsed="false">
      <c r="A274" s="30" t="s">
        <v>80</v>
      </c>
      <c r="B274" s="30" t="s">
        <v>81</v>
      </c>
      <c r="C274" s="30" t="s">
        <v>82</v>
      </c>
      <c r="D274" s="30" t="s">
        <v>83</v>
      </c>
    </row>
    <row r="275" customFormat="false" ht="15" hidden="false" customHeight="false" outlineLevel="0" collapsed="false">
      <c r="A275" s="31" t="n">
        <v>10</v>
      </c>
      <c r="B275" s="31" t="n">
        <v>1000000</v>
      </c>
      <c r="C275" s="31" t="n">
        <v>404778</v>
      </c>
      <c r="D275" s="31" t="n">
        <v>1404778</v>
      </c>
    </row>
    <row r="276" customFormat="false" ht="15" hidden="false" customHeight="false" outlineLevel="0" collapsed="false">
      <c r="A276" s="37" t="n">
        <v>11</v>
      </c>
      <c r="B276" s="37" t="n">
        <v>1100000</v>
      </c>
      <c r="C276" s="37" t="n">
        <v>293293</v>
      </c>
      <c r="D276" s="37" t="n">
        <v>1393293</v>
      </c>
    </row>
    <row r="277" customFormat="false" ht="15" hidden="false" customHeight="false" outlineLevel="0" collapsed="false">
      <c r="A277" s="31" t="n">
        <v>12</v>
      </c>
      <c r="B277" s="31" t="n">
        <v>1200000</v>
      </c>
      <c r="C277" s="31" t="n">
        <v>194157</v>
      </c>
      <c r="D277" s="31" t="n">
        <v>1394157</v>
      </c>
    </row>
    <row r="278" customFormat="false" ht="15" hidden="false" customHeight="false" outlineLevel="0" collapsed="false">
      <c r="A278" s="31" t="n">
        <v>13</v>
      </c>
      <c r="B278" s="31" t="n">
        <v>1300000</v>
      </c>
      <c r="C278" s="31" t="n">
        <v>116862</v>
      </c>
      <c r="D278" s="31" t="n">
        <v>1416862</v>
      </c>
    </row>
    <row r="279" customFormat="false" ht="15" hidden="false" customHeight="false" outlineLevel="0" collapsed="false">
      <c r="A279" s="31" t="n">
        <v>14</v>
      </c>
      <c r="B279" s="31" t="n">
        <v>1400000</v>
      </c>
      <c r="C279" s="31" t="n">
        <v>63358</v>
      </c>
      <c r="D279" s="31" t="n">
        <v>1463358</v>
      </c>
    </row>
    <row r="280" customFormat="false" ht="15" hidden="false" customHeight="false" outlineLevel="0" collapsed="false">
      <c r="A280" s="31" t="n">
        <v>15</v>
      </c>
      <c r="B280" s="31" t="n">
        <v>1500000</v>
      </c>
      <c r="C280" s="31" t="n">
        <v>30183</v>
      </c>
      <c r="D280" s="31" t="n">
        <v>1530183</v>
      </c>
    </row>
    <row r="282" customFormat="false" ht="15" hidden="false" customHeight="false" outlineLevel="0" collapsed="false">
      <c r="A282" s="36" t="s">
        <v>84</v>
      </c>
      <c r="B282" s="36"/>
      <c r="C282" s="36"/>
      <c r="D282" s="36"/>
      <c r="E282" s="36"/>
      <c r="F282" s="36"/>
      <c r="G282" s="36"/>
      <c r="H282" s="36"/>
    </row>
  </sheetData>
  <mergeCells count="4">
    <mergeCell ref="A1:H1"/>
    <mergeCell ref="A270:H270"/>
    <mergeCell ref="A273:H273"/>
    <mergeCell ref="A282:H2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2026-08-31T18:25:29Z</dcterms:created>
  <dc:creator>openpyxl</dc:creator>
  <dc:description/>
  <dc:language>en-US</dc:language>
  <cp:lastModifiedBy/>
  <dcterms:modified xsi:type="dcterms:W3CDTF">2026-08-31T18:25:41Z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